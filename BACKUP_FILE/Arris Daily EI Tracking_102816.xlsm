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cripting\DIST\DIST_ARRIS\"/>
    </mc:Choice>
  </mc:AlternateContent>
  <bookViews>
    <workbookView xWindow="0" yWindow="0" windowWidth="28800" windowHeight="12435" tabRatio="772"/>
  </bookViews>
  <sheets>
    <sheet name="Tracker" sheetId="1" r:id="rId1"/>
    <sheet name="Workflow" sheetId="31" r:id="rId2"/>
    <sheet name="Summary" sheetId="18" r:id="rId3"/>
    <sheet name="Order_Detail_View" sheetId="30" state="hidden" r:id="rId4"/>
    <sheet name="Tracker DO NOT TOUCH" sheetId="5" state="hidden" r:id="rId5"/>
    <sheet name="Open Order" sheetId="4" r:id="rId6"/>
    <sheet name="Pick Lines" sheetId="6" r:id="rId7"/>
    <sheet name="Receiving" sheetId="10" r:id="rId8"/>
    <sheet name="Pending to Receive" sheetId="11" r:id="rId9"/>
    <sheet name="RMA" sheetId="12" r:id="rId10"/>
    <sheet name="Open PO Report" sheetId="9" state="hidden" r:id="rId11"/>
    <sheet name="Expected Receipts" sheetId="13" state="hidden" r:id="rId12"/>
    <sheet name="Inventory - Receipts" sheetId="14" state="hidden" r:id="rId13"/>
    <sheet name="Sales Orders POD" sheetId="8" r:id="rId14"/>
    <sheet name="POD_Upload" sheetId="95" r:id="rId15"/>
    <sheet name="DataConsol_Summary" sheetId="94" state="hidden" r:id="rId16"/>
    <sheet name="Data Validation" sheetId="21" state="hidden" r:id="rId17"/>
    <sheet name="Open_Order_DN_LineCt" sheetId="22" state="hidden" r:id="rId18"/>
    <sheet name="Temp_Library" sheetId="25" state="hidden" r:id="rId19"/>
  </sheets>
  <functionGroups builtInGroupCount="18"/>
  <definedNames>
    <definedName name="_xlnm._FilterDatabase" localSheetId="12" hidden="1">'Inventory - Receipts'!$A$1:$K$304</definedName>
    <definedName name="_xlnm._FilterDatabase" localSheetId="5" hidden="1">'Open Order'!#REF!</definedName>
    <definedName name="_xlnm._FilterDatabase" localSheetId="6" hidden="1">'Pick Lines'!$A$1:$BM$4403</definedName>
    <definedName name="_xlnm._FilterDatabase" localSheetId="0" hidden="1">Tracker!$A$5:$AG$5</definedName>
    <definedName name="_xlnm._FilterDatabase" localSheetId="4" hidden="1">'Tracker DO NOT TOUCH'!$A$2:$X$2</definedName>
    <definedName name="OrderDetailComments">Order_Detail_View!$J$15</definedName>
    <definedName name="OrderDetailShippingInstruction">Order_Detail_View!$C$21</definedName>
  </definedNames>
  <calcPr calcId="152511"/>
  <pivotCaches>
    <pivotCache cacheId="81" r:id="rId20"/>
    <pivotCache cacheId="90" r:id="rId21"/>
  </pivotCaches>
</workbook>
</file>

<file path=xl/calcChain.xml><?xml version="1.0" encoding="utf-8"?>
<calcChain xmlns="http://schemas.openxmlformats.org/spreadsheetml/2006/main">
  <c r="G9" i="18" l="1"/>
  <c r="C9" i="18"/>
  <c r="L4" i="5" l="1"/>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A4" i="5"/>
  <c r="B4" i="5"/>
  <c r="C4" i="5"/>
  <c r="D4" i="5"/>
  <c r="E4" i="5"/>
  <c r="F4" i="5"/>
  <c r="A5" i="5"/>
  <c r="B5" i="5"/>
  <c r="C5" i="5"/>
  <c r="D5" i="5"/>
  <c r="E5" i="5"/>
  <c r="F5" i="5"/>
  <c r="A6" i="5"/>
  <c r="B6" i="5"/>
  <c r="C6" i="5"/>
  <c r="D6" i="5"/>
  <c r="E6" i="5"/>
  <c r="F6" i="5"/>
  <c r="A7" i="5"/>
  <c r="B7" i="5"/>
  <c r="C7" i="5"/>
  <c r="D7" i="5"/>
  <c r="E7" i="5"/>
  <c r="F7" i="5"/>
  <c r="A8" i="5"/>
  <c r="B8" i="5"/>
  <c r="C8" i="5"/>
  <c r="D8" i="5"/>
  <c r="E8" i="5"/>
  <c r="F8" i="5"/>
  <c r="A9" i="5"/>
  <c r="B9" i="5"/>
  <c r="C9" i="5"/>
  <c r="D9" i="5"/>
  <c r="E9" i="5"/>
  <c r="F9" i="5"/>
  <c r="A10" i="5"/>
  <c r="B10" i="5"/>
  <c r="C10" i="5"/>
  <c r="D10" i="5"/>
  <c r="E10" i="5"/>
  <c r="F10" i="5"/>
  <c r="A11" i="5"/>
  <c r="B11" i="5"/>
  <c r="C11" i="5"/>
  <c r="D11" i="5"/>
  <c r="E11" i="5"/>
  <c r="F11" i="5"/>
  <c r="A12" i="5"/>
  <c r="B12" i="5"/>
  <c r="C12" i="5"/>
  <c r="D12" i="5"/>
  <c r="E12" i="5"/>
  <c r="F12" i="5"/>
  <c r="A13" i="5"/>
  <c r="B13" i="5"/>
  <c r="C13" i="5"/>
  <c r="D13" i="5"/>
  <c r="E13" i="5"/>
  <c r="F13" i="5"/>
  <c r="A14" i="5"/>
  <c r="B14" i="5"/>
  <c r="C14" i="5"/>
  <c r="D14" i="5"/>
  <c r="E14" i="5"/>
  <c r="F14" i="5"/>
  <c r="A15" i="5"/>
  <c r="B15" i="5"/>
  <c r="C15" i="5"/>
  <c r="D15" i="5"/>
  <c r="E15" i="5"/>
  <c r="F15" i="5"/>
  <c r="A16" i="5"/>
  <c r="B16" i="5"/>
  <c r="C16" i="5"/>
  <c r="D16" i="5"/>
  <c r="E16" i="5"/>
  <c r="F16" i="5"/>
  <c r="A17" i="5"/>
  <c r="B17" i="5"/>
  <c r="C17" i="5"/>
  <c r="D17" i="5"/>
  <c r="E17" i="5"/>
  <c r="F17" i="5"/>
  <c r="A18" i="5"/>
  <c r="B18" i="5"/>
  <c r="C18" i="5"/>
  <c r="D18" i="5"/>
  <c r="E18" i="5"/>
  <c r="F18" i="5"/>
  <c r="A19" i="5"/>
  <c r="B19" i="5"/>
  <c r="C19" i="5"/>
  <c r="D19" i="5"/>
  <c r="E19" i="5"/>
  <c r="F19" i="5"/>
  <c r="A20" i="5"/>
  <c r="B20" i="5"/>
  <c r="C20" i="5"/>
  <c r="D20" i="5"/>
  <c r="E20" i="5"/>
  <c r="F20" i="5"/>
  <c r="A21" i="5"/>
  <c r="B21" i="5"/>
  <c r="C21" i="5"/>
  <c r="D21" i="5"/>
  <c r="E21" i="5"/>
  <c r="F21" i="5"/>
  <c r="A22" i="5"/>
  <c r="B22" i="5"/>
  <c r="C22" i="5"/>
  <c r="D22" i="5"/>
  <c r="E22" i="5"/>
  <c r="F22" i="5"/>
  <c r="A23" i="5"/>
  <c r="B23" i="5"/>
  <c r="C23" i="5"/>
  <c r="D23" i="5"/>
  <c r="E23" i="5"/>
  <c r="F23" i="5"/>
  <c r="A24" i="5"/>
  <c r="B24" i="5"/>
  <c r="C24" i="5"/>
  <c r="D24" i="5"/>
  <c r="E24" i="5"/>
  <c r="F24" i="5"/>
  <c r="A25" i="5"/>
  <c r="B25" i="5"/>
  <c r="C25" i="5"/>
  <c r="D25" i="5"/>
  <c r="E25" i="5"/>
  <c r="F25" i="5"/>
  <c r="A26" i="5"/>
  <c r="B26" i="5"/>
  <c r="C26" i="5"/>
  <c r="D26" i="5"/>
  <c r="E26" i="5"/>
  <c r="F26" i="5"/>
  <c r="A27" i="5"/>
  <c r="B27" i="5"/>
  <c r="C27" i="5"/>
  <c r="D27" i="5"/>
  <c r="E27" i="5"/>
  <c r="F27" i="5"/>
  <c r="A28" i="5"/>
  <c r="B28" i="5"/>
  <c r="C28" i="5"/>
  <c r="D28" i="5"/>
  <c r="E28" i="5"/>
  <c r="F28" i="5"/>
  <c r="A29" i="5"/>
  <c r="B29" i="5"/>
  <c r="C29" i="5"/>
  <c r="D29" i="5"/>
  <c r="E29" i="5"/>
  <c r="F29" i="5"/>
  <c r="A30" i="5"/>
  <c r="B30" i="5"/>
  <c r="C30" i="5"/>
  <c r="D30" i="5"/>
  <c r="E30" i="5"/>
  <c r="F30" i="5"/>
  <c r="A31" i="5"/>
  <c r="B31" i="5"/>
  <c r="C31" i="5"/>
  <c r="D31" i="5"/>
  <c r="E31" i="5"/>
  <c r="F31" i="5"/>
  <c r="A32" i="5"/>
  <c r="B32" i="5"/>
  <c r="C32" i="5"/>
  <c r="D32" i="5"/>
  <c r="E32" i="5"/>
  <c r="F32" i="5"/>
  <c r="A33" i="5"/>
  <c r="B33" i="5"/>
  <c r="C33" i="5"/>
  <c r="D33" i="5"/>
  <c r="E33" i="5"/>
  <c r="F33" i="5"/>
  <c r="A34" i="5"/>
  <c r="B34" i="5"/>
  <c r="C34" i="5"/>
  <c r="D34" i="5"/>
  <c r="E34" i="5"/>
  <c r="F34" i="5"/>
  <c r="A35" i="5"/>
  <c r="B35" i="5"/>
  <c r="C35" i="5"/>
  <c r="D35" i="5"/>
  <c r="E35" i="5"/>
  <c r="F35" i="5"/>
  <c r="A36" i="5"/>
  <c r="B36" i="5"/>
  <c r="C36" i="5"/>
  <c r="D36" i="5"/>
  <c r="E36" i="5"/>
  <c r="F36" i="5"/>
  <c r="A37" i="5"/>
  <c r="B37" i="5"/>
  <c r="C37" i="5"/>
  <c r="D37" i="5"/>
  <c r="E37" i="5"/>
  <c r="F37" i="5"/>
  <c r="A38" i="5"/>
  <c r="B38" i="5"/>
  <c r="C38" i="5"/>
  <c r="D38" i="5"/>
  <c r="E38" i="5"/>
  <c r="F38" i="5"/>
  <c r="A39" i="5"/>
  <c r="B39" i="5"/>
  <c r="C39" i="5"/>
  <c r="D39" i="5"/>
  <c r="E39" i="5"/>
  <c r="F39" i="5"/>
  <c r="A40" i="5"/>
  <c r="B40" i="5"/>
  <c r="C40" i="5"/>
  <c r="D40" i="5"/>
  <c r="E40" i="5"/>
  <c r="F40" i="5"/>
  <c r="A41" i="5"/>
  <c r="B41" i="5"/>
  <c r="C41" i="5"/>
  <c r="D41" i="5"/>
  <c r="E41" i="5"/>
  <c r="F41" i="5"/>
  <c r="A42" i="5"/>
  <c r="B42" i="5"/>
  <c r="C42" i="5"/>
  <c r="D42" i="5"/>
  <c r="E42" i="5"/>
  <c r="F42" i="5"/>
  <c r="A43" i="5"/>
  <c r="B43" i="5"/>
  <c r="C43" i="5"/>
  <c r="D43" i="5"/>
  <c r="E43" i="5"/>
  <c r="F43" i="5"/>
  <c r="A44" i="5"/>
  <c r="B44" i="5"/>
  <c r="C44" i="5"/>
  <c r="D44" i="5"/>
  <c r="E44" i="5"/>
  <c r="F44" i="5"/>
  <c r="A45" i="5"/>
  <c r="B45" i="5"/>
  <c r="C45" i="5"/>
  <c r="D45" i="5"/>
  <c r="E45" i="5"/>
  <c r="F45" i="5"/>
  <c r="A46" i="5"/>
  <c r="B46" i="5"/>
  <c r="C46" i="5"/>
  <c r="D46" i="5"/>
  <c r="E46" i="5"/>
  <c r="F46" i="5"/>
  <c r="A47" i="5"/>
  <c r="B47" i="5"/>
  <c r="C47" i="5"/>
  <c r="D47" i="5"/>
  <c r="E47" i="5"/>
  <c r="F47" i="5"/>
  <c r="A48" i="5"/>
  <c r="B48" i="5"/>
  <c r="C48" i="5"/>
  <c r="D48" i="5"/>
  <c r="E48" i="5"/>
  <c r="F48" i="5"/>
  <c r="A49" i="5"/>
  <c r="B49" i="5"/>
  <c r="C49" i="5"/>
  <c r="D49" i="5"/>
  <c r="E49" i="5"/>
  <c r="F49" i="5"/>
  <c r="A50" i="5"/>
  <c r="B50" i="5"/>
  <c r="C50" i="5"/>
  <c r="D50" i="5"/>
  <c r="E50" i="5"/>
  <c r="F50" i="5"/>
  <c r="A51" i="5"/>
  <c r="B51" i="5"/>
  <c r="C51" i="5"/>
  <c r="D51" i="5"/>
  <c r="E51" i="5"/>
  <c r="F51" i="5"/>
  <c r="A52" i="5"/>
  <c r="B52" i="5"/>
  <c r="C52" i="5"/>
  <c r="D52" i="5"/>
  <c r="E52" i="5"/>
  <c r="F52" i="5"/>
  <c r="A53" i="5"/>
  <c r="B53" i="5"/>
  <c r="C53" i="5"/>
  <c r="D53" i="5"/>
  <c r="E53" i="5"/>
  <c r="F53" i="5"/>
  <c r="A54" i="5"/>
  <c r="B54" i="5"/>
  <c r="C54" i="5"/>
  <c r="D54" i="5"/>
  <c r="E54" i="5"/>
  <c r="F54" i="5"/>
  <c r="A55" i="5"/>
  <c r="B55" i="5"/>
  <c r="C55" i="5"/>
  <c r="D55" i="5"/>
  <c r="E55" i="5"/>
  <c r="F55" i="5"/>
  <c r="A56" i="5"/>
  <c r="B56" i="5"/>
  <c r="C56" i="5"/>
  <c r="D56" i="5"/>
  <c r="E56" i="5"/>
  <c r="F56" i="5"/>
  <c r="A57" i="5"/>
  <c r="B57" i="5"/>
  <c r="C57" i="5"/>
  <c r="D57" i="5"/>
  <c r="E57" i="5"/>
  <c r="F57" i="5"/>
  <c r="A58" i="5"/>
  <c r="B58" i="5"/>
  <c r="C58" i="5"/>
  <c r="D58" i="5"/>
  <c r="E58" i="5"/>
  <c r="F58" i="5"/>
  <c r="A59" i="5"/>
  <c r="B59" i="5"/>
  <c r="C59" i="5"/>
  <c r="D59" i="5"/>
  <c r="E59" i="5"/>
  <c r="F59" i="5"/>
  <c r="A60" i="5"/>
  <c r="B60" i="5"/>
  <c r="C60" i="5"/>
  <c r="D60" i="5"/>
  <c r="E60" i="5"/>
  <c r="F60" i="5"/>
  <c r="A61" i="5"/>
  <c r="B61" i="5"/>
  <c r="C61" i="5"/>
  <c r="D61" i="5"/>
  <c r="E61" i="5"/>
  <c r="F61" i="5"/>
  <c r="A62" i="5"/>
  <c r="B62" i="5"/>
  <c r="C62" i="5"/>
  <c r="D62" i="5"/>
  <c r="E62" i="5"/>
  <c r="F62" i="5"/>
  <c r="A63" i="5"/>
  <c r="B63" i="5"/>
  <c r="C63" i="5"/>
  <c r="D63" i="5"/>
  <c r="E63" i="5"/>
  <c r="F63" i="5"/>
  <c r="A64" i="5"/>
  <c r="B64" i="5"/>
  <c r="C64" i="5"/>
  <c r="D64" i="5"/>
  <c r="E64" i="5"/>
  <c r="F64" i="5"/>
  <c r="A65" i="5"/>
  <c r="B65" i="5"/>
  <c r="C65" i="5"/>
  <c r="D65" i="5"/>
  <c r="E65" i="5"/>
  <c r="F65" i="5"/>
  <c r="A66" i="5"/>
  <c r="B66" i="5"/>
  <c r="C66" i="5"/>
  <c r="D66" i="5"/>
  <c r="E66" i="5"/>
  <c r="F66" i="5"/>
  <c r="A67" i="5"/>
  <c r="B67" i="5"/>
  <c r="C67" i="5"/>
  <c r="D67" i="5"/>
  <c r="E67" i="5"/>
  <c r="F67" i="5"/>
  <c r="A68" i="5"/>
  <c r="B68" i="5"/>
  <c r="C68" i="5"/>
  <c r="D68" i="5"/>
  <c r="E68" i="5"/>
  <c r="F68" i="5"/>
  <c r="A69" i="5"/>
  <c r="B69" i="5"/>
  <c r="C69" i="5"/>
  <c r="D69" i="5"/>
  <c r="E69" i="5"/>
  <c r="F69" i="5"/>
  <c r="A70" i="5"/>
  <c r="B70" i="5"/>
  <c r="C70" i="5"/>
  <c r="D70" i="5"/>
  <c r="E70" i="5"/>
  <c r="F70" i="5"/>
  <c r="A71" i="5"/>
  <c r="B71" i="5"/>
  <c r="C71" i="5"/>
  <c r="D71" i="5"/>
  <c r="E71" i="5"/>
  <c r="F71" i="5"/>
  <c r="A72" i="5"/>
  <c r="B72" i="5"/>
  <c r="C72" i="5"/>
  <c r="D72" i="5"/>
  <c r="E72" i="5"/>
  <c r="F72" i="5"/>
  <c r="A73" i="5"/>
  <c r="B73" i="5"/>
  <c r="C73" i="5"/>
  <c r="D73" i="5"/>
  <c r="E73" i="5"/>
  <c r="F73" i="5"/>
  <c r="A74" i="5"/>
  <c r="B74" i="5"/>
  <c r="C74" i="5"/>
  <c r="D74" i="5"/>
  <c r="E74" i="5"/>
  <c r="F74" i="5"/>
  <c r="A75" i="5"/>
  <c r="B75" i="5"/>
  <c r="C75" i="5"/>
  <c r="D75" i="5"/>
  <c r="E75" i="5"/>
  <c r="F75" i="5"/>
  <c r="A76" i="5"/>
  <c r="B76" i="5"/>
  <c r="C76" i="5"/>
  <c r="D76" i="5"/>
  <c r="E76" i="5"/>
  <c r="F76" i="5"/>
  <c r="A77" i="5"/>
  <c r="B77" i="5"/>
  <c r="C77" i="5"/>
  <c r="D77" i="5"/>
  <c r="E77" i="5"/>
  <c r="F77" i="5"/>
  <c r="A78" i="5"/>
  <c r="B78" i="5"/>
  <c r="C78" i="5"/>
  <c r="D78" i="5"/>
  <c r="E78" i="5"/>
  <c r="F78" i="5"/>
  <c r="A79" i="5"/>
  <c r="B79" i="5"/>
  <c r="C79" i="5"/>
  <c r="D79" i="5"/>
  <c r="E79" i="5"/>
  <c r="F79" i="5"/>
  <c r="A80" i="5"/>
  <c r="B80" i="5"/>
  <c r="C80" i="5"/>
  <c r="D80" i="5"/>
  <c r="E80" i="5"/>
  <c r="F80" i="5"/>
  <c r="A81" i="5"/>
  <c r="B81" i="5"/>
  <c r="C81" i="5"/>
  <c r="D81" i="5"/>
  <c r="E81" i="5"/>
  <c r="F81" i="5"/>
  <c r="A82" i="5"/>
  <c r="B82" i="5"/>
  <c r="C82" i="5"/>
  <c r="D82" i="5"/>
  <c r="E82" i="5"/>
  <c r="F82" i="5"/>
  <c r="A83" i="5"/>
  <c r="B83" i="5"/>
  <c r="C83" i="5"/>
  <c r="D83" i="5"/>
  <c r="E83" i="5"/>
  <c r="F83" i="5"/>
  <c r="A84" i="5"/>
  <c r="B84" i="5"/>
  <c r="C84" i="5"/>
  <c r="D84" i="5"/>
  <c r="E84" i="5"/>
  <c r="F84" i="5"/>
  <c r="A85" i="5"/>
  <c r="B85" i="5"/>
  <c r="C85" i="5"/>
  <c r="D85" i="5"/>
  <c r="E85" i="5"/>
  <c r="F85" i="5"/>
  <c r="A86" i="5"/>
  <c r="B86" i="5"/>
  <c r="C86" i="5"/>
  <c r="D86" i="5"/>
  <c r="E86" i="5"/>
  <c r="F86" i="5"/>
  <c r="A87" i="5"/>
  <c r="B87" i="5"/>
  <c r="C87" i="5"/>
  <c r="D87" i="5"/>
  <c r="E87" i="5"/>
  <c r="F87" i="5"/>
  <c r="A88" i="5"/>
  <c r="B88" i="5"/>
  <c r="C88" i="5"/>
  <c r="D88" i="5"/>
  <c r="E88" i="5"/>
  <c r="F88" i="5"/>
  <c r="A89" i="5"/>
  <c r="B89" i="5"/>
  <c r="C89" i="5"/>
  <c r="D89" i="5"/>
  <c r="E89" i="5"/>
  <c r="F89" i="5"/>
  <c r="A90" i="5"/>
  <c r="B90" i="5"/>
  <c r="C90" i="5"/>
  <c r="D90" i="5"/>
  <c r="E90" i="5"/>
  <c r="F90" i="5"/>
  <c r="A91" i="5"/>
  <c r="B91" i="5"/>
  <c r="C91" i="5"/>
  <c r="D91" i="5"/>
  <c r="E91" i="5"/>
  <c r="F91" i="5"/>
  <c r="A92" i="5"/>
  <c r="B92" i="5"/>
  <c r="C92" i="5"/>
  <c r="D92" i="5"/>
  <c r="E92" i="5"/>
  <c r="F92" i="5"/>
  <c r="A93" i="5"/>
  <c r="B93" i="5"/>
  <c r="C93" i="5"/>
  <c r="D93" i="5"/>
  <c r="E93" i="5"/>
  <c r="F93" i="5"/>
  <c r="A94" i="5"/>
  <c r="B94" i="5"/>
  <c r="C94" i="5"/>
  <c r="D94" i="5"/>
  <c r="E94" i="5"/>
  <c r="F94" i="5"/>
  <c r="A95" i="5"/>
  <c r="B95" i="5"/>
  <c r="C95" i="5"/>
  <c r="D95" i="5"/>
  <c r="E95" i="5"/>
  <c r="F95" i="5"/>
  <c r="A96" i="5"/>
  <c r="B96" i="5"/>
  <c r="C96" i="5"/>
  <c r="D96" i="5"/>
  <c r="E96" i="5"/>
  <c r="F96" i="5"/>
  <c r="A97" i="5"/>
  <c r="B97" i="5"/>
  <c r="C97" i="5"/>
  <c r="D97" i="5"/>
  <c r="E97" i="5"/>
  <c r="F97" i="5"/>
  <c r="A98" i="5"/>
  <c r="B98" i="5"/>
  <c r="C98" i="5"/>
  <c r="D98" i="5"/>
  <c r="E98" i="5"/>
  <c r="F98" i="5"/>
  <c r="A99" i="5"/>
  <c r="B99" i="5"/>
  <c r="C99" i="5"/>
  <c r="D99" i="5"/>
  <c r="E99" i="5"/>
  <c r="F99" i="5"/>
  <c r="A100" i="5"/>
  <c r="B100" i="5"/>
  <c r="C100" i="5"/>
  <c r="D100" i="5"/>
  <c r="E100" i="5"/>
  <c r="F100" i="5"/>
  <c r="A101" i="5"/>
  <c r="B101" i="5"/>
  <c r="C101" i="5"/>
  <c r="D101" i="5"/>
  <c r="E101" i="5"/>
  <c r="F101" i="5"/>
  <c r="A102" i="5"/>
  <c r="B102" i="5"/>
  <c r="C102" i="5"/>
  <c r="D102" i="5"/>
  <c r="E102" i="5"/>
  <c r="F102" i="5"/>
  <c r="A103" i="5"/>
  <c r="B103" i="5"/>
  <c r="C103" i="5"/>
  <c r="D103" i="5"/>
  <c r="E103" i="5"/>
  <c r="F103" i="5"/>
  <c r="A104" i="5"/>
  <c r="B104" i="5"/>
  <c r="C104" i="5"/>
  <c r="D104" i="5"/>
  <c r="E104" i="5"/>
  <c r="F104" i="5"/>
  <c r="A105" i="5"/>
  <c r="B105" i="5"/>
  <c r="C105" i="5"/>
  <c r="D105" i="5"/>
  <c r="E105" i="5"/>
  <c r="F105" i="5"/>
  <c r="A106" i="5"/>
  <c r="B106" i="5"/>
  <c r="C106" i="5"/>
  <c r="D106" i="5"/>
  <c r="E106" i="5"/>
  <c r="F106" i="5"/>
  <c r="A107" i="5"/>
  <c r="B107" i="5"/>
  <c r="C107" i="5"/>
  <c r="D107" i="5"/>
  <c r="E107" i="5"/>
  <c r="F107" i="5"/>
  <c r="A108" i="5"/>
  <c r="B108" i="5"/>
  <c r="C108" i="5"/>
  <c r="D108" i="5"/>
  <c r="E108" i="5"/>
  <c r="F108" i="5"/>
  <c r="A109" i="5"/>
  <c r="B109" i="5"/>
  <c r="C109" i="5"/>
  <c r="D109" i="5"/>
  <c r="E109" i="5"/>
  <c r="F109" i="5"/>
  <c r="A110" i="5"/>
  <c r="B110" i="5"/>
  <c r="C110" i="5"/>
  <c r="D110" i="5"/>
  <c r="E110" i="5"/>
  <c r="F110" i="5"/>
  <c r="A111" i="5"/>
  <c r="B111" i="5"/>
  <c r="C111" i="5"/>
  <c r="D111" i="5"/>
  <c r="E111" i="5"/>
  <c r="F111" i="5"/>
  <c r="A112" i="5"/>
  <c r="B112" i="5"/>
  <c r="C112" i="5"/>
  <c r="D112" i="5"/>
  <c r="E112" i="5"/>
  <c r="F112" i="5"/>
  <c r="A113" i="5"/>
  <c r="B113" i="5"/>
  <c r="C113" i="5"/>
  <c r="D113" i="5"/>
  <c r="E113" i="5"/>
  <c r="F113" i="5"/>
  <c r="A114" i="5"/>
  <c r="B114" i="5"/>
  <c r="C114" i="5"/>
  <c r="D114" i="5"/>
  <c r="E114" i="5"/>
  <c r="F114" i="5"/>
  <c r="A115" i="5"/>
  <c r="B115" i="5"/>
  <c r="C115" i="5"/>
  <c r="D115" i="5"/>
  <c r="E115" i="5"/>
  <c r="F115" i="5"/>
  <c r="A116" i="5"/>
  <c r="B116" i="5"/>
  <c r="C116" i="5"/>
  <c r="D116" i="5"/>
  <c r="E116" i="5"/>
  <c r="F116" i="5"/>
  <c r="A117" i="5"/>
  <c r="B117" i="5"/>
  <c r="C117" i="5"/>
  <c r="D117" i="5"/>
  <c r="E117" i="5"/>
  <c r="F117" i="5"/>
  <c r="A118" i="5"/>
  <c r="B118" i="5"/>
  <c r="C118" i="5"/>
  <c r="D118" i="5"/>
  <c r="E118" i="5"/>
  <c r="F118" i="5"/>
  <c r="A119" i="5"/>
  <c r="B119" i="5"/>
  <c r="C119" i="5"/>
  <c r="D119" i="5"/>
  <c r="E119" i="5"/>
  <c r="F119" i="5"/>
  <c r="A120" i="5"/>
  <c r="B120" i="5"/>
  <c r="C120" i="5"/>
  <c r="D120" i="5"/>
  <c r="E120" i="5"/>
  <c r="F120" i="5"/>
  <c r="A121" i="5"/>
  <c r="B121" i="5"/>
  <c r="C121" i="5"/>
  <c r="D121" i="5"/>
  <c r="E121" i="5"/>
  <c r="F121" i="5"/>
  <c r="A122" i="5"/>
  <c r="B122" i="5"/>
  <c r="C122" i="5"/>
  <c r="D122" i="5"/>
  <c r="E122" i="5"/>
  <c r="F122" i="5"/>
  <c r="A123" i="5"/>
  <c r="B123" i="5"/>
  <c r="C123" i="5"/>
  <c r="D123" i="5"/>
  <c r="E123" i="5"/>
  <c r="F123" i="5"/>
  <c r="A124" i="5"/>
  <c r="B124" i="5"/>
  <c r="C124" i="5"/>
  <c r="D124" i="5"/>
  <c r="E124" i="5"/>
  <c r="F124" i="5"/>
  <c r="A125" i="5"/>
  <c r="B125" i="5"/>
  <c r="C125" i="5"/>
  <c r="D125" i="5"/>
  <c r="E125" i="5"/>
  <c r="F125" i="5"/>
  <c r="A126" i="5"/>
  <c r="B126" i="5"/>
  <c r="C126" i="5"/>
  <c r="D126" i="5"/>
  <c r="E126" i="5"/>
  <c r="F126" i="5"/>
  <c r="A127" i="5"/>
  <c r="B127" i="5"/>
  <c r="C127" i="5"/>
  <c r="D127" i="5"/>
  <c r="E127" i="5"/>
  <c r="F127" i="5"/>
  <c r="A128" i="5"/>
  <c r="B128" i="5"/>
  <c r="C128" i="5"/>
  <c r="D128" i="5"/>
  <c r="E128" i="5"/>
  <c r="F128" i="5"/>
  <c r="A129" i="5"/>
  <c r="B129" i="5"/>
  <c r="C129" i="5"/>
  <c r="D129" i="5"/>
  <c r="E129" i="5"/>
  <c r="F129" i="5"/>
  <c r="A130" i="5"/>
  <c r="B130" i="5"/>
  <c r="C130" i="5"/>
  <c r="D130" i="5"/>
  <c r="E130" i="5"/>
  <c r="F130" i="5"/>
  <c r="A131" i="5"/>
  <c r="B131" i="5"/>
  <c r="C131" i="5"/>
  <c r="D131" i="5"/>
  <c r="E131" i="5"/>
  <c r="F131" i="5"/>
  <c r="A132" i="5"/>
  <c r="B132" i="5"/>
  <c r="C132" i="5"/>
  <c r="D132" i="5"/>
  <c r="E132" i="5"/>
  <c r="F132" i="5"/>
  <c r="A133" i="5"/>
  <c r="B133" i="5"/>
  <c r="C133" i="5"/>
  <c r="D133" i="5"/>
  <c r="E133" i="5"/>
  <c r="F133" i="5"/>
  <c r="A134" i="5"/>
  <c r="B134" i="5"/>
  <c r="C134" i="5"/>
  <c r="D134" i="5"/>
  <c r="E134" i="5"/>
  <c r="F134" i="5"/>
  <c r="A135" i="5"/>
  <c r="B135" i="5"/>
  <c r="C135" i="5"/>
  <c r="D135" i="5"/>
  <c r="E135" i="5"/>
  <c r="F135" i="5"/>
  <c r="A136" i="5"/>
  <c r="B136" i="5"/>
  <c r="C136" i="5"/>
  <c r="D136" i="5"/>
  <c r="E136" i="5"/>
  <c r="F136" i="5"/>
  <c r="A137" i="5"/>
  <c r="B137" i="5"/>
  <c r="C137" i="5"/>
  <c r="D137" i="5"/>
  <c r="E137" i="5"/>
  <c r="F137" i="5"/>
  <c r="A138" i="5"/>
  <c r="B138" i="5"/>
  <c r="C138" i="5"/>
  <c r="D138" i="5"/>
  <c r="E138" i="5"/>
  <c r="F138" i="5"/>
  <c r="A139" i="5"/>
  <c r="B139" i="5"/>
  <c r="C139" i="5"/>
  <c r="D139" i="5"/>
  <c r="E139" i="5"/>
  <c r="F139" i="5"/>
  <c r="A140" i="5"/>
  <c r="B140" i="5"/>
  <c r="C140" i="5"/>
  <c r="D140" i="5"/>
  <c r="E140" i="5"/>
  <c r="F140" i="5"/>
  <c r="A141" i="5"/>
  <c r="B141" i="5"/>
  <c r="C141" i="5"/>
  <c r="D141" i="5"/>
  <c r="E141" i="5"/>
  <c r="F141" i="5"/>
  <c r="A142" i="5"/>
  <c r="B142" i="5"/>
  <c r="C142" i="5"/>
  <c r="D142" i="5"/>
  <c r="E142" i="5"/>
  <c r="F142" i="5"/>
  <c r="A143" i="5"/>
  <c r="B143" i="5"/>
  <c r="C143" i="5"/>
  <c r="D143" i="5"/>
  <c r="E143" i="5"/>
  <c r="F143" i="5"/>
  <c r="A144" i="5"/>
  <c r="B144" i="5"/>
  <c r="C144" i="5"/>
  <c r="D144" i="5"/>
  <c r="E144" i="5"/>
  <c r="F144" i="5"/>
  <c r="A145" i="5"/>
  <c r="B145" i="5"/>
  <c r="C145" i="5"/>
  <c r="D145" i="5"/>
  <c r="E145" i="5"/>
  <c r="F145" i="5"/>
  <c r="A146" i="5"/>
  <c r="B146" i="5"/>
  <c r="C146" i="5"/>
  <c r="D146" i="5"/>
  <c r="E146" i="5"/>
  <c r="F146" i="5"/>
  <c r="A147" i="5"/>
  <c r="B147" i="5"/>
  <c r="C147" i="5"/>
  <c r="D147" i="5"/>
  <c r="E147" i="5"/>
  <c r="F147" i="5"/>
  <c r="A148" i="5"/>
  <c r="B148" i="5"/>
  <c r="C148" i="5"/>
  <c r="D148" i="5"/>
  <c r="E148" i="5"/>
  <c r="F148" i="5"/>
  <c r="A149" i="5"/>
  <c r="B149" i="5"/>
  <c r="C149" i="5"/>
  <c r="D149" i="5"/>
  <c r="E149" i="5"/>
  <c r="F149" i="5"/>
  <c r="A150" i="5"/>
  <c r="B150" i="5"/>
  <c r="C150" i="5"/>
  <c r="D150" i="5"/>
  <c r="E150" i="5"/>
  <c r="F150" i="5"/>
  <c r="A151" i="5"/>
  <c r="B151" i="5"/>
  <c r="C151" i="5"/>
  <c r="D151" i="5"/>
  <c r="E151" i="5"/>
  <c r="F151" i="5"/>
  <c r="A152" i="5"/>
  <c r="B152" i="5"/>
  <c r="C152" i="5"/>
  <c r="D152" i="5"/>
  <c r="E152" i="5"/>
  <c r="F152" i="5"/>
  <c r="A153" i="5"/>
  <c r="B153" i="5"/>
  <c r="C153" i="5"/>
  <c r="D153" i="5"/>
  <c r="E153" i="5"/>
  <c r="F153" i="5"/>
  <c r="A154" i="5"/>
  <c r="B154" i="5"/>
  <c r="C154" i="5"/>
  <c r="D154" i="5"/>
  <c r="E154" i="5"/>
  <c r="F154" i="5"/>
  <c r="A155" i="5"/>
  <c r="B155" i="5"/>
  <c r="C155" i="5"/>
  <c r="D155" i="5"/>
  <c r="E155" i="5"/>
  <c r="F155" i="5"/>
  <c r="A156" i="5"/>
  <c r="B156" i="5"/>
  <c r="C156" i="5"/>
  <c r="D156" i="5"/>
  <c r="E156" i="5"/>
  <c r="F156" i="5"/>
  <c r="A157" i="5"/>
  <c r="B157" i="5"/>
  <c r="C157" i="5"/>
  <c r="D157" i="5"/>
  <c r="E157" i="5"/>
  <c r="F157" i="5"/>
  <c r="A158" i="5"/>
  <c r="B158" i="5"/>
  <c r="C158" i="5"/>
  <c r="D158" i="5"/>
  <c r="E158" i="5"/>
  <c r="F158" i="5"/>
  <c r="A159" i="5"/>
  <c r="B159" i="5"/>
  <c r="C159" i="5"/>
  <c r="D159" i="5"/>
  <c r="E159" i="5"/>
  <c r="F159" i="5"/>
  <c r="A160" i="5"/>
  <c r="B160" i="5"/>
  <c r="C160" i="5"/>
  <c r="D160" i="5"/>
  <c r="E160" i="5"/>
  <c r="F160" i="5"/>
  <c r="A161" i="5"/>
  <c r="B161" i="5"/>
  <c r="C161" i="5"/>
  <c r="D161" i="5"/>
  <c r="E161" i="5"/>
  <c r="F161" i="5"/>
  <c r="A162" i="5"/>
  <c r="B162" i="5"/>
  <c r="C162" i="5"/>
  <c r="D162" i="5"/>
  <c r="E162" i="5"/>
  <c r="F162" i="5"/>
  <c r="A163" i="5"/>
  <c r="B163" i="5"/>
  <c r="C163" i="5"/>
  <c r="D163" i="5"/>
  <c r="E163" i="5"/>
  <c r="F163" i="5"/>
  <c r="A164" i="5"/>
  <c r="B164" i="5"/>
  <c r="C164" i="5"/>
  <c r="D164" i="5"/>
  <c r="E164" i="5"/>
  <c r="F164" i="5"/>
  <c r="A165" i="5"/>
  <c r="B165" i="5"/>
  <c r="C165" i="5"/>
  <c r="D165" i="5"/>
  <c r="E165" i="5"/>
  <c r="F165" i="5"/>
  <c r="A166" i="5"/>
  <c r="B166" i="5"/>
  <c r="C166" i="5"/>
  <c r="D166" i="5"/>
  <c r="E166" i="5"/>
  <c r="F166" i="5"/>
  <c r="A167" i="5"/>
  <c r="B167" i="5"/>
  <c r="C167" i="5"/>
  <c r="D167" i="5"/>
  <c r="E167" i="5"/>
  <c r="F167" i="5"/>
  <c r="A168" i="5"/>
  <c r="B168" i="5"/>
  <c r="C168" i="5"/>
  <c r="D168" i="5"/>
  <c r="E168" i="5"/>
  <c r="F168" i="5"/>
  <c r="A169" i="5"/>
  <c r="B169" i="5"/>
  <c r="C169" i="5"/>
  <c r="D169" i="5"/>
  <c r="E169" i="5"/>
  <c r="F169" i="5"/>
  <c r="A170" i="5"/>
  <c r="B170" i="5"/>
  <c r="C170" i="5"/>
  <c r="D170" i="5"/>
  <c r="E170" i="5"/>
  <c r="F170" i="5"/>
  <c r="A171" i="5"/>
  <c r="B171" i="5"/>
  <c r="C171" i="5"/>
  <c r="D171" i="5"/>
  <c r="E171" i="5"/>
  <c r="F171" i="5"/>
  <c r="A172" i="5"/>
  <c r="B172" i="5"/>
  <c r="C172" i="5"/>
  <c r="D172" i="5"/>
  <c r="E172" i="5"/>
  <c r="F172" i="5"/>
  <c r="A173" i="5"/>
  <c r="B173" i="5"/>
  <c r="C173" i="5"/>
  <c r="D173" i="5"/>
  <c r="E173" i="5"/>
  <c r="F173" i="5"/>
  <c r="A174" i="5"/>
  <c r="B174" i="5"/>
  <c r="C174" i="5"/>
  <c r="D174" i="5"/>
  <c r="E174" i="5"/>
  <c r="F174" i="5"/>
  <c r="A175" i="5"/>
  <c r="B175" i="5"/>
  <c r="C175" i="5"/>
  <c r="D175" i="5"/>
  <c r="E175" i="5"/>
  <c r="F175" i="5"/>
  <c r="A176" i="5"/>
  <c r="B176" i="5"/>
  <c r="C176" i="5"/>
  <c r="D176" i="5"/>
  <c r="E176" i="5"/>
  <c r="F176" i="5"/>
  <c r="A177" i="5"/>
  <c r="B177" i="5"/>
  <c r="C177" i="5"/>
  <c r="D177" i="5"/>
  <c r="E177" i="5"/>
  <c r="F177" i="5"/>
  <c r="A178" i="5"/>
  <c r="B178" i="5"/>
  <c r="C178" i="5"/>
  <c r="D178" i="5"/>
  <c r="E178" i="5"/>
  <c r="F178" i="5"/>
  <c r="A179" i="5"/>
  <c r="B179" i="5"/>
  <c r="C179" i="5"/>
  <c r="D179" i="5"/>
  <c r="E179" i="5"/>
  <c r="F179" i="5"/>
  <c r="A180" i="5"/>
  <c r="B180" i="5"/>
  <c r="C180" i="5"/>
  <c r="D180" i="5"/>
  <c r="E180" i="5"/>
  <c r="F180" i="5"/>
  <c r="A181" i="5"/>
  <c r="B181" i="5"/>
  <c r="C181" i="5"/>
  <c r="D181" i="5"/>
  <c r="E181" i="5"/>
  <c r="F181" i="5"/>
  <c r="A182" i="5"/>
  <c r="B182" i="5"/>
  <c r="C182" i="5"/>
  <c r="D182" i="5"/>
  <c r="E182" i="5"/>
  <c r="F182" i="5"/>
  <c r="A183" i="5"/>
  <c r="B183" i="5"/>
  <c r="C183" i="5"/>
  <c r="D183" i="5"/>
  <c r="E183" i="5"/>
  <c r="F183" i="5"/>
  <c r="A184" i="5"/>
  <c r="B184" i="5"/>
  <c r="C184" i="5"/>
  <c r="D184" i="5"/>
  <c r="E184" i="5"/>
  <c r="F184" i="5"/>
  <c r="A185" i="5"/>
  <c r="B185" i="5"/>
  <c r="C185" i="5"/>
  <c r="D185" i="5"/>
  <c r="E185" i="5"/>
  <c r="F185" i="5"/>
  <c r="A186" i="5"/>
  <c r="B186" i="5"/>
  <c r="C186" i="5"/>
  <c r="D186" i="5"/>
  <c r="E186" i="5"/>
  <c r="F186" i="5"/>
  <c r="A187" i="5"/>
  <c r="B187" i="5"/>
  <c r="C187" i="5"/>
  <c r="D187" i="5"/>
  <c r="E187" i="5"/>
  <c r="F187" i="5"/>
  <c r="A188" i="5"/>
  <c r="B188" i="5"/>
  <c r="C188" i="5"/>
  <c r="D188" i="5"/>
  <c r="E188" i="5"/>
  <c r="F188" i="5"/>
  <c r="A189" i="5"/>
  <c r="B189" i="5"/>
  <c r="C189" i="5"/>
  <c r="D189" i="5"/>
  <c r="E189" i="5"/>
  <c r="F189" i="5"/>
  <c r="A190" i="5"/>
  <c r="B190" i="5"/>
  <c r="C190" i="5"/>
  <c r="D190" i="5"/>
  <c r="E190" i="5"/>
  <c r="F190" i="5"/>
  <c r="A191" i="5"/>
  <c r="B191" i="5"/>
  <c r="C191" i="5"/>
  <c r="D191" i="5"/>
  <c r="E191" i="5"/>
  <c r="F191" i="5"/>
  <c r="A192" i="5"/>
  <c r="B192" i="5"/>
  <c r="C192" i="5"/>
  <c r="D192" i="5"/>
  <c r="E192" i="5"/>
  <c r="F192" i="5"/>
  <c r="A193" i="5"/>
  <c r="B193" i="5"/>
  <c r="C193" i="5"/>
  <c r="D193" i="5"/>
  <c r="E193" i="5"/>
  <c r="F193" i="5"/>
  <c r="A194" i="5"/>
  <c r="B194" i="5"/>
  <c r="C194" i="5"/>
  <c r="D194" i="5"/>
  <c r="E194" i="5"/>
  <c r="F194" i="5"/>
  <c r="A195" i="5"/>
  <c r="B195" i="5"/>
  <c r="C195" i="5"/>
  <c r="D195" i="5"/>
  <c r="E195" i="5"/>
  <c r="F195" i="5"/>
  <c r="A196" i="5"/>
  <c r="B196" i="5"/>
  <c r="C196" i="5"/>
  <c r="D196" i="5"/>
  <c r="E196" i="5"/>
  <c r="F196" i="5"/>
  <c r="A197" i="5"/>
  <c r="B197" i="5"/>
  <c r="C197" i="5"/>
  <c r="D197" i="5"/>
  <c r="E197" i="5"/>
  <c r="F197" i="5"/>
  <c r="A198" i="5"/>
  <c r="B198" i="5"/>
  <c r="C198" i="5"/>
  <c r="D198" i="5"/>
  <c r="E198" i="5"/>
  <c r="F198" i="5"/>
  <c r="A199" i="5"/>
  <c r="B199" i="5"/>
  <c r="C199" i="5"/>
  <c r="D199" i="5"/>
  <c r="E199" i="5"/>
  <c r="F199" i="5"/>
  <c r="A200" i="5"/>
  <c r="B200" i="5"/>
  <c r="C200" i="5"/>
  <c r="D200" i="5"/>
  <c r="E200" i="5"/>
  <c r="F200" i="5"/>
  <c r="A201" i="5"/>
  <c r="B201" i="5"/>
  <c r="C201" i="5"/>
  <c r="D201" i="5"/>
  <c r="E201" i="5"/>
  <c r="F201" i="5"/>
  <c r="A202" i="5"/>
  <c r="B202" i="5"/>
  <c r="C202" i="5"/>
  <c r="D202" i="5"/>
  <c r="E202" i="5"/>
  <c r="F202" i="5"/>
  <c r="A203" i="5"/>
  <c r="B203" i="5"/>
  <c r="C203" i="5"/>
  <c r="D203" i="5"/>
  <c r="E203" i="5"/>
  <c r="F203" i="5"/>
  <c r="A204" i="5"/>
  <c r="B204" i="5"/>
  <c r="C204" i="5"/>
  <c r="D204" i="5"/>
  <c r="E204" i="5"/>
  <c r="F204" i="5"/>
  <c r="A205" i="5"/>
  <c r="B205" i="5"/>
  <c r="C205" i="5"/>
  <c r="D205" i="5"/>
  <c r="E205" i="5"/>
  <c r="F205" i="5"/>
  <c r="A206" i="5"/>
  <c r="B206" i="5"/>
  <c r="C206" i="5"/>
  <c r="D206" i="5"/>
  <c r="E206" i="5"/>
  <c r="F206" i="5"/>
  <c r="A207" i="5"/>
  <c r="B207" i="5"/>
  <c r="C207" i="5"/>
  <c r="D207" i="5"/>
  <c r="E207" i="5"/>
  <c r="F207" i="5"/>
  <c r="A208" i="5"/>
  <c r="B208" i="5"/>
  <c r="C208" i="5"/>
  <c r="D208" i="5"/>
  <c r="E208" i="5"/>
  <c r="F208" i="5"/>
  <c r="A209" i="5"/>
  <c r="B209" i="5"/>
  <c r="C209" i="5"/>
  <c r="D209" i="5"/>
  <c r="E209" i="5"/>
  <c r="F209" i="5"/>
  <c r="A210" i="5"/>
  <c r="B210" i="5"/>
  <c r="C210" i="5"/>
  <c r="D210" i="5"/>
  <c r="E210" i="5"/>
  <c r="F210" i="5"/>
  <c r="A211" i="5"/>
  <c r="B211" i="5"/>
  <c r="C211" i="5"/>
  <c r="D211" i="5"/>
  <c r="E211" i="5"/>
  <c r="F211" i="5"/>
  <c r="A212" i="5"/>
  <c r="B212" i="5"/>
  <c r="C212" i="5"/>
  <c r="D212" i="5"/>
  <c r="E212" i="5"/>
  <c r="F212" i="5"/>
  <c r="A213" i="5"/>
  <c r="B213" i="5"/>
  <c r="C213" i="5"/>
  <c r="D213" i="5"/>
  <c r="E213" i="5"/>
  <c r="F213" i="5"/>
  <c r="A214" i="5"/>
  <c r="B214" i="5"/>
  <c r="C214" i="5"/>
  <c r="D214" i="5"/>
  <c r="E214" i="5"/>
  <c r="F214" i="5"/>
  <c r="A215" i="5"/>
  <c r="B215" i="5"/>
  <c r="C215" i="5"/>
  <c r="D215" i="5"/>
  <c r="E215" i="5"/>
  <c r="F215" i="5"/>
  <c r="A216" i="5"/>
  <c r="B216" i="5"/>
  <c r="C216" i="5"/>
  <c r="D216" i="5"/>
  <c r="E216" i="5"/>
  <c r="F216" i="5"/>
  <c r="A217" i="5"/>
  <c r="B217" i="5"/>
  <c r="C217" i="5"/>
  <c r="D217" i="5"/>
  <c r="E217" i="5"/>
  <c r="F217" i="5"/>
  <c r="A218" i="5"/>
  <c r="B218" i="5"/>
  <c r="C218" i="5"/>
  <c r="D218" i="5"/>
  <c r="E218" i="5"/>
  <c r="F218" i="5"/>
  <c r="A219" i="5"/>
  <c r="B219" i="5"/>
  <c r="C219" i="5"/>
  <c r="D219" i="5"/>
  <c r="E219" i="5"/>
  <c r="F219" i="5"/>
  <c r="A220" i="5"/>
  <c r="B220" i="5"/>
  <c r="C220" i="5"/>
  <c r="D220" i="5"/>
  <c r="E220" i="5"/>
  <c r="F220" i="5"/>
  <c r="A221" i="5"/>
  <c r="B221" i="5"/>
  <c r="C221" i="5"/>
  <c r="D221" i="5"/>
  <c r="E221" i="5"/>
  <c r="F221" i="5"/>
  <c r="A222" i="5"/>
  <c r="B222" i="5"/>
  <c r="C222" i="5"/>
  <c r="D222" i="5"/>
  <c r="E222" i="5"/>
  <c r="F222" i="5"/>
  <c r="A223" i="5"/>
  <c r="B223" i="5"/>
  <c r="C223" i="5"/>
  <c r="D223" i="5"/>
  <c r="E223" i="5"/>
  <c r="F223" i="5"/>
  <c r="A224" i="5"/>
  <c r="B224" i="5"/>
  <c r="C224" i="5"/>
  <c r="D224" i="5"/>
  <c r="E224" i="5"/>
  <c r="F224" i="5"/>
  <c r="A225" i="5"/>
  <c r="B225" i="5"/>
  <c r="C225" i="5"/>
  <c r="D225" i="5"/>
  <c r="E225" i="5"/>
  <c r="F225" i="5"/>
  <c r="A226" i="5"/>
  <c r="B226" i="5"/>
  <c r="C226" i="5"/>
  <c r="D226" i="5"/>
  <c r="E226" i="5"/>
  <c r="F226" i="5"/>
  <c r="A227" i="5"/>
  <c r="B227" i="5"/>
  <c r="C227" i="5"/>
  <c r="D227" i="5"/>
  <c r="E227" i="5"/>
  <c r="F227" i="5"/>
  <c r="A228" i="5"/>
  <c r="B228" i="5"/>
  <c r="C228" i="5"/>
  <c r="D228" i="5"/>
  <c r="E228" i="5"/>
  <c r="F228" i="5"/>
  <c r="A229" i="5"/>
  <c r="B229" i="5"/>
  <c r="C229" i="5"/>
  <c r="D229" i="5"/>
  <c r="E229" i="5"/>
  <c r="F229" i="5"/>
  <c r="A230" i="5"/>
  <c r="B230" i="5"/>
  <c r="C230" i="5"/>
  <c r="D230" i="5"/>
  <c r="E230" i="5"/>
  <c r="F230" i="5"/>
  <c r="A231" i="5"/>
  <c r="B231" i="5"/>
  <c r="C231" i="5"/>
  <c r="D231" i="5"/>
  <c r="E231" i="5"/>
  <c r="F231" i="5"/>
  <c r="A232" i="5"/>
  <c r="B232" i="5"/>
  <c r="C232" i="5"/>
  <c r="D232" i="5"/>
  <c r="E232" i="5"/>
  <c r="F232" i="5"/>
  <c r="A233" i="5"/>
  <c r="B233" i="5"/>
  <c r="C233" i="5"/>
  <c r="D233" i="5"/>
  <c r="E233" i="5"/>
  <c r="F233" i="5"/>
  <c r="A234" i="5"/>
  <c r="B234" i="5"/>
  <c r="C234" i="5"/>
  <c r="D234" i="5"/>
  <c r="E234" i="5"/>
  <c r="F234" i="5"/>
  <c r="A235" i="5"/>
  <c r="B235" i="5"/>
  <c r="C235" i="5"/>
  <c r="D235" i="5"/>
  <c r="E235" i="5"/>
  <c r="F235" i="5"/>
  <c r="A236" i="5"/>
  <c r="B236" i="5"/>
  <c r="C236" i="5"/>
  <c r="D236" i="5"/>
  <c r="E236" i="5"/>
  <c r="F236" i="5"/>
  <c r="A237" i="5"/>
  <c r="B237" i="5"/>
  <c r="C237" i="5"/>
  <c r="D237" i="5"/>
  <c r="E237" i="5"/>
  <c r="F237" i="5"/>
  <c r="A238" i="5"/>
  <c r="B238" i="5"/>
  <c r="C238" i="5"/>
  <c r="D238" i="5"/>
  <c r="E238" i="5"/>
  <c r="F238" i="5"/>
  <c r="A239" i="5"/>
  <c r="B239" i="5"/>
  <c r="C239" i="5"/>
  <c r="D239" i="5"/>
  <c r="E239" i="5"/>
  <c r="F239" i="5"/>
  <c r="A240" i="5"/>
  <c r="B240" i="5"/>
  <c r="C240" i="5"/>
  <c r="D240" i="5"/>
  <c r="E240" i="5"/>
  <c r="F240" i="5"/>
  <c r="A241" i="5"/>
  <c r="B241" i="5"/>
  <c r="C241" i="5"/>
  <c r="D241" i="5"/>
  <c r="E241" i="5"/>
  <c r="F241" i="5"/>
  <c r="A242" i="5"/>
  <c r="B242" i="5"/>
  <c r="C242" i="5"/>
  <c r="D242" i="5"/>
  <c r="E242" i="5"/>
  <c r="F242" i="5"/>
  <c r="A243" i="5"/>
  <c r="B243" i="5"/>
  <c r="C243" i="5"/>
  <c r="D243" i="5"/>
  <c r="E243" i="5"/>
  <c r="F243" i="5"/>
  <c r="A244" i="5"/>
  <c r="B244" i="5"/>
  <c r="C244" i="5"/>
  <c r="D244" i="5"/>
  <c r="E244" i="5"/>
  <c r="F244" i="5"/>
  <c r="A245" i="5"/>
  <c r="B245" i="5"/>
  <c r="C245" i="5"/>
  <c r="D245" i="5"/>
  <c r="E245" i="5"/>
  <c r="F245" i="5"/>
  <c r="A246" i="5"/>
  <c r="B246" i="5"/>
  <c r="C246" i="5"/>
  <c r="D246" i="5"/>
  <c r="E246" i="5"/>
  <c r="F246" i="5"/>
  <c r="A247" i="5"/>
  <c r="B247" i="5"/>
  <c r="C247" i="5"/>
  <c r="D247" i="5"/>
  <c r="E247" i="5"/>
  <c r="F247" i="5"/>
  <c r="A248" i="5"/>
  <c r="B248" i="5"/>
  <c r="C248" i="5"/>
  <c r="D248" i="5"/>
  <c r="E248" i="5"/>
  <c r="F248" i="5"/>
  <c r="A249" i="5"/>
  <c r="B249" i="5"/>
  <c r="C249" i="5"/>
  <c r="D249" i="5"/>
  <c r="E249" i="5"/>
  <c r="F249" i="5"/>
  <c r="A250" i="5"/>
  <c r="B250" i="5"/>
  <c r="C250" i="5"/>
  <c r="D250" i="5"/>
  <c r="E250" i="5"/>
  <c r="F250" i="5"/>
  <c r="A251" i="5"/>
  <c r="B251" i="5"/>
  <c r="C251" i="5"/>
  <c r="D251" i="5"/>
  <c r="E251" i="5"/>
  <c r="F251" i="5"/>
  <c r="A252" i="5"/>
  <c r="B252" i="5"/>
  <c r="C252" i="5"/>
  <c r="D252" i="5"/>
  <c r="E252" i="5"/>
  <c r="F252" i="5"/>
  <c r="A253" i="5"/>
  <c r="B253" i="5"/>
  <c r="C253" i="5"/>
  <c r="D253" i="5"/>
  <c r="E253" i="5"/>
  <c r="F253" i="5"/>
  <c r="A254" i="5"/>
  <c r="B254" i="5"/>
  <c r="C254" i="5"/>
  <c r="D254" i="5"/>
  <c r="E254" i="5"/>
  <c r="F254" i="5"/>
  <c r="A255" i="5"/>
  <c r="B255" i="5"/>
  <c r="C255" i="5"/>
  <c r="D255" i="5"/>
  <c r="E255" i="5"/>
  <c r="F255" i="5"/>
  <c r="A256" i="5"/>
  <c r="B256" i="5"/>
  <c r="C256" i="5"/>
  <c r="D256" i="5"/>
  <c r="E256" i="5"/>
  <c r="F256" i="5"/>
  <c r="A257" i="5"/>
  <c r="B257" i="5"/>
  <c r="C257" i="5"/>
  <c r="D257" i="5"/>
  <c r="E257" i="5"/>
  <c r="F257" i="5"/>
  <c r="A258" i="5"/>
  <c r="B258" i="5"/>
  <c r="C258" i="5"/>
  <c r="D258" i="5"/>
  <c r="E258" i="5"/>
  <c r="F258" i="5"/>
  <c r="A259" i="5"/>
  <c r="B259" i="5"/>
  <c r="C259" i="5"/>
  <c r="D259" i="5"/>
  <c r="E259" i="5"/>
  <c r="F259" i="5"/>
  <c r="A260" i="5"/>
  <c r="B260" i="5"/>
  <c r="C260" i="5"/>
  <c r="D260" i="5"/>
  <c r="E260" i="5"/>
  <c r="F260" i="5"/>
  <c r="A261" i="5"/>
  <c r="B261" i="5"/>
  <c r="C261" i="5"/>
  <c r="D261" i="5"/>
  <c r="E261" i="5"/>
  <c r="F261" i="5"/>
  <c r="A262" i="5"/>
  <c r="B262" i="5"/>
  <c r="C262" i="5"/>
  <c r="D262" i="5"/>
  <c r="E262" i="5"/>
  <c r="F262" i="5"/>
  <c r="A263" i="5"/>
  <c r="B263" i="5"/>
  <c r="C263" i="5"/>
  <c r="D263" i="5"/>
  <c r="E263" i="5"/>
  <c r="F263" i="5"/>
  <c r="A264" i="5"/>
  <c r="B264" i="5"/>
  <c r="C264" i="5"/>
  <c r="D264" i="5"/>
  <c r="E264" i="5"/>
  <c r="F264" i="5"/>
  <c r="A265" i="5"/>
  <c r="B265" i="5"/>
  <c r="C265" i="5"/>
  <c r="D265" i="5"/>
  <c r="E265" i="5"/>
  <c r="F265" i="5"/>
  <c r="A266" i="5"/>
  <c r="B266" i="5"/>
  <c r="C266" i="5"/>
  <c r="D266" i="5"/>
  <c r="E266" i="5"/>
  <c r="F266" i="5"/>
  <c r="A267" i="5"/>
  <c r="B267" i="5"/>
  <c r="C267" i="5"/>
  <c r="D267" i="5"/>
  <c r="E267" i="5"/>
  <c r="F267" i="5"/>
  <c r="A268" i="5"/>
  <c r="B268" i="5"/>
  <c r="C268" i="5"/>
  <c r="D268" i="5"/>
  <c r="E268" i="5"/>
  <c r="F268" i="5"/>
  <c r="A269" i="5"/>
  <c r="B269" i="5"/>
  <c r="C269" i="5"/>
  <c r="D269" i="5"/>
  <c r="E269" i="5"/>
  <c r="F269" i="5"/>
  <c r="A270" i="5"/>
  <c r="B270" i="5"/>
  <c r="C270" i="5"/>
  <c r="D270" i="5"/>
  <c r="E270" i="5"/>
  <c r="F270" i="5"/>
  <c r="A271" i="5"/>
  <c r="B271" i="5"/>
  <c r="C271" i="5"/>
  <c r="D271" i="5"/>
  <c r="E271" i="5"/>
  <c r="F271" i="5"/>
  <c r="A272" i="5"/>
  <c r="B272" i="5"/>
  <c r="C272" i="5"/>
  <c r="D272" i="5"/>
  <c r="E272" i="5"/>
  <c r="F272" i="5"/>
  <c r="A273" i="5"/>
  <c r="B273" i="5"/>
  <c r="C273" i="5"/>
  <c r="D273" i="5"/>
  <c r="E273" i="5"/>
  <c r="F273" i="5"/>
  <c r="A274" i="5"/>
  <c r="B274" i="5"/>
  <c r="C274" i="5"/>
  <c r="D274" i="5"/>
  <c r="E274" i="5"/>
  <c r="F274" i="5"/>
  <c r="A275" i="5"/>
  <c r="B275" i="5"/>
  <c r="C275" i="5"/>
  <c r="D275" i="5"/>
  <c r="E275" i="5"/>
  <c r="F275" i="5"/>
  <c r="A276" i="5"/>
  <c r="B276" i="5"/>
  <c r="C276" i="5"/>
  <c r="D276" i="5"/>
  <c r="E276" i="5"/>
  <c r="F276" i="5"/>
  <c r="A277" i="5"/>
  <c r="B277" i="5"/>
  <c r="C277" i="5"/>
  <c r="D277" i="5"/>
  <c r="E277" i="5"/>
  <c r="F277" i="5"/>
  <c r="A278" i="5"/>
  <c r="B278" i="5"/>
  <c r="C278" i="5"/>
  <c r="D278" i="5"/>
  <c r="E278" i="5"/>
  <c r="F278" i="5"/>
  <c r="A279" i="5"/>
  <c r="B279" i="5"/>
  <c r="C279" i="5"/>
  <c r="D279" i="5"/>
  <c r="E279" i="5"/>
  <c r="F279" i="5"/>
  <c r="A280" i="5"/>
  <c r="B280" i="5"/>
  <c r="C280" i="5"/>
  <c r="D280" i="5"/>
  <c r="E280" i="5"/>
  <c r="F280" i="5"/>
  <c r="A281" i="5"/>
  <c r="B281" i="5"/>
  <c r="C281" i="5"/>
  <c r="D281" i="5"/>
  <c r="E281" i="5"/>
  <c r="F281" i="5"/>
  <c r="A282" i="5"/>
  <c r="B282" i="5"/>
  <c r="C282" i="5"/>
  <c r="D282" i="5"/>
  <c r="E282" i="5"/>
  <c r="F282" i="5"/>
  <c r="A283" i="5"/>
  <c r="B283" i="5"/>
  <c r="C283" i="5"/>
  <c r="D283" i="5"/>
  <c r="E283" i="5"/>
  <c r="F283" i="5"/>
  <c r="A284" i="5"/>
  <c r="B284" i="5"/>
  <c r="C284" i="5"/>
  <c r="D284" i="5"/>
  <c r="E284" i="5"/>
  <c r="F284" i="5"/>
  <c r="A285" i="5"/>
  <c r="B285" i="5"/>
  <c r="C285" i="5"/>
  <c r="D285" i="5"/>
  <c r="E285" i="5"/>
  <c r="F285" i="5"/>
  <c r="A286" i="5"/>
  <c r="B286" i="5"/>
  <c r="C286" i="5"/>
  <c r="D286" i="5"/>
  <c r="E286" i="5"/>
  <c r="F286" i="5"/>
  <c r="A287" i="5"/>
  <c r="B287" i="5"/>
  <c r="C287" i="5"/>
  <c r="D287" i="5"/>
  <c r="E287" i="5"/>
  <c r="F287" i="5"/>
  <c r="A288" i="5"/>
  <c r="B288" i="5"/>
  <c r="C288" i="5"/>
  <c r="D288" i="5"/>
  <c r="E288" i="5"/>
  <c r="F288" i="5"/>
  <c r="A289" i="5"/>
  <c r="B289" i="5"/>
  <c r="C289" i="5"/>
  <c r="D289" i="5"/>
  <c r="E289" i="5"/>
  <c r="F289" i="5"/>
  <c r="L3" i="5"/>
  <c r="F3" i="5"/>
  <c r="E3" i="5"/>
  <c r="D3" i="5"/>
  <c r="C3" i="5"/>
  <c r="B3" i="5"/>
  <c r="A3" i="5"/>
</calcChain>
</file>

<file path=xl/sharedStrings.xml><?xml version="1.0" encoding="utf-8"?>
<sst xmlns="http://schemas.openxmlformats.org/spreadsheetml/2006/main" count="6523" uniqueCount="748">
  <si>
    <t>Delivery #</t>
  </si>
  <si>
    <t>SO#</t>
  </si>
  <si>
    <t>Customer</t>
  </si>
  <si>
    <t>Time Received</t>
  </si>
  <si>
    <t>Customer Routed Yes/No</t>
  </si>
  <si>
    <t>Date Physically Closed</t>
  </si>
  <si>
    <t>Date Ship Confirmed in EBS</t>
  </si>
  <si>
    <t>Comments</t>
  </si>
  <si>
    <t>Company Name &amp; Owner of Actions</t>
  </si>
  <si>
    <t>SSD Date</t>
  </si>
  <si>
    <t>ARRIS TECHNOLOGY, INC.</t>
  </si>
  <si>
    <t>MEDIACOM</t>
  </si>
  <si>
    <t>CABLE ONE</t>
  </si>
  <si>
    <t>LIBERTY CABLEVISION OF PUERTO RICO, INC.</t>
  </si>
  <si>
    <t>MIDCONTINENT COMMUNICATIONS</t>
  </si>
  <si>
    <t>According to Cox pickup will be scheduled Wed or Fridays with a minimum of 4 plts</t>
  </si>
  <si>
    <t>CABLEMAS, S.A. DE C.V.</t>
  </si>
  <si>
    <t>Date Order Received at EI</t>
  </si>
  <si>
    <t>EI Performance</t>
  </si>
  <si>
    <t>EI TRACKING LOG</t>
  </si>
  <si>
    <t>COMCAST</t>
  </si>
  <si>
    <t>Product Line</t>
  </si>
  <si>
    <t>Product Family</t>
  </si>
  <si>
    <t>Product Class</t>
  </si>
  <si>
    <t>20106720</t>
  </si>
  <si>
    <t>NSG TECHNOLOGY INC</t>
  </si>
  <si>
    <t>SCSK CORPORATION</t>
  </si>
  <si>
    <t>6901039</t>
  </si>
  <si>
    <t>DERY TELECOM</t>
  </si>
  <si>
    <t>20109817</t>
  </si>
  <si>
    <t>Release Date</t>
  </si>
  <si>
    <t>6900517</t>
  </si>
  <si>
    <t>6900936</t>
  </si>
  <si>
    <t>Row Labels</t>
  </si>
  <si>
    <t>Grand Total</t>
  </si>
  <si>
    <t>Shipped Qty</t>
  </si>
  <si>
    <t>Order Type</t>
  </si>
  <si>
    <t>90710542</t>
  </si>
  <si>
    <t>VTR</t>
  </si>
  <si>
    <t/>
  </si>
  <si>
    <t>6900890</t>
  </si>
  <si>
    <t>6901101</t>
  </si>
  <si>
    <t>Lines</t>
  </si>
  <si>
    <t>Orders</t>
  </si>
  <si>
    <t>6900799</t>
  </si>
  <si>
    <t>ROGERS CABLE</t>
  </si>
  <si>
    <t>APC</t>
  </si>
  <si>
    <t>EXPD Status</t>
  </si>
  <si>
    <t>(blank)</t>
  </si>
  <si>
    <t>Count of ORG_CODE</t>
  </si>
  <si>
    <t>Line Ct</t>
  </si>
  <si>
    <t>Order Received at EI</t>
  </si>
  <si>
    <t>CHARTER</t>
  </si>
  <si>
    <t>6900902</t>
  </si>
  <si>
    <t>Future SSD</t>
  </si>
  <si>
    <t>Delivery ID</t>
  </si>
  <si>
    <t>Pickslip No</t>
  </si>
  <si>
    <t>Order Date</t>
  </si>
  <si>
    <t>Cust Req Del Date</t>
  </si>
  <si>
    <t>Customer Information</t>
  </si>
  <si>
    <t>Cust No</t>
  </si>
  <si>
    <t>Name</t>
  </si>
  <si>
    <t>Location</t>
  </si>
  <si>
    <t>Address1</t>
  </si>
  <si>
    <t>Address2</t>
  </si>
  <si>
    <t>City, ST, ZIP</t>
  </si>
  <si>
    <t>Shipping Instruction</t>
  </si>
  <si>
    <t>Item Information</t>
  </si>
  <si>
    <t>Ship Method Code</t>
  </si>
  <si>
    <t>Status Code</t>
  </si>
  <si>
    <t>Batch ID</t>
  </si>
  <si>
    <t>Freight Carrier Code</t>
  </si>
  <si>
    <t>Request Date Type Code</t>
  </si>
  <si>
    <t>Pick Slip Date</t>
  </si>
  <si>
    <t>Item Number</t>
  </si>
  <si>
    <t>Item Description</t>
  </si>
  <si>
    <t>Line No</t>
  </si>
  <si>
    <t>Picked Qty</t>
  </si>
  <si>
    <t>Picked Amt USD</t>
  </si>
  <si>
    <t>Shipped Amt USD</t>
  </si>
  <si>
    <t>Technology</t>
  </si>
  <si>
    <t>Line Count</t>
  </si>
  <si>
    <t>Sales Order No</t>
  </si>
  <si>
    <t>B</t>
  </si>
  <si>
    <t>D</t>
  </si>
  <si>
    <t>G</t>
  </si>
  <si>
    <t>H</t>
  </si>
  <si>
    <t>J,I,K</t>
  </si>
  <si>
    <t>ORDER DETAIL VIEW</t>
  </si>
  <si>
    <t>NATIONAL CABLE TELEVISION COOP</t>
  </si>
  <si>
    <t>20113474</t>
  </si>
  <si>
    <t>Picker Name</t>
  </si>
  <si>
    <t>20115327</t>
  </si>
  <si>
    <t>JULIO</t>
  </si>
  <si>
    <t>Picking Notes</t>
  </si>
  <si>
    <t>PIR</t>
  </si>
  <si>
    <t>New</t>
  </si>
  <si>
    <t>Pick In Progress</t>
  </si>
  <si>
    <t>Ready to Ship - CSR Instruction</t>
  </si>
  <si>
    <t>Zero Pick</t>
  </si>
  <si>
    <t>Ready to Ship - Arris</t>
  </si>
  <si>
    <t>Pending to Return</t>
  </si>
  <si>
    <t>Comments / CSR Notes</t>
  </si>
  <si>
    <t>6901169</t>
  </si>
  <si>
    <t>Picklist sent to WH</t>
  </si>
  <si>
    <t>20111522</t>
  </si>
  <si>
    <t>20115563</t>
  </si>
  <si>
    <t>6900250</t>
  </si>
  <si>
    <t>Ready to Ship</t>
  </si>
  <si>
    <t>Picklist Sent to WH</t>
  </si>
  <si>
    <t>6901031</t>
  </si>
  <si>
    <t>10/11 given to william 7:50 am</t>
  </si>
  <si>
    <t>Pick in Progress</t>
  </si>
  <si>
    <t>20116211</t>
  </si>
  <si>
    <t>10/11 given to Riza 2:00 PM</t>
  </si>
  <si>
    <t>Tracking #</t>
  </si>
  <si>
    <t>Supervisor Comment</t>
  </si>
  <si>
    <t>Open Order Tab</t>
  </si>
  <si>
    <t>Source: Open Order Tab</t>
  </si>
  <si>
    <t>Source: work_order_picking.xlsx</t>
  </si>
  <si>
    <t>Source: VBA</t>
  </si>
  <si>
    <t>Source: WORK_ORDER_CSR.xlsx</t>
  </si>
  <si>
    <t>Source:  Manual. Saved to DB</t>
  </si>
  <si>
    <t>20116478</t>
  </si>
  <si>
    <t>20116471</t>
  </si>
  <si>
    <t>DN</t>
  </si>
  <si>
    <t>Update_Date</t>
  </si>
  <si>
    <t>20116327</t>
  </si>
  <si>
    <t>20116418</t>
  </si>
  <si>
    <t>20116473</t>
  </si>
  <si>
    <t>20116616</t>
  </si>
  <si>
    <t>x</t>
  </si>
  <si>
    <t>MEDIA COM / PART NUMBER AT3535G-20-1-AS / QTY 2PC / PENDING RESEARCH / MIGHT NEED A REPRINT OF  PICK TICKET. LAST UPDATED 10/12/2016</t>
  </si>
  <si>
    <t>10/10 Pick has not been located and units are not staged. We are currently waiting to get approval from Dave to reprint pick.
10/11 Pick was re-printed and is currently being worked on 
10/12 We are not able to locate item NC412A1SGA1-U0000000 / QTY 1</t>
  </si>
  <si>
    <t>10/12 given to Riza 12:00 pm</t>
  </si>
  <si>
    <t>20116656</t>
  </si>
  <si>
    <t>20116659</t>
  </si>
  <si>
    <t>20116672</t>
  </si>
  <si>
    <t>20116742</t>
  </si>
  <si>
    <t>20114932</t>
  </si>
  <si>
    <t>20109923</t>
  </si>
  <si>
    <t>Supervisor_Comments</t>
  </si>
  <si>
    <t xml:space="preserve">Company_Name_Owner_of_Action </t>
  </si>
  <si>
    <t>20109924</t>
  </si>
  <si>
    <t>20115450</t>
  </si>
  <si>
    <t>COX COMMUNICATIONS</t>
  </si>
  <si>
    <t>ADVANCED MEDIA TECHNOLOGIES INC. (PRIOR DX COMMS)</t>
  </si>
  <si>
    <t>CABLEVISION S.A. ARGENTINA</t>
  </si>
  <si>
    <t>20112584</t>
  </si>
  <si>
    <t>20115533</t>
  </si>
  <si>
    <t>20116069</t>
  </si>
  <si>
    <t>20116775</t>
  </si>
  <si>
    <t>RCN</t>
  </si>
  <si>
    <t>CEBRIDGE CONNECTIONS DBA SUDDENLINK</t>
  </si>
  <si>
    <t>20109872</t>
  </si>
  <si>
    <t>20109940</t>
  </si>
  <si>
    <t>20111017</t>
  </si>
  <si>
    <t>20113588</t>
  </si>
  <si>
    <t>20115047</t>
  </si>
  <si>
    <t>20115048</t>
  </si>
  <si>
    <t>20116190</t>
  </si>
  <si>
    <t>6901366</t>
  </si>
  <si>
    <t xml:space="preserve">10/13/2016 given to Riza 2:30 PM </t>
  </si>
  <si>
    <t>10/14/2016 given to Riza 8:30 AM</t>
  </si>
  <si>
    <t>Ready to Ship Method</t>
  </si>
  <si>
    <t>VIDEOTRON LTEE</t>
  </si>
  <si>
    <t>92002296</t>
  </si>
  <si>
    <t>92001757</t>
  </si>
  <si>
    <t>92002391</t>
  </si>
  <si>
    <t>TIME WARNER CABLE INC</t>
  </si>
  <si>
    <t>20107388</t>
  </si>
  <si>
    <t>20111755</t>
  </si>
  <si>
    <t>20112958</t>
  </si>
  <si>
    <t>20113292</t>
  </si>
  <si>
    <t>20114033</t>
  </si>
  <si>
    <t>20114232</t>
  </si>
  <si>
    <t>20114993</t>
  </si>
  <si>
    <t>20116915</t>
  </si>
  <si>
    <t>20116923</t>
  </si>
  <si>
    <t>20116971</t>
  </si>
  <si>
    <t>6901074</t>
  </si>
  <si>
    <t>20113661</t>
  </si>
  <si>
    <t>20109157</t>
  </si>
  <si>
    <t>20113616</t>
  </si>
  <si>
    <t>20107931</t>
  </si>
  <si>
    <t>20117173</t>
  </si>
  <si>
    <t>20113862</t>
  </si>
  <si>
    <t>20115383</t>
  </si>
  <si>
    <t>20115702</t>
  </si>
  <si>
    <t>METROCAST COMMUNICATIONS</t>
  </si>
  <si>
    <t>20112228</t>
  </si>
  <si>
    <t>WAVE BROADBAND</t>
  </si>
  <si>
    <t>20113880</t>
  </si>
  <si>
    <t>20113894</t>
  </si>
  <si>
    <t>90710590</t>
  </si>
  <si>
    <t>ADVANCED MEDIA TECHNOLOGIES(LATIN AMERICA)</t>
  </si>
  <si>
    <t>20112817</t>
  </si>
  <si>
    <t>ARRIS EXPENSE INTERNAL MIXED</t>
  </si>
  <si>
    <t>20107386</t>
  </si>
  <si>
    <t>20115901</t>
  </si>
  <si>
    <t>CYO INTERNATIONAL, INC.</t>
  </si>
  <si>
    <t>20106144</t>
  </si>
  <si>
    <t>LFOUR CO LTD</t>
  </si>
  <si>
    <t>6900542</t>
  </si>
  <si>
    <t>CIREN, LLC</t>
  </si>
  <si>
    <t>20110689</t>
  </si>
  <si>
    <t>92001589</t>
  </si>
  <si>
    <t>COGECO</t>
  </si>
  <si>
    <t>20108276</t>
  </si>
  <si>
    <t>20112724</t>
  </si>
  <si>
    <t>10/17/2016 Given to Riza at 3:00pm</t>
  </si>
  <si>
    <t>Future_Use1</t>
  </si>
  <si>
    <t>Future_Use2</t>
  </si>
  <si>
    <t>Future_Use3</t>
  </si>
  <si>
    <t>Future_Use5</t>
  </si>
  <si>
    <t>Future_Use6</t>
  </si>
  <si>
    <t>Future_Use7</t>
  </si>
  <si>
    <t>Future_Use8</t>
  </si>
  <si>
    <t>Column Labels</t>
  </si>
  <si>
    <t>YES</t>
  </si>
  <si>
    <t>20115710</t>
  </si>
  <si>
    <t>20106429</t>
  </si>
  <si>
    <t>20106472</t>
  </si>
  <si>
    <t>TONY</t>
  </si>
  <si>
    <t xml:space="preserve">10/18 given to Riza @ 9:40 am </t>
  </si>
  <si>
    <t xml:space="preserve">Summary </t>
  </si>
  <si>
    <t># Shipped</t>
  </si>
  <si>
    <t># Ready to Ship</t>
  </si>
  <si>
    <t># Past Due (PIP)</t>
  </si>
  <si>
    <t># Future Dates</t>
  </si>
  <si>
    <t>#Past Due (PIP)</t>
  </si>
  <si>
    <t>Status</t>
  </si>
  <si>
    <t>20117385</t>
  </si>
  <si>
    <t>20114505</t>
  </si>
  <si>
    <t>Total Open Orders</t>
  </si>
  <si>
    <t>Total Open Lines</t>
  </si>
  <si>
    <t>10/13/2016 Peter Test 2 Zeid</t>
  </si>
  <si>
    <t># PIR</t>
  </si>
  <si>
    <t>90710481</t>
  </si>
  <si>
    <t>For BPA To Verify</t>
  </si>
  <si>
    <t>20107734</t>
  </si>
  <si>
    <t>6900351</t>
  </si>
  <si>
    <t>92002148</t>
  </si>
  <si>
    <t>20112763</t>
  </si>
  <si>
    <t>20112889</t>
  </si>
  <si>
    <t>20115482</t>
  </si>
  <si>
    <t>20116270</t>
  </si>
  <si>
    <t>20116297</t>
  </si>
  <si>
    <t>20111227</t>
  </si>
  <si>
    <t>20115524</t>
  </si>
  <si>
    <t>20117180</t>
  </si>
  <si>
    <t>Wide Open West</t>
  </si>
  <si>
    <t>6901120</t>
  </si>
  <si>
    <t>20107315</t>
  </si>
  <si>
    <t>20107385</t>
  </si>
  <si>
    <t>TV CABLE DE ORIENTE SA DE CV</t>
  </si>
  <si>
    <t>20109134</t>
  </si>
  <si>
    <t xml:space="preserve">PN NC412A1SGA1-U0000000 / QTY 1)  (last update 10/17/2016) </t>
  </si>
  <si>
    <t>PIR - Part number (OP95F1S-42-R2-AS / QTY 1) last update 10/17/2016</t>
  </si>
  <si>
    <t>PIR - Part number BP3001 / QTY 150PC.  (last updated 10/17/2016)</t>
  </si>
  <si>
    <t>PN# OP91S2S-60-N0-00 / QTY 1</t>
  </si>
  <si>
    <t>PN# HLN3144-4111-DRK18 / QTY 3</t>
  </si>
  <si>
    <t>10/18 order was given to Riza 6pm</t>
  </si>
  <si>
    <t>Yes</t>
  </si>
  <si>
    <t>PN# NRH3840-2L / QTY 5</t>
  </si>
  <si>
    <t>10/19 given to Riza 09:00 am</t>
  </si>
  <si>
    <t>ROBERT</t>
  </si>
  <si>
    <t xml:space="preserve"> printed on 10/18 pending to be processed due to high volume</t>
  </si>
  <si>
    <t>10/19 Test Data Peter</t>
  </si>
  <si>
    <t>20117614</t>
  </si>
  <si>
    <t>20110004</t>
  </si>
  <si>
    <t>CABLEVISION S.A. DE C.V.</t>
  </si>
  <si>
    <t>90710598</t>
  </si>
  <si>
    <t>20108198</t>
  </si>
  <si>
    <t>92001584</t>
  </si>
  <si>
    <t>92001537</t>
  </si>
  <si>
    <t>20108762</t>
  </si>
  <si>
    <t>20114891</t>
  </si>
  <si>
    <t>20116272</t>
  </si>
  <si>
    <t>6900834</t>
  </si>
  <si>
    <t>20117879</t>
  </si>
  <si>
    <t>20117692</t>
  </si>
  <si>
    <t>6900917</t>
  </si>
  <si>
    <t>CABLEVISION RED, S.A. DE C.V.</t>
  </si>
  <si>
    <t>20110783</t>
  </si>
  <si>
    <t>20113093</t>
  </si>
  <si>
    <t>703018775604</t>
  </si>
  <si>
    <t>20114145</t>
  </si>
  <si>
    <t>20116577</t>
  </si>
  <si>
    <t>6900796</t>
  </si>
  <si>
    <t>6901382</t>
  </si>
  <si>
    <t>BERMUDA CABLEVISION LTD</t>
  </si>
  <si>
    <t>6901440</t>
  </si>
  <si>
    <t>705155785318</t>
  </si>
  <si>
    <t>X</t>
  </si>
  <si>
    <t>JOSE</t>
  </si>
  <si>
    <t xml:space="preserve"> printed on 10/19pending to be processed due to high volume</t>
  </si>
  <si>
    <t xml:space="preserve"> printed on 10/19 pending to be processed due to high volume</t>
  </si>
  <si>
    <t>10/20 gave to Riza at 9:00</t>
  </si>
  <si>
    <t>Tracking From Open Order</t>
  </si>
  <si>
    <t>20115712</t>
  </si>
  <si>
    <t>20111289</t>
  </si>
  <si>
    <t>20111263</t>
  </si>
  <si>
    <t>92001845</t>
  </si>
  <si>
    <t>92002175</t>
  </si>
  <si>
    <t>92001942</t>
  </si>
  <si>
    <t>20112057</t>
  </si>
  <si>
    <t>20113320</t>
  </si>
  <si>
    <t>20113885</t>
  </si>
  <si>
    <t>705155785502</t>
  </si>
  <si>
    <t>20116921</t>
  </si>
  <si>
    <t>6900967</t>
  </si>
  <si>
    <t>20118027</t>
  </si>
  <si>
    <t>20118119</t>
  </si>
  <si>
    <t>703018776107</t>
  </si>
  <si>
    <t>6900615</t>
  </si>
  <si>
    <t>6900832</t>
  </si>
  <si>
    <t>20107355</t>
  </si>
  <si>
    <t>20112674</t>
  </si>
  <si>
    <t>20112797</t>
  </si>
  <si>
    <t>92002641</t>
  </si>
  <si>
    <t>92002646</t>
  </si>
  <si>
    <t>6901209</t>
  </si>
  <si>
    <t xml:space="preserve">10/21 given to Riza @ 9:00 am </t>
  </si>
  <si>
    <t>mx</t>
  </si>
  <si>
    <t>20106903</t>
  </si>
  <si>
    <t>20107079</t>
  </si>
  <si>
    <t>20107556</t>
  </si>
  <si>
    <t>20113864</t>
  </si>
  <si>
    <t>20114877</t>
  </si>
  <si>
    <t>20110973</t>
  </si>
  <si>
    <t>20117611</t>
  </si>
  <si>
    <t>20107599</t>
  </si>
  <si>
    <t>20114972</t>
  </si>
  <si>
    <t>20118316</t>
  </si>
  <si>
    <t>90711038</t>
  </si>
  <si>
    <t>20118296</t>
  </si>
  <si>
    <t>20113670</t>
  </si>
  <si>
    <t>6900540</t>
  </si>
  <si>
    <t>92002643</t>
  </si>
  <si>
    <t>20117712</t>
  </si>
  <si>
    <t>92001755</t>
  </si>
  <si>
    <t>92001993</t>
  </si>
  <si>
    <t>20106954</t>
  </si>
  <si>
    <t>TELMEX COLOMBIA S.A.</t>
  </si>
  <si>
    <t>6901455</t>
  </si>
  <si>
    <t>20109763</t>
  </si>
  <si>
    <t>20111521</t>
  </si>
  <si>
    <t>20112089</t>
  </si>
  <si>
    <t>TDS Telecom</t>
  </si>
  <si>
    <t>PETE</t>
  </si>
  <si>
    <t>10/22 given to Austin 11:20</t>
  </si>
  <si>
    <t>KYLE</t>
  </si>
  <si>
    <t xml:space="preserve">JOSE </t>
  </si>
  <si>
    <t>Sum of Line Ct</t>
  </si>
  <si>
    <t>92002087</t>
  </si>
  <si>
    <t>20116278</t>
  </si>
  <si>
    <t>20118339</t>
  </si>
  <si>
    <t>20107725</t>
  </si>
  <si>
    <t>6900687</t>
  </si>
  <si>
    <t>6900461</t>
  </si>
  <si>
    <t>90711058</t>
  </si>
  <si>
    <t>6901145</t>
  </si>
  <si>
    <t>20109800</t>
  </si>
  <si>
    <t>92002647</t>
  </si>
  <si>
    <t xml:space="preserve">10/24 Email was sent to CSR Marita to advise freight was ready for pick up, currently waiting for a response </t>
  </si>
  <si>
    <t>sergio</t>
  </si>
  <si>
    <t>jose</t>
  </si>
  <si>
    <t>10/24 given to Zeid 3:20 pm</t>
  </si>
  <si>
    <t>Tony</t>
  </si>
  <si>
    <t>tony</t>
  </si>
  <si>
    <t>curtis</t>
  </si>
  <si>
    <t>20106257</t>
  </si>
  <si>
    <t>707451173276</t>
  </si>
  <si>
    <t>20118604</t>
  </si>
  <si>
    <t>20118636</t>
  </si>
  <si>
    <t>20118694</t>
  </si>
  <si>
    <t>20117259</t>
  </si>
  <si>
    <t>20108289</t>
  </si>
  <si>
    <t>6901456</t>
  </si>
  <si>
    <t>20116604</t>
  </si>
  <si>
    <t>20116047</t>
  </si>
  <si>
    <t>20106487</t>
  </si>
  <si>
    <t>20114929</t>
  </si>
  <si>
    <t>20114935</t>
  </si>
  <si>
    <t>20114938</t>
  </si>
  <si>
    <t>20114886</t>
  </si>
  <si>
    <t>90710602</t>
  </si>
  <si>
    <t>20115058</t>
  </si>
  <si>
    <t>20118539</t>
  </si>
  <si>
    <t>20118548</t>
  </si>
  <si>
    <t>20118557</t>
  </si>
  <si>
    <t>10/24 given to Riza 6 pm</t>
  </si>
  <si>
    <t>david</t>
  </si>
  <si>
    <t>10/25 given to Austin 6 am</t>
  </si>
  <si>
    <t>DAVID</t>
  </si>
  <si>
    <t>703018779757</t>
  </si>
  <si>
    <t>92002617</t>
  </si>
  <si>
    <t>20106163</t>
  </si>
  <si>
    <t>20106317</t>
  </si>
  <si>
    <t>20106702</t>
  </si>
  <si>
    <t>20107140</t>
  </si>
  <si>
    <t>20107194</t>
  </si>
  <si>
    <t>20107569</t>
  </si>
  <si>
    <t>20108183</t>
  </si>
  <si>
    <t>20110763</t>
  </si>
  <si>
    <t>20110901</t>
  </si>
  <si>
    <t>20112894</t>
  </si>
  <si>
    <t>20113048</t>
  </si>
  <si>
    <t>20114500</t>
  </si>
  <si>
    <t>20115438</t>
  </si>
  <si>
    <t>20118628</t>
  </si>
  <si>
    <t>6900015</t>
  </si>
  <si>
    <t>6900785</t>
  </si>
  <si>
    <t>6900837</t>
  </si>
  <si>
    <t>6900907</t>
  </si>
  <si>
    <t>6901009</t>
  </si>
  <si>
    <t>6901028</t>
  </si>
  <si>
    <t>6901166</t>
  </si>
  <si>
    <t>20113061</t>
  </si>
  <si>
    <t>GCI CABLE</t>
  </si>
  <si>
    <t>20111077</t>
  </si>
  <si>
    <t>20116146</t>
  </si>
  <si>
    <t>20107050</t>
  </si>
  <si>
    <t>90710588</t>
  </si>
  <si>
    <t>20116276</t>
  </si>
  <si>
    <t>20118762</t>
  </si>
  <si>
    <t>20109162</t>
  </si>
  <si>
    <t>20113667</t>
  </si>
  <si>
    <t>20113700</t>
  </si>
  <si>
    <t>20117387</t>
  </si>
  <si>
    <t>20117394</t>
  </si>
  <si>
    <t>6901085</t>
  </si>
  <si>
    <t>20106428</t>
  </si>
  <si>
    <t>20106469</t>
  </si>
  <si>
    <t>20111018</t>
  </si>
  <si>
    <t>20111054</t>
  </si>
  <si>
    <t>20112605</t>
  </si>
  <si>
    <t>20113005</t>
  </si>
  <si>
    <t>20113710</t>
  </si>
  <si>
    <t>20113806</t>
  </si>
  <si>
    <t>20115161</t>
  </si>
  <si>
    <t>20115900</t>
  </si>
  <si>
    <t>20118078</t>
  </si>
  <si>
    <t>20118157</t>
  </si>
  <si>
    <t>6900751</t>
  </si>
  <si>
    <t>6900830</t>
  </si>
  <si>
    <t>6900900</t>
  </si>
  <si>
    <t>6900976</t>
  </si>
  <si>
    <t>6900994</t>
  </si>
  <si>
    <t>20115199</t>
  </si>
  <si>
    <t>20115382</t>
  </si>
  <si>
    <t>20115582</t>
  </si>
  <si>
    <t>20118513</t>
  </si>
  <si>
    <t>20118521</t>
  </si>
  <si>
    <t>20118540</t>
  </si>
  <si>
    <t>20118550</t>
  </si>
  <si>
    <t>20118558</t>
  </si>
  <si>
    <t>20118562</t>
  </si>
  <si>
    <t>6901379</t>
  </si>
  <si>
    <t>6901389</t>
  </si>
  <si>
    <t>92002653</t>
  </si>
  <si>
    <t>RITTER COMMUNICATIONS</t>
  </si>
  <si>
    <t>20113578</t>
  </si>
  <si>
    <t>20116214</t>
  </si>
  <si>
    <t>BM</t>
  </si>
  <si>
    <t>10/25 given to Zeid 6:55 pm</t>
  </si>
  <si>
    <t>fabian</t>
  </si>
  <si>
    <t>6900566</t>
  </si>
  <si>
    <t>92002650</t>
  </si>
  <si>
    <t>20108821</t>
  </si>
  <si>
    <t>6900866</t>
  </si>
  <si>
    <t>20106156</t>
  </si>
  <si>
    <t>20106873</t>
  </si>
  <si>
    <t>20107586</t>
  </si>
  <si>
    <t>6901431</t>
  </si>
  <si>
    <t>Rcvd EI Not Assigned</t>
  </si>
  <si>
    <t>10/25 given to Austin 7:00 pm</t>
  </si>
  <si>
    <t>20118076</t>
  </si>
  <si>
    <t>92001587</t>
  </si>
  <si>
    <t>92002174</t>
  </si>
  <si>
    <t>92002176</t>
  </si>
  <si>
    <t>92002177</t>
  </si>
  <si>
    <t>92002754</t>
  </si>
  <si>
    <t>92002756</t>
  </si>
  <si>
    <t>92002757</t>
  </si>
  <si>
    <t>92002758</t>
  </si>
  <si>
    <t>92002760</t>
  </si>
  <si>
    <t>92001706</t>
  </si>
  <si>
    <t>20107128</t>
  </si>
  <si>
    <t>20107333</t>
  </si>
  <si>
    <t>20107356</t>
  </si>
  <si>
    <t>20107565</t>
  </si>
  <si>
    <t>20110638</t>
  </si>
  <si>
    <t>20112112</t>
  </si>
  <si>
    <t>705155789861</t>
  </si>
  <si>
    <t>705155789806</t>
  </si>
  <si>
    <t>20113039</t>
  </si>
  <si>
    <t>20113762</t>
  </si>
  <si>
    <t>20113804</t>
  </si>
  <si>
    <t>705155790188</t>
  </si>
  <si>
    <t>707455473523</t>
  </si>
  <si>
    <t>705155790052</t>
  </si>
  <si>
    <t>705155790085</t>
  </si>
  <si>
    <t>705155789883</t>
  </si>
  <si>
    <t>20116892</t>
  </si>
  <si>
    <t>20117420</t>
  </si>
  <si>
    <t>20117609</t>
  </si>
  <si>
    <t>20118323</t>
  </si>
  <si>
    <t>705155789909</t>
  </si>
  <si>
    <t>705155789894</t>
  </si>
  <si>
    <t>705155790177</t>
  </si>
  <si>
    <t>20118810</t>
  </si>
  <si>
    <t>20118837</t>
  </si>
  <si>
    <t>20119180</t>
  </si>
  <si>
    <t>20119240</t>
  </si>
  <si>
    <t>707455473512</t>
  </si>
  <si>
    <t>705155790041</t>
  </si>
  <si>
    <t>6900829</t>
  </si>
  <si>
    <t>705155790214</t>
  </si>
  <si>
    <t>6900958</t>
  </si>
  <si>
    <t>705155790063</t>
  </si>
  <si>
    <t>705155789872</t>
  </si>
  <si>
    <t>6901117</t>
  </si>
  <si>
    <t>6901130</t>
  </si>
  <si>
    <t>705155790074</t>
  </si>
  <si>
    <t>6901253</t>
  </si>
  <si>
    <t>6901255</t>
  </si>
  <si>
    <t>6900163</t>
  </si>
  <si>
    <t>20111098</t>
  </si>
  <si>
    <t>20116020</t>
  </si>
  <si>
    <t>20119175</t>
  </si>
  <si>
    <t>20119124</t>
  </si>
  <si>
    <t>20119131</t>
  </si>
  <si>
    <t>20115528</t>
  </si>
  <si>
    <t>1Z3Y05W40366771061</t>
  </si>
  <si>
    <t>1Z3Y05W40366876056</t>
  </si>
  <si>
    <t>1Z3Y05W40364007471</t>
  </si>
  <si>
    <t>1Z3Y05W40364126235</t>
  </si>
  <si>
    <t>1Z3Y05W40364766446</t>
  </si>
  <si>
    <t>20119251</t>
  </si>
  <si>
    <t>6900846</t>
  </si>
  <si>
    <t>20117383</t>
  </si>
  <si>
    <t>20118969</t>
  </si>
  <si>
    <t>20118984</t>
  </si>
  <si>
    <t>20118989</t>
  </si>
  <si>
    <t>20118994</t>
  </si>
  <si>
    <t>20119148</t>
  </si>
  <si>
    <t>705155789986</t>
  </si>
  <si>
    <t>705155790030</t>
  </si>
  <si>
    <t>705155790020</t>
  </si>
  <si>
    <t>705155789699</t>
  </si>
  <si>
    <t>20118035</t>
  </si>
  <si>
    <t>90710626</t>
  </si>
  <si>
    <t>90710695</t>
  </si>
  <si>
    <t>90710712</t>
  </si>
  <si>
    <t>90711086</t>
  </si>
  <si>
    <t>90711089</t>
  </si>
  <si>
    <t>1Z3Y05W40365279426</t>
  </si>
  <si>
    <t>20113674</t>
  </si>
  <si>
    <t>705155790111</t>
  </si>
  <si>
    <t>NEWWAVE COMMUNICATIONS</t>
  </si>
  <si>
    <t>20119136</t>
  </si>
  <si>
    <t>CABLE AXION</t>
  </si>
  <si>
    <t>92002778</t>
  </si>
  <si>
    <t>705155790306</t>
  </si>
  <si>
    <t>20108085</t>
  </si>
  <si>
    <t>20108353</t>
  </si>
  <si>
    <t>20109578</t>
  </si>
  <si>
    <t>705155790019</t>
  </si>
  <si>
    <t>20110653</t>
  </si>
  <si>
    <t>20111015</t>
  </si>
  <si>
    <t>705155789910</t>
  </si>
  <si>
    <t>20113837</t>
  </si>
  <si>
    <t>20118162</t>
  </si>
  <si>
    <t>20118838</t>
  </si>
  <si>
    <t>20118852</t>
  </si>
  <si>
    <t>20119107</t>
  </si>
  <si>
    <t>705155790122</t>
  </si>
  <si>
    <t>705155790199</t>
  </si>
  <si>
    <t>705155789997</t>
  </si>
  <si>
    <t>6900852</t>
  </si>
  <si>
    <t>705155790008</t>
  </si>
  <si>
    <t>ARRIS SOLUTIONS, INC.</t>
  </si>
  <si>
    <t>90710912</t>
  </si>
  <si>
    <t>6901388</t>
  </si>
  <si>
    <t>92002645</t>
  </si>
  <si>
    <t>TELEDIFUSORA SAN MIGUEL ARCANGEL S.A.</t>
  </si>
  <si>
    <t>6900587</t>
  </si>
  <si>
    <t>20106296</t>
  </si>
  <si>
    <t>20106527</t>
  </si>
  <si>
    <t>20110780</t>
  </si>
  <si>
    <t>20111124</t>
  </si>
  <si>
    <t>20111736</t>
  </si>
  <si>
    <t>20111778</t>
  </si>
  <si>
    <t>20111812</t>
  </si>
  <si>
    <t>20111827</t>
  </si>
  <si>
    <t>20111841</t>
  </si>
  <si>
    <t>20112069</t>
  </si>
  <si>
    <t>20112471</t>
  </si>
  <si>
    <t>20112565</t>
  </si>
  <si>
    <t>20112769</t>
  </si>
  <si>
    <t>20113576</t>
  </si>
  <si>
    <t>20113581</t>
  </si>
  <si>
    <t>20116252</t>
  </si>
  <si>
    <t>20116906</t>
  </si>
  <si>
    <t>20117881</t>
  </si>
  <si>
    <t>6901289</t>
  </si>
  <si>
    <t>20110081</t>
  </si>
  <si>
    <t>20107145</t>
  </si>
  <si>
    <t>6900226</t>
  </si>
  <si>
    <t>6900652</t>
  </si>
  <si>
    <t>6901044</t>
  </si>
  <si>
    <t>6900886</t>
  </si>
  <si>
    <t>20107394</t>
  </si>
  <si>
    <t>20110168</t>
  </si>
  <si>
    <t>20113709</t>
  </si>
  <si>
    <t>92002565</t>
  </si>
  <si>
    <t>10/27 labels have been created to ship freight</t>
  </si>
  <si>
    <t>10/27 given to Austin  4 pm</t>
  </si>
  <si>
    <t>10/24 Email was sent to CSR Marita to advise freight was ready for pick up, currently waiting for a response 
10/26 Waiting for Marita to provide shipping labels 
10/27 pending  pick up date from the carrier</t>
  </si>
  <si>
    <t>10/27 Email has been to CSR Marita to advise freight was ready 1:58 pm</t>
  </si>
  <si>
    <t>10/27 Email has been to CSR Marita to advise freight was ready 1:46 pm</t>
  </si>
  <si>
    <t>10/26 Waiting for Ed hill from Farnell Freight to provide pick up date</t>
  </si>
  <si>
    <t>10/27 Email has been sent to Marita to advise freight is ready, waiting for pick up date</t>
  </si>
  <si>
    <t>Given to Riza 10/27 @11:30AM</t>
  </si>
  <si>
    <t>TYRONE</t>
  </si>
  <si>
    <t>10/26 Email has been sent to Mildaliza waiting for instructions
10/27 CSR has not reponded, an update email has been sent to advise pick up date or shipping instructions.</t>
  </si>
  <si>
    <t>10/26 Email has been sent to Leida waiting for instructions</t>
  </si>
  <si>
    <t xml:space="preserve">10/26 Email has been sent to Leida waiting for instructions
10/27 Pictures have been sent to CSR Leida, currentlty waiting for shipping instructions </t>
  </si>
  <si>
    <t>10/26 Email has been sent to Mildaliza waiting for instructions</t>
  </si>
  <si>
    <t>10/26 Email has been sent to Mildaliza waiting for instructions
10/27 Milda has advise they want to consol with order 6901454</t>
  </si>
  <si>
    <t>co</t>
  </si>
  <si>
    <t>10/27 email has been sent to Mildaliza to advise freight is ready, waiting for a pick up date</t>
  </si>
  <si>
    <t>10/26 given to Austin 3:00 pm</t>
  </si>
  <si>
    <t>10/27 Email has been sent to CSR Marita to advise freight is ready for pick up. 2:56 pm</t>
  </si>
  <si>
    <t>tony / tyrone</t>
  </si>
  <si>
    <t>robert</t>
  </si>
  <si>
    <t>20107522</t>
  </si>
  <si>
    <t>705155790957</t>
  </si>
  <si>
    <t>20108464</t>
  </si>
  <si>
    <t>20108780</t>
  </si>
  <si>
    <t>705155790854</t>
  </si>
  <si>
    <t>703018781415</t>
  </si>
  <si>
    <t>705155790902</t>
  </si>
  <si>
    <t>703018781172</t>
  </si>
  <si>
    <t>20117581</t>
  </si>
  <si>
    <t>705155790898</t>
  </si>
  <si>
    <t>705155790935</t>
  </si>
  <si>
    <t>20119207</t>
  </si>
  <si>
    <t>6901160</t>
  </si>
  <si>
    <t>6901454</t>
  </si>
  <si>
    <t>6050040506</t>
  </si>
  <si>
    <t>20109745</t>
  </si>
  <si>
    <t>1Z3Y05W40365487111</t>
  </si>
  <si>
    <t>1Z3Y05W40365525543</t>
  </si>
  <si>
    <t>1110368</t>
  </si>
  <si>
    <t>705155790865</t>
  </si>
  <si>
    <t>705155790887</t>
  </si>
  <si>
    <t>1Z3Y05W40362522668</t>
  </si>
  <si>
    <t>90711096</t>
  </si>
  <si>
    <t>20115245</t>
  </si>
  <si>
    <t>6900332</t>
  </si>
  <si>
    <t>20107275</t>
  </si>
  <si>
    <t>20107585</t>
  </si>
  <si>
    <t>20107587</t>
  </si>
  <si>
    <t>705155790980</t>
  </si>
  <si>
    <t>705155790924</t>
  </si>
  <si>
    <t>20111063</t>
  </si>
  <si>
    <t>20117166</t>
  </si>
  <si>
    <t>705155790843</t>
  </si>
  <si>
    <t>6900126</t>
  </si>
  <si>
    <t>6900235</t>
  </si>
  <si>
    <t>6900737</t>
  </si>
  <si>
    <t>705155790979</t>
  </si>
  <si>
    <t>705155790913</t>
  </si>
  <si>
    <t>6901429</t>
  </si>
  <si>
    <t>NELSONVILLE TV CABLE</t>
  </si>
  <si>
    <t>20119144</t>
  </si>
  <si>
    <t>2190258329</t>
  </si>
  <si>
    <t>6901509</t>
  </si>
  <si>
    <t>10/26 given to Austin  4 pm</t>
  </si>
  <si>
    <t>Given to Riza 10/27 @ 6:36 PM</t>
  </si>
  <si>
    <t>Given to Austin 10/28 8AM</t>
  </si>
  <si>
    <t>tyrone</t>
  </si>
  <si>
    <t>703018781518</t>
  </si>
  <si>
    <t>90711102</t>
  </si>
  <si>
    <t>703018781551</t>
  </si>
  <si>
    <t>yes</t>
  </si>
  <si>
    <t>location "rec1" searching for parts</t>
  </si>
  <si>
    <t>repicking (update 10/28)</t>
  </si>
  <si>
    <t>703018781827</t>
  </si>
  <si>
    <t>703018781871</t>
  </si>
  <si>
    <t>705155791140</t>
  </si>
  <si>
    <t>705155791118</t>
  </si>
  <si>
    <t>703018781850</t>
  </si>
  <si>
    <t>705155791151</t>
  </si>
  <si>
    <t>703018781849</t>
  </si>
  <si>
    <t>705155791130</t>
  </si>
  <si>
    <t>703018781805</t>
  </si>
  <si>
    <t>703018781610</t>
  </si>
  <si>
    <t>705155791173</t>
  </si>
  <si>
    <t>20117162</t>
  </si>
  <si>
    <t>705155791070</t>
  </si>
  <si>
    <t>703018781860</t>
  </si>
  <si>
    <t>20118704</t>
  </si>
  <si>
    <t>703018781768</t>
  </si>
  <si>
    <t>705155791059</t>
  </si>
  <si>
    <t>703018781676</t>
  </si>
  <si>
    <t>1Z3Y05W40361737330</t>
  </si>
  <si>
    <t>1Z3Y05W40364728200</t>
  </si>
  <si>
    <t>705155791129</t>
  </si>
  <si>
    <t>703018781584</t>
  </si>
  <si>
    <t>705155791184</t>
  </si>
  <si>
    <t>703018781816</t>
  </si>
  <si>
    <t>705155791162</t>
  </si>
  <si>
    <t>703018781757</t>
  </si>
  <si>
    <t>703018781790</t>
  </si>
  <si>
    <t>703018781779</t>
  </si>
  <si>
    <t>703018781780</t>
  </si>
  <si>
    <t>703018781838</t>
  </si>
  <si>
    <t>705155791200</t>
  </si>
  <si>
    <t>705155791210</t>
  </si>
  <si>
    <t>703018781665</t>
  </si>
  <si>
    <t>6900903</t>
  </si>
  <si>
    <t>1Z3Y05W40363825946</t>
  </si>
  <si>
    <t>paperwork in PIR folder (Austin)</t>
  </si>
  <si>
    <t>G-43 (hongkong)</t>
  </si>
  <si>
    <t>paperwork in PIR folder (austin)</t>
  </si>
  <si>
    <t>g-15 (omni)</t>
  </si>
  <si>
    <t>in pir folder (austin)</t>
  </si>
  <si>
    <t>10/28 given to Austin 1:45 pm</t>
  </si>
  <si>
    <t>Ready To Load</t>
  </si>
  <si>
    <t>92002813</t>
  </si>
  <si>
    <t>703018781882</t>
  </si>
  <si>
    <t>705155791232</t>
  </si>
  <si>
    <t>703018781919</t>
  </si>
  <si>
    <t>703018781920</t>
  </si>
  <si>
    <t>705155791302</t>
  </si>
  <si>
    <t>703018781908</t>
  </si>
  <si>
    <t>20109958</t>
  </si>
  <si>
    <t>20119486</t>
  </si>
  <si>
    <t>20119490</t>
  </si>
  <si>
    <t>705155791221</t>
  </si>
  <si>
    <t>705155791380</t>
  </si>
  <si>
    <t>703018781893</t>
  </si>
  <si>
    <t>Last Update: 10/28/2016 2:43:16 PM</t>
  </si>
  <si>
    <t>Last Update: 10/28/2016 2:46:23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</si>
</sst>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22" x14ac:knownFonts="1">
    <font>
      <sz val="11"/>
      <color theme="1"/>
      <name val="Calibri"/>
      <family val="2"/>
      <scheme val="minor"/>
    </font>
    <font>
      <sz val="28"/>
      <color rgb="FF000000"/>
      <name val="Times New Roman"/>
      <family val="1"/>
    </font>
    <font>
      <sz val="11"/>
      <color theme="1"/>
      <name val="Calibri"/>
      <family val="2"/>
    </font>
    <font>
      <sz val="10"/>
      <color rgb="FF000000"/>
      <name val="Times New Roman"/>
      <family val="1"/>
    </font>
    <font>
      <sz val="10"/>
      <color theme="1"/>
      <name val="Times New Roman"/>
      <family val="1"/>
    </font>
    <font>
      <sz val="10"/>
      <name val="Times New Roman"/>
      <family val="1"/>
    </font>
    <font>
      <sz val="12"/>
      <color theme="1"/>
      <name val="Calibri"/>
      <family val="2"/>
      <scheme val="minor"/>
    </font>
    <font>
      <sz val="12"/>
      <color theme="1"/>
      <name val="Calibri"/>
      <family val="2"/>
    </font>
    <font>
      <sz val="12"/>
      <color theme="0" tint="-0.249977111117893"/>
      <name val="Calibri"/>
      <family val="2"/>
      <scheme val="minor"/>
    </font>
    <font>
      <b/>
      <sz val="16"/>
      <color theme="1"/>
      <name val="Calibri"/>
      <family val="2"/>
      <scheme val="minor"/>
    </font>
    <font>
      <sz val="12"/>
      <color theme="8" tint="-0.499984740745262"/>
      <name val="Calibri"/>
      <family val="2"/>
      <scheme val="minor"/>
    </font>
    <font>
      <sz val="16"/>
      <color theme="1"/>
      <name val="Calibri"/>
      <family val="2"/>
      <scheme val="minor"/>
    </font>
    <font>
      <b/>
      <sz val="16"/>
      <color theme="1"/>
      <name val="Calibri"/>
      <family val="2"/>
    </font>
    <font>
      <sz val="12"/>
      <color theme="8" tint="-0.499984740745262"/>
      <name val="Calibri"/>
      <family val="2"/>
    </font>
    <font>
      <b/>
      <i/>
      <sz val="28"/>
      <color theme="1"/>
      <name val="Calibri"/>
      <family val="2"/>
      <scheme val="minor"/>
    </font>
    <font>
      <sz val="12"/>
      <color theme="0"/>
      <name val="Calibri"/>
      <family val="2"/>
    </font>
    <font>
      <sz val="12"/>
      <color theme="0"/>
      <name val="Calibri"/>
      <family val="2"/>
      <scheme val="minor"/>
    </font>
    <font>
      <sz val="12"/>
      <color rgb="FF000000"/>
      <name val="Times New Roman"/>
      <family val="1"/>
    </font>
    <font>
      <sz val="18"/>
      <color theme="1"/>
      <name val="Calibri"/>
      <family val="2"/>
      <scheme val="minor"/>
    </font>
    <font>
      <sz val="18"/>
      <color theme="1"/>
      <name val="Times New Roman"/>
      <family val="1"/>
    </font>
    <font>
      <b/>
      <sz val="14"/>
      <color rgb="FFFF0000"/>
      <name val="Calibri"/>
      <family val="2"/>
      <scheme val="minor"/>
    </font>
    <font>
      <sz val="16"/>
      <color rgb="FFFF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3" tint="-0.249977111117893"/>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99"/>
        <bgColor indexed="64" tint="1"/>
      </patternFill>
    </fill>
    <fill>
      <patternFill patternType="solid">
        <fgColor theme="9" tint="0.59999389629810485"/>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2" fillId="0" borderId="0"/>
  </cellStyleXfs>
  <cellXfs count="150">
    <xf numFmtId="0" fontId="0" fillId="0" borderId="0" xfId="0"/>
    <xf numFmtId="0" fontId="0" fillId="0" borderId="0" xfId="0"/>
    <xf numFmtId="0" fontId="4" fillId="0" borderId="1" xfId="0" applyFont="1" applyFill="1" applyBorder="1" applyAlignment="1">
      <alignment horizontal="left" vertical="center"/>
    </xf>
    <xf numFmtId="14" fontId="4" fillId="0" borderId="1" xfId="0" applyNumberFormat="1" applyFont="1" applyFill="1" applyBorder="1" applyAlignment="1">
      <alignment horizontal="left" vertical="center"/>
    </xf>
    <xf numFmtId="14" fontId="3" fillId="0" borderId="1" xfId="0" applyNumberFormat="1" applyFont="1" applyFill="1" applyBorder="1" applyAlignment="1">
      <alignment horizontal="left" vertical="center"/>
    </xf>
    <xf numFmtId="0" fontId="4" fillId="0" borderId="0" xfId="0" applyFont="1" applyFill="1" applyAlignment="1">
      <alignment horizontal="left"/>
    </xf>
    <xf numFmtId="0" fontId="4" fillId="0" borderId="1" xfId="0" applyFont="1" applyFill="1" applyBorder="1" applyAlignment="1">
      <alignment horizontal="left" vertical="center" wrapText="1"/>
    </xf>
    <xf numFmtId="0" fontId="4" fillId="0" borderId="0" xfId="0" applyFont="1" applyFill="1" applyAlignment="1">
      <alignment horizontal="left" wrapText="1"/>
    </xf>
    <xf numFmtId="14" fontId="4" fillId="0" borderId="1" xfId="0" applyNumberFormat="1" applyFont="1" applyFill="1" applyBorder="1" applyAlignment="1">
      <alignment horizontal="left" vertical="center" wrapText="1"/>
    </xf>
    <xf numFmtId="164" fontId="4" fillId="0" borderId="1" xfId="0" applyNumberFormat="1"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14" fontId="3" fillId="3" borderId="1" xfId="0" applyNumberFormat="1" applyFont="1" applyFill="1" applyBorder="1" applyAlignment="1">
      <alignment horizontal="left" vertical="center"/>
    </xf>
    <xf numFmtId="1" fontId="3" fillId="3" borderId="1" xfId="0" applyNumberFormat="1" applyFont="1" applyFill="1" applyBorder="1" applyAlignment="1">
      <alignment horizontal="left" vertical="center"/>
    </xf>
    <xf numFmtId="0" fontId="4" fillId="3" borderId="1" xfId="0" applyFont="1" applyFill="1" applyBorder="1" applyAlignment="1">
      <alignment horizontal="left" vertical="center"/>
    </xf>
    <xf numFmtId="0" fontId="4" fillId="0" borderId="1" xfId="0" applyFont="1" applyFill="1" applyBorder="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2" xfId="0" applyBorder="1" applyAlignment="1">
      <alignment horizontal="center"/>
    </xf>
    <xf numFmtId="0" fontId="4" fillId="0" borderId="0" xfId="0" applyFont="1" applyFill="1" applyBorder="1" applyAlignment="1">
      <alignment horizontal="left" vertical="center" wrapText="1"/>
    </xf>
    <xf numFmtId="14" fontId="4" fillId="0" borderId="0" xfId="0" applyNumberFormat="1" applyFont="1" applyFill="1" applyBorder="1" applyAlignment="1">
      <alignment horizontal="left" vertical="center" wrapText="1"/>
    </xf>
    <xf numFmtId="0" fontId="0" fillId="0" borderId="0" xfId="0" pivotButton="1"/>
    <xf numFmtId="0" fontId="0" fillId="0" borderId="0" xfId="0" applyNumberFormat="1"/>
    <xf numFmtId="0" fontId="0" fillId="0" borderId="2" xfId="0" applyBorder="1"/>
    <xf numFmtId="0" fontId="0" fillId="0" borderId="2" xfId="0" applyBorder="1" applyAlignment="1">
      <alignment wrapText="1"/>
    </xf>
    <xf numFmtId="0" fontId="0" fillId="0" borderId="0" xfId="0" applyAlignment="1">
      <alignment wrapText="1"/>
    </xf>
    <xf numFmtId="0" fontId="0" fillId="0" borderId="0" xfId="0" applyBorder="1"/>
    <xf numFmtId="0" fontId="4" fillId="0" borderId="0" xfId="0" applyFont="1" applyFill="1" applyBorder="1" applyAlignment="1">
      <alignment horizontal="center" vertical="center" wrapText="1"/>
    </xf>
    <xf numFmtId="14" fontId="4" fillId="0" borderId="0" xfId="0"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14" fontId="4" fillId="0" borderId="1" xfId="0" applyNumberFormat="1" applyFont="1" applyFill="1" applyBorder="1" applyAlignment="1">
      <alignment horizontal="center" vertical="center" wrapText="1"/>
    </xf>
    <xf numFmtId="0" fontId="0" fillId="0" borderId="2" xfId="0" applyNumberFormat="1" applyBorder="1" applyAlignment="1">
      <alignment horizontal="center"/>
    </xf>
    <xf numFmtId="0" fontId="0" fillId="0" borderId="2" xfId="0" applyBorder="1" applyAlignment="1">
      <alignment horizontal="center" wrapText="1"/>
    </xf>
    <xf numFmtId="14" fontId="0" fillId="0" borderId="2" xfId="0" applyNumberFormat="1" applyBorder="1" applyAlignment="1">
      <alignment horizontal="center"/>
    </xf>
    <xf numFmtId="164" fontId="0" fillId="0" borderId="2" xfId="0" applyNumberFormat="1" applyBorder="1" applyAlignment="1">
      <alignment horizontal="center"/>
    </xf>
    <xf numFmtId="1" fontId="4" fillId="0" borderId="0" xfId="0" applyNumberFormat="1" applyFont="1" applyFill="1" applyBorder="1" applyAlignment="1">
      <alignment horizontal="left" vertical="center" wrapText="1"/>
    </xf>
    <xf numFmtId="0" fontId="5" fillId="0" borderId="0" xfId="0" applyFont="1" applyFill="1" applyBorder="1" applyAlignment="1">
      <alignment horizontal="left" vertical="center" wrapText="1"/>
    </xf>
    <xf numFmtId="22" fontId="0" fillId="0" borderId="0" xfId="0" applyNumberFormat="1"/>
    <xf numFmtId="0" fontId="6" fillId="0" borderId="0" xfId="0" applyFont="1"/>
    <xf numFmtId="0" fontId="6" fillId="0" borderId="2" xfId="0" applyFont="1" applyBorder="1"/>
    <xf numFmtId="0" fontId="6" fillId="0" borderId="0" xfId="0" applyFont="1" applyBorder="1" applyAlignment="1"/>
    <xf numFmtId="0" fontId="6" fillId="0" borderId="0" xfId="0" applyFont="1" applyBorder="1"/>
    <xf numFmtId="0" fontId="6" fillId="0" borderId="0" xfId="0" applyFont="1" applyBorder="1" applyAlignment="1">
      <alignment horizontal="center"/>
    </xf>
    <xf numFmtId="0" fontId="6" fillId="0" borderId="4" xfId="0" applyFont="1" applyBorder="1" applyAlignment="1"/>
    <xf numFmtId="0" fontId="6" fillId="0" borderId="5" xfId="0" applyFont="1" applyBorder="1" applyAlignment="1"/>
    <xf numFmtId="0" fontId="6" fillId="0" borderId="7" xfId="0" applyFont="1" applyBorder="1" applyAlignment="1"/>
    <xf numFmtId="0" fontId="6" fillId="0" borderId="9" xfId="0" applyFont="1" applyBorder="1" applyAlignment="1"/>
    <xf numFmtId="0" fontId="6" fillId="0" borderId="10" xfId="0" applyFont="1" applyBorder="1" applyAlignment="1"/>
    <xf numFmtId="0" fontId="6" fillId="0" borderId="0" xfId="0" applyFont="1" applyAlignment="1">
      <alignment vertical="top"/>
    </xf>
    <xf numFmtId="0" fontId="8" fillId="0" borderId="0" xfId="0" applyFont="1"/>
    <xf numFmtId="0" fontId="0" fillId="0" borderId="9" xfId="0" applyBorder="1"/>
    <xf numFmtId="0" fontId="9" fillId="0" borderId="0" xfId="0" applyFont="1"/>
    <xf numFmtId="0" fontId="9" fillId="0" borderId="2" xfId="0" applyFont="1" applyBorder="1" applyAlignment="1">
      <alignment horizontal="left"/>
    </xf>
    <xf numFmtId="0" fontId="10" fillId="0" borderId="2" xfId="0" applyFont="1" applyBorder="1" applyAlignment="1">
      <alignment horizontal="left"/>
    </xf>
    <xf numFmtId="22" fontId="10" fillId="0" borderId="2" xfId="0" applyNumberFormat="1" applyFont="1" applyBorder="1" applyAlignment="1">
      <alignment horizontal="left"/>
    </xf>
    <xf numFmtId="0" fontId="10" fillId="0" borderId="3" xfId="0" applyFont="1" applyBorder="1" applyAlignment="1">
      <alignment horizontal="left"/>
    </xf>
    <xf numFmtId="0" fontId="10" fillId="0" borderId="6" xfId="0" applyFont="1" applyBorder="1" applyAlignment="1">
      <alignment horizontal="left"/>
    </xf>
    <xf numFmtId="0" fontId="10" fillId="0" borderId="8" xfId="0" applyFont="1" applyBorder="1" applyAlignment="1">
      <alignment horizontal="left"/>
    </xf>
    <xf numFmtId="0" fontId="12" fillId="0" borderId="11" xfId="0" applyFont="1" applyFill="1" applyBorder="1" applyAlignment="1">
      <alignment horizontal="center" vertical="top" wrapText="1"/>
    </xf>
    <xf numFmtId="0" fontId="7" fillId="0" borderId="13" xfId="0" applyFont="1" applyFill="1" applyBorder="1" applyAlignment="1">
      <alignment horizontal="center" vertical="top" wrapText="1"/>
    </xf>
    <xf numFmtId="0" fontId="13" fillId="0" borderId="11" xfId="0" applyFont="1" applyFill="1" applyBorder="1" applyAlignment="1">
      <alignment horizontal="left" vertical="top" wrapText="1"/>
    </xf>
    <xf numFmtId="0" fontId="7" fillId="0" borderId="13" xfId="0" applyFont="1" applyFill="1" applyBorder="1" applyAlignment="1">
      <alignment vertical="top" wrapText="1"/>
    </xf>
    <xf numFmtId="0" fontId="6" fillId="0" borderId="13" xfId="0" applyFont="1" applyFill="1" applyBorder="1" applyAlignment="1"/>
    <xf numFmtId="0" fontId="13" fillId="0" borderId="11" xfId="0" applyFont="1" applyFill="1" applyBorder="1" applyAlignment="1">
      <alignment horizontal="centerContinuous" vertical="top" wrapText="1"/>
    </xf>
    <xf numFmtId="0" fontId="7" fillId="0" borderId="13" xfId="0" applyFont="1" applyFill="1" applyBorder="1" applyAlignment="1">
      <alignment horizontal="centerContinuous" vertical="top" wrapText="1"/>
    </xf>
    <xf numFmtId="22" fontId="10" fillId="0" borderId="11" xfId="0" applyNumberFormat="1" applyFont="1" applyFill="1" applyBorder="1" applyAlignment="1">
      <alignment horizontal="left"/>
    </xf>
    <xf numFmtId="0" fontId="11" fillId="0" borderId="0" xfId="0" applyFont="1"/>
    <xf numFmtId="0" fontId="14" fillId="0" borderId="0" xfId="0" applyFont="1"/>
    <xf numFmtId="0" fontId="6" fillId="0" borderId="0" xfId="0" applyFont="1" applyFill="1" applyBorder="1" applyAlignment="1"/>
    <xf numFmtId="0" fontId="16" fillId="0" borderId="0" xfId="0" applyFont="1"/>
    <xf numFmtId="0" fontId="16" fillId="0" borderId="0" xfId="0" applyFont="1" applyBorder="1" applyAlignment="1"/>
    <xf numFmtId="0" fontId="16" fillId="0" borderId="0" xfId="0" applyFont="1" applyBorder="1"/>
    <xf numFmtId="0" fontId="5" fillId="0" borderId="1" xfId="0" applyFont="1" applyFill="1" applyBorder="1" applyAlignment="1">
      <alignment horizontal="left" vertical="center" wrapText="1"/>
    </xf>
    <xf numFmtId="0" fontId="4" fillId="0" borderId="14" xfId="0" applyFont="1" applyFill="1" applyBorder="1" applyAlignment="1">
      <alignment horizontal="center" vertical="center"/>
    </xf>
    <xf numFmtId="14" fontId="4" fillId="0" borderId="14" xfId="0" applyNumberFormat="1" applyFont="1" applyFill="1" applyBorder="1" applyAlignment="1">
      <alignment horizontal="center" vertical="center"/>
    </xf>
    <xf numFmtId="14" fontId="3" fillId="7" borderId="14" xfId="0" applyNumberFormat="1" applyFont="1" applyFill="1" applyBorder="1" applyAlignment="1">
      <alignment horizontal="center" vertical="center"/>
    </xf>
    <xf numFmtId="1" fontId="3" fillId="7" borderId="14" xfId="0" applyNumberFormat="1" applyFont="1" applyFill="1" applyBorder="1" applyAlignment="1">
      <alignment horizontal="center" vertical="center" wrapText="1"/>
    </xf>
    <xf numFmtId="14" fontId="3" fillId="9" borderId="14" xfId="0" applyNumberFormat="1" applyFont="1" applyFill="1" applyBorder="1" applyAlignment="1">
      <alignment horizontal="center" vertical="center"/>
    </xf>
    <xf numFmtId="14" fontId="3" fillId="8" borderId="14" xfId="0" applyNumberFormat="1" applyFont="1" applyFill="1" applyBorder="1" applyAlignment="1">
      <alignment horizontal="center" vertical="center"/>
    </xf>
    <xf numFmtId="0" fontId="4" fillId="8" borderId="14" xfId="0" applyFont="1" applyFill="1" applyBorder="1" applyAlignment="1">
      <alignment horizontal="center" vertical="center"/>
    </xf>
    <xf numFmtId="0" fontId="4" fillId="10" borderId="14" xfId="0" applyFont="1" applyFill="1" applyBorder="1" applyAlignment="1">
      <alignment horizontal="center" vertical="center"/>
    </xf>
    <xf numFmtId="0" fontId="4" fillId="10" borderId="14" xfId="0" applyFont="1" applyFill="1" applyBorder="1" applyAlignment="1">
      <alignment horizontal="center" vertical="center" wrapText="1"/>
    </xf>
    <xf numFmtId="14" fontId="3" fillId="0" borderId="14" xfId="0" applyNumberFormat="1" applyFont="1" applyFill="1" applyBorder="1" applyAlignment="1">
      <alignment horizontal="center" vertical="center"/>
    </xf>
    <xf numFmtId="14" fontId="17" fillId="11" borderId="2" xfId="0" applyNumberFormat="1" applyFont="1" applyFill="1" applyBorder="1" applyAlignment="1">
      <alignment horizontal="center" vertical="center" wrapText="1"/>
    </xf>
    <xf numFmtId="0" fontId="17" fillId="4" borderId="2" xfId="0"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0" fillId="0" borderId="0" xfId="0" applyNumberFormat="1" applyAlignment="1">
      <alignment horizontal="center"/>
    </xf>
    <xf numFmtId="0" fontId="0" fillId="0" borderId="0" xfId="0" applyNumberFormat="1" applyAlignment="1">
      <alignment horizontal="center" wrapText="1"/>
    </xf>
    <xf numFmtId="0" fontId="0" fillId="0" borderId="0" xfId="0" pivotButton="1" applyAlignment="1">
      <alignment horizontal="center"/>
    </xf>
    <xf numFmtId="0" fontId="0" fillId="0" borderId="0" xfId="0" applyAlignment="1">
      <alignment horizontal="center" wrapText="1"/>
    </xf>
    <xf numFmtId="0"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13" borderId="0" xfId="0" applyFill="1" applyAlignment="1">
      <alignment horizontal="center"/>
    </xf>
    <xf numFmtId="0" fontId="17" fillId="9" borderId="11" xfId="0" applyFont="1" applyFill="1" applyBorder="1" applyAlignment="1">
      <alignment horizontal="center" vertical="center" wrapText="1"/>
    </xf>
    <xf numFmtId="0" fontId="4" fillId="9" borderId="14" xfId="0" applyFont="1" applyFill="1" applyBorder="1" applyAlignment="1">
      <alignment horizontal="center" vertical="center"/>
    </xf>
    <xf numFmtId="0" fontId="0" fillId="0" borderId="0" xfId="0" applyNumberFormat="1" applyBorder="1" applyAlignment="1">
      <alignment horizontal="center" wrapText="1"/>
    </xf>
    <xf numFmtId="0" fontId="18" fillId="0" borderId="0" xfId="0" applyFont="1"/>
    <xf numFmtId="0" fontId="11" fillId="6" borderId="11" xfId="0" applyFont="1" applyFill="1" applyBorder="1"/>
    <xf numFmtId="0" fontId="0" fillId="6" borderId="13" xfId="0" applyFill="1" applyBorder="1"/>
    <xf numFmtId="0" fontId="0" fillId="6" borderId="2" xfId="0" applyFill="1" applyBorder="1"/>
    <xf numFmtId="0" fontId="0" fillId="6" borderId="2" xfId="0" applyFill="1" applyBorder="1" applyAlignment="1">
      <alignment horizontal="center"/>
    </xf>
    <xf numFmtId="0" fontId="0" fillId="14" borderId="2" xfId="0" applyFill="1" applyBorder="1"/>
    <xf numFmtId="0" fontId="0" fillId="14" borderId="2" xfId="0" applyFill="1" applyBorder="1" applyAlignment="1">
      <alignment horizontal="center"/>
    </xf>
    <xf numFmtId="14" fontId="19" fillId="0" borderId="0" xfId="0" applyNumberFormat="1" applyFont="1" applyFill="1" applyBorder="1" applyAlignment="1">
      <alignment horizontal="center" wrapText="1"/>
    </xf>
    <xf numFmtId="0" fontId="20" fillId="0" borderId="0" xfId="0" applyFont="1" applyFill="1" applyBorder="1" applyAlignment="1">
      <alignment horizontal="left" wrapText="1"/>
    </xf>
    <xf numFmtId="0" fontId="21" fillId="0" borderId="0" xfId="0" applyFont="1"/>
    <xf numFmtId="0" fontId="15" fillId="5" borderId="2" xfId="0" applyFont="1" applyFill="1" applyBorder="1" applyAlignment="1">
      <alignment horizontal="left" vertical="top" wrapText="1"/>
    </xf>
    <xf numFmtId="0" fontId="4" fillId="8" borderId="14" xfId="0" applyFont="1" applyFill="1" applyBorder="1" applyAlignment="1">
      <alignment horizontal="center" vertical="center" wrapText="1"/>
    </xf>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14" fontId="17" fillId="12" borderId="2" xfId="0" applyNumberFormat="1" applyFont="1" applyFill="1" applyBorder="1" applyAlignment="1">
      <alignment horizontal="center" vertical="center" wrapText="1"/>
    </xf>
    <xf numFmtId="0" fontId="17" fillId="10" borderId="2" xfId="0" applyFont="1" applyFill="1" applyBorder="1" applyAlignment="1">
      <alignment horizontal="center" vertical="center" wrapText="1"/>
    </xf>
    <xf numFmtId="14" fontId="17" fillId="7" borderId="11" xfId="0" applyNumberFormat="1" applyFont="1" applyFill="1" applyBorder="1" applyAlignment="1">
      <alignment horizontal="center" vertical="center" wrapText="1"/>
    </xf>
    <xf numFmtId="14" fontId="17" fillId="7" borderId="12" xfId="0" applyNumberFormat="1" applyFont="1" applyFill="1" applyBorder="1" applyAlignment="1">
      <alignment horizontal="center" vertical="center" wrapText="1"/>
    </xf>
    <xf numFmtId="14" fontId="17" fillId="7" borderId="13" xfId="0" applyNumberFormat="1" applyFont="1" applyFill="1" applyBorder="1" applyAlignment="1">
      <alignment horizontal="center" vertical="center" wrapText="1"/>
    </xf>
    <xf numFmtId="0" fontId="17" fillId="4" borderId="11" xfId="0" applyFont="1" applyFill="1" applyBorder="1" applyAlignment="1">
      <alignment horizontal="center" vertical="center" wrapText="1"/>
    </xf>
    <xf numFmtId="0" fontId="17" fillId="4" borderId="12" xfId="0" applyFont="1" applyFill="1" applyBorder="1" applyAlignment="1">
      <alignment horizontal="center" vertical="center" wrapText="1"/>
    </xf>
    <xf numFmtId="0" fontId="17" fillId="4" borderId="13" xfId="0" applyFont="1" applyFill="1" applyBorder="1" applyAlignment="1">
      <alignment horizontal="center" vertical="center" wrapText="1"/>
    </xf>
    <xf numFmtId="14" fontId="10" fillId="0" borderId="11" xfId="0" applyNumberFormat="1"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6" fillId="6" borderId="3" xfId="0" applyFont="1" applyFill="1" applyBorder="1" applyAlignment="1">
      <alignment horizontal="left" vertical="top" wrapText="1"/>
    </xf>
    <xf numFmtId="0" fontId="6" fillId="6" borderId="4" xfId="0" applyFont="1" applyFill="1" applyBorder="1" applyAlignment="1">
      <alignment horizontal="left" vertical="top" wrapText="1"/>
    </xf>
    <xf numFmtId="0" fontId="6" fillId="6" borderId="5" xfId="0" applyFont="1" applyFill="1" applyBorder="1" applyAlignment="1">
      <alignment horizontal="left" vertical="top" wrapText="1"/>
    </xf>
    <xf numFmtId="0" fontId="6" fillId="6" borderId="6" xfId="0" applyFont="1" applyFill="1" applyBorder="1" applyAlignment="1">
      <alignment horizontal="left" vertical="top" wrapText="1"/>
    </xf>
    <xf numFmtId="0" fontId="6" fillId="6" borderId="0" xfId="0" applyFont="1" applyFill="1" applyBorder="1" applyAlignment="1">
      <alignment horizontal="left" vertical="top" wrapText="1"/>
    </xf>
    <xf numFmtId="0" fontId="6" fillId="6" borderId="7" xfId="0" applyFont="1" applyFill="1" applyBorder="1" applyAlignment="1">
      <alignment horizontal="left" vertical="top" wrapText="1"/>
    </xf>
    <xf numFmtId="0" fontId="6" fillId="6" borderId="8" xfId="0" applyFont="1" applyFill="1" applyBorder="1" applyAlignment="1">
      <alignment horizontal="left" vertical="top" wrapText="1"/>
    </xf>
    <xf numFmtId="0" fontId="6" fillId="6" borderId="9" xfId="0" applyFont="1" applyFill="1" applyBorder="1" applyAlignment="1">
      <alignment horizontal="left" vertical="top" wrapText="1"/>
    </xf>
    <xf numFmtId="0" fontId="6" fillId="6" borderId="10" xfId="0" applyFont="1" applyFill="1" applyBorder="1" applyAlignment="1">
      <alignment horizontal="left" vertical="top" wrapText="1"/>
    </xf>
    <xf numFmtId="0" fontId="9" fillId="0" borderId="0" xfId="0" applyFont="1" applyFill="1" applyAlignment="1">
      <alignment horizontal="right"/>
    </xf>
    <xf numFmtId="0" fontId="9" fillId="0" borderId="0" xfId="0" applyFont="1" applyFill="1" applyBorder="1" applyAlignment="1">
      <alignment horizontal="right"/>
    </xf>
    <xf numFmtId="0" fontId="0" fillId="6" borderId="11" xfId="0" applyFill="1" applyBorder="1" applyAlignment="1">
      <alignment horizontal="left"/>
    </xf>
    <xf numFmtId="0" fontId="0" fillId="6" borderId="13" xfId="0" applyFill="1" applyBorder="1" applyAlignment="1">
      <alignment horizontal="left"/>
    </xf>
    <xf numFmtId="0" fontId="7" fillId="0" borderId="0" xfId="0" applyFont="1" applyFill="1" applyBorder="1" applyAlignment="1">
      <alignment horizontal="right" vertical="top"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0" fillId="0" borderId="3" xfId="0" applyBorder="1"/>
    <xf numFmtId="0" fontId="0" fillId="0" borderId="8" xfId="0" applyBorder="1"/>
    <xf numFmtId="14" fontId="0" fillId="0" borderId="0" xfId="0" applyNumberFormat="1" applyAlignment="1">
      <alignment horizontal="center"/>
    </xf>
    <xf numFmtId="0" fontId="0" fillId="0" borderId="15" xfId="0" applyBorder="1" applyAlignment="1">
      <alignment horizontal="center"/>
    </xf>
    <xf numFmtId="14" fontId="0" fillId="0" borderId="15" xfId="0" applyNumberFormat="1" applyBorder="1" applyAlignment="1">
      <alignment horizontal="center"/>
    </xf>
    <xf numFmtId="0" fontId="0" fillId="0" borderId="15" xfId="0" applyBorder="1" applyAlignment="1">
      <alignment wrapText="1"/>
    </xf>
    <xf numFmtId="0" fontId="0" fillId="0" borderId="16" xfId="0" applyBorder="1" applyAlignment="1">
      <alignment horizontal="center"/>
    </xf>
    <xf numFmtId="0" fontId="0" fillId="0" borderId="16" xfId="0" applyBorder="1" applyAlignment="1">
      <alignment wrapText="1"/>
    </xf>
    <xf numFmtId="0" fontId="0" fillId="0" borderId="10" xfId="0" applyBorder="1" applyAlignment="1">
      <alignment horizontal="center"/>
    </xf>
    <xf numFmtId="0" fontId="0" fillId="13" borderId="13" xfId="0" applyFill="1" applyBorder="1" applyAlignment="1">
      <alignment horizontal="center"/>
    </xf>
    <xf numFmtId="0" fontId="0" fillId="0" borderId="11" xfId="0" applyBorder="1"/>
    <xf numFmtId="0" fontId="0" fillId="13" borderId="5" xfId="0" applyFill="1" applyBorder="1" applyAlignment="1">
      <alignment horizontal="center"/>
    </xf>
  </cellXfs>
  <cellStyles count="2">
    <cellStyle name="Normal" xfId="0" builtinId="0"/>
    <cellStyle name="Normal 2" xfId="1"/>
  </cellStyles>
  <dxfs count="264">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tint="1"/>
          <bgColor rgb="FFFFFF99"/>
        </patternFill>
      </fill>
      <alignment horizontal="center" vertical="bottom"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border>
        <left/>
        <right/>
        <top/>
        <bottom/>
        <vertical/>
        <horizontal/>
      </border>
    </dxf>
    <dxf>
      <border>
        <left/>
        <right/>
        <top/>
        <bottom/>
        <vertical/>
        <horizontal/>
      </border>
    </dxf>
    <dxf>
      <alignment horizontal="center" readingOrder="0"/>
    </dxf>
    <dxf>
      <alignment horizontal="center" readingOrder="0"/>
    </dxf>
    <dxf>
      <alignment horizontal="center" readingOrder="0"/>
    </dxf>
    <dxf>
      <alignment wrapText="1" readingOrder="0"/>
    </dxf>
    <dxf>
      <border>
        <horizontal style="thin">
          <color indexed="64"/>
        </horizontal>
      </border>
    </dxf>
    <dxf>
      <border>
        <vertical style="thin">
          <color indexed="64"/>
        </vertical>
      </border>
    </dxf>
    <dxf>
      <border>
        <right style="thin">
          <color indexed="64"/>
        </right>
      </border>
    </dxf>
    <dxf>
      <border>
        <bottom style="thin">
          <color indexed="64"/>
        </bottom>
      </border>
    </dxf>
    <dxf>
      <border>
        <top style="thin">
          <color indexed="64"/>
        </top>
      </border>
    </dxf>
    <dxf>
      <border>
        <left style="thin">
          <color indexed="64"/>
        </left>
      </border>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alignment horizontal="center" readingOrder="0"/>
    </dxf>
    <dxf>
      <alignment wrapText="1" readingOrder="0"/>
    </dxf>
    <dxf>
      <alignment wrapText="1" readingOrder="0"/>
    </dxf>
    <dxf>
      <alignment horizontal="center" readingOrder="0"/>
    </dxf>
    <dxf>
      <alignment horizontal="center" readingOrder="0"/>
    </dxf>
    <dxf>
      <alignment horizontal="center" readingOrder="0"/>
    </dxf>
    <dxf>
      <border>
        <left style="thin">
          <color auto="1"/>
        </left>
        <right style="thin">
          <color auto="1"/>
        </right>
        <top style="thin">
          <color auto="1"/>
        </top>
        <bottom style="thin">
          <color auto="1"/>
        </bottom>
        <vertical style="thin">
          <color auto="1"/>
        </vertical>
        <horizontal style="thin">
          <color auto="1"/>
        </horizontal>
      </border>
    </dxf>
    <dxf>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color theme="0"/>
      </font>
      <fill>
        <patternFill patternType="solid">
          <fgColor theme="1"/>
          <bgColor theme="1"/>
        </patternFill>
      </fill>
      <border>
        <left/>
        <right/>
        <vertical/>
      </border>
    </dxf>
    <dxf>
      <font>
        <color theme="1"/>
      </font>
      <fill>
        <patternFill patternType="solid">
          <fgColor theme="0" tint="-4.9989318521683403E-2"/>
          <bgColor theme="0" tint="-4.9989318521683403E-2"/>
        </patternFill>
      </fill>
      <border>
        <left style="thin">
          <color theme="0" tint="-0.14999847407452621"/>
        </left>
        <right style="thin">
          <color theme="0" tint="-0.14999847407452621"/>
        </right>
        <vertical style="thin">
          <color theme="0" tint="-0.14999847407452621"/>
        </vertical>
      </border>
    </dxf>
    <dxf>
      <fill>
        <patternFill>
          <bgColor theme="0" tint="-0.14996795556505021"/>
        </patternFill>
      </fill>
      <border diagonalUp="1">
        <left style="thin">
          <color auto="1"/>
        </left>
        <right style="thin">
          <color auto="1"/>
        </right>
        <top style="thin">
          <color auto="1"/>
        </top>
        <bottom style="thin">
          <color auto="1"/>
        </bottom>
        <diagonal style="thin">
          <color auto="1"/>
        </diagonal>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4" tint="0.79998168889431442"/>
        </patternFill>
      </fill>
    </dxf>
    <dxf>
      <fill>
        <patternFill>
          <bgColor theme="4" tint="0.79998168889431442"/>
        </patternFill>
      </fill>
    </dxf>
  </dxfs>
  <tableStyles count="3" defaultTableStyle="TableStyleMedium2" defaultPivotStyle="PivotTable Style 1">
    <tableStyle name="Arris_Pivot_Table_1" table="0" count="4">
      <tableStyleElement type="headerRow" dxfId="263"/>
      <tableStyleElement type="totalRow" dxfId="262"/>
      <tableStyleElement type="firstRowStripe" dxfId="261"/>
      <tableStyleElement type="secondRowStripe" dxfId="260"/>
    </tableStyle>
    <tableStyle name="ArrisPivot" table="0" count="13">
      <tableStyleElement type="wholeTable" dxfId="259"/>
      <tableStyleElement type="headerRow" dxfId="258"/>
      <tableStyleElement type="totalRow" dxfId="257"/>
      <tableStyleElement type="firstRowStripe" dxfId="256"/>
      <tableStyleElement type="firstColumnStripe" dxfId="255"/>
      <tableStyleElement type="firstSubtotalColumn" dxfId="254"/>
      <tableStyleElement type="firstSubtotalRow" dxfId="253"/>
      <tableStyleElement type="secondSubtotalRow" dxfId="252"/>
      <tableStyleElement type="firstRowSubheading" dxfId="251"/>
      <tableStyleElement type="secondRowSubheading" dxfId="250"/>
      <tableStyleElement type="thirdRowSubheading" dxfId="249"/>
      <tableStyleElement type="pageFieldLabels" dxfId="248"/>
      <tableStyleElement type="pageFieldValues" dxfId="247"/>
    </tableStyle>
    <tableStyle name="PivotTable Style 1" table="0" count="2">
      <tableStyleElement type="firstRowStripe" dxfId="246"/>
      <tableStyleElement type="secondRowStripe" dxfId="245"/>
    </tableStyle>
  </tableStyles>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221005</xdr:colOff>
      <xdr:row>0</xdr:row>
      <xdr:rowOff>222873</xdr:rowOff>
    </xdr:from>
    <xdr:to>
      <xdr:col>5</xdr:col>
      <xdr:colOff>211667</xdr:colOff>
      <xdr:row>1</xdr:row>
      <xdr:rowOff>275167</xdr:rowOff>
    </xdr:to>
    <xdr:sp macro="[0]!Pull_Data_From_Reports" textlink="">
      <xdr:nvSpPr>
        <xdr:cNvPr id="2" name="Rounded Rectangle 1"/>
        <xdr:cNvSpPr/>
      </xdr:nvSpPr>
      <xdr:spPr>
        <a:xfrm>
          <a:off x="1808505" y="222873"/>
          <a:ext cx="1874495" cy="4121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1. </a:t>
          </a:r>
          <a:r>
            <a:rPr lang="en-US" sz="1400" baseline="0"/>
            <a:t>Update Tracker</a:t>
          </a:r>
          <a:endParaRPr lang="en-US" sz="1400"/>
        </a:p>
      </xdr:txBody>
    </xdr:sp>
    <xdr:clientData/>
  </xdr:twoCellAnchor>
  <xdr:twoCellAnchor>
    <xdr:from>
      <xdr:col>5</xdr:col>
      <xdr:colOff>476251</xdr:colOff>
      <xdr:row>0</xdr:row>
      <xdr:rowOff>228971</xdr:rowOff>
    </xdr:from>
    <xdr:to>
      <xdr:col>7</xdr:col>
      <xdr:colOff>1354667</xdr:colOff>
      <xdr:row>1</xdr:row>
      <xdr:rowOff>275167</xdr:rowOff>
    </xdr:to>
    <xdr:sp macro="" textlink="">
      <xdr:nvSpPr>
        <xdr:cNvPr id="5" name="Rounded Rectangle 4"/>
        <xdr:cNvSpPr/>
      </xdr:nvSpPr>
      <xdr:spPr>
        <a:xfrm>
          <a:off x="3947584" y="228971"/>
          <a:ext cx="2487083" cy="406029"/>
        </a:xfrm>
        <a:prstGeom prst="roundRect">
          <a:avLst/>
        </a:prstGeom>
        <a:solidFill>
          <a:schemeClr val="accent3">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2. Fill In Supervisor</a:t>
          </a:r>
          <a:r>
            <a:rPr lang="en-US" sz="1400" baseline="0"/>
            <a:t> </a:t>
          </a:r>
          <a:r>
            <a:rPr lang="en-US" sz="1400"/>
            <a:t>Comments</a:t>
          </a:r>
        </a:p>
      </xdr:txBody>
    </xdr:sp>
    <xdr:clientData/>
  </xdr:twoCellAnchor>
  <xdr:twoCellAnchor>
    <xdr:from>
      <xdr:col>7</xdr:col>
      <xdr:colOff>1571623</xdr:colOff>
      <xdr:row>0</xdr:row>
      <xdr:rowOff>257297</xdr:rowOff>
    </xdr:from>
    <xdr:to>
      <xdr:col>18</xdr:col>
      <xdr:colOff>867833</xdr:colOff>
      <xdr:row>1</xdr:row>
      <xdr:rowOff>275167</xdr:rowOff>
    </xdr:to>
    <xdr:sp macro="[0]!Save_Comment_Status.Save_Comment_Status" textlink="">
      <xdr:nvSpPr>
        <xdr:cNvPr id="6" name="Rounded Rectangle 5"/>
        <xdr:cNvSpPr/>
      </xdr:nvSpPr>
      <xdr:spPr>
        <a:xfrm>
          <a:off x="6651623" y="257297"/>
          <a:ext cx="2450043" cy="3777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3. Save Supervisor Data to DB</a:t>
          </a:r>
        </a:p>
      </xdr:txBody>
    </xdr:sp>
    <xdr:clientData/>
  </xdr:twoCellAnchor>
  <xdr:twoCellAnchor>
    <xdr:from>
      <xdr:col>18</xdr:col>
      <xdr:colOff>1026585</xdr:colOff>
      <xdr:row>0</xdr:row>
      <xdr:rowOff>253378</xdr:rowOff>
    </xdr:from>
    <xdr:to>
      <xdr:col>25</xdr:col>
      <xdr:colOff>31751</xdr:colOff>
      <xdr:row>1</xdr:row>
      <xdr:rowOff>285750</xdr:rowOff>
    </xdr:to>
    <xdr:sp macro="[0]!Update_Workflow.Update_Workflow" textlink="">
      <xdr:nvSpPr>
        <xdr:cNvPr id="7" name="Rounded Rectangle 6"/>
        <xdr:cNvSpPr/>
      </xdr:nvSpPr>
      <xdr:spPr>
        <a:xfrm>
          <a:off x="9260418" y="253378"/>
          <a:ext cx="2465916" cy="39220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4.</a:t>
          </a:r>
          <a:r>
            <a:rPr lang="en-US" sz="1400" baseline="0"/>
            <a:t> Update Workflow</a:t>
          </a:r>
          <a:endParaRPr lang="en-US" sz="1400"/>
        </a:p>
      </xdr:txBody>
    </xdr:sp>
    <xdr:clientData/>
  </xdr:twoCellAnchor>
  <xdr:twoCellAnchor>
    <xdr:from>
      <xdr:col>25</xdr:col>
      <xdr:colOff>316440</xdr:colOff>
      <xdr:row>2</xdr:row>
      <xdr:rowOff>147420</xdr:rowOff>
    </xdr:from>
    <xdr:to>
      <xdr:col>26</xdr:col>
      <xdr:colOff>455084</xdr:colOff>
      <xdr:row>2</xdr:row>
      <xdr:rowOff>584449</xdr:rowOff>
    </xdr:to>
    <xdr:sp macro="" textlink="">
      <xdr:nvSpPr>
        <xdr:cNvPr id="8" name="Rounded Rectangle 7"/>
        <xdr:cNvSpPr/>
      </xdr:nvSpPr>
      <xdr:spPr>
        <a:xfrm>
          <a:off x="10677523" y="1417420"/>
          <a:ext cx="2265894" cy="4370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View Order Detail</a:t>
          </a:r>
        </a:p>
      </xdr:txBody>
    </xdr:sp>
    <xdr:clientData/>
  </xdr:twoCellAnchor>
  <xdr:twoCellAnchor>
    <xdr:from>
      <xdr:col>25</xdr:col>
      <xdr:colOff>258233</xdr:colOff>
      <xdr:row>0</xdr:row>
      <xdr:rowOff>268193</xdr:rowOff>
    </xdr:from>
    <xdr:to>
      <xdr:col>26</xdr:col>
      <xdr:colOff>194734</xdr:colOff>
      <xdr:row>1</xdr:row>
      <xdr:rowOff>285749</xdr:rowOff>
    </xdr:to>
    <xdr:sp macro="[0]!Update_Summary.Update_Summary" textlink="">
      <xdr:nvSpPr>
        <xdr:cNvPr id="9" name="Rounded Rectangle 8"/>
        <xdr:cNvSpPr/>
      </xdr:nvSpPr>
      <xdr:spPr>
        <a:xfrm>
          <a:off x="11952816" y="268193"/>
          <a:ext cx="2063751" cy="3773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5.</a:t>
          </a:r>
          <a:r>
            <a:rPr lang="en-US" sz="1400" baseline="0"/>
            <a:t> Update Summary</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1295400</xdr:colOff>
      <xdr:row>0</xdr:row>
      <xdr:rowOff>209550</xdr:rowOff>
    </xdr:from>
    <xdr:to>
      <xdr:col>15</xdr:col>
      <xdr:colOff>503144</xdr:colOff>
      <xdr:row>1</xdr:row>
      <xdr:rowOff>8404</xdr:rowOff>
    </xdr:to>
    <xdr:sp macro="[0]!Save_Return_To_Tracker" textlink="">
      <xdr:nvSpPr>
        <xdr:cNvPr id="2" name="Rounded Rectangle 1"/>
        <xdr:cNvSpPr/>
      </xdr:nvSpPr>
      <xdr:spPr>
        <a:xfrm>
          <a:off x="10687050" y="209550"/>
          <a:ext cx="2627219" cy="34177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aseline="0"/>
            <a:t>Return to Tracker</a:t>
          </a:r>
          <a:endParaRPr lang="en-US" sz="14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Peter Gunardi" refreshedDate="42671.611969560188" createdVersion="5" refreshedVersion="5" minRefreshableVersion="3" recordCount="1366">
  <cacheSource type="worksheet">
    <worksheetSource ref="A1:BA1048576" sheet="Open Order"/>
  </cacheSource>
  <cacheFields count="53">
    <cacheField name="ORG_CODE" numFmtId="0">
      <sharedItems containsBlank="1"/>
    </cacheField>
    <cacheField name="CUST_NO" numFmtId="0">
      <sharedItems containsBlank="1"/>
    </cacheField>
    <cacheField name="CUST_NAME" numFmtId="0">
      <sharedItems containsBlank="1"/>
    </cacheField>
    <cacheField name="CUST_LOCATION" numFmtId="0">
      <sharedItems containsBlank="1"/>
    </cacheField>
    <cacheField name="LOCATION" numFmtId="0">
      <sharedItems containsBlank="1"/>
    </cacheField>
    <cacheField name="SUBINVENTORY" numFmtId="0">
      <sharedItems containsBlank="1"/>
    </cacheField>
    <cacheField name="ADDRESS1" numFmtId="0">
      <sharedItems containsBlank="1"/>
    </cacheField>
    <cacheField name="ADDRESS2" numFmtId="0">
      <sharedItems containsBlank="1"/>
    </cacheField>
    <cacheField name="STATE" numFmtId="0">
      <sharedItems containsBlank="1"/>
    </cacheField>
    <cacheField name="CITY" numFmtId="0">
      <sharedItems containsBlank="1"/>
    </cacheField>
    <cacheField name="ZIP" numFmtId="0">
      <sharedItems containsBlank="1"/>
    </cacheField>
    <cacheField name="ITEM_NUMBER" numFmtId="0">
      <sharedItems containsBlank="1"/>
    </cacheField>
    <cacheField name="ITEM_DESCRIPTION" numFmtId="0">
      <sharedItems containsBlank="1"/>
    </cacheField>
    <cacheField name="ORDER_NO" numFmtId="0">
      <sharedItems containsBlank="1"/>
    </cacheField>
    <cacheField name="LINE_NO" numFmtId="0">
      <sharedItems containsBlank="1"/>
    </cacheField>
    <cacheField name="DELIVERY_ID" numFmtId="0">
      <sharedItems containsString="0" containsBlank="1" containsNumber="1" containsInteger="1" minValue="9726394" maxValue="9760528" count="2840">
        <n v="9760440"/>
        <n v="9759571"/>
        <n v="9760042"/>
        <n v="9759570"/>
        <n v="9760177"/>
        <n v="9755271"/>
        <n v="9760471"/>
        <n v="9759878"/>
        <n v="9759880"/>
        <n v="9756816"/>
        <n v="9759881"/>
        <n v="9760044"/>
        <n v="9760043"/>
        <n v="9756969"/>
        <n v="9759879"/>
        <n v="9758615"/>
        <n v="9758864"/>
        <n v="9758181"/>
        <n v="9758786"/>
        <n v="9759338"/>
        <n v="9752653"/>
        <n v="9758617"/>
        <n v="9759637"/>
        <n v="9758620"/>
        <n v="9756158"/>
        <n v="9759176"/>
        <n v="9759173"/>
        <n v="9757114"/>
        <n v="9759034"/>
        <n v="9760318"/>
        <n v="9758618"/>
        <n v="9759639"/>
        <n v="9759178"/>
        <n v="9759638"/>
        <n v="9759340"/>
        <n v="9759483"/>
        <n v="9760025"/>
        <n v="9760022"/>
        <n v="9760023"/>
        <n v="9760024"/>
        <n v="9760072"/>
        <n v="9758712"/>
        <n v="9760527"/>
        <n v="9757116"/>
        <n v="9757115"/>
        <n v="9757117"/>
        <n v="9759020"/>
        <n v="9760302"/>
        <n v="9760281"/>
        <n v="9759017"/>
        <n v="9760301"/>
        <n v="9759021"/>
        <n v="9754404"/>
        <n v="9760092"/>
        <n v="9757544"/>
        <n v="9757539"/>
        <n v="9760095"/>
        <n v="9760001"/>
        <n v="9760270"/>
        <n v="9759018"/>
        <n v="9760109"/>
        <n v="9760055"/>
        <n v="9760269"/>
        <n v="9760094"/>
        <n v="9760093"/>
        <n v="9760292"/>
        <n v="9760271"/>
        <n v="9760000"/>
        <n v="9760303"/>
        <n v="9760273"/>
        <n v="9758863"/>
        <n v="9760315"/>
        <n v="9760299"/>
        <n v="9760298"/>
        <n v="9759359"/>
        <n v="9760272"/>
        <n v="9759360"/>
        <n v="9760282"/>
        <n v="9759014"/>
        <n v="9760274"/>
        <n v="9759032"/>
        <n v="9760276"/>
        <n v="9760279"/>
        <n v="9751937"/>
        <n v="9760284"/>
        <n v="9760300"/>
        <n v="9760305"/>
        <n v="9760285"/>
        <n v="9760286"/>
        <n v="9760510"/>
        <n v="9760293"/>
        <n v="9760002"/>
        <n v="9760294"/>
        <n v="9760316"/>
        <n v="9760295"/>
        <n v="9757872"/>
        <n v="9760296"/>
        <n v="9758587"/>
        <n v="9759019"/>
        <n v="9758613"/>
        <n v="9757880"/>
        <n v="9759463"/>
        <n v="9759015"/>
        <n v="9760283"/>
        <n v="9760304"/>
        <n v="9760288"/>
        <n v="9760289"/>
        <n v="9759418"/>
        <n v="9759465"/>
        <n v="9757873"/>
        <n v="9760306"/>
        <n v="9757997"/>
        <n v="9759634"/>
        <n v="9760313"/>
        <n v="9757871"/>
        <n v="9759156"/>
        <n v="9760290"/>
        <n v="9757870"/>
        <n v="9760277"/>
        <n v="9760278"/>
        <n v="9750889"/>
        <n v="9759158"/>
        <n v="9760317"/>
        <n v="9759616"/>
        <n v="9759464"/>
        <n v="9758559"/>
        <n v="9760307"/>
        <n v="9759163"/>
        <n v="9758785"/>
        <n v="9759164"/>
        <n v="9759165"/>
        <n v="9755658"/>
        <n v="9758563"/>
        <n v="9758551"/>
        <n v="9759013"/>
        <n v="9760275"/>
        <n v="9753344"/>
        <n v="9758143"/>
        <n v="9759624"/>
        <n v="9753324"/>
        <n v="9759625"/>
        <n v="9759627"/>
        <n v="9760308"/>
        <n v="9759606"/>
        <n v="9759621"/>
        <n v="9759146"/>
        <n v="9759618"/>
        <n v="9760312"/>
        <n v="9760310"/>
        <n v="9760291"/>
        <n v="9758179"/>
        <n v="9760309"/>
        <n v="9758180"/>
        <n v="9759630"/>
        <n v="9760507"/>
        <n v="9756394"/>
        <n v="9759633"/>
        <n v="9759168"/>
        <n v="9757874"/>
        <n v="9759631"/>
        <n v="9760176"/>
        <n v="9759569"/>
        <n v="9756039"/>
        <n v="9760297"/>
        <n v="9760287"/>
        <n v="9759607"/>
        <n v="9759154"/>
        <n v="9758811"/>
        <n v="9759016"/>
        <n v="9758784"/>
        <n v="9758887"/>
        <n v="9759612"/>
        <n v="9759155"/>
        <n v="9760511"/>
        <n v="9759417"/>
        <n v="9759619"/>
        <n v="9759416"/>
        <n v="9760041"/>
        <n v="9760311"/>
        <n v="9760071"/>
        <n v="9759022"/>
        <n v="9759031"/>
        <n v="9759635"/>
        <n v="9756395"/>
        <n v="9758975"/>
        <n v="9757465"/>
        <n v="9760096"/>
        <n v="9759636"/>
        <n v="9758600"/>
        <n v="9758973"/>
        <n v="9758974"/>
        <n v="9754436"/>
        <n v="9760003"/>
        <n v="9760005"/>
        <n v="9759029"/>
        <n v="9760004"/>
        <n v="9760006"/>
        <n v="9760314"/>
        <n v="9759033"/>
        <n v="9754629"/>
        <n v="9759877"/>
        <n v="9760528"/>
        <n v="9756046"/>
        <n v="9759654"/>
        <n v="9755804"/>
        <n v="9755339"/>
        <n v="9756797"/>
        <n v="9760026"/>
        <n v="9752799"/>
        <n v="9758899"/>
        <n v="9757256"/>
        <n v="9760045"/>
        <n v="9759450"/>
        <n v="9759037"/>
        <n v="9760178"/>
        <n v="9758724"/>
        <n v="9758319"/>
        <n v="9758866"/>
        <n v="9760330"/>
        <n v="9760401"/>
        <n v="9758758"/>
        <n v="9758867"/>
        <n v="9754508"/>
        <n v="9754450"/>
        <n v="9758641"/>
        <n v="9760332"/>
        <n v="9754480"/>
        <n v="9760331"/>
        <n v="9759198"/>
        <n v="9753796"/>
        <n v="9759882"/>
        <n v="9760333"/>
        <n v="9759911"/>
        <n v="9758759"/>
        <n v="9756794"/>
        <n v="9760268"/>
        <n v="9760267"/>
        <n v="9754053"/>
        <n v="9756017"/>
        <n v="9749482"/>
        <n v="9760266"/>
        <n v="9759998"/>
        <n v="9760265"/>
        <n v="9759139"/>
        <n v="9758783"/>
        <n v="9759141"/>
        <n v="9759142"/>
        <n v="9754401"/>
        <n v="9758137"/>
        <n v="9754877"/>
        <n v="9759143"/>
        <n v="9755652"/>
        <n v="9759597"/>
        <n v="9759144"/>
        <n v="9760070"/>
        <n v="9760526"/>
        <n v="9760525"/>
        <n v="9753792"/>
        <n v="9759999"/>
        <n v="9760328"/>
        <n v="9759196"/>
        <n v="9759421"/>
        <n v="9759652"/>
        <n v="9760329"/>
        <n v="9758812"/>
        <n v="9758865"/>
        <n v="9760322"/>
        <n v="9760323"/>
        <n v="9756855"/>
        <n v="9757889"/>
        <n v="9758634"/>
        <n v="9759194"/>
        <n v="9756908"/>
        <n v="9757292"/>
        <n v="9759434"/>
        <n v="9759432"/>
        <n v="9759433"/>
        <n v="9760324"/>
        <n v="9759435"/>
        <n v="9759650"/>
        <n v="9759958"/>
        <n v="9760327"/>
        <n v="9760326"/>
        <n v="9756419"/>
        <n v="9760325"/>
        <n v="9758213"/>
        <n v="9758787"/>
        <n v="9759419"/>
        <n v="9754556"/>
        <n v="9759642"/>
        <n v="9758894"/>
        <n v="9758629"/>
        <n v="9759036"/>
        <n v="9755457"/>
        <n v="9759643"/>
        <n v="9760321"/>
        <n v="9759644"/>
        <n v="9758895"/>
        <n v="9759189"/>
        <n v="9759645"/>
        <n v="9758896"/>
        <n v="9756470"/>
        <n v="9759185"/>
        <n v="9757884"/>
        <n v="9758626"/>
        <n v="9759641"/>
        <n v="9757359"/>
        <n v="9760320"/>
        <n v="9759296"/>
        <n v="9757882"/>
        <n v="9758921"/>
        <n v="9759181"/>
        <n v="9758624"/>
        <n v="9759836"/>
        <n v="9758212"/>
        <n v="9759403"/>
        <n v="9759341"/>
        <n v="9760319"/>
        <n v="9759035"/>
        <n v="9755021"/>
        <n v="9758202"/>
        <n v="9760116"/>
        <n v="9760451"/>
        <n v="9759572"/>
        <n v="9759640"/>
        <n v="9759449"/>
        <n v="9757426"/>
        <n v="9758690"/>
        <n v="9760056"/>
        <n v="9760082"/>
        <n v="9760380"/>
        <n v="9760472"/>
        <n v="9754481"/>
        <n v="9756426"/>
        <n v="9755437"/>
        <n v="9759199"/>
        <n v="9758069"/>
        <n v="9759342"/>
        <n v="9759284"/>
        <n v="9759285"/>
        <n v="9758647"/>
        <n v="9758941"/>
        <n v="9759657"/>
        <n v="9760335"/>
        <n v="9759203"/>
        <n v="9758903"/>
        <n v="9760334"/>
        <n v="9759204"/>
        <n v="9759201"/>
        <n v="9760409"/>
        <n v="9757891"/>
        <n v="9757219"/>
        <n v="9757140"/>
        <n v="9759343"/>
        <n v="9758976"/>
        <n v="9755805"/>
        <n v="9759424"/>
        <n v="9758760"/>
        <n v="9759924"/>
        <n v="9759883"/>
        <n v="9759364"/>
        <n v="9759040"/>
        <n v="9755688"/>
        <n v="9755489"/>
        <n v="9759052"/>
        <n v="9755529"/>
        <n v="9759041"/>
        <n v="9755087"/>
        <n v="9756430"/>
        <n v="9756257"/>
        <n v="9759362"/>
        <n v="9760339"/>
        <n v="9759053"/>
        <n v="9757144"/>
        <n v="9755986"/>
        <n v="9759363"/>
        <n v="9754637"/>
        <n v="9759042"/>
        <n v="9760341"/>
        <n v="9760336"/>
        <n v="9759344"/>
        <n v="9760340"/>
        <n v="9755532"/>
        <n v="9759578"/>
        <n v="9756078"/>
        <n v="9759575"/>
        <n v="9759576"/>
        <n v="9758656"/>
        <n v="9759659"/>
        <n v="9760342"/>
        <n v="9753814"/>
        <n v="9754137"/>
        <n v="9755530"/>
        <n v="9759425"/>
        <n v="9760337"/>
        <n v="9759573"/>
        <n v="9759577"/>
        <n v="9759044"/>
        <n v="9759043"/>
        <n v="9759574"/>
        <n v="9760179"/>
        <n v="9759045"/>
        <n v="9757234"/>
        <n v="9757233"/>
        <n v="9759046"/>
        <n v="9753909"/>
        <n v="9760344"/>
        <n v="9759047"/>
        <n v="9759048"/>
        <n v="9759426"/>
        <n v="9756259"/>
        <n v="9758942"/>
        <n v="9759050"/>
        <n v="9759049"/>
        <n v="9759051"/>
        <n v="9759205"/>
        <n v="9760343"/>
        <n v="9760338"/>
        <n v="9756256"/>
        <n v="9760345"/>
        <n v="9759380"/>
        <n v="9759063"/>
        <n v="9759064"/>
        <n v="9759477"/>
        <n v="9759925"/>
        <n v="9759962"/>
        <n v="9760083"/>
        <n v="9760347"/>
        <n v="9760348"/>
        <n v="9760349"/>
        <n v="9759060"/>
        <n v="9756435"/>
        <n v="9753498"/>
        <n v="9759062"/>
        <n v="9760007"/>
        <n v="9759437"/>
        <n v="9759345"/>
        <n v="9756856"/>
        <n v="9760523"/>
        <n v="9759210"/>
        <n v="9759436"/>
        <n v="9759055"/>
        <n v="9759061"/>
        <n v="9753496"/>
        <n v="9760346"/>
        <n v="9759660"/>
        <n v="9759067"/>
        <n v="9760110"/>
        <n v="9759065"/>
        <n v="9759066"/>
        <n v="9760350"/>
        <n v="9754563"/>
        <n v="9759217"/>
        <n v="9759218"/>
        <n v="9758793"/>
        <n v="9759214"/>
        <n v="9758950"/>
        <n v="9758795"/>
        <n v="9758951"/>
        <n v="9758796"/>
        <n v="9759216"/>
        <n v="9759261"/>
        <n v="9759580"/>
        <n v="9757894"/>
        <n v="9758943"/>
        <n v="9756264"/>
        <n v="9759664"/>
        <n v="9759579"/>
        <n v="9760441"/>
        <n v="9760351"/>
        <n v="9757315"/>
        <n v="9758506"/>
        <n v="9759665"/>
        <n v="9758184"/>
        <n v="9757670"/>
        <n v="9760027"/>
        <n v="9757335"/>
        <n v="9758507"/>
        <n v="9759223"/>
        <n v="9756438"/>
        <n v="9759224"/>
        <n v="9757275"/>
        <n v="9759225"/>
        <n v="9757811"/>
        <n v="9757151"/>
        <n v="9759365"/>
        <n v="9754496"/>
        <n v="9760008"/>
        <n v="9755004"/>
        <n v="9755806"/>
        <n v="9759322"/>
        <n v="9756806"/>
        <n v="9760352"/>
        <m/>
        <n v="9748221" u="1"/>
        <n v="9748277" u="1"/>
        <n v="9748285" u="1"/>
        <n v="9748293" u="1"/>
        <n v="9748301" u="1"/>
        <n v="9748309" u="1"/>
        <n v="9748317" u="1"/>
        <n v="9748325" u="1"/>
        <n v="9748333" u="1"/>
        <n v="9748341" u="1"/>
        <n v="9748349" u="1"/>
        <n v="9748437" u="1"/>
        <n v="9748477" u="1"/>
        <n v="9746342" u="1"/>
        <n v="9746358" u="1"/>
        <n v="9746366" u="1"/>
        <n v="9746374" u="1"/>
        <n v="9746382" u="1"/>
        <n v="9748669" u="1"/>
        <n v="9748685" u="1"/>
        <n v="9748837" u="1"/>
        <n v="9748917" u="1"/>
        <n v="9748925" u="1"/>
        <n v="9748933" u="1"/>
        <n v="9748941" u="1"/>
        <n v="9746814" u="1"/>
        <n v="9746838" u="1"/>
        <n v="9746886" u="1"/>
        <n v="9746894" u="1"/>
        <n v="9749141" u="1"/>
        <n v="9747006" u="1"/>
        <n v="9749181" u="1"/>
        <n v="9747086" u="1"/>
        <n v="9747142" u="1"/>
        <n v="9747150" u="1"/>
        <n v="9747174" u="1"/>
        <n v="9747238" u="1"/>
        <n v="9747334" u="1"/>
        <n v="9747342" u="1"/>
        <n v="9749613" u="1"/>
        <n v="9747454" u="1"/>
        <n v="9747462" u="1"/>
        <n v="9747470" u="1"/>
        <n v="9747478" u="1"/>
        <n v="9747486" u="1"/>
        <n v="9747494" u="1"/>
        <n v="9747502" u="1"/>
        <n v="9747510" u="1"/>
        <n v="9747518" u="1"/>
        <n v="9747526" u="1"/>
        <n v="9749853" u="1"/>
        <n v="9747950" u="1"/>
        <n v="9748038" u="1"/>
        <n v="9748062" u="1"/>
        <n v="9750357" u="1"/>
        <n v="9748222" u="1"/>
        <n v="9750405" u="1"/>
        <n v="9748278" u="1"/>
        <n v="9748286" u="1"/>
        <n v="9748294" u="1"/>
        <n v="9748302" u="1"/>
        <n v="9748310" u="1"/>
        <n v="9748318" u="1"/>
        <n v="9748326" u="1"/>
        <n v="9750501" u="1"/>
        <n v="9748334" u="1"/>
        <n v="9750509" u="1"/>
        <n v="9748342" u="1"/>
        <n v="9748350" u="1"/>
        <n v="9750573" u="1"/>
        <n v="9750581" u="1"/>
        <n v="9750589" u="1"/>
        <n v="9748438" u="1"/>
        <n v="9748478" u="1"/>
        <n v="9750709" u="1"/>
        <n v="9748670" u="1"/>
        <n v="9748686" u="1"/>
        <n v="9751005" u="1"/>
        <n v="9748838" u="1"/>
        <n v="9751013" u="1"/>
        <n v="9748918" u="1"/>
        <n v="9748926" u="1"/>
        <n v="9748934" u="1"/>
        <n v="9748942" u="1"/>
        <n v="9751117" u="1"/>
        <n v="9751125" u="1"/>
        <n v="9751141" u="1"/>
        <n v="9751149" u="1"/>
        <n v="9751157" u="1"/>
        <n v="9749078" u="1"/>
        <n v="9751341" u="1"/>
        <n v="9749182" u="1"/>
        <n v="9751605" u="1"/>
        <n v="9749614" u="1"/>
        <n v="9751869" u="1"/>
        <n v="9751885" u="1"/>
        <n v="9751933" u="1"/>
        <n v="9751941" u="1"/>
        <n v="9751949" u="1"/>
        <n v="9751957" u="1"/>
        <n v="9751973" u="1"/>
        <n v="9751981" u="1"/>
        <n v="9749846" u="1"/>
        <n v="9752141" u="1"/>
        <n v="9752181" u="1"/>
        <n v="9750038" u="1"/>
        <n v="9752357" u="1"/>
        <n v="9752397" u="1"/>
        <n v="9752421" u="1"/>
        <n v="9750358" u="1"/>
        <n v="9752581" u="1"/>
        <n v="9752589" u="1"/>
        <n v="9752597" u="1"/>
        <n v="9752661" u="1"/>
        <n v="9750502" u="1"/>
        <n v="9750510" u="1"/>
        <n v="9750574" u="1"/>
        <n v="9750582" u="1"/>
        <n v="9750590" u="1"/>
        <n v="9752837" u="1"/>
        <n v="9753005" u="1"/>
        <n v="9750862" u="1"/>
        <n v="9751006" u="1"/>
        <n v="9751014" u="1"/>
        <n v="9751118" u="1"/>
        <n v="9751126" u="1"/>
        <n v="9751134" u="1"/>
        <n v="9751142" u="1"/>
        <n v="9751150" u="1"/>
        <n v="9753325" u="1"/>
        <n v="9751158" u="1"/>
        <n v="9753365" u="1"/>
        <n v="9753389" u="1"/>
        <n v="9753405" u="1"/>
        <n v="9753413" u="1"/>
        <n v="9753421" u="1"/>
        <n v="9753493" u="1"/>
        <n v="9753501" u="1"/>
        <n v="9753589" u="1"/>
        <n v="9726912" u="1"/>
        <n v="9753629" u="1"/>
        <n v="9751470" u="1"/>
        <n v="9751606" u="1"/>
        <n v="9753813" u="1"/>
        <n v="9753837" u="1"/>
        <n v="9753853" u="1"/>
        <n v="9753973" u="1"/>
        <n v="9751886" u="1"/>
        <n v="9754061" u="1"/>
        <n v="9754093" u="1"/>
        <n v="9751934" u="1"/>
        <n v="9751942" u="1"/>
        <n v="9751950" u="1"/>
        <n v="9751958" u="1"/>
        <n v="9754133" u="1"/>
        <n v="9751966" u="1"/>
        <n v="9754141" u="1"/>
        <n v="9751974" u="1"/>
        <n v="9751982" u="1"/>
        <n v="9754157" u="1"/>
        <n v="9754165" u="1"/>
        <n v="9754173" u="1"/>
        <n v="9754205" u="1"/>
        <n v="9752142" u="1"/>
        <n v="9754405" u="1"/>
        <n v="9754413" u="1"/>
        <n v="9754421" u="1"/>
        <n v="9754429" u="1"/>
        <n v="9754437" u="1"/>
        <n v="9754445" u="1"/>
        <n v="9754461" u="1"/>
        <n v="9754469" u="1"/>
        <n v="9754477" u="1"/>
        <n v="9754485" u="1"/>
        <n v="9754493" u="1"/>
        <n v="9752334" u="1"/>
        <n v="9754509" u="1"/>
        <n v="9754517" u="1"/>
        <n v="9754525" u="1"/>
        <n v="9752358" u="1"/>
        <n v="9754533" u="1"/>
        <n v="9754541" u="1"/>
        <n v="9754549" u="1"/>
        <n v="9754557" u="1"/>
        <n v="9754573" u="1"/>
        <n v="9752422" u="1"/>
        <n v="9754613" u="1"/>
        <n v="9754621" u="1"/>
        <n v="9752462" u="1"/>
        <n v="9754693" u="1"/>
        <n v="9754701" u="1"/>
        <n v="9754709" u="1"/>
        <n v="9754717" u="1"/>
        <n v="9754725" u="1"/>
        <n v="9754733" u="1"/>
        <n v="9754741" u="1"/>
        <n v="9754749" u="1"/>
        <n v="9752582" u="1"/>
        <n v="9754757" u="1"/>
        <n v="9752590" u="1"/>
        <n v="9752598" u="1"/>
        <n v="9752654" u="1"/>
        <n v="9752662" u="1"/>
        <n v="9752766" u="1"/>
        <n v="9754941" u="1"/>
        <n v="9752798" u="1"/>
        <n v="9752838" u="1"/>
        <n v="9755013" u="1"/>
        <n v="9755077" u="1"/>
        <n v="9755085" u="1"/>
        <n v="9752958" u="1"/>
        <n v="9753006" u="1"/>
        <n v="9755181" u="1"/>
        <n v="9755189" u="1"/>
        <n v="9755197" u="1"/>
        <n v="9755205" u="1"/>
        <n v="9755213" u="1"/>
        <n v="9755301" u="1"/>
        <n v="9755381" u="1"/>
        <n v="9755453" u="1"/>
        <n v="9755461" u="1"/>
        <n v="9753310" u="1"/>
        <n v="9755485" u="1"/>
        <n v="9755501" u="1"/>
        <n v="9755517" u="1"/>
        <n v="9755525" u="1"/>
        <n v="9753390" u="1"/>
        <n v="9753406" u="1"/>
        <n v="9753414" u="1"/>
        <n v="9753422" u="1"/>
        <n v="9755653" u="1"/>
        <n v="9755661" u="1"/>
        <n v="9753494" u="1"/>
        <n v="9755669" u="1"/>
        <n v="9753502" u="1"/>
        <n v="9755677" u="1"/>
        <n v="9755685" u="1"/>
        <n v="9755693" u="1"/>
        <n v="9755733" u="1"/>
        <n v="9755797" u="1"/>
        <n v="9755917" u="1"/>
        <n v="9755965" u="1"/>
        <n v="9755973" u="1"/>
        <n v="9755981" u="1"/>
        <n v="9755989" u="1"/>
        <n v="9753838" u="1"/>
        <n v="9756021" u="1"/>
        <n v="9753854" u="1"/>
        <n v="9756037" u="1"/>
        <n v="9756045" u="1"/>
        <n v="9756077" u="1"/>
        <n v="9753910" u="1"/>
        <n v="9756149" u="1"/>
        <n v="9756157" u="1"/>
        <n v="9756181" u="1"/>
        <n v="9756197" u="1"/>
        <n v="9754030" u="1"/>
        <n v="9754054" u="1"/>
        <n v="9754062" u="1"/>
        <n v="9756245" u="1"/>
        <n v="9756253" u="1"/>
        <n v="9756261" u="1"/>
        <n v="9754094" u="1"/>
        <n v="9754134" u="1"/>
        <n v="9754158" u="1"/>
        <n v="9754166" u="1"/>
        <n v="9754174" u="1"/>
        <n v="9756373" u="1"/>
        <n v="9756381" u="1"/>
        <n v="9756389" u="1"/>
        <n v="9756397" u="1"/>
        <n v="9756405" u="1"/>
        <n v="9756413" u="1"/>
        <n v="9756421" u="1"/>
        <n v="9756429" u="1"/>
        <n v="9756437" u="1"/>
        <n v="9756501" u="1"/>
        <n v="9756517" u="1"/>
        <n v="9756549" u="1"/>
        <n v="9754406" u="1"/>
        <n v="9756581" u="1"/>
        <n v="9754414" u="1"/>
        <n v="9756589" u="1"/>
        <n v="9754422" u="1"/>
        <n v="9756597" u="1"/>
        <n v="9754430" u="1"/>
        <n v="9754438" u="1"/>
        <n v="9756613" u="1"/>
        <n v="9754446" u="1"/>
        <n v="9756621" u="1"/>
        <n v="9756629" u="1"/>
        <n v="9754462" u="1"/>
        <n v="9756637" u="1"/>
        <n v="9754470" u="1"/>
        <n v="9754478" u="1"/>
        <n v="9754486" u="1"/>
        <n v="9754494" u="1"/>
        <n v="9754510" u="1"/>
        <n v="9754518" u="1"/>
        <n v="9754526" u="1"/>
        <n v="9754534" u="1"/>
        <n v="9756709" u="1"/>
        <n v="9754542" u="1"/>
        <n v="9754550" u="1"/>
        <n v="9754558" u="1"/>
        <n v="9754566" u="1"/>
        <n v="9756749" u="1"/>
        <n v="9756757" u="1"/>
        <n v="9756765" u="1"/>
        <n v="9756773" u="1"/>
        <n v="9756781" u="1"/>
        <n v="9754614" u="1"/>
        <n v="9756789" u="1"/>
        <n v="9754622" u="1"/>
        <n v="9754630" u="1"/>
        <n v="9756805" u="1"/>
        <n v="9754638" u="1"/>
        <n v="9756853" u="1"/>
        <n v="9754694" u="1"/>
        <n v="9756869" u="1"/>
        <n v="9754702" u="1"/>
        <n v="9756877" u="1"/>
        <n v="9754710" u="1"/>
        <n v="9754718" u="1"/>
        <n v="9754726" u="1"/>
        <n v="9756901" u="1"/>
        <n v="9754734" u="1"/>
        <n v="9756909" u="1"/>
        <n v="9754742" u="1"/>
        <n v="9754750" u="1"/>
        <n v="9754758" u="1"/>
        <n v="9756965" u="1"/>
        <n v="9756973" u="1"/>
        <n v="9757061" u="1"/>
        <n v="9757069" u="1"/>
        <n v="9757077" u="1"/>
        <n v="9757085" u="1"/>
        <n v="9757093" u="1"/>
        <n v="9757101" u="1"/>
        <n v="9757109" u="1"/>
        <n v="9754942" u="1"/>
        <n v="9757125" u="1"/>
        <n v="9757133" u="1"/>
        <n v="9757141" u="1"/>
        <n v="9757149" u="1"/>
        <n v="9755014" u="1"/>
        <n v="9755030" u="1"/>
        <n v="9755078" u="1"/>
        <n v="9755086" u="1"/>
        <n v="9757293" u="1"/>
        <n v="9757325" u="1"/>
        <n v="9757333" u="1"/>
        <n v="9755174" u="1"/>
        <n v="9755182" u="1"/>
        <n v="9755190" u="1"/>
        <n v="9755198" u="1"/>
        <n v="9755206" u="1"/>
        <n v="9757381" u="1"/>
        <n v="9757405" u="1"/>
        <n v="9757421" u="1"/>
        <n v="9757437" u="1"/>
        <n v="9755270" u="1"/>
        <n v="9755302" u="1"/>
        <n v="9757533" u="1"/>
        <n v="9757541" u="1"/>
        <n v="9757549" u="1"/>
        <n v="9755382" u="1"/>
        <n v="9757557" u="1"/>
        <n v="9755454" u="1"/>
        <n v="9755462" u="1"/>
        <n v="9755486" u="1"/>
        <n v="9743239" u="1"/>
        <n v="9743255" u="1"/>
        <n v="9755518" u="1"/>
        <n v="9755526" u="1"/>
        <n v="9755654" u="1"/>
        <n v="9755662" u="1"/>
        <n v="9755670" u="1"/>
        <n v="9755678" u="1"/>
        <n v="9755686" u="1"/>
        <n v="9755694" u="1"/>
        <n v="9757877" u="1"/>
        <n v="9757885" u="1"/>
        <n v="9757893" u="1"/>
        <n v="9755798" u="1"/>
        <n v="9755814" u="1"/>
        <n v="9755918" u="1"/>
        <n v="9755966" u="1"/>
        <n v="9758141" u="1"/>
        <n v="9755974" u="1"/>
        <n v="9758149" u="1"/>
        <n v="9755982" u="1"/>
        <n v="9756022" u="1"/>
        <n v="9756038" u="1"/>
        <n v="9756110" u="1"/>
        <n v="9758301" u="1"/>
        <n v="9758317" u="1"/>
        <n v="9756150" u="1"/>
        <n v="9758349" u="1"/>
        <n v="9756182" u="1"/>
        <n v="9758357" u="1"/>
        <n v="9758365" u="1"/>
        <n v="9756246" u="1"/>
        <n v="9756254" u="1"/>
        <n v="9756262" u="1"/>
        <n v="9758469" u="1"/>
        <n v="9758477" u="1"/>
        <n v="9758485" u="1"/>
        <n v="9758493" u="1"/>
        <n v="9758501" u="1"/>
        <n v="9758533" u="1"/>
        <n v="9758541" u="1"/>
        <n v="9756374" u="1"/>
        <n v="9758549" u="1"/>
        <n v="9756382" u="1"/>
        <n v="9758557" u="1"/>
        <n v="9756390" u="1"/>
        <n v="9758565" u="1"/>
        <n v="9756398" u="1"/>
        <n v="9758573" u="1"/>
        <n v="9756406" u="1"/>
        <n v="9758581" u="1"/>
        <n v="9756414" u="1"/>
        <n v="9758589" u="1"/>
        <n v="9731888" u="1"/>
        <n v="9756422" u="1"/>
        <n v="9758597" u="1"/>
        <n v="9758605" u="1"/>
        <n v="9758621" u="1"/>
        <n v="9758637" u="1"/>
        <n v="9758645" u="1"/>
        <n v="9758653" u="1"/>
        <n v="9758661" u="1"/>
        <n v="9756550" u="1"/>
        <n v="9756582" u="1"/>
        <n v="9758757" u="1"/>
        <n v="9756590" u="1"/>
        <n v="9756598" u="1"/>
        <n v="9758773" u="1"/>
        <n v="9756614" u="1"/>
        <n v="9758789" u="1"/>
        <n v="9756622" u="1"/>
        <n v="9758797" u="1"/>
        <n v="9756630" u="1"/>
        <n v="9756638" u="1"/>
        <n v="9758853" u="1"/>
        <n v="9758861" u="1"/>
        <n v="9756702" u="1"/>
        <n v="9756710" u="1"/>
        <n v="9758885" u="1"/>
        <n v="9758893" u="1"/>
        <n v="9758901" u="1"/>
        <n v="9756750" u="1"/>
        <n v="9756758" u="1"/>
        <n v="9756766" u="1"/>
        <n v="9756774" u="1"/>
        <n v="9756782" u="1"/>
        <n v="9756790" u="1"/>
        <n v="9758965" u="1"/>
        <n v="9756798" u="1"/>
        <n v="9756814" u="1"/>
        <n v="9756854" u="1"/>
        <n v="9756870" u="1"/>
        <n v="9756878" u="1"/>
        <n v="9759069" u="1"/>
        <n v="9756902" u="1"/>
        <n v="9756910" u="1"/>
        <n v="9756966" u="1"/>
        <n v="9756974" u="1"/>
        <n v="9759149" u="1"/>
        <n v="9759157" u="1"/>
        <n v="9759197" u="1"/>
        <n v="9759213" u="1"/>
        <n v="9759221" u="1"/>
        <n v="9757062" u="1"/>
        <n v="9757070" u="1"/>
        <n v="9757078" u="1"/>
        <n v="9757086" u="1"/>
        <n v="9757094" u="1"/>
        <n v="9757102" u="1"/>
        <n v="9757110" u="1"/>
        <n v="9757118" u="1"/>
        <n v="9757126" u="1"/>
        <n v="9757134" u="1"/>
        <n v="9757142" u="1"/>
        <n v="9757150" u="1"/>
        <n v="9744951" u="1"/>
        <n v="9757262" u="1"/>
        <n v="9757326" u="1"/>
        <n v="9757334" u="1"/>
        <n v="9757422" u="1"/>
        <n v="9759605" u="1"/>
        <n v="9757438" u="1"/>
        <n v="9759613" u="1"/>
        <n v="9759629" u="1"/>
        <n v="9759653" u="1"/>
        <n v="9745223" u="1"/>
        <n v="9759661" u="1"/>
        <n v="9757534" u="1"/>
        <n v="9757542" u="1"/>
        <n v="9757550" u="1"/>
        <n v="9757558" u="1"/>
        <n v="9757878" u="1"/>
        <n v="9757886" u="1"/>
        <n v="9757998" u="1"/>
        <n v="9758142" u="1"/>
        <n v="9758182" u="1"/>
        <n v="9758302" u="1"/>
        <n v="9758310" u="1"/>
        <n v="9758318" u="1"/>
        <n v="9758342" u="1"/>
        <n v="9758350" u="1"/>
        <n v="9758358" u="1"/>
        <n v="9758366" u="1"/>
        <n v="9758470" u="1"/>
        <n v="9758478" u="1"/>
        <n v="9758486" u="1"/>
        <n v="9758494" u="1"/>
        <n v="9758502" u="1"/>
        <n v="9758534" u="1"/>
        <n v="9758542" u="1"/>
        <n v="9758550" u="1"/>
        <n v="9758558" u="1"/>
        <n v="9758566" u="1"/>
        <n v="9758574" u="1"/>
        <n v="9758582" u="1"/>
        <n v="9758590" u="1"/>
        <n v="9758598" u="1"/>
        <n v="9746343" u="1"/>
        <n v="9758606" u="1"/>
        <n v="9758614" u="1"/>
        <n v="9758622" u="1"/>
        <n v="9746367" u="1"/>
        <n v="9758630" u="1"/>
        <n v="9746375" u="1"/>
        <n v="9758638" u="1"/>
        <n v="9746383" u="1"/>
        <n v="9758646" u="1"/>
        <n v="9758654" u="1"/>
        <n v="9758662" u="1"/>
        <n v="9746447" u="1"/>
        <n v="9758790" u="1"/>
        <n v="9758854" u="1"/>
        <n v="9758862" u="1"/>
        <n v="9758878" u="1"/>
        <n v="9758886" u="1"/>
        <n v="9758902" u="1"/>
        <n v="9746663" u="1"/>
        <n v="9758966" u="1"/>
        <n v="9759030" u="1"/>
        <n v="9759038" u="1"/>
        <n v="9759054" u="1"/>
        <n v="9759070" u="1"/>
        <n v="9746839" u="1"/>
        <n v="9746887" u="1"/>
        <n v="9759150" u="1"/>
        <n v="9759166" u="1"/>
        <n v="9759174" u="1"/>
        <n v="9759182" u="1"/>
        <n v="9759190" u="1"/>
        <n v="9759206" u="1"/>
        <n v="9759222" u="1"/>
        <n v="9747007" u="1"/>
        <n v="9759286" u="1"/>
        <n v="9747143" u="1"/>
        <n v="9747151" u="1"/>
        <n v="9747175" u="1"/>
        <n v="9759478" u="1"/>
        <n v="9747335" u="1"/>
        <n v="9747343" u="1"/>
        <n v="9759614" u="1"/>
        <n v="9759622" u="1"/>
        <n v="9759646" u="1"/>
        <n v="9759662" u="1"/>
        <n v="9747447" u="1"/>
        <n v="9747455" u="1"/>
        <n v="9747463" u="1"/>
        <n v="9747471" u="1"/>
        <n v="9747479" u="1"/>
        <n v="9747487" u="1"/>
        <n v="9747495" u="1"/>
        <n v="9747503" u="1"/>
        <n v="9747511" u="1"/>
        <n v="9747519" u="1"/>
        <n v="9747527" u="1"/>
        <n v="9759910" u="1"/>
        <n v="9747663" u="1"/>
        <n v="9747703" u="1"/>
        <n v="9747815" u="1"/>
        <n v="9747951" u="1"/>
        <n v="9748127" u="1"/>
        <n v="9748215" u="1"/>
        <n v="9748223" u="1"/>
        <n v="9748279" u="1"/>
        <n v="9748287" u="1"/>
        <n v="9748295" u="1"/>
        <n v="9748303" u="1"/>
        <n v="9748311" u="1"/>
        <n v="9748319" u="1"/>
        <n v="9748327" u="1"/>
        <n v="9748335" u="1"/>
        <n v="9748343" u="1"/>
        <n v="9748351" u="1"/>
        <n v="9748439" u="1"/>
        <n v="9748671" u="1"/>
        <n v="9748687" u="1"/>
        <n v="9748831" u="1"/>
        <n v="9748839" u="1"/>
        <n v="9748919" u="1"/>
        <n v="9748927" u="1"/>
        <n v="9748935" u="1"/>
        <n v="9748943" u="1"/>
        <n v="9749207" u="1"/>
        <n v="9749495" u="1"/>
        <n v="9749615" u="1"/>
        <n v="9750031" u="1"/>
        <n v="9750159" u="1"/>
        <n v="9750503" u="1"/>
        <n v="9750511" u="1"/>
        <n v="9750575" u="1"/>
        <n v="9750583" u="1"/>
        <n v="9750591" u="1"/>
        <n v="9750863" u="1"/>
        <n v="9751007" u="1"/>
        <n v="9751015" u="1"/>
        <n v="9751111" u="1"/>
        <n v="9751119" u="1"/>
        <n v="9751127" u="1"/>
        <n v="9751143" u="1"/>
        <n v="9751151" u="1"/>
        <n v="9751159" u="1"/>
        <n v="9751367" u="1"/>
        <n v="9751471" u="1"/>
        <n v="9751487" u="1"/>
        <n v="9726985" u="1"/>
        <n v="9751599" u="1"/>
        <n v="9751607" u="1"/>
        <n v="9751679" u="1"/>
        <n v="9751711" u="1"/>
        <n v="9751783" u="1"/>
        <n v="9751935" u="1"/>
        <n v="9751943" u="1"/>
        <n v="9751951" u="1"/>
        <n v="9751967" u="1"/>
        <n v="9751975" u="1"/>
        <n v="9752135" u="1"/>
        <n v="9752143" u="1"/>
        <n v="9752151" u="1"/>
        <n v="9752359" u="1"/>
        <n v="9752367" u="1"/>
        <n v="9752583" u="1"/>
        <n v="9752591" u="1"/>
        <n v="9752599" u="1"/>
        <n v="9752655" u="1"/>
        <n v="9752663" u="1"/>
        <n v="9752767" u="1"/>
        <n v="9752807" u="1"/>
        <n v="9752839" u="1"/>
        <n v="9752959" u="1"/>
        <n v="9753007" u="1"/>
        <n v="9753423" u="1"/>
        <n v="9753495" u="1"/>
        <n v="9753703" u="1"/>
        <n v="9753815" u="1"/>
        <n v="9753839" u="1"/>
        <n v="9753863" u="1"/>
        <n v="9753871" u="1"/>
        <n v="9753911" u="1"/>
        <n v="9754055" u="1"/>
        <n v="9754135" u="1"/>
        <n v="9754159" u="1"/>
        <n v="9754167" u="1"/>
        <n v="9754407" u="1"/>
        <n v="9754415" u="1"/>
        <n v="9754423" u="1"/>
        <n v="9754431" u="1"/>
        <n v="9754439" u="1"/>
        <n v="9754447" u="1"/>
        <n v="9754455" u="1"/>
        <n v="9754463" u="1"/>
        <n v="9754471" u="1"/>
        <n v="9754487" u="1"/>
        <n v="9754495" u="1"/>
        <n v="9754511" u="1"/>
        <n v="9754519" u="1"/>
        <n v="9754527" u="1"/>
        <n v="9754535" u="1"/>
        <n v="9754543" u="1"/>
        <n v="9754551" u="1"/>
        <n v="9754559" u="1"/>
        <n v="9754567" u="1"/>
        <n v="9754615" u="1"/>
        <n v="9754623" u="1"/>
        <n v="9754631" u="1"/>
        <n v="9754639" u="1"/>
        <n v="9754695" u="1"/>
        <n v="9754703" u="1"/>
        <n v="9754711" u="1"/>
        <n v="9754719" u="1"/>
        <n v="9754727" u="1"/>
        <n v="9754735" u="1"/>
        <n v="9754743" u="1"/>
        <n v="9754751" u="1"/>
        <n v="9754943" u="1"/>
        <n v="9755079" u="1"/>
        <n v="9755175" u="1"/>
        <n v="9755183" u="1"/>
        <n v="9755191" u="1"/>
        <n v="9755199" u="1"/>
        <n v="9755207" u="1"/>
        <n v="9755303" u="1"/>
        <n v="9755383" u="1"/>
        <n v="9755407" u="1"/>
        <n v="9755447" u="1"/>
        <n v="9755455" u="1"/>
        <n v="9755463" u="1"/>
        <n v="9755487" u="1"/>
        <n v="9755519" u="1"/>
        <n v="9743256" u="1"/>
        <n v="9755527" u="1"/>
        <n v="9755599" u="1"/>
        <n v="9755655" u="1"/>
        <n v="9755663" u="1"/>
        <n v="9755671" u="1"/>
        <n v="9755679" u="1"/>
        <n v="9755687" u="1"/>
        <n v="9755695" u="1"/>
        <n v="9755799" u="1"/>
        <n v="9743584" u="1"/>
        <n v="9755943" u="1"/>
        <n v="9755967" u="1"/>
        <n v="9755975" u="1"/>
        <n v="9755983" u="1"/>
        <n v="9756023" u="1"/>
        <n v="9756047" u="1"/>
        <n v="9756079" u="1"/>
        <n v="9756111" u="1"/>
        <n v="9756151" u="1"/>
        <n v="9756159" u="1"/>
        <n v="9756167" u="1"/>
        <n v="9756183" u="1"/>
        <n v="9756247" u="1"/>
        <n v="9756255" u="1"/>
        <n v="9756263" u="1"/>
        <n v="9744104" u="1"/>
        <n v="9756375" u="1"/>
        <n v="9756383" u="1"/>
        <n v="9756391" u="1"/>
        <n v="9756399" u="1"/>
        <n v="9756407" u="1"/>
        <n v="9756415" u="1"/>
        <n v="9756423" u="1"/>
        <n v="9756431" u="1"/>
        <n v="9756439" u="1"/>
        <n v="9756551" u="1"/>
        <n v="9756583" u="1"/>
        <n v="9756591" u="1"/>
        <n v="9756599" u="1"/>
        <n v="9756615" u="1"/>
        <n v="9756623" u="1"/>
        <n v="9756631" u="1"/>
        <n v="9756639" u="1"/>
        <n v="9756703" u="1"/>
        <n v="9756711" u="1"/>
        <n v="9756751" u="1"/>
        <n v="9756759" u="1"/>
        <n v="9756767" u="1"/>
        <n v="9756775" u="1"/>
        <n v="9756783" u="1"/>
        <n v="9756791" u="1"/>
        <n v="9756799" u="1"/>
        <n v="9756815" u="1"/>
        <n v="9756871" u="1"/>
        <n v="9756879" u="1"/>
        <n v="9756903" u="1"/>
        <n v="9756967" u="1"/>
        <n v="9756975" u="1"/>
        <n v="9757063" u="1"/>
        <n v="9757071" u="1"/>
        <n v="9757079" u="1"/>
        <n v="9757087" u="1"/>
        <n v="9757095" u="1"/>
        <n v="9757103" u="1"/>
        <n v="9757111" u="1"/>
        <n v="9757119" u="1"/>
        <n v="9757127" u="1"/>
        <n v="9757135" u="1"/>
        <n v="9757143" u="1"/>
        <n v="9757255" u="1"/>
        <n v="9757327" u="1"/>
        <n v="9757399" u="1"/>
        <n v="9757423" u="1"/>
        <n v="9757439" u="1"/>
        <n v="9757535" u="1"/>
        <n v="9757543" u="1"/>
        <n v="9757551" u="1"/>
        <n v="9757559" u="1"/>
        <n v="9757663" u="1"/>
        <n v="9757879" u="1"/>
        <n v="9757887" u="1"/>
        <n v="9757999" u="1"/>
        <n v="9745880" u="1"/>
        <n v="9758183" u="1"/>
        <n v="9758295" u="1"/>
        <n v="9758303" u="1"/>
        <n v="9758311" u="1"/>
        <n v="9758351" u="1"/>
        <n v="9758359" u="1"/>
        <n v="9758367" u="1"/>
        <n v="9758471" u="1"/>
        <n v="9758479" u="1"/>
        <n v="9758487" u="1"/>
        <n v="9758495" u="1"/>
        <n v="9758503" u="1"/>
        <n v="9758535" u="1"/>
        <n v="9758543" u="1"/>
        <n v="9758567" u="1"/>
        <n v="9758575" u="1"/>
        <n v="9758583" u="1"/>
        <n v="9758591" u="1"/>
        <n v="9758599" u="1"/>
        <n v="9758607" u="1"/>
        <n v="9746344" u="1"/>
        <n v="9758623" u="1"/>
        <n v="9758631" u="1"/>
        <n v="9746368" u="1"/>
        <n v="9758639" u="1"/>
        <n v="9746376" u="1"/>
        <n v="9758655" u="1"/>
        <n v="9758663" u="1"/>
        <n v="9758791" u="1"/>
        <n v="9758855" u="1"/>
        <n v="9746608" u="1"/>
        <n v="9758879" u="1"/>
        <n v="9758967" u="1"/>
        <n v="9759023" u="1"/>
        <n v="9759039" u="1"/>
        <n v="9759071" u="1"/>
        <n v="9746840" u="1"/>
        <n v="9759151" u="1"/>
        <n v="9759159" u="1"/>
        <n v="9759167" u="1"/>
        <n v="9759175" u="1"/>
        <n v="9759183" u="1"/>
        <n v="9759191" u="1"/>
        <n v="9759207" u="1"/>
        <n v="9759215" u="1"/>
        <n v="9747136" u="1"/>
        <n v="9747144" u="1"/>
        <n v="9747152" u="1"/>
        <n v="9747176" u="1"/>
        <n v="9747216" u="1"/>
        <n v="9759599" u="1"/>
        <n v="9747336" u="1"/>
        <n v="9759623" u="1"/>
        <n v="9759655" u="1"/>
        <n v="9759663" u="1"/>
        <n v="9747448" u="1"/>
        <n v="9747456" u="1"/>
        <n v="9747464" u="1"/>
        <n v="9747472" u="1"/>
        <n v="9747480" u="1"/>
        <n v="9747488" u="1"/>
        <n v="9747496" u="1"/>
        <n v="9747504" u="1"/>
        <n v="9747512" u="1"/>
        <n v="9747520" u="1"/>
        <n v="9747528" u="1"/>
        <n v="9759855" u="1"/>
        <n v="9759959" u="1"/>
        <n v="9747704" u="1"/>
        <n v="9747840" u="1"/>
        <n v="9747888" u="1"/>
        <n v="9747952" u="1"/>
        <n v="9748040" u="1"/>
        <n v="9748216" u="1"/>
        <n v="9748224" u="1"/>
        <n v="9748280" u="1"/>
        <n v="9748288" u="1"/>
        <n v="9748296" u="1"/>
        <n v="9748304" u="1"/>
        <n v="9748312" u="1"/>
        <n v="9748320" u="1"/>
        <n v="9748328" u="1"/>
        <n v="9748336" u="1"/>
        <n v="9748344" u="1"/>
        <n v="9748352" u="1"/>
        <n v="9748440" u="1"/>
        <n v="9748672" u="1"/>
        <n v="9748832" u="1"/>
        <n v="9748840" u="1"/>
        <n v="9748920" u="1"/>
        <n v="9748928" u="1"/>
        <n v="9748936" u="1"/>
        <n v="9749208" u="1"/>
        <n v="9749256" u="1"/>
        <n v="9749608" u="1"/>
        <n v="9749616" u="1"/>
        <n v="9749808" u="1"/>
        <n v="9749880" u="1"/>
        <n v="9749912" u="1"/>
        <n v="9750504" u="1"/>
        <n v="9750512" u="1"/>
        <n v="9750568" u="1"/>
        <n v="9750576" u="1"/>
        <n v="9750584" u="1"/>
        <n v="9750592" u="1"/>
        <n v="9750864" u="1"/>
        <n v="9726394" u="1"/>
        <n v="9751008" u="1"/>
        <n v="9751016" u="1"/>
        <n v="9751112" u="1"/>
        <n v="9751120" u="1"/>
        <n v="9751128" u="1"/>
        <n v="9751136" u="1"/>
        <n v="9751144" u="1"/>
        <n v="9751152" u="1"/>
        <n v="9751160" u="1"/>
        <n v="9751232" u="1"/>
        <n v="9751368" u="1"/>
        <n v="9751456" u="1"/>
        <n v="9751472" u="1"/>
        <n v="9751488" u="1"/>
        <n v="9751600" u="1"/>
        <n v="9751608" u="1"/>
        <n v="9751936" u="1"/>
        <n v="9751944" u="1"/>
        <n v="9751952" u="1"/>
        <n v="9751968" u="1"/>
        <n v="9751976" u="1"/>
        <n v="9752136" u="1"/>
        <n v="9752144" u="1"/>
        <n v="9752176" u="1"/>
        <n v="9752240" u="1"/>
        <n v="9752320" u="1"/>
        <n v="9752368" u="1"/>
        <n v="9752448" u="1"/>
        <n v="9752584" u="1"/>
        <n v="9752592" u="1"/>
        <n v="9752600" u="1"/>
        <n v="9752656" u="1"/>
        <n v="9752664" u="1"/>
        <n v="9752840" u="1"/>
        <n v="9752896" u="1"/>
        <n v="9753008" u="1"/>
        <n v="9753248" u="1"/>
        <n v="9753272" u="1"/>
        <n v="9753392" u="1"/>
        <n v="9753424" u="1"/>
        <n v="9753704" u="1"/>
        <n v="9753744" u="1"/>
        <n v="9753816" u="1"/>
        <n v="9753840" u="1"/>
        <n v="9753864" u="1"/>
        <n v="9753872" u="1"/>
        <n v="9753912" u="1"/>
        <n v="9754056" u="1"/>
        <n v="9754136" u="1"/>
        <n v="9754152" u="1"/>
        <n v="9754160" u="1"/>
        <n v="9754168" u="1"/>
        <n v="9754192" u="1"/>
        <n v="9754232" u="1"/>
        <n v="9754248" u="1"/>
        <n v="9754400" u="1"/>
        <n v="9754408" u="1"/>
        <n v="9754416" u="1"/>
        <n v="9754424" u="1"/>
        <n v="9754432" u="1"/>
        <n v="9754440" u="1"/>
        <n v="9754448" u="1"/>
        <n v="9754456" u="1"/>
        <n v="9754464" u="1"/>
        <n v="9754472" u="1"/>
        <n v="9754488" u="1"/>
        <n v="9754512" u="1"/>
        <n v="9754520" u="1"/>
        <n v="9754528" u="1"/>
        <n v="9754536" u="1"/>
        <n v="9754544" u="1"/>
        <n v="9754552" u="1"/>
        <n v="9754560" u="1"/>
        <n v="9754568" u="1"/>
        <n v="9754616" u="1"/>
        <n v="9754624" u="1"/>
        <n v="9754632" u="1"/>
        <n v="9754640" u="1"/>
        <n v="9754696" u="1"/>
        <n v="9754704" u="1"/>
        <n v="9754712" u="1"/>
        <n v="9754720" u="1"/>
        <n v="9754728" u="1"/>
        <n v="9754736" u="1"/>
        <n v="9754744" u="1"/>
        <n v="9754752" u="1"/>
        <n v="9754784" u="1"/>
        <n v="9754944" u="1"/>
        <n v="9755000" u="1"/>
        <n v="9755024" u="1"/>
        <n v="9755080" u="1"/>
        <n v="9755088" u="1"/>
        <n v="9755176" u="1"/>
        <n v="9755184" u="1"/>
        <n v="9755192" u="1"/>
        <n v="9755200" u="1"/>
        <n v="9755208" u="1"/>
        <n v="9755304" u="1"/>
        <n v="9755384" u="1"/>
        <n v="9755408" u="1"/>
        <n v="9755448" u="1"/>
        <n v="9755456" u="1"/>
        <n v="9755464" u="1"/>
        <n v="9743225" u="1"/>
        <n v="9755488" u="1"/>
        <n v="9755520" u="1"/>
        <n v="9755528" u="1"/>
        <n v="9755600" u="1"/>
        <n v="9755656" u="1"/>
        <n v="9755664" u="1"/>
        <n v="9755672" u="1"/>
        <n v="9755680" u="1"/>
        <n v="9755696" u="1"/>
        <n v="9755800" u="1"/>
        <n v="9755944" u="1"/>
        <n v="9755968" u="1"/>
        <n v="9755976" u="1"/>
        <n v="9755984" u="1"/>
        <n v="9756016" u="1"/>
        <n v="9756024" u="1"/>
        <n v="9756040" u="1"/>
        <n v="9756112" u="1"/>
        <n v="9756152" u="1"/>
        <n v="9756168" u="1"/>
        <n v="9756248" u="1"/>
        <n v="9756376" u="1"/>
        <n v="9756384" u="1"/>
        <n v="9756392" u="1"/>
        <n v="9756400" u="1"/>
        <n v="9756408" u="1"/>
        <n v="9731890" u="1"/>
        <n v="9756416" u="1"/>
        <n v="9756424" u="1"/>
        <n v="9756432" u="1"/>
        <n v="9756440" u="1"/>
        <n v="9756552" u="1"/>
        <n v="9756584" u="1"/>
        <n v="9756592" u="1"/>
        <n v="9756600" u="1"/>
        <n v="9756616" u="1"/>
        <n v="9756624" u="1"/>
        <n v="9756632" u="1"/>
        <n v="9756640" u="1"/>
        <n v="9756704" u="1"/>
        <n v="9756712" u="1"/>
        <n v="9756752" u="1"/>
        <n v="9756760" u="1"/>
        <n v="9756768" u="1"/>
        <n v="9756776" u="1"/>
        <n v="9756784" u="1"/>
        <n v="9756792" u="1"/>
        <n v="9756800" u="1"/>
        <n v="9756872" u="1"/>
        <n v="9756904" u="1"/>
        <n v="9756968" u="1"/>
        <n v="9756976" u="1"/>
        <n v="9757064" u="1"/>
        <n v="9757072" u="1"/>
        <n v="9757080" u="1"/>
        <n v="9757088" u="1"/>
        <n v="9757096" u="1"/>
        <n v="9757104" u="1"/>
        <n v="9757112" u="1"/>
        <n v="9757120" u="1"/>
        <n v="9757128" u="1"/>
        <n v="9757136" u="1"/>
        <n v="9757152" u="1"/>
        <n v="9757232" u="1"/>
        <n v="9757328" u="1"/>
        <n v="9757360" u="1"/>
        <n v="9757400" u="1"/>
        <n v="9757424" u="1"/>
        <n v="9757528" u="1"/>
        <n v="9757536" u="1"/>
        <n v="9757552" u="1"/>
        <n v="9757560" u="1"/>
        <n v="9757888" u="1"/>
        <n v="9758120" u="1"/>
        <n v="9758144" u="1"/>
        <n v="9758256" u="1"/>
        <n v="9758296" u="1"/>
        <n v="9758304" u="1"/>
        <n v="9758312" u="1"/>
        <n v="9758352" u="1"/>
        <n v="9758360" u="1"/>
        <n v="9758472" u="1"/>
        <n v="9758480" u="1"/>
        <n v="9758488" u="1"/>
        <n v="9758496" u="1"/>
        <n v="9758504" u="1"/>
        <n v="9758512" u="1"/>
        <n v="9758536" u="1"/>
        <n v="9758544" u="1"/>
        <n v="9758552" u="1"/>
        <n v="9758560" u="1"/>
        <n v="9758568" u="1"/>
        <n v="9758576" u="1"/>
        <n v="9758584" u="1"/>
        <n v="9758592" u="1"/>
        <n v="9746345" u="1"/>
        <n v="9758608" u="1"/>
        <n v="9758616" u="1"/>
        <n v="9746369" u="1"/>
        <n v="9758632" u="1"/>
        <n v="9746377" u="1"/>
        <n v="9758640" u="1"/>
        <n v="9746385" u="1"/>
        <n v="9758648" u="1"/>
        <n v="9758664" u="1"/>
        <n v="9758792" u="1"/>
        <n v="9758880" u="1"/>
        <n v="9758888" u="1"/>
        <n v="9758904" u="1"/>
        <n v="9758920" u="1"/>
        <n v="9758968" u="1"/>
        <n v="9759024" u="1"/>
        <n v="9759056" u="1"/>
        <n v="9746841" u="1"/>
        <n v="9746889" u="1"/>
        <n v="9759152" u="1"/>
        <n v="9759160" u="1"/>
        <n v="9759184" u="1"/>
        <n v="9759192" u="1"/>
        <n v="9759200" u="1"/>
        <n v="9759208" u="1"/>
        <n v="9747001" u="1"/>
        <n v="9747137" u="1"/>
        <n v="9747145" u="1"/>
        <n v="9747153" u="1"/>
        <n v="9747177" u="1"/>
        <n v="9747217" u="1"/>
        <n v="9747257" u="1"/>
        <n v="9747337" u="1"/>
        <n v="9759600" u="1"/>
        <n v="9759608" u="1"/>
        <n v="9759632" u="1"/>
        <n v="9759648" u="1"/>
        <n v="9759656" u="1"/>
        <n v="9747449" u="1"/>
        <n v="9747457" u="1"/>
        <n v="9747465" u="1"/>
        <n v="9747473" u="1"/>
        <n v="9747481" u="1"/>
        <n v="9747489" u="1"/>
        <n v="9747497" u="1"/>
        <n v="9747505" u="1"/>
        <n v="9747513" u="1"/>
        <n v="9747521" u="1"/>
        <n v="9747529" u="1"/>
        <n v="9747841" u="1"/>
        <n v="9747889" u="1"/>
        <n v="9747985" u="1"/>
        <n v="9760280" u="1"/>
        <n v="9748033" u="1"/>
        <n v="9748089" u="1"/>
        <n v="9748217" u="1"/>
        <n v="9748225" u="1"/>
        <n v="9748281" u="1"/>
        <n v="9748289" u="1"/>
        <n v="9748297" u="1"/>
        <n v="9748305" u="1"/>
        <n v="9748313" u="1"/>
        <n v="9748321" u="1"/>
        <n v="9748329" u="1"/>
        <n v="9748337" u="1"/>
        <n v="9748345" u="1"/>
        <n v="9748353" u="1"/>
        <n v="9748441" u="1"/>
        <n v="9748449" u="1"/>
        <n v="9748601" u="1"/>
        <n v="9748673" u="1"/>
        <n v="9748833" u="1"/>
        <n v="9748841" u="1"/>
        <n v="9748929" u="1"/>
        <n v="9748937" u="1"/>
        <n v="9749209" u="1"/>
        <n v="9749273" u="1"/>
        <n v="9749609" u="1"/>
        <n v="9749881" u="1"/>
        <n v="9750265" u="1"/>
        <n v="9750305" u="1"/>
        <n v="9750457" u="1"/>
        <n v="9750505" u="1"/>
        <n v="9750513" u="1"/>
        <n v="9750569" u="1"/>
        <n v="9750577" u="1"/>
        <n v="9750585" u="1"/>
        <n v="9750681" u="1"/>
        <n v="9750953" u="1"/>
        <n v="9751009" u="1"/>
        <n v="9751017" u="1"/>
        <n v="9751113" u="1"/>
        <n v="9751121" u="1"/>
        <n v="9751129" u="1"/>
        <n v="9751137" u="1"/>
        <n v="9751145" u="1"/>
        <n v="9751153" u="1"/>
        <n v="9751161" u="1"/>
        <n v="9751369" u="1"/>
        <n v="9751489" u="1"/>
        <n v="9751497" u="1"/>
        <n v="9751601" u="1"/>
        <n v="9751865" u="1"/>
        <n v="9751945" u="1"/>
        <n v="9751953" u="1"/>
        <n v="9751961" u="1"/>
        <n v="9751977" u="1"/>
        <n v="9752137" u="1"/>
        <n v="9752145" u="1"/>
        <n v="9752177" u="1"/>
        <n v="9752225" u="1"/>
        <n v="9752241" u="1"/>
        <n v="9752321" u="1"/>
        <n v="9752369" u="1"/>
        <n v="9752585" u="1"/>
        <n v="9752593" u="1"/>
        <n v="9752601" u="1"/>
        <n v="9752657" u="1"/>
        <n v="9752833" u="1"/>
        <n v="9752841" u="1"/>
        <n v="9752897" u="1"/>
        <n v="9753009" u="1"/>
        <n v="9753345" u="1"/>
        <n v="9753497" u="1"/>
        <n v="9753745" u="1"/>
        <n v="9753793" u="1"/>
        <n v="9753841" u="1"/>
        <n v="9753849" u="1"/>
        <n v="9753913" u="1"/>
        <n v="9729443" u="1"/>
        <n v="9754057" u="1"/>
        <n v="9754153" u="1"/>
        <n v="9754161" u="1"/>
        <n v="9754169" u="1"/>
        <n v="9754177" u="1"/>
        <n v="9754201" u="1"/>
        <n v="9754233" u="1"/>
        <n v="9754249" u="1"/>
        <n v="9754409" u="1"/>
        <n v="9754417" u="1"/>
        <n v="9754425" u="1"/>
        <n v="9754433" u="1"/>
        <n v="9754441" u="1"/>
        <n v="9754449" u="1"/>
        <n v="9754457" u="1"/>
        <n v="9754465" u="1"/>
        <n v="9754473" u="1"/>
        <n v="9754489" u="1"/>
        <n v="9754497" u="1"/>
        <n v="9754513" u="1"/>
        <n v="9754521" u="1"/>
        <n v="9754529" u="1"/>
        <n v="9754537" u="1"/>
        <n v="9754545" u="1"/>
        <n v="9754553" u="1"/>
        <n v="9754561" u="1"/>
        <n v="9754569" u="1"/>
        <n v="9754617" u="1"/>
        <n v="9754625" u="1"/>
        <n v="9754633" u="1"/>
        <n v="9754641" u="1"/>
        <n v="9754697" u="1"/>
        <n v="9754705" u="1"/>
        <n v="9754713" u="1"/>
        <n v="9754721" u="1"/>
        <n v="9754729" u="1"/>
        <n v="9754737" u="1"/>
        <n v="9754745" u="1"/>
        <n v="9754753" u="1"/>
        <n v="9754937" u="1"/>
        <n v="9754945" u="1"/>
        <n v="9754977" u="1"/>
        <n v="9755001" u="1"/>
        <n v="9755017" u="1"/>
        <n v="9755025" u="1"/>
        <n v="9755081" u="1"/>
        <n v="9755089" u="1"/>
        <n v="9755177" u="1"/>
        <n v="9755185" u="1"/>
        <n v="9755193" u="1"/>
        <n v="9755201" u="1"/>
        <n v="9755209" u="1"/>
        <n v="9755305" u="1"/>
        <n v="9755369" u="1"/>
        <n v="9755385" u="1"/>
        <n v="9755393" u="1"/>
        <n v="9755409" u="1"/>
        <n v="9755433" u="1"/>
        <n v="9755449" u="1"/>
        <n v="9755465" u="1"/>
        <n v="9743258" u="1"/>
        <n v="9755521" u="1"/>
        <n v="9755537" u="1"/>
        <n v="9755601" u="1"/>
        <n v="9755649" u="1"/>
        <n v="9755657" u="1"/>
        <n v="9755665" u="1"/>
        <n v="9755673" u="1"/>
        <n v="9755681" u="1"/>
        <n v="9755689" u="1"/>
        <n v="9755697" u="1"/>
        <n v="9755793" u="1"/>
        <n v="9755801" u="1"/>
        <n v="9755945" u="1"/>
        <n v="9755961" u="1"/>
        <n v="9755969" u="1"/>
        <n v="9755977" u="1"/>
        <n v="9755985" u="1"/>
        <n v="9756025" u="1"/>
        <n v="9756041" u="1"/>
        <n v="9756113" u="1"/>
        <n v="9756153" u="1"/>
        <n v="9756169" u="1"/>
        <n v="9756193" u="1"/>
        <n v="9756249" u="1"/>
        <n v="9756265" u="1"/>
        <n v="9756369" u="1"/>
        <n v="9756377" u="1"/>
        <n v="9756385" u="1"/>
        <n v="9756393" u="1"/>
        <n v="9756401" u="1"/>
        <n v="9756409" u="1"/>
        <n v="9756417" u="1"/>
        <n v="9756425" u="1"/>
        <n v="9756433" u="1"/>
        <n v="9756441" u="1"/>
        <n v="9756553" u="1"/>
        <n v="9756585" u="1"/>
        <n v="9756593" u="1"/>
        <n v="9756617" u="1"/>
        <n v="9756625" u="1"/>
        <n v="9756633" u="1"/>
        <n v="9756641" u="1"/>
        <n v="9756705" u="1"/>
        <n v="9756713" u="1"/>
        <n v="9756753" u="1"/>
        <n v="9756761" u="1"/>
        <n v="9756769" u="1"/>
        <n v="9756777" u="1"/>
        <n v="9756785" u="1"/>
        <n v="9756793" u="1"/>
        <n v="9756801" u="1"/>
        <n v="9756817" u="1"/>
        <n v="9756849" u="1"/>
        <n v="9756857" u="1"/>
        <n v="9756873" u="1"/>
        <n v="9756897" u="1"/>
        <n v="9756905" u="1"/>
        <n v="9756977" u="1"/>
        <n v="9757065" u="1"/>
        <n v="9757073" u="1"/>
        <n v="9757081" u="1"/>
        <n v="9757089" u="1"/>
        <n v="9757097" u="1"/>
        <n v="9757105" u="1"/>
        <n v="9757113" u="1"/>
        <n v="9757121" u="1"/>
        <n v="9757129" u="1"/>
        <n v="9757137" u="1"/>
        <n v="9757145" u="1"/>
        <n v="9757201" u="1"/>
        <n v="9757217" u="1"/>
        <n v="9757257" u="1"/>
        <n v="9757329" u="1"/>
        <n v="9757377" u="1"/>
        <n v="9757401" u="1"/>
        <n v="9757417" u="1"/>
        <n v="9757425" u="1"/>
        <n v="9745186" u="1"/>
        <n v="9745226" u="1"/>
        <n v="9757529" u="1"/>
        <n v="9757537" u="1"/>
        <n v="9757545" u="1"/>
        <n v="9757553" u="1"/>
        <n v="9757561" u="1"/>
        <n v="9757881" u="1"/>
        <n v="9758041" u="1"/>
        <n v="9758121" u="1"/>
        <n v="9758145" u="1"/>
        <n v="9758297" u="1"/>
        <n v="9758313" u="1"/>
        <n v="9758353" u="1"/>
        <n v="9758361" u="1"/>
        <n v="9758473" u="1"/>
        <n v="9758481" u="1"/>
        <n v="9758489" u="1"/>
        <n v="9758497" u="1"/>
        <n v="9758505" u="1"/>
        <n v="9758513" u="1"/>
        <n v="9758537" u="1"/>
        <n v="9758545" u="1"/>
        <n v="9758553" u="1"/>
        <n v="9758561" u="1"/>
        <n v="9758569" u="1"/>
        <n v="9758577" u="1"/>
        <n v="9758585" u="1"/>
        <n v="9758593" u="1"/>
        <n v="9758601" u="1"/>
        <n v="9758609" u="1"/>
        <n v="9758625" u="1"/>
        <n v="9746370" u="1"/>
        <n v="9758633" u="1"/>
        <n v="9746378" u="1"/>
        <n v="9746386" u="1"/>
        <n v="9758649" u="1"/>
        <n v="9758657" u="1"/>
        <n v="9746506" u="1"/>
        <n v="9758825" u="1"/>
        <n v="9758881" u="1"/>
        <n v="9758889" u="1"/>
        <n v="9758897" u="1"/>
        <n v="9758905" u="1"/>
        <n v="9758929" u="1"/>
        <n v="9758969" u="1"/>
        <n v="9759025" u="1"/>
        <n v="9759057" u="1"/>
        <n v="9746842" u="1"/>
        <n v="9759145" u="1"/>
        <n v="9746890" u="1"/>
        <n v="9759153" u="1"/>
        <n v="9759161" u="1"/>
        <n v="9759169" u="1"/>
        <n v="9759177" u="1"/>
        <n v="9759193" u="1"/>
        <n v="9759209" u="1"/>
        <n v="9747002" u="1"/>
        <n v="9759297" u="1"/>
        <n v="9759337" u="1"/>
        <n v="9747090" u="1"/>
        <n v="9759361" u="1"/>
        <n v="9747138" u="1"/>
        <n v="9747146" u="1"/>
        <n v="9747154" u="1"/>
        <n v="9747218" u="1"/>
        <n v="9747258" u="1"/>
        <n v="9747338" u="1"/>
        <n v="9759601" u="1"/>
        <n v="9759609" u="1"/>
        <n v="9759617" u="1"/>
        <n v="9759649" u="1"/>
        <n v="9747450" u="1"/>
        <n v="9747458" u="1"/>
        <n v="9747466" u="1"/>
        <n v="9747474" u="1"/>
        <n v="9747482" u="1"/>
        <n v="9747490" u="1"/>
        <n v="9747498" u="1"/>
        <n v="9747506" u="1"/>
        <n v="9747514" u="1"/>
        <n v="9747522" u="1"/>
        <n v="9759961" u="1"/>
        <n v="9747778" u="1"/>
        <n v="9747842" u="1"/>
        <n v="9747890" u="1"/>
        <n v="9748034" u="1"/>
        <n v="9748074" u="1"/>
        <n v="9748090" u="1"/>
        <n v="9748218" u="1"/>
        <n v="9748282" u="1"/>
        <n v="9748290" u="1"/>
        <n v="9748298" u="1"/>
        <n v="9748306" u="1"/>
        <n v="9748314" u="1"/>
        <n v="9748322" u="1"/>
        <n v="9748330" u="1"/>
        <n v="9748338" u="1"/>
        <n v="9748346" u="1"/>
        <n v="9748354" u="1"/>
        <n v="9748450" u="1"/>
        <n v="9748506" u="1"/>
        <n v="9748578" u="1"/>
        <n v="9748618" u="1"/>
        <n v="9748682" u="1"/>
        <n v="9748794" u="1"/>
        <n v="9748834" u="1"/>
        <n v="9748842" u="1"/>
        <n v="9748914" u="1"/>
        <n v="9748930" u="1"/>
        <n v="9748938" u="1"/>
        <n v="9736763" u="1"/>
        <n v="9749274" u="1"/>
        <n v="9749610" u="1"/>
        <n v="9749882" u="1"/>
        <n v="9750058" u="1"/>
        <n v="9750234" u="1"/>
        <n v="9750306" u="1"/>
        <n v="9750506" u="1"/>
        <n v="9750570" u="1"/>
        <n v="9750578" u="1"/>
        <n v="9750586" u="1"/>
        <n v="9750682" u="1"/>
        <n v="9750890" u="1"/>
        <n v="9750922" u="1"/>
        <n v="9751010" u="1"/>
        <n v="9751114" u="1"/>
        <n v="9751122" u="1"/>
        <n v="9751130" u="1"/>
        <n v="9751138" u="1"/>
        <n v="9751146" u="1"/>
        <n v="9751154" u="1"/>
        <n v="9726964" u="1"/>
        <n v="9751498" u="1"/>
        <n v="9751602" u="1"/>
        <n v="9751682" u="1"/>
        <n v="9751866" u="1"/>
        <n v="9751930" u="1"/>
        <n v="9751938" u="1"/>
        <n v="9751946" u="1"/>
        <n v="9751954" u="1"/>
        <n v="9751962" u="1"/>
        <n v="9751970" u="1"/>
        <n v="9751978" u="1"/>
        <n v="9752138" u="1"/>
        <n v="9752146" u="1"/>
        <n v="9752178" u="1"/>
        <n v="9752242" u="1"/>
        <n v="9752370" u="1"/>
        <n v="9752394" u="1"/>
        <n v="9752586" u="1"/>
        <n v="9752594" u="1"/>
        <n v="9752602" u="1"/>
        <n v="9752658" u="1"/>
        <n v="9752762" u="1"/>
        <n v="9752834" u="1"/>
        <n v="9752842" u="1"/>
        <n v="9752858" u="1"/>
        <n v="9753010" u="1"/>
        <n v="9753082" u="1"/>
        <n v="9753746" u="1"/>
        <n v="9753794" u="1"/>
        <n v="9753842" u="1"/>
        <n v="9753914" u="1"/>
        <n v="9754058" u="1"/>
        <n v="9754138" u="1"/>
        <n v="9754154" u="1"/>
        <n v="9754162" u="1"/>
        <n v="9754170" u="1"/>
        <n v="9754202" u="1"/>
        <n v="9754234" u="1"/>
        <n v="9754250" u="1"/>
        <n v="9754402" u="1"/>
        <n v="9754410" u="1"/>
        <n v="9754418" u="1"/>
        <n v="9754426" u="1"/>
        <n v="9754434" u="1"/>
        <n v="9754442" u="1"/>
        <n v="9754458" u="1"/>
        <n v="9754466" u="1"/>
        <n v="9754474" u="1"/>
        <n v="9754482" u="1"/>
        <n v="9754490" u="1"/>
        <n v="9754498" u="1"/>
        <n v="9754506" u="1"/>
        <n v="9754514" u="1"/>
        <n v="9754522" u="1"/>
        <n v="9754530" u="1"/>
        <n v="9754538" u="1"/>
        <n v="9754546" u="1"/>
        <n v="9754554" u="1"/>
        <n v="9754562" u="1"/>
        <n v="9754570" u="1"/>
        <n v="9754610" u="1"/>
        <n v="9754618" u="1"/>
        <n v="9754626" u="1"/>
        <n v="9754634" u="1"/>
        <n v="9754642" u="1"/>
        <n v="9754698" u="1"/>
        <n v="9754706" u="1"/>
        <n v="9754714" u="1"/>
        <n v="9754722" u="1"/>
        <n v="9754730" u="1"/>
        <n v="9754738" u="1"/>
        <n v="9754746" u="1"/>
        <n v="9754754" u="1"/>
        <n v="9754938" u="1"/>
        <n v="9755002" u="1"/>
        <n v="9755018" u="1"/>
        <n v="9755026" u="1"/>
        <n v="9755082" u="1"/>
        <n v="9755178" u="1"/>
        <n v="9755186" u="1"/>
        <n v="9755194" u="1"/>
        <n v="9755202" u="1"/>
        <n v="9755210" u="1"/>
        <n v="9755258" u="1"/>
        <n v="9755306" u="1"/>
        <n v="9755338" u="1"/>
        <n v="9755370" u="1"/>
        <n v="9755394" u="1"/>
        <n v="9755434" u="1"/>
        <n v="9755450" u="1"/>
        <n v="9755458" u="1"/>
        <n v="9755466" u="1"/>
        <n v="9755498" u="1"/>
        <n v="9755514" u="1"/>
        <n v="9755522" u="1"/>
        <n v="9755602" u="1"/>
        <n v="9755650" u="1"/>
        <n v="9755666" u="1"/>
        <n v="9755674" u="1"/>
        <n v="9743419" u="1"/>
        <n v="9755682" u="1"/>
        <n v="9755690" u="1"/>
        <n v="9755794" u="1"/>
        <n v="9755802" u="1"/>
        <n v="9755946" u="1"/>
        <n v="9755962" u="1"/>
        <n v="9755970" u="1"/>
        <n v="9755978" u="1"/>
        <n v="9756018" u="1"/>
        <n v="9756026" u="1"/>
        <n v="9756034" u="1"/>
        <n v="9756042" u="1"/>
        <n v="9756154" u="1"/>
        <n v="9756170" u="1"/>
        <n v="9756194" u="1"/>
        <n v="9743987" u="1"/>
        <n v="9756250" u="1"/>
        <n v="9756258" u="1"/>
        <n v="9756370" u="1"/>
        <n v="9756378" u="1"/>
        <n v="9756386" u="1"/>
        <n v="9756402" u="1"/>
        <n v="9756410" u="1"/>
        <n v="9756418" u="1"/>
        <n v="9756434" u="1"/>
        <n v="9756586" u="1"/>
        <n v="9756594" u="1"/>
        <n v="9756618" u="1"/>
        <n v="9756626" u="1"/>
        <n v="9756634" u="1"/>
        <n v="9756642" u="1"/>
        <n v="9756706" u="1"/>
        <n v="9756714" u="1"/>
        <n v="9756746" u="1"/>
        <n v="9756754" u="1"/>
        <n v="9756762" u="1"/>
        <n v="9756770" u="1"/>
        <n v="9756778" u="1"/>
        <n v="9756786" u="1"/>
        <n v="9756802" u="1"/>
        <n v="9756818" u="1"/>
        <n v="9756850" u="1"/>
        <n v="9756866" u="1"/>
        <n v="9756874" u="1"/>
        <n v="9756898" u="1"/>
        <n v="9756906" u="1"/>
        <n v="9756970" u="1"/>
        <n v="9756978" u="1"/>
        <n v="9757066" u="1"/>
        <n v="9757074" u="1"/>
        <n v="9757082" u="1"/>
        <n v="9757090" u="1"/>
        <n v="9757098" u="1"/>
        <n v="9757106" u="1"/>
        <n v="9757122" u="1"/>
        <n v="9757130" u="1"/>
        <n v="9757138" u="1"/>
        <n v="9757146" u="1"/>
        <n v="9757202" u="1"/>
        <n v="9757218" u="1"/>
        <n v="9757258" u="1"/>
        <n v="9757290" u="1"/>
        <n v="9757314" u="1"/>
        <n v="9757330" u="1"/>
        <n v="9757378" u="1"/>
        <n v="9757402" u="1"/>
        <n v="9757418" u="1"/>
        <n v="9745219" u="1"/>
        <n v="9757530" u="1"/>
        <n v="9757538" u="1"/>
        <n v="9757546" u="1"/>
        <n v="9757554" u="1"/>
        <n v="9757562" u="1"/>
        <n v="9757890" u="1"/>
        <n v="9758122" u="1"/>
        <n v="9758138" u="1"/>
        <n v="9758146" u="1"/>
        <n v="9758178" u="1"/>
        <n v="9758226" u="1"/>
        <n v="9758258" u="1"/>
        <n v="9758298" u="1"/>
        <n v="9758314" u="1"/>
        <n v="9758354" u="1"/>
        <n v="9758362" u="1"/>
        <n v="9758474" u="1"/>
        <n v="9758482" u="1"/>
        <n v="9758490" u="1"/>
        <n v="9758498" u="1"/>
        <n v="9758514" u="1"/>
        <n v="9758538" u="1"/>
        <n v="9758546" u="1"/>
        <n v="9758554" u="1"/>
        <n v="9758562" u="1"/>
        <n v="9758570" u="1"/>
        <n v="9758578" u="1"/>
        <n v="9758586" u="1"/>
        <n v="9758594" u="1"/>
        <n v="9758602" u="1"/>
        <n v="9758610" u="1"/>
        <n v="9746355" u="1"/>
        <n v="9746371" u="1"/>
        <n v="9746379" u="1"/>
        <n v="9758642" u="1"/>
        <n v="9758650" u="1"/>
        <n v="9758658" u="1"/>
        <n v="9758722" u="1"/>
        <n v="9758770" u="1"/>
        <n v="9758794" u="1"/>
        <n v="9758826" u="1"/>
        <n v="9746611" u="1"/>
        <n v="9758882" u="1"/>
        <n v="9758890" u="1"/>
        <n v="9758898" u="1"/>
        <n v="9758906" u="1"/>
        <n v="9758930" u="1"/>
        <n v="9758970" u="1"/>
        <n v="9759026" u="1"/>
        <n v="9759058" u="1"/>
        <n v="9746835" u="1"/>
        <n v="9746843" u="1"/>
        <n v="9746891" u="1"/>
        <n v="9759162" u="1"/>
        <n v="9759170" u="1"/>
        <n v="9759186" u="1"/>
        <n v="9759202" u="1"/>
        <n v="9759226" u="1"/>
        <n v="9747003" u="1"/>
        <n v="9759298" u="1"/>
        <n v="9747083" u="1"/>
        <n v="9747091" u="1"/>
        <n v="9747139" u="1"/>
        <n v="9747147" u="1"/>
        <n v="9747155" u="1"/>
        <n v="9747179" u="1"/>
        <n v="9747219" u="1"/>
        <n v="9747331" u="1"/>
        <n v="9747339" u="1"/>
        <n v="9759602" u="1"/>
        <n v="9759610" u="1"/>
        <n v="9759626" u="1"/>
        <n v="9759658" u="1"/>
        <n v="9747451" u="1"/>
        <n v="9747459" u="1"/>
        <n v="9747467" u="1"/>
        <n v="9747475" u="1"/>
        <n v="9747483" u="1"/>
        <n v="9747491" u="1"/>
        <n v="9747499" u="1"/>
        <n v="9747507" u="1"/>
        <n v="9747515" u="1"/>
        <n v="9747523" u="1"/>
        <n v="9747779" u="1"/>
        <n v="9747891" u="1"/>
        <n v="9748035" u="1"/>
        <n v="9748219" u="1"/>
        <n v="9748283" u="1"/>
        <n v="9748291" u="1"/>
        <n v="9748299" u="1"/>
        <n v="9748307" u="1"/>
        <n v="9748315" u="1"/>
        <n v="9748323" u="1"/>
        <n v="9748331" u="1"/>
        <n v="9748339" u="1"/>
        <n v="9748347" u="1"/>
        <n v="9748355" u="1"/>
        <n v="9748435" u="1"/>
        <n v="9748619" u="1"/>
        <n v="9748643" u="1"/>
        <n v="9748683" u="1"/>
        <n v="9748835" u="1"/>
        <n v="9748915" u="1"/>
        <n v="9748923" u="1"/>
        <n v="9748931" u="1"/>
        <n v="9748939" u="1"/>
        <n v="9749139" u="1"/>
        <n v="9749275" u="1"/>
        <n v="9749611" u="1"/>
        <n v="9749787" u="1"/>
        <n v="9749899" u="1"/>
        <n v="9737900" u="1"/>
        <n v="9750283" u="1"/>
        <n v="9750507" u="1"/>
        <n v="9750571" u="1"/>
        <n v="9750579" u="1"/>
        <n v="9750587" u="1"/>
        <n v="9750667" u="1"/>
        <n v="9750683" u="1"/>
        <n v="9750851" u="1"/>
        <n v="9750883" u="1"/>
        <n v="9750891" u="1"/>
        <n v="9751011" u="1"/>
        <n v="9751115" u="1"/>
        <n v="9751123" u="1"/>
        <n v="9751131" u="1"/>
        <n v="9751139" u="1"/>
        <n v="9751147" u="1"/>
        <n v="9751155" u="1"/>
        <n v="9751499" u="1"/>
        <n v="9751603" u="1"/>
        <n v="9751667" u="1"/>
        <n v="9751867" u="1"/>
        <n v="9751931" u="1"/>
        <n v="9751939" u="1"/>
        <n v="9751947" u="1"/>
        <n v="9751955" u="1"/>
        <n v="9751971" u="1"/>
        <n v="9751979" u="1"/>
        <n v="9752139" u="1"/>
        <n v="9752179" u="1"/>
        <n v="9752371" u="1"/>
        <n v="9752387" u="1"/>
        <n v="9752395" u="1"/>
        <n v="9752587" u="1"/>
        <n v="9752595" u="1"/>
        <n v="9752651" u="1"/>
        <n v="9752659" u="1"/>
        <n v="9752835" u="1"/>
        <n v="9752843" u="1"/>
        <n v="9753363" u="1"/>
        <n v="9753411" u="1"/>
        <n v="9753419" u="1"/>
        <n v="9753499" u="1"/>
        <n v="9753747" u="1"/>
        <n v="9753795" u="1"/>
        <n v="9753811" u="1"/>
        <n v="9753843" u="1"/>
        <n v="9754059" u="1"/>
        <n v="9754139" u="1"/>
        <n v="9754155" u="1"/>
        <n v="9754163" u="1"/>
        <n v="9754171" u="1"/>
        <n v="9754203" u="1"/>
        <n v="9754403" u="1"/>
        <n v="9754411" u="1"/>
        <n v="9754419" u="1"/>
        <n v="9754427" u="1"/>
        <n v="9754435" u="1"/>
        <n v="9754443" u="1"/>
        <n v="9754451" u="1"/>
        <n v="9754459" u="1"/>
        <n v="9754467" u="1"/>
        <n v="9754475" u="1"/>
        <n v="9754483" u="1"/>
        <n v="9754491" u="1"/>
        <n v="9754499" u="1"/>
        <n v="9754507" u="1"/>
        <n v="9754515" u="1"/>
        <n v="9754523" u="1"/>
        <n v="9754531" u="1"/>
        <n v="9754539" u="1"/>
        <n v="9754547" u="1"/>
        <n v="9754555" u="1"/>
        <n v="9754571" u="1"/>
        <n v="9754611" u="1"/>
        <n v="9754619" u="1"/>
        <n v="9754627" u="1"/>
        <n v="9754635" u="1"/>
        <n v="9754643" u="1"/>
        <n v="9754699" u="1"/>
        <n v="9754707" u="1"/>
        <n v="9754715" u="1"/>
        <n v="9754723" u="1"/>
        <n v="9754731" u="1"/>
        <n v="9754739" u="1"/>
        <n v="9754747" u="1"/>
        <n v="9754755" u="1"/>
        <n v="9754939" u="1"/>
        <n v="9755003" u="1"/>
        <n v="9755019" u="1"/>
        <n v="9755083" u="1"/>
        <n v="9755179" u="1"/>
        <n v="9755187" u="1"/>
        <n v="9755195" u="1"/>
        <n v="9755203" u="1"/>
        <n v="9755211" u="1"/>
        <n v="9755371" u="1"/>
        <n v="9755379" u="1"/>
        <n v="9755395" u="1"/>
        <n v="9755435" u="1"/>
        <n v="9755451" u="1"/>
        <n v="9755459" u="1"/>
        <n v="9755467" u="1"/>
        <n v="9755499" u="1"/>
        <n v="9743244" u="1"/>
        <n v="9755515" u="1"/>
        <n v="9755523" u="1"/>
        <n v="9755531" u="1"/>
        <n v="9755603" u="1"/>
        <n v="9755651" u="1"/>
        <n v="9755659" u="1"/>
        <n v="9755667" u="1"/>
        <n v="9755675" u="1"/>
        <n v="9755683" u="1"/>
        <n v="9755691" u="1"/>
        <n v="9755795" u="1"/>
        <n v="9755803" u="1"/>
        <n v="9755867" u="1"/>
        <n v="9755963" u="1"/>
        <n v="9755971" u="1"/>
        <n v="9755979" u="1"/>
        <n v="9755987" u="1"/>
        <n v="9756019" u="1"/>
        <n v="9756035" u="1"/>
        <n v="9756043" u="1"/>
        <n v="9756155" u="1"/>
        <n v="9756195" u="1"/>
        <n v="9743988" u="1"/>
        <n v="9756251" u="1"/>
        <n v="9756307" u="1"/>
        <n v="9756371" u="1"/>
        <n v="9756379" u="1"/>
        <n v="9756387" u="1"/>
        <n v="9756403" u="1"/>
        <n v="9756411" u="1"/>
        <n v="9756427" u="1"/>
        <n v="9756515" u="1"/>
        <n v="9756587" u="1"/>
        <n v="9756595" u="1"/>
        <n v="9756619" u="1"/>
        <n v="9756627" u="1"/>
        <n v="9756635" u="1"/>
        <n v="9756643" u="1"/>
        <n v="9756707" u="1"/>
        <n v="9756715" u="1"/>
        <n v="9756747" u="1"/>
        <n v="9756755" u="1"/>
        <n v="9756763" u="1"/>
        <n v="9756771" u="1"/>
        <n v="9756779" u="1"/>
        <n v="9756787" u="1"/>
        <n v="9756795" u="1"/>
        <n v="9756803" u="1"/>
        <n v="9756851" u="1"/>
        <n v="9756867" u="1"/>
        <n v="9756875" u="1"/>
        <n v="9756899" u="1"/>
        <n v="9756907" u="1"/>
        <n v="9756915" u="1"/>
        <n v="9756971" u="1"/>
        <n v="9757067" u="1"/>
        <n v="9757075" u="1"/>
        <n v="9757083" u="1"/>
        <n v="9757091" u="1"/>
        <n v="9757099" u="1"/>
        <n v="9757107" u="1"/>
        <n v="9757123" u="1"/>
        <n v="9757131" u="1"/>
        <n v="9757139" u="1"/>
        <n v="9757147" u="1"/>
        <n v="9757259" u="1"/>
        <n v="9757291" u="1"/>
        <n v="9757331" u="1"/>
        <n v="9757379" u="1"/>
        <n v="9757403" u="1"/>
        <n v="9757419" u="1"/>
        <n v="9757427" u="1"/>
        <n v="9745212" u="1"/>
        <n v="9745220" u="1"/>
        <n v="9757531" u="1"/>
        <n v="9757547" u="1"/>
        <n v="9757555" u="1"/>
        <n v="9757563" u="1"/>
        <n v="9757875" u="1"/>
        <n v="9757883" u="1"/>
        <n v="9757995" u="1"/>
        <n v="9758139" u="1"/>
        <n v="9745884" u="1"/>
        <n v="9758147" u="1"/>
        <n v="9758211" u="1"/>
        <n v="9758227" u="1"/>
        <n v="9758299" u="1"/>
        <n v="9758315" u="1"/>
        <n v="9758355" u="1"/>
        <n v="9758363" u="1"/>
        <n v="9758475" u="1"/>
        <n v="9758483" u="1"/>
        <n v="9758491" u="1"/>
        <n v="9758499" u="1"/>
        <n v="9758539" u="1"/>
        <n v="9758547" u="1"/>
        <n v="9758555" u="1"/>
        <n v="9758571" u="1"/>
        <n v="9758579" u="1"/>
        <n v="9758595" u="1"/>
        <n v="9758603" u="1"/>
        <n v="9758611" u="1"/>
        <n v="9758619" u="1"/>
        <n v="9758627" u="1"/>
        <n v="9746372" u="1"/>
        <n v="9758635" u="1"/>
        <n v="9758643" u="1"/>
        <n v="9758651" u="1"/>
        <n v="9758659" u="1"/>
        <n v="9758723" u="1"/>
        <n v="9758771" u="1"/>
        <n v="9758827" u="1"/>
        <n v="9746612" u="1"/>
        <n v="9758883" u="1"/>
        <n v="9758891" u="1"/>
        <n v="9758907" u="1"/>
        <n v="9758931" u="1"/>
        <n v="9758971" u="1"/>
        <n v="9759027" u="1"/>
        <n v="9759059" u="1"/>
        <n v="9746836" u="1"/>
        <n v="9746844" u="1"/>
        <n v="9746884" u="1"/>
        <n v="9759147" u="1"/>
        <n v="9746892" u="1"/>
        <n v="9759171" u="1"/>
        <n v="9759179" u="1"/>
        <n v="9759187" u="1"/>
        <n v="9759195" u="1"/>
        <n v="9759211" u="1"/>
        <n v="9759219" u="1"/>
        <n v="9747004" u="1"/>
        <n v="9759299" u="1"/>
        <n v="9759339" u="1"/>
        <n v="9747084" u="1"/>
        <n v="9759379" u="1"/>
        <n v="9747140" u="1"/>
        <n v="9747148" u="1"/>
        <n v="9747156" u="1"/>
        <n v="9747204" u="1"/>
        <n v="9747220" u="1"/>
        <n v="9747332" u="1"/>
        <n v="9747340" u="1"/>
        <n v="9759603" u="1"/>
        <n v="9759611" u="1"/>
        <n v="9759651" u="1"/>
        <n v="9747452" u="1"/>
        <n v="9747460" u="1"/>
        <n v="9747468" u="1"/>
        <n v="9747476" u="1"/>
        <n v="9747484" u="1"/>
        <n v="9747492" u="1"/>
        <n v="9747500" u="1"/>
        <n v="9747508" u="1"/>
        <n v="9747516" u="1"/>
        <n v="9747524" u="1"/>
        <n v="9759955" u="1"/>
        <n v="9747780" u="1"/>
        <n v="9747892" u="1"/>
        <n v="9748220" u="1"/>
        <n v="9748284" u="1"/>
        <n v="9748292" u="1"/>
        <n v="9748300" u="1"/>
        <n v="9748308" u="1"/>
        <n v="9748316" u="1"/>
        <n v="9748324" u="1"/>
        <n v="9748332" u="1"/>
        <n v="9748340" u="1"/>
        <n v="9748348" u="1"/>
        <n v="9748356" u="1"/>
        <n v="9748436" u="1"/>
        <n v="9748476" u="1"/>
        <n v="9748668" u="1"/>
        <n v="9748684" u="1"/>
        <n v="9748700" u="1"/>
        <n v="9748836" u="1"/>
        <n v="9748916" u="1"/>
        <n v="9748924" u="1"/>
        <n v="9748932" u="1"/>
        <n v="9748940" u="1"/>
        <n v="9749076" u="1"/>
        <n v="9749140" u="1"/>
        <n v="9749180" u="1"/>
        <n v="9749380" u="1"/>
        <n v="9749612" u="1"/>
        <n v="9749844" u="1"/>
        <n v="9749852" u="1"/>
        <n v="9750356" u="1"/>
        <n v="9750404" u="1"/>
        <n v="9750508" u="1"/>
        <n v="9750572" u="1"/>
        <n v="9750580" u="1"/>
        <n v="9750588" u="1"/>
        <n v="9750668" u="1"/>
        <n v="9750708" u="1"/>
        <n v="9751012" u="1"/>
        <n v="9751116" u="1"/>
        <n v="9751124" u="1"/>
        <n v="9751140" u="1"/>
        <n v="9751148" u="1"/>
        <n v="9751156" u="1"/>
        <n v="9751244" u="1"/>
        <n v="9751340" u="1"/>
        <n v="9751420" u="1"/>
        <n v="9751532" u="1"/>
        <n v="9751604" u="1"/>
        <n v="9751700" u="1"/>
        <n v="9751868" u="1"/>
        <n v="9751932" u="1"/>
        <n v="9751940" u="1"/>
        <n v="9751948" u="1"/>
        <n v="9751956" u="1"/>
        <n v="9751972" u="1"/>
        <n v="9751980" u="1"/>
        <n v="9752140" u="1"/>
        <n v="9752180" u="1"/>
        <n v="9752356" u="1"/>
        <n v="9752388" u="1"/>
        <n v="9752580" u="1"/>
        <n v="9752588" u="1"/>
        <n v="9752596" u="1"/>
        <n v="9752652" u="1"/>
        <n v="9752660" u="1"/>
        <n v="9752836" u="1"/>
        <n v="9753364" u="1"/>
        <n v="9753404" u="1"/>
        <n v="9753412" u="1"/>
        <n v="9753420" u="1"/>
        <n v="9753492" u="1"/>
        <n v="9753500" u="1"/>
        <n v="9753812" u="1"/>
        <n v="9739390" u="1"/>
        <n v="9753908" u="1"/>
        <n v="9754052" u="1"/>
        <n v="9754060" u="1"/>
        <n v="9754132" u="1"/>
        <n v="9754140" u="1"/>
        <n v="9754156" u="1"/>
        <n v="9754164" u="1"/>
        <n v="9754172" u="1"/>
        <n v="9754204" u="1"/>
        <n v="9754412" u="1"/>
        <n v="9754420" u="1"/>
        <n v="9754428" u="1"/>
        <n v="9754444" u="1"/>
        <n v="9754452" u="1"/>
        <n v="9754460" u="1"/>
        <n v="9754468" u="1"/>
        <n v="9754476" u="1"/>
        <n v="9754484" u="1"/>
        <n v="9754492" u="1"/>
        <n v="9754516" u="1"/>
        <n v="9754524" u="1"/>
        <n v="9754532" u="1"/>
        <n v="9754540" u="1"/>
        <n v="9754548" u="1"/>
        <n v="9754564" u="1"/>
        <n v="9754572" u="1"/>
        <n v="9754612" u="1"/>
        <n v="9754620" u="1"/>
        <n v="9754628" u="1"/>
        <n v="9754636" u="1"/>
        <n v="9754644" u="1"/>
        <n v="9754692" u="1"/>
        <n v="9754700" u="1"/>
        <n v="9754708" u="1"/>
        <n v="9754716" u="1"/>
        <n v="9754724" u="1"/>
        <n v="9754732" u="1"/>
        <n v="9754740" u="1"/>
        <n v="9754748" u="1"/>
        <n v="9754756" u="1"/>
        <n v="9754868" u="1"/>
        <n v="9754892" u="1"/>
        <n v="9754940" u="1"/>
        <n v="9755012" u="1"/>
        <n v="9755020" u="1"/>
        <n v="9755076" u="1"/>
        <n v="9755084" u="1"/>
        <n v="9755180" u="1"/>
        <n v="9755188" u="1"/>
        <n v="9755196" u="1"/>
        <n v="9755204" u="1"/>
        <n v="9755212" u="1"/>
        <n v="9755300" u="1"/>
        <n v="9755380" u="1"/>
        <n v="9755436" u="1"/>
        <n v="9755452" u="1"/>
        <n v="9755460" u="1"/>
        <n v="9755500" u="1"/>
        <n v="9743245" u="1"/>
        <n v="9755516" u="1"/>
        <n v="9755524" u="1"/>
        <n v="9755660" u="1"/>
        <n v="9755668" u="1"/>
        <n v="9755676" u="1"/>
        <n v="9755684" u="1"/>
        <n v="9755692" u="1"/>
        <n v="9755796" u="1"/>
        <n v="9755868" u="1"/>
        <n v="9755964" u="1"/>
        <n v="9755972" u="1"/>
        <n v="9755980" u="1"/>
        <n v="9755988" u="1"/>
        <n v="9756020" u="1"/>
        <n v="9756036" u="1"/>
        <n v="9756044" u="1"/>
        <n v="9756076" u="1"/>
        <n v="9756156" u="1"/>
        <n v="9756196" u="1"/>
        <n v="9756252" u="1"/>
        <n v="9756260" u="1"/>
        <n v="9756372" u="1"/>
        <n v="9756380" u="1"/>
        <n v="9756388" u="1"/>
        <n v="9756396" u="1"/>
        <n v="9756404" u="1"/>
        <n v="9756412" u="1"/>
        <n v="9756420" u="1"/>
        <n v="9756428" u="1"/>
        <n v="9756436" u="1"/>
        <n v="9756500" u="1"/>
        <n v="9756516" u="1"/>
        <n v="9756580" u="1"/>
        <n v="9756588" u="1"/>
        <n v="9756596" u="1"/>
        <n v="9756612" u="1"/>
        <n v="9756620" u="1"/>
        <n v="9756628" u="1"/>
        <n v="9756636" u="1"/>
        <n v="9756708" u="1"/>
        <n v="9756748" u="1"/>
        <n v="9756756" u="1"/>
        <n v="9756764" u="1"/>
        <n v="9756772" u="1"/>
        <n v="9756780" u="1"/>
        <n v="9756788" u="1"/>
        <n v="9756796" u="1"/>
        <n v="9756804" u="1"/>
        <n v="9756852" u="1"/>
        <n v="9756868" u="1"/>
        <n v="9756876" u="1"/>
        <n v="9756900" u="1"/>
        <n v="9756972" u="1"/>
        <n v="9757068" u="1"/>
        <n v="9757076" u="1"/>
        <n v="9757084" u="1"/>
        <n v="9757092" u="1"/>
        <n v="9757100" u="1"/>
        <n v="9757108" u="1"/>
        <n v="9757124" u="1"/>
        <n v="9757132" u="1"/>
        <n v="9757148" u="1"/>
        <n v="9757260" u="1"/>
        <n v="9757332" u="1"/>
        <n v="9757380" u="1"/>
        <n v="9757404" u="1"/>
        <n v="9757420" u="1"/>
        <n v="9757428" u="1"/>
        <n v="9757532" u="1"/>
        <n v="9757540" u="1"/>
        <n v="9757548" u="1"/>
        <n v="9757556" u="1"/>
        <n v="9757564" u="1"/>
        <n v="9743246" u="1"/>
        <n v="9757876" u="1"/>
        <n v="9757892" u="1"/>
        <n v="9757996" u="1"/>
        <n v="9758140" u="1"/>
        <n v="9758148" u="1"/>
        <n v="9758300" u="1"/>
        <n v="9758316" u="1"/>
        <n v="9758340" u="1"/>
        <n v="9758348" u="1"/>
        <n v="9758356" u="1"/>
        <n v="9758364" u="1"/>
        <n v="9743990" u="1"/>
        <n v="9758476" u="1"/>
        <n v="9758484" u="1"/>
        <n v="9758492" u="1"/>
        <n v="9758500" u="1"/>
        <n v="9758540" u="1"/>
        <n v="9758548" u="1"/>
        <n v="9758556" u="1"/>
        <n v="9758564" u="1"/>
        <n v="9758572" u="1"/>
        <n v="9758580" u="1"/>
        <n v="9758588" u="1"/>
        <n v="9758596" u="1"/>
        <n v="9746341" u="1"/>
        <n v="9758604" u="1"/>
        <n v="9758612" u="1"/>
        <n v="9746357" u="1"/>
        <n v="9758628" u="1"/>
        <n v="9746373" u="1"/>
        <n v="9758636" u="1"/>
        <n v="9746381" u="1"/>
        <n v="9758644" u="1"/>
        <n v="9758652" u="1"/>
        <n v="9758660" u="1"/>
        <n v="9758756" u="1"/>
        <n v="9758772" u="1"/>
        <n v="9758788" u="1"/>
        <n v="9758852" u="1"/>
        <n v="9758860" u="1"/>
        <n v="9758868" u="1"/>
        <n v="9746613" u="1"/>
        <n v="9758884" u="1"/>
        <n v="9758892" u="1"/>
        <n v="9758900" u="1"/>
        <n v="9758940" u="1"/>
        <n v="9758964" u="1"/>
        <n v="9758972" u="1"/>
        <n v="9759028" u="1"/>
        <n v="9759068" u="1"/>
        <n v="9746837" u="1"/>
        <n v="9759140" u="1"/>
        <n v="9746885" u="1"/>
        <n v="9759148" u="1"/>
        <n v="9746893" u="1"/>
        <n v="9759172" u="1"/>
        <n v="9759180" u="1"/>
        <n v="9759188" u="1"/>
        <n v="9759212" u="1"/>
        <n v="9759220" u="1"/>
        <n v="9747005" u="1"/>
        <n v="9747021" u="1"/>
        <n v="9747085" u="1"/>
        <n v="9747141" u="1"/>
        <n v="9747149" u="1"/>
        <n v="9759420" u="1"/>
        <n v="9747333" u="1"/>
        <n v="9759596" u="1"/>
        <n v="9747341" u="1"/>
        <n v="9759604" u="1"/>
        <n v="9759620" u="1"/>
        <n v="9759628" u="1"/>
        <n v="9747453" u="1"/>
        <n v="9747461" u="1"/>
        <n v="9747469" u="1"/>
        <n v="9747477" u="1"/>
        <n v="9747485" u="1"/>
        <n v="9747493" u="1"/>
        <n v="9747501" u="1"/>
        <n v="9747509" u="1"/>
        <n v="9747517" u="1"/>
        <n v="9747525" u="1"/>
        <n v="9759956" u="1"/>
        <n v="9747741" u="1"/>
        <n v="9747893" u="1"/>
        <n v="9745878" u="1"/>
        <n v="9748061" u="1"/>
      </sharedItems>
    </cacheField>
    <cacheField name="PICK_SLIP_NO" numFmtId="0">
      <sharedItems containsString="0" containsBlank="1" containsNumber="1" containsInteger="1" minValue="1939500" maxValue="1963680"/>
    </cacheField>
    <cacheField name="ORDERED_DATE" numFmtId="0">
      <sharedItems containsNonDate="0" containsDate="1" containsString="0" containsBlank="1" minDate="2016-04-01T00:00:00" maxDate="2016-10-28T16:34:18"/>
    </cacheField>
    <cacheField name="CUSTOMER_REQ_DELIVERY_DATE" numFmtId="0">
      <sharedItems containsBlank="1"/>
    </cacheField>
    <cacheField name="RELEASE_DATE" numFmtId="0">
      <sharedItems containsNonDate="0" containsDate="1" containsString="0" containsBlank="1" minDate="2016-10-01T00:00:00" maxDate="2016-10-29T00:00:00"/>
    </cacheField>
    <cacheField name="REQUEST_DATE" numFmtId="0">
      <sharedItems containsNonDate="0" containsDate="1" containsString="0" containsBlank="1" minDate="2016-05-10T00:00:00" maxDate="2016-11-11T00:00:00"/>
    </cacheField>
    <cacheField name="SCHEDULE_DATE" numFmtId="0">
      <sharedItems containsNonDate="0" containsDate="1" containsString="0" containsBlank="1" minDate="2016-09-26T00:00:00" maxDate="2016-11-02T00:00:00"/>
    </cacheField>
    <cacheField name="SHIPPED_DATE" numFmtId="0">
      <sharedItems containsNonDate="0" containsString="0" containsBlank="1"/>
    </cacheField>
    <cacheField name="PICKED_QUANTITY" numFmtId="0">
      <sharedItems containsString="0" containsBlank="1" containsNumber="1" containsInteger="1" minValue="1" maxValue="434"/>
    </cacheField>
    <cacheField name="SHIPPED_QTY" numFmtId="0">
      <sharedItems containsString="0" containsBlank="1" containsNumber="1" containsInteger="1" minValue="1" maxValue="232"/>
    </cacheField>
    <cacheField name="REQUESTED_VALUE_USD" numFmtId="0">
      <sharedItems containsString="0" containsBlank="1" containsNumber="1" minValue="0" maxValue="132475"/>
    </cacheField>
    <cacheField name="SHIPPED_VALUE_USD" numFmtId="0">
      <sharedItems containsString="0" containsBlank="1" containsNumber="1" minValue="6" maxValue="324104"/>
    </cacheField>
    <cacheField name="APC" numFmtId="0">
      <sharedItems containsBlank="1"/>
    </cacheField>
    <cacheField name="TECHNOLOGY" numFmtId="0">
      <sharedItems containsBlank="1"/>
    </cacheField>
    <cacheField name="PRODUCT_FAMILY" numFmtId="0">
      <sharedItems containsBlank="1"/>
    </cacheField>
    <cacheField name="PRODUCT_LINE" numFmtId="0">
      <sharedItems containsBlank="1"/>
    </cacheField>
    <cacheField name="PRODUCT_CLASS" numFmtId="0">
      <sharedItems containsBlank="1"/>
    </cacheField>
    <cacheField name="ORDER_TYPE" numFmtId="0">
      <sharedItems containsBlank="1"/>
    </cacheField>
    <cacheField name="SHIP_METHOD_CODE" numFmtId="0">
      <sharedItems containsBlank="1"/>
    </cacheField>
    <cacheField name="STATUS_CODE" numFmtId="0">
      <sharedItems containsBlank="1"/>
    </cacheField>
    <cacheField name="BATCH_ID" numFmtId="0">
      <sharedItems containsString="0" containsBlank="1" containsNumber="1" containsInteger="1" minValue="1234822" maxValue="1251428"/>
    </cacheField>
    <cacheField name="FREIGHT_CARRIER_CODE" numFmtId="0">
      <sharedItems containsBlank="1"/>
    </cacheField>
    <cacheField name="NET_WEIGHT" numFmtId="0">
      <sharedItems containsNonDate="0" containsString="0" containsBlank="1"/>
    </cacheField>
    <cacheField name="GROSS_WEIGHT" numFmtId="0">
      <sharedItems containsNonDate="0" containsString="0" containsBlank="1"/>
    </cacheField>
    <cacheField name="VOLUME" numFmtId="0">
      <sharedItems containsNonDate="0" containsString="0" containsBlank="1"/>
    </cacheField>
    <cacheField name="ACTUAL_CARRIER_USED" numFmtId="0">
      <sharedItems containsBlank="1"/>
    </cacheField>
    <cacheField name="MODE_OF_TRANSPORT" numFmtId="0">
      <sharedItems containsBlank="1"/>
    </cacheField>
    <cacheField name="FOB_CODE" numFmtId="0">
      <sharedItems containsBlank="1"/>
    </cacheField>
    <cacheField name="FREIGHT_TERMS_CODE" numFmtId="0">
      <sharedItems containsBlank="1"/>
    </cacheField>
    <cacheField name="FREIGHT_CHARGES" numFmtId="0">
      <sharedItems containsString="0" containsBlank="1" containsNumber="1" minValue="6.76" maxValue="119.43"/>
    </cacheField>
    <cacheField name="ADDITIONAL_SHIPMENT_INFO" numFmtId="0">
      <sharedItems containsBlank="1"/>
    </cacheField>
    <cacheField name="SHIPPING_INSTRUCTIONS_HDR" numFmtId="0">
      <sharedItems containsBlank="1" longText="1"/>
    </cacheField>
    <cacheField name="PACKING_INSTRUCTIONS" numFmtId="0">
      <sharedItems containsBlank="1" longText="1"/>
    </cacheField>
    <cacheField name="NET_WEIGHT_HDR" numFmtId="0">
      <sharedItems containsString="0" containsBlank="1" containsNumber="1" containsInteger="1" minValue="2" maxValue="412"/>
    </cacheField>
    <cacheField name="GROSS_WEIGHT_HDR" numFmtId="0">
      <sharedItems containsString="0" containsBlank="1" containsNumber="1" containsInteger="1" minValue="2" maxValue="412"/>
    </cacheField>
    <cacheField name="VOLUME_HDR" numFmtId="0">
      <sharedItems containsNonDate="0" containsString="0" containsBlank="1"/>
    </cacheField>
    <cacheField name="CARTON_QTY" numFmtId="0">
      <sharedItems containsBlank="1"/>
    </cacheField>
    <cacheField name="CARTON_WEIGH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Peter Gunardi" refreshedDate="42671.613514930556" createdVersion="5" refreshedVersion="5" minRefreshableVersion="3" recordCount="839">
  <cacheSource type="worksheet">
    <worksheetSource ref="A5:AA844" sheet="Tracker"/>
  </cacheSource>
  <cacheFields count="27">
    <cacheField name="Delivery #" numFmtId="0">
      <sharedItems containsString="0" containsBlank="1" containsNumber="1" containsInteger="1" minValue="9749482" maxValue="9760528"/>
    </cacheField>
    <cacheField name="Line Ct" numFmtId="0">
      <sharedItems containsString="0" containsBlank="1" containsNumber="1" containsInteger="1" minValue="1" maxValue="36"/>
    </cacheField>
    <cacheField name="SO#" numFmtId="0">
      <sharedItems containsBlank="1"/>
    </cacheField>
    <cacheField name="Customer" numFmtId="0">
      <sharedItems containsBlank="1"/>
    </cacheField>
    <cacheField name="Order Received at EI" numFmtId="0">
      <sharedItems containsNonDate="0" containsDate="1" containsString="0" containsBlank="1" minDate="2016-10-01T00:00:00" maxDate="2016-10-29T00:00:00" count="22">
        <d v="2016-10-01T00:00:00"/>
        <d v="2016-10-05T00:00:00"/>
        <d v="2016-10-08T00:00:00"/>
        <d v="2016-10-11T00:00:00"/>
        <d v="2016-10-12T00:00:00"/>
        <d v="2016-10-13T00:00:00"/>
        <d v="2016-10-14T00:00:00"/>
        <d v="2016-10-15T00:00:00"/>
        <d v="2016-10-17T00:00:00"/>
        <d v="2016-10-18T00:00:00"/>
        <d v="2016-10-19T00:00:00"/>
        <d v="2016-10-20T00:00:00"/>
        <d v="2016-10-21T00:00:00"/>
        <d v="2016-10-22T00:00:00"/>
        <d v="2016-10-23T00:00:00"/>
        <d v="2016-10-24T00:00:00"/>
        <d v="2016-10-25T00:00:00"/>
        <d v="2016-10-26T00:00:00"/>
        <d v="2016-10-27T00:00:00"/>
        <d v="2016-10-28T00:00:00"/>
        <m/>
        <d v="2016-10-03T00:00:00" u="1"/>
      </sharedItems>
    </cacheField>
    <cacheField name="Time Received" numFmtId="0">
      <sharedItems containsNonDate="0" containsDate="1" containsString="0" containsBlank="1" minDate="2016-10-01T00:00:00" maxDate="2016-10-29T00:00:00"/>
    </cacheField>
    <cacheField name="SSD Date" numFmtId="0">
      <sharedItems containsNonDate="0" containsDate="1" containsString="0" containsBlank="1" minDate="2016-10-01T00:00:00" maxDate="2016-10-29T00:00:00"/>
    </cacheField>
    <cacheField name="Status" numFmtId="0">
      <sharedItems containsBlank="1" count="9">
        <s v="Picklist sent to WH"/>
        <s v="PIR"/>
        <s v="Pick in Progress"/>
        <s v="Ready to Ship"/>
        <s v="Ready To Load"/>
        <s v="Rcvd EI Not Assigned"/>
        <s v="New"/>
        <m/>
        <s v="Future SSD" u="1"/>
      </sharedItems>
    </cacheField>
    <cacheField name="Picker Name" numFmtId="0">
      <sharedItems containsBlank="1"/>
    </cacheField>
    <cacheField name="Ready To Load" numFmtId="0">
      <sharedItems containsBlank="1"/>
    </cacheField>
    <cacheField name="Ready to Ship Method" numFmtId="0">
      <sharedItems containsNonDate="0" containsString="0" containsBlank="1"/>
    </cacheField>
    <cacheField name="PIR" numFmtId="0">
      <sharedItems containsBlank="1"/>
    </cacheField>
    <cacheField name="Picking Notes" numFmtId="0">
      <sharedItems containsBlank="1"/>
    </cacheField>
    <cacheField name="Future_Use1" numFmtId="0">
      <sharedItems containsNonDate="0" containsString="0" containsBlank="1"/>
    </cacheField>
    <cacheField name="Future_Use2" numFmtId="0">
      <sharedItems containsNonDate="0" containsString="0" containsBlank="1"/>
    </cacheField>
    <cacheField name="Future_Use3" numFmtId="0">
      <sharedItems containsNonDate="0" containsString="0" containsBlank="1"/>
    </cacheField>
    <cacheField name="EXPD Status" numFmtId="0">
      <sharedItems containsNonDate="0" containsString="0" containsBlank="1"/>
    </cacheField>
    <cacheField name="Picklist Sent to WH" numFmtId="0">
      <sharedItems containsBlank="1"/>
    </cacheField>
    <cacheField name="Comments / CSR Notes" numFmtId="0">
      <sharedItems containsBlank="1" containsMixedTypes="1" containsNumber="1" containsInteger="1" minValue="6900015" maxValue="20118694"/>
    </cacheField>
    <cacheField name="Tracking #" numFmtId="0">
      <sharedItems containsBlank="1"/>
    </cacheField>
    <cacheField name="Tracking From Open Order" numFmtId="0">
      <sharedItems containsBlank="1"/>
    </cacheField>
    <cacheField name="Future_Use5" numFmtId="0">
      <sharedItems containsNonDate="0" containsString="0" containsBlank="1"/>
    </cacheField>
    <cacheField name="Future_Use6" numFmtId="0">
      <sharedItems containsNonDate="0" containsString="0" containsBlank="1"/>
    </cacheField>
    <cacheField name="Future_Use7" numFmtId="0">
      <sharedItems containsNonDate="0" containsString="0" containsBlank="1"/>
    </cacheField>
    <cacheField name="Future_Use8" numFmtId="0">
      <sharedItems containsNonDate="0" containsString="0" containsBlank="1"/>
    </cacheField>
    <cacheField name="Supervisor Comment" numFmtId="0">
      <sharedItems containsBlank="1"/>
    </cacheField>
    <cacheField name="Company Name &amp; Owner of Action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66">
  <r>
    <s v="SJ2"/>
    <s v="5000311"/>
    <s v="VIDEOTRON LTEE"/>
    <s v="161148"/>
    <s v="R023P04L3"/>
    <s v="SJ2_FOB"/>
    <s v="VIDEOTRON G.P"/>
    <s v="4545 Frontenac Porte 2 Centre De Distribution Montreal"/>
    <s v="QC"/>
    <s v="Montreal"/>
    <s v="H2H 2R7"/>
    <s v="BP-35M3-C7-1-00-2-AS"/>
    <s v="OPT MUX3 BP 1RF 100GHZ A2 CH 4"/>
    <s v="6900351"/>
    <s v="4.3"/>
    <x v="0"/>
    <n v="1963496"/>
    <d v="2016-05-04T00:00:00"/>
    <m/>
    <d v="2016-10-28T00:00:00"/>
    <d v="2016-07-04T00:00:00"/>
    <d v="2016-10-28T00:00:00"/>
    <m/>
    <n v="1"/>
    <m/>
    <n v="853"/>
    <m/>
    <s v="N133"/>
    <s v="NWK ACCESS TECH"/>
    <s v="HEO"/>
    <s v="HEO MISC AURORA"/>
    <s v="N133"/>
    <s v="AUR-STANDARD ORDER MIXED"/>
    <s v="A-AIR O/N"/>
    <s v="OP"/>
    <n v="1251288"/>
    <s v="A-AIR"/>
    <m/>
    <m/>
    <m/>
    <s v="A-AIR"/>
    <s v="1DA"/>
    <s v="DDP"/>
    <s v="Prepaid"/>
    <m/>
    <m/>
    <m/>
    <m/>
    <m/>
    <m/>
    <m/>
    <s v="0"/>
    <s v="0"/>
  </r>
  <r>
    <s v="SJ2"/>
    <s v="5000311"/>
    <s v="VIDEOTRON LTEE"/>
    <s v="Montreal-Frontenac"/>
    <s v="R022P30L5"/>
    <s v="SJ2_FOB"/>
    <s v="VIDEOTRON G.P."/>
    <s v="4545 FRONTENAC ST"/>
    <s v="QC"/>
    <s v="Montreal"/>
    <s v="H2H 2R7"/>
    <s v="EQ2104G"/>
    <s v="LINEAR EQL NC2000 4DB 45-1GHZ"/>
    <s v="92001584"/>
    <s v="1.1"/>
    <x v="1"/>
    <n v="1961891"/>
    <d v="2016-09-08T09:15:25"/>
    <m/>
    <d v="2016-10-27T00:00:00"/>
    <d v="2016-11-01T00:00:00"/>
    <d v="2016-10-31T00:00:00"/>
    <m/>
    <n v="10"/>
    <m/>
    <n v="50"/>
    <m/>
    <s v="N224"/>
    <s v="NWK ACCESS TECH"/>
    <s v="ACCESS OTHER"/>
    <s v="OTHER AURORA"/>
    <s v="N224"/>
    <s v="UK-STANDARD ORDER MIXED"/>
    <s v="FEDEX O/N"/>
    <s v="OP"/>
    <n v="1250403"/>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22P30L5"/>
    <s v="SJ2_FOB"/>
    <s v="VIDEOTRON G.P."/>
    <s v="4545 FRONTENAC ST"/>
    <s v="QC"/>
    <s v="Montreal"/>
    <s v="H2H 2R7"/>
    <s v="EQ2106G"/>
    <s v="LINEAR EQL NC2000 6DB 45-1GHZ"/>
    <s v="92001584"/>
    <s v="10.1"/>
    <x v="1"/>
    <n v="1961891"/>
    <d v="2016-09-08T09:15:25"/>
    <m/>
    <d v="2016-10-27T00:00:00"/>
    <d v="2016-11-01T00:00:00"/>
    <d v="2016-10-31T00:00:00"/>
    <m/>
    <n v="23"/>
    <m/>
    <n v="115"/>
    <m/>
    <s v="N224"/>
    <s v="NWK ACCESS TECH"/>
    <s v="ACCESS OTHER"/>
    <s v="OTHER AURORA"/>
    <s v="N224"/>
    <s v="UK-STANDARD ORDER MIXED"/>
    <s v="FEDEX O/N"/>
    <s v="OP"/>
    <n v="1250403"/>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22P35L1"/>
    <s v="SJ2_FOB"/>
    <s v="VIDEOTRON G.P."/>
    <s v="4545 FRONTENAC ST"/>
    <s v="QC"/>
    <s v="Montreal"/>
    <s v="H2H 2R7"/>
    <s v="AP4018-L"/>
    <s v="ATTENUATOR NC4000 NODE 18dB PK"/>
    <s v="92001584"/>
    <s v="12.1"/>
    <x v="2"/>
    <n v="1962675"/>
    <d v="2016-09-08T09:15:25"/>
    <m/>
    <d v="2016-10-27T00:00:00"/>
    <d v="2016-11-07T00:00:00"/>
    <d v="2016-10-31T00:00:00"/>
    <m/>
    <n v="100"/>
    <m/>
    <n v="1100"/>
    <m/>
    <s v="N224"/>
    <s v="NWK ACCESS TECH"/>
    <s v="ACCESS OTHER"/>
    <s v="OTHER AURORA"/>
    <s v="N224"/>
    <s v="UK-STANDARD ORDER MIXED"/>
    <s v="FEDEX O/N"/>
    <s v="OP"/>
    <n v="1250771"/>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15P06L2"/>
    <s v="SJ2_FOB"/>
    <s v="VIDEOTRON G.P."/>
    <s v="4545 FRONTENAC ST"/>
    <s v="QC"/>
    <s v="Montreal"/>
    <s v="H2H 2R7"/>
    <s v="TL4075-SMB-L"/>
    <s v="TERMINATOR 75 OHM LONG PKG OF"/>
    <s v="92001584"/>
    <s v="24.1"/>
    <x v="1"/>
    <n v="1961892"/>
    <d v="2016-09-08T09:15:25"/>
    <m/>
    <d v="2016-10-27T00:00:00"/>
    <d v="2016-11-01T00:00:00"/>
    <d v="2016-10-31T00:00:00"/>
    <m/>
    <n v="10"/>
    <m/>
    <n v="1000"/>
    <m/>
    <s v="N193"/>
    <s v="NWK ACCESS TECH"/>
    <s v="ACCESS OTHER"/>
    <s v="OTHER AURORA"/>
    <s v="N193"/>
    <s v="UK-STANDARD ORDER MIXED"/>
    <s v="FEDEX O/N"/>
    <s v="OP"/>
    <n v="1250403"/>
    <s v="FEDEX"/>
    <m/>
    <m/>
    <m/>
    <s v="FEDERAL EXPRESS"/>
    <s v="1DA"/>
    <s v="DDP"/>
    <s v="Prepaid"/>
    <m/>
    <m/>
    <s v="Pallets 40 inx48 inx60 in max height max pallet weight 1500 lbs/double stacked no higher 48 in ea-MUST SHIP FED-EX AIR O/N NELSON VAILLANCOURT #514-380-6730"/>
    <m/>
    <m/>
    <m/>
    <m/>
    <s v="0"/>
    <s v="0"/>
  </r>
  <r>
    <s v="SJ2"/>
    <s v="5000311"/>
    <s v="VIDEOTRON LTEE"/>
    <s v="Montreal-Frontenac"/>
    <s v="R023P66L6"/>
    <s v="SJ2_FOB"/>
    <s v="VIDEOTRON G.P."/>
    <s v="4545 FRONTENAC ST"/>
    <s v="QC"/>
    <s v="Montreal"/>
    <s v="H2H 2R7"/>
    <s v="TR4440B-1270-PI"/>
    <s v="XCVR PLUGGABLE 60KM CWDM1270 D"/>
    <s v="92001584"/>
    <s v="8.1"/>
    <x v="1"/>
    <n v="1961891"/>
    <d v="2016-09-08T09:15:25"/>
    <m/>
    <d v="2016-10-27T00:00:00"/>
    <d v="2016-11-01T00:00:00"/>
    <d v="2016-10-31T00:00:00"/>
    <m/>
    <n v="10"/>
    <m/>
    <n v="3750"/>
    <m/>
    <s v="N252"/>
    <s v="NWK ACCESS TECH"/>
    <s v="NODE"/>
    <s v="NODE MISC AURORA"/>
    <s v="N252"/>
    <s v="UK-STANDARD ORDER MIXED"/>
    <s v="FEDEX O/N"/>
    <s v="OP"/>
    <n v="1250403"/>
    <s v="FEDEX"/>
    <m/>
    <m/>
    <m/>
    <s v="FEDERAL EXPRESS"/>
    <s v="1DA"/>
    <s v="DDP"/>
    <s v="Prepaid"/>
    <m/>
    <m/>
    <s v="Pallets 40 inx48 inx60 in max height max pallet weight 1500 lbs/double stacked no higher 48 in ea-MUST SHIP FED-EX AIR O/N NELSON VAILLANCOURT #514-380-6730"/>
    <m/>
    <m/>
    <m/>
    <m/>
    <s v="0"/>
    <s v="0"/>
  </r>
  <r>
    <s v="SJ2"/>
    <s v="5000311"/>
    <s v="VIDEOTRON LTEE"/>
    <s v="ANJOU QUEBEC"/>
    <s v="R016P07L2B02"/>
    <s v="SJ2_FOB"/>
    <s v="VIDEOTRON G.P."/>
    <s v="8101 METROPOLITAIN BLVD E"/>
    <s v="QC"/>
    <s v="ANJOU"/>
    <s v="H1J 1J9"/>
    <s v="DR3450N-50-00"/>
    <s v="DIGITAL RECEIVER Q-RX 2.125GBP"/>
    <s v="92001587"/>
    <s v="15.1"/>
    <x v="3"/>
    <n v="1961919"/>
    <d v="2016-09-08T09:37:49"/>
    <m/>
    <d v="2016-10-27T00:00:00"/>
    <d v="2016-11-01T00:00:00"/>
    <d v="2016-10-31T00:00:00"/>
    <m/>
    <n v="20"/>
    <m/>
    <n v="24000"/>
    <m/>
    <s v="N275"/>
    <s v="NWK ACCESS TECH"/>
    <s v="HEO"/>
    <s v="RECEIVERS AURORA"/>
    <s v="N275"/>
    <s v="UK-STANDARD ORDER MIXED"/>
    <s v="FEDEX O/N"/>
    <s v="OP"/>
    <n v="1250403"/>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ANJOU QUEBEC"/>
    <s v="R016P46L2B01"/>
    <s v="SJ2_FOB"/>
    <s v="VIDEOTRON G.P."/>
    <s v="8101 METROPOLITAIN BLVD E"/>
    <s v="QC"/>
    <s v="ANJOU"/>
    <s v="H1J 1J9"/>
    <s v="NH4000-VHP2"/>
    <s v="HOUSING VHUB DUAL PWR SPLY FBR"/>
    <s v="92001587"/>
    <s v="16.1"/>
    <x v="4"/>
    <n v="1963051"/>
    <d v="2016-09-08T09:37:49"/>
    <m/>
    <d v="2016-10-28T00:00:00"/>
    <d v="2016-11-02T00:00:00"/>
    <d v="2016-11-01T00:00:00"/>
    <m/>
    <n v="5"/>
    <m/>
    <n v="4305"/>
    <m/>
    <s v="N224"/>
    <s v="NWK ACCESS TECH"/>
    <s v="ACCESS OTHER"/>
    <s v="OTHER AURORA"/>
    <s v="N224"/>
    <s v="UK-STANDARD ORDER MIXED"/>
    <s v="FEDEX O/N"/>
    <s v="OP"/>
    <n v="1251017"/>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58L3"/>
    <s v="SJ2_FOB"/>
    <s v="VIDEOTRON G.P."/>
    <s v="4545 FRONTENAC ST"/>
    <s v="QC"/>
    <s v="Montreal"/>
    <s v="H2H 2R7"/>
    <s v="HT3541H-D-A480-2-AS"/>
    <s v="XMTR DD 1.2GHZ FULL SPECTRUM 3"/>
    <s v="92001589"/>
    <s v="13.6"/>
    <x v="5"/>
    <n v="1953414"/>
    <d v="2016-09-08T09:45:49"/>
    <m/>
    <d v="2016-10-18T00:00:00"/>
    <d v="2016-09-29T00:00:00"/>
    <d v="2016-10-18T00:00:00"/>
    <m/>
    <n v="1"/>
    <n v="1"/>
    <n v="1760"/>
    <n v="1760"/>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09L4"/>
    <s v="SJ2_FOB"/>
    <s v="VIDEOTRON G.P."/>
    <s v="4545 FRONTENAC ST"/>
    <s v="QC"/>
    <s v="Montreal"/>
    <s v="H2H 2R7"/>
    <s v="HT3541H-D-A480-2-AS"/>
    <s v="XMTR DD 1.2GHZ FULL SPECTRUM 3"/>
    <s v="92001589"/>
    <s v="13.6"/>
    <x v="5"/>
    <n v="1953414"/>
    <d v="2016-09-08T09:45:49"/>
    <m/>
    <d v="2016-10-18T00:00:00"/>
    <d v="2016-09-29T00:00:00"/>
    <d v="2016-10-18T00:00:00"/>
    <m/>
    <n v="1"/>
    <n v="1"/>
    <n v="1760"/>
    <n v="1760"/>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0P34L3"/>
    <s v="SJ2_FOB"/>
    <s v="VIDEOTRON G.P."/>
    <s v="4545 FRONTENAC ST"/>
    <s v="QC"/>
    <s v="Montreal"/>
    <s v="H2H 2R7"/>
    <s v="HT3541H-D-A420-2-AS"/>
    <s v="XMTR DD 1.2GHZ FULL SPECTRUM 3"/>
    <s v="92001589"/>
    <s v="26.1"/>
    <x v="6"/>
    <n v="1963572"/>
    <d v="2016-09-08T09:45:49"/>
    <m/>
    <d v="2016-10-28T00:00:00"/>
    <d v="2016-10-28T00:00:00"/>
    <d v="2016-10-28T00:00:00"/>
    <m/>
    <n v="1"/>
    <m/>
    <n v="1760"/>
    <m/>
    <s v="HE64"/>
    <s v="NWK ACCESS TECH"/>
    <s v="HEO"/>
    <s v="TRANSMITTER"/>
    <s v="HT"/>
    <s v="UK-STANDARD ORDER MIXED"/>
    <s v="FEDEX O/N"/>
    <s v="OP"/>
    <n v="1251337"/>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35L2"/>
    <s v="SJ2_FOB"/>
    <s v="VIDEOTRON G.P."/>
    <s v="4545 FRONTENAC ST"/>
    <s v="QC"/>
    <s v="Montreal"/>
    <s v="H2H 2R7"/>
    <s v="HT3541H-D-A320-2-AS"/>
    <s v="XMTR DD 1.2GHZ FULL SPECTRUM 3"/>
    <s v="92001589"/>
    <s v="3.1"/>
    <x v="5"/>
    <n v="1953414"/>
    <d v="2016-09-08T09:45:49"/>
    <m/>
    <d v="2016-10-18T00:00:00"/>
    <d v="2016-09-29T00:00:00"/>
    <d v="2016-10-18T00:00:00"/>
    <m/>
    <n v="1"/>
    <n v="1"/>
    <n v="1760"/>
    <n v="1760"/>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2P07L1"/>
    <s v="SJ2_FOB"/>
    <s v="VIDEOTRON G.P."/>
    <s v="4545 FRONTENAC ST"/>
    <s v="QC"/>
    <s v="Montreal"/>
    <s v="H2H 2R7"/>
    <s v="HT3541H-D-A320-2-AS"/>
    <s v="XMTR DD 1.2GHZ FULL SPECTRUM 3"/>
    <s v="92001589"/>
    <s v="3.1"/>
    <x v="5"/>
    <n v="1953414"/>
    <d v="2016-09-08T09:45:49"/>
    <m/>
    <d v="2016-10-18T00:00:00"/>
    <d v="2016-09-29T00:00:00"/>
    <d v="2016-10-18T00:00:00"/>
    <m/>
    <n v="5"/>
    <n v="5"/>
    <n v="8800"/>
    <n v="8800"/>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Montreal-Frontenac"/>
    <s v="R023P53L3"/>
    <s v="SJ2_FOB"/>
    <s v="VIDEOTRON G.P."/>
    <s v="4545 FRONTENAC ST"/>
    <s v="QC"/>
    <s v="Montreal"/>
    <s v="H2H 2R7"/>
    <s v="HT3541H-D-A320-2-AS"/>
    <s v="XMTR DD 1.2GHZ FULL SPECTRUM 3"/>
    <s v="92001589"/>
    <s v="3.1"/>
    <x v="5"/>
    <n v="1953414"/>
    <d v="2016-09-08T09:45:49"/>
    <m/>
    <d v="2016-10-18T00:00:00"/>
    <d v="2016-09-29T00:00:00"/>
    <d v="2016-10-18T00:00:00"/>
    <m/>
    <n v="6"/>
    <n v="6"/>
    <n v="10560"/>
    <n v="10560"/>
    <s v="HE64"/>
    <s v="NWK ACCESS TECH"/>
    <s v="HEO"/>
    <s v="TRANSMITTER"/>
    <s v="HT"/>
    <s v="UK-STANDARD ORDER MIXED"/>
    <s v="FEDEX O/N"/>
    <s v="OP"/>
    <n v="1245168"/>
    <s v="FEDEX"/>
    <m/>
    <m/>
    <m/>
    <s v="FEDERAL EXPRESS"/>
    <s v="1DA"/>
    <s v="DDP"/>
    <s v="Prepaid"/>
    <m/>
    <m/>
    <s v="Pallets 40 inx48 inx60 in max height max pallet weight 1500 lbs/double stacked no higher 48 in ea - MUST SHIP FED-EX AIR O/N NELSON VAILLANCOURT #514-380-6730"/>
    <m/>
    <m/>
    <m/>
    <m/>
    <s v="0"/>
    <s v="0"/>
  </r>
  <r>
    <s v="SJ2"/>
    <s v="5000311"/>
    <s v="VIDEOTRON LTEE"/>
    <s v="ANJOU QUEBEC"/>
    <m/>
    <s v="SJ2_FOB"/>
    <s v="VIDEOTRON G.P."/>
    <s v="8101 METROPOLITAIN BLVD E"/>
    <s v="QC"/>
    <s v="ANJOU"/>
    <s v="H1J 1J9"/>
    <s v="PS3148D"/>
    <s v="POWER SUPPLY W/DISPLAY -48VDC"/>
    <s v="92001845"/>
    <s v="15.1"/>
    <x v="7"/>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ANJOU QUEBEC"/>
    <m/>
    <s v="SJ2_FOB"/>
    <s v="VIDEOTRON G.P."/>
    <s v="8101 METROPOLITAIN BLVD E"/>
    <s v="QC"/>
    <s v="ANJOU"/>
    <s v="H1J 1J9"/>
    <s v="PS3148D"/>
    <s v="POWER SUPPLY W/DISPLAY -48VDC"/>
    <m/>
    <s v="37.1"/>
    <x v="7"/>
    <n v="1962389"/>
    <d v="2016-09-21T13:16:36"/>
    <m/>
    <d v="2016-10-27T00:00:00"/>
    <d v="2016-10-26T00:00:00"/>
    <d v="2016-10-27T00:00:00"/>
    <m/>
    <n v="15"/>
    <m/>
    <n v="11400"/>
    <m/>
    <s v="N204"/>
    <s v="NWK ACCESS TECH"/>
    <s v="ACCESS OTHER"/>
    <s v="OTHER AURORA"/>
    <s v="N204"/>
    <s v="UK-STANDARD ORDER MIXED"/>
    <s v="FEDEX O/N"/>
    <s v="OP"/>
    <n v="1250622"/>
    <s v="FEDEX"/>
    <m/>
    <m/>
    <m/>
    <s v="FEDERAL EXPRESS"/>
    <s v="1DA"/>
    <s v="DDP"/>
    <s v="Prepaid"/>
    <m/>
    <m/>
    <s v="Pallets 40 inx48 inx60 in max height max pallet weight 1500 lbs/double stacked no higher 48 in ea"/>
    <m/>
    <m/>
    <m/>
    <m/>
    <s v="0"/>
    <s v="0"/>
  </r>
  <r>
    <s v="SJ2"/>
    <s v="5000311"/>
    <s v="VIDEOTRON LTEE"/>
    <s v="JEAN PERRIN QUEBEC"/>
    <s v="R023P12L3"/>
    <s v="SJ2_FOB"/>
    <s v="VIDEOTRON"/>
    <s v="2200 JEAN-PERRIN ST"/>
    <s v="QC"/>
    <s v="QUEBEC"/>
    <s v="G2C 1S4"/>
    <s v="CC3008"/>
    <s v="COMM CONTROL MODULE HIGH DENSI"/>
    <s v="92002174"/>
    <s v="3.1"/>
    <x v="8"/>
    <n v="1962390"/>
    <d v="2016-10-05T07:24:44"/>
    <m/>
    <d v="2016-10-27T00:00:00"/>
    <d v="2016-10-20T00:00:00"/>
    <d v="2016-10-27T00:00:00"/>
    <m/>
    <n v="40"/>
    <n v="40"/>
    <n v="5280"/>
    <n v="5280"/>
    <s v="N260"/>
    <s v="NWK ACCESS TECH"/>
    <s v="HEO"/>
    <s v="TRANSMITTERS AURORA"/>
    <s v="HDTX"/>
    <s v="UK-STANDARD ORDER MIXED"/>
    <s v="A-SURFACE"/>
    <s v="OP"/>
    <n v="1250622"/>
    <s v="A-SURFACE"/>
    <m/>
    <m/>
    <m/>
    <s v="A-SURFACE"/>
    <s v="LTL"/>
    <s v="DDP"/>
    <s v="Prepaid"/>
    <m/>
    <m/>
    <s v="Pallets 40 inx48 inx60 in max height max pallet weight 1500 lbs/double stacked no higher 48 in ea"/>
    <m/>
    <m/>
    <m/>
    <m/>
    <s v="0"/>
    <s v="0"/>
  </r>
  <r>
    <s v="SJ2"/>
    <s v="5000311"/>
    <s v="VIDEOTRON LTEE"/>
    <s v="JEAN PERRIN QUEBEC"/>
    <s v="R023P09L4"/>
    <s v="SJ2_FOB"/>
    <s v="VIDEOTRON"/>
    <s v="2200 JEAN-PERRIN ST"/>
    <s v="QC"/>
    <s v="QUEBEC"/>
    <s v="G2C 1S4"/>
    <s v="HT3541H-D-A380-2-AS"/>
    <s v="XMTR DD 1.2GHZ FULL SPECTRUM 3"/>
    <s v="92002175"/>
    <s v="3.1"/>
    <x v="9"/>
    <n v="1957085"/>
    <d v="2016-10-05T07:30:19"/>
    <m/>
    <d v="2016-10-20T00:00:00"/>
    <d v="2016-10-20T00:00:00"/>
    <d v="2016-10-20T00:00:00"/>
    <m/>
    <n v="12"/>
    <n v="9"/>
    <n v="21120"/>
    <n v="15840"/>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3P03L2"/>
    <s v="SJ2_FOB"/>
    <s v="VIDEOTRON"/>
    <s v="2200 JEAN-PERRIN ST"/>
    <s v="QC"/>
    <s v="QUEBEC"/>
    <s v="G2C 1S4"/>
    <s v="HT3541H-D-A200-2-AS"/>
    <s v="XMTR DD 1.2GHZ FULL SPECTRUM 3"/>
    <s v="92002175"/>
    <s v="4.1"/>
    <x v="9"/>
    <n v="1957085"/>
    <d v="2016-10-05T07:30:19"/>
    <m/>
    <d v="2016-10-20T00:00:00"/>
    <d v="2016-10-20T00:00:00"/>
    <d v="2016-10-20T00:00:00"/>
    <m/>
    <n v="3"/>
    <n v="3"/>
    <n v="5280"/>
    <n v="5280"/>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3P06L4"/>
    <s v="SJ2_FOB"/>
    <s v="VIDEOTRON"/>
    <s v="2200 JEAN-PERRIN ST"/>
    <s v="QC"/>
    <s v="QUEBEC"/>
    <s v="G2C 1S4"/>
    <s v="HT3541H-D-A440-2-AS"/>
    <s v="XMTR DD 1.2GHZ FULL SPECTRUM 3"/>
    <s v="92002175"/>
    <s v="7.2"/>
    <x v="9"/>
    <n v="1957085"/>
    <d v="2016-10-05T07:30:19"/>
    <m/>
    <d v="2016-10-20T00:00:00"/>
    <d v="2016-10-20T00:00:00"/>
    <d v="2016-10-24T00:00:00"/>
    <m/>
    <n v="8"/>
    <n v="8"/>
    <n v="14080"/>
    <n v="14080"/>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3P09L5"/>
    <s v="SJ2_FOB"/>
    <s v="VIDEOTRON"/>
    <s v="2200 JEAN-PERRIN ST"/>
    <s v="QC"/>
    <s v="QUEBEC"/>
    <s v="G2C 1S4"/>
    <s v="HT3541H-D-A440-2-AS"/>
    <s v="XMTR DD 1.2GHZ FULL SPECTRUM 3"/>
    <s v="92002175"/>
    <s v="7.2"/>
    <x v="9"/>
    <n v="1957085"/>
    <d v="2016-10-05T07:30:19"/>
    <m/>
    <d v="2016-10-20T00:00:00"/>
    <d v="2016-10-20T00:00:00"/>
    <d v="2016-10-24T00:00:00"/>
    <m/>
    <n v="22"/>
    <n v="22"/>
    <n v="38720"/>
    <n v="38720"/>
    <s v="HE64"/>
    <s v="NWK ACCESS TECH"/>
    <s v="HEO"/>
    <s v="TRANSMITTER"/>
    <s v="HT"/>
    <s v="UK-STANDARD ORDER MIXED"/>
    <s v="A-SURFACE"/>
    <s v="OP"/>
    <n v="1246600"/>
    <s v="A-SURFACE"/>
    <m/>
    <m/>
    <m/>
    <s v="A-SURFACE"/>
    <s v="LTL"/>
    <s v="DDP"/>
    <s v="Prepaid"/>
    <m/>
    <m/>
    <s v="Pallets 40 inx48 inx60 in max height max pallet weight 1500 lbs/double stacked no higher 48 in ea"/>
    <m/>
    <m/>
    <m/>
    <m/>
    <s v="0"/>
    <s v="0"/>
  </r>
  <r>
    <s v="SJ2"/>
    <s v="5000311"/>
    <s v="VIDEOTRON LTEE"/>
    <s v="JEAN PERRIN QUEBEC"/>
    <s v="R024P21L1B02"/>
    <s v="SJ2_FOB"/>
    <s v="VIDEOTRON"/>
    <s v="2200 JEAN-PERRIN ST"/>
    <s v="QC"/>
    <s v="QUEBEC"/>
    <s v="G2C 1S4"/>
    <s v="HT3541H-D-A510-2-AS"/>
    <s v="XMTR DD 1.2GHZ FULL SPECTRUM 3"/>
    <s v="92002175"/>
    <s v="8.1"/>
    <x v="10"/>
    <n v="1962367"/>
    <d v="2016-10-05T07:30:19"/>
    <m/>
    <d v="2016-10-27T00:00:00"/>
    <d v="2016-10-20T00:00:00"/>
    <d v="2016-10-27T00:00:00"/>
    <m/>
    <n v="21"/>
    <n v="21"/>
    <n v="36960"/>
    <n v="36960"/>
    <s v="HE64"/>
    <s v="NWK ACCESS TECH"/>
    <s v="HEO"/>
    <s v="TRANSMITTER"/>
    <s v="HT"/>
    <s v="UK-STANDARD ORDER MIXED"/>
    <s v="A-SURFACE"/>
    <s v="OP"/>
    <n v="1250622"/>
    <s v="A-SURFACE"/>
    <m/>
    <m/>
    <m/>
    <s v="A-SURFACE"/>
    <s v="LTL"/>
    <s v="DDP"/>
    <s v="Prepaid"/>
    <m/>
    <m/>
    <s v="Pallets 40 inx48 inx60 in max height max pallet weight 1500 lbs/double stacked no higher 48 in ea"/>
    <m/>
    <m/>
    <m/>
    <m/>
    <s v="0"/>
    <s v="0"/>
  </r>
  <r>
    <s v="SJ2"/>
    <s v="5000311"/>
    <s v="VIDEOTRON LTEE"/>
    <s v="JEAN PERRIN QUEBEC"/>
    <s v="R024P10L5B01"/>
    <s v="SJ2_FOB"/>
    <s v="VIDEOTRON"/>
    <s v="2200 JEAN-PERRIN ST"/>
    <s v="QC"/>
    <s v="QUEBEC"/>
    <s v="G2C 1S4"/>
    <s v="CC3008"/>
    <s v="COMM CONTROL MODULE HIGH DENSI"/>
    <s v="92002176"/>
    <s v="3.1"/>
    <x v="11"/>
    <n v="1962699"/>
    <d v="2016-10-05T07:39:52"/>
    <m/>
    <d v="2016-10-27T00:00:00"/>
    <d v="2016-10-20T00:00:00"/>
    <d v="2016-10-27T00:00:00"/>
    <m/>
    <n v="80"/>
    <m/>
    <n v="10560"/>
    <m/>
    <s v="N260"/>
    <s v="NWK ACCESS TECH"/>
    <s v="HEO"/>
    <s v="TRANSMITTERS AURORA"/>
    <s v="HDTX"/>
    <s v="UK-STANDARD ORDER MIXED"/>
    <s v="A-SURFACE"/>
    <s v="OP"/>
    <n v="1250771"/>
    <s v="A-SURFACE"/>
    <m/>
    <m/>
    <m/>
    <s v="A-SURFACE"/>
    <s v="LTL"/>
    <s v="DDP"/>
    <s v="Prepaid"/>
    <m/>
    <m/>
    <s v="Pallets 40 inx48 inx60 in max height max pallet weight 1500 lbs/double stacked no higher 48 in ea"/>
    <m/>
    <m/>
    <m/>
    <m/>
    <s v="0"/>
    <s v="0"/>
  </r>
  <r>
    <s v="SJ2"/>
    <s v="5000311"/>
    <s v="VIDEOTRON LTEE"/>
    <s v="JEAN PERRIN QUEBEC"/>
    <s v="R024P10L5B01"/>
    <s v="SJ2_FOB"/>
    <s v="VIDEOTRON"/>
    <s v="2200 JEAN-PERRIN ST"/>
    <s v="QC"/>
    <s v="QUEBEC"/>
    <s v="G2C 1S4"/>
    <s v="CC3008"/>
    <s v="COMM CONTROL MODULE HIGH DENSI"/>
    <s v="92002177"/>
    <s v="3.1"/>
    <x v="12"/>
    <n v="1962699"/>
    <d v="2016-10-05T07:48:03"/>
    <m/>
    <d v="2016-10-27T00:00:00"/>
    <d v="2016-10-20T00:00:00"/>
    <d v="2016-10-27T00:00:00"/>
    <m/>
    <n v="40"/>
    <m/>
    <n v="5280"/>
    <m/>
    <s v="N260"/>
    <s v="NWK ACCESS TECH"/>
    <s v="HEO"/>
    <s v="TRANSMITTERS AURORA"/>
    <s v="HDTX"/>
    <s v="UK-STANDARD ORDER MIXED"/>
    <s v="A-SURFACE"/>
    <s v="OP"/>
    <n v="1250771"/>
    <s v="A-SURFACE"/>
    <m/>
    <m/>
    <m/>
    <s v="A-SURFACE"/>
    <s v="LTL"/>
    <s v="DDP"/>
    <s v="Prepaid"/>
    <m/>
    <m/>
    <s v="Pallets 40 inx48 inx60 in max height max pallet weight 1500 lbs/double stacked no higher 48 in ea"/>
    <m/>
    <m/>
    <m/>
    <m/>
    <s v="0"/>
    <s v="0"/>
  </r>
  <r>
    <s v="SJ2"/>
    <s v="5000311"/>
    <s v="VIDEOTRON LTEE"/>
    <s v="Montreal-Frontenac"/>
    <s v="R023P18L2"/>
    <s v="SJ2_FOB"/>
    <s v="VIDEOTRON G.P."/>
    <s v="4545 FRONTENAC ST"/>
    <s v="QC"/>
    <s v="Montreal"/>
    <s v="H2H 2R7"/>
    <s v="HT3541H-D-A270-2-AS"/>
    <s v="XMTR DD 1.2GHZ FULL SPECTRUM 3"/>
    <s v="92002296"/>
    <s v="1.1"/>
    <x v="13"/>
    <n v="1957341"/>
    <d v="2016-10-10T10:00:59"/>
    <m/>
    <d v="2016-10-21T00:00:00"/>
    <d v="2016-10-26T00:00:00"/>
    <d v="2016-10-25T00:00:00"/>
    <m/>
    <n v="66"/>
    <n v="66"/>
    <n v="116160"/>
    <n v="116160"/>
    <s v="HE64"/>
    <s v="NWK ACCESS TECH"/>
    <s v="HEO"/>
    <s v="TRANSMITTER"/>
    <s v="HT"/>
    <s v="UK-STANDARD ORDER MIXED"/>
    <s v="A-SURFACE"/>
    <s v="OP"/>
    <n v="1246800"/>
    <s v="A-SURFACE"/>
    <m/>
    <m/>
    <m/>
    <s v="A-SURFACE"/>
    <s v="LTL"/>
    <s v="DDP"/>
    <s v="Prepaid"/>
    <m/>
    <m/>
    <s v="Pallets 40 inx48 inx60 in max height max pallet weight 1500 lbs/double stacked no higher 48 in ea"/>
    <m/>
    <m/>
    <m/>
    <m/>
    <s v="0"/>
    <s v="0"/>
  </r>
  <r>
    <s v="SJ2"/>
    <s v="5000311"/>
    <s v="VIDEOTRON LTEE"/>
    <s v="Montreal-Frontenac"/>
    <s v="R023P34L2"/>
    <s v="SJ2_FOB"/>
    <s v="VIDEOTRON G.P."/>
    <s v="4545 FRONTENAC ST"/>
    <s v="QC"/>
    <s v="Montreal"/>
    <s v="H2H 2R7"/>
    <s v="HT3541H-D-A430-2-AS"/>
    <s v="XMTR DD 1.2GHZ FULL SPECTRUM 3"/>
    <s v="92002296"/>
    <s v="11.1"/>
    <x v="14"/>
    <n v="1962366"/>
    <d v="2016-10-10T10:00:59"/>
    <m/>
    <d v="2016-10-27T00:00:00"/>
    <d v="2016-10-26T00:00:00"/>
    <d v="2016-10-27T00:00:00"/>
    <m/>
    <n v="12"/>
    <n v="12"/>
    <n v="21120"/>
    <n v="21120"/>
    <s v="HE64"/>
    <s v="NWK ACCESS TECH"/>
    <s v="HEO"/>
    <s v="TRANSMITTER"/>
    <s v="HT"/>
    <s v="UK-STANDARD ORDER MIXED"/>
    <s v="A-SURFACE"/>
    <s v="OP"/>
    <n v="1250622"/>
    <s v="A-SURFACE"/>
    <m/>
    <m/>
    <m/>
    <s v="A-SURFACE"/>
    <s v="LTL"/>
    <s v="DDP"/>
    <s v="Prepaid"/>
    <m/>
    <m/>
    <s v="Pallets 40 inx48 inx60 in max height max pallet weight 1500 lbs/double stacked no higher 48 in ea"/>
    <m/>
    <m/>
    <m/>
    <m/>
    <s v="0"/>
    <s v="0"/>
  </r>
  <r>
    <s v="SJ2"/>
    <s v="5000311"/>
    <s v="VIDEOTRON LTEE"/>
    <s v="Montreal-Frontenac"/>
    <s v="R022P04L3"/>
    <s v="SJ2_FOB"/>
    <s v="VIDEOTRON G.P."/>
    <s v="4545 FRONTENAC ST"/>
    <s v="QC"/>
    <s v="Montreal"/>
    <s v="H2H 2R7"/>
    <s v="HT3541H-D-A510-2-AS"/>
    <s v="XMTR DD 1.2GHZ FULL SPECTRUM 3"/>
    <s v="92002296"/>
    <s v="16.1"/>
    <x v="15"/>
    <n v="1960254"/>
    <d v="2016-10-10T10:00:59"/>
    <m/>
    <d v="2016-10-25T00:00:00"/>
    <d v="2016-10-26T00:00:00"/>
    <d v="2016-10-27T00:00:00"/>
    <m/>
    <n v="6"/>
    <n v="6"/>
    <n v="10560"/>
    <n v="10560"/>
    <s v="HE64"/>
    <s v="NWK ACCESS TECH"/>
    <s v="HEO"/>
    <s v="TRANSMITTER"/>
    <s v="HT"/>
    <s v="UK-STANDARD ORDER MIXED"/>
    <s v="A-SURFACE"/>
    <s v="OP"/>
    <n v="1249240"/>
    <s v="A-SURFACE"/>
    <m/>
    <m/>
    <m/>
    <s v="A-SURFACE"/>
    <s v="LTL"/>
    <s v="DDP"/>
    <s v="Prepaid"/>
    <m/>
    <m/>
    <s v="Pallets 40 inx48 inx60 in max height max pallet weight 1500 lbs/double stacked no higher 48 in ea"/>
    <m/>
    <m/>
    <m/>
    <m/>
    <s v="0"/>
    <s v="0"/>
  </r>
  <r>
    <s v="SJ2"/>
    <s v="5000311"/>
    <s v="VIDEOTRON LTEE"/>
    <s v="Montreal-Frontenac"/>
    <s v="R024P21L1B02"/>
    <s v="SJ2_FOB"/>
    <s v="VIDEOTRON G.P."/>
    <s v="4545 FRONTENAC ST"/>
    <s v="QC"/>
    <s v="Montreal"/>
    <s v="H2H 2R7"/>
    <s v="HT3541H-D-A510-2-AS"/>
    <s v="XMTR DD 1.2GHZ FULL SPECTRUM 3"/>
    <s v="92002296"/>
    <s v="16.1"/>
    <x v="16"/>
    <n v="1960651"/>
    <d v="2016-10-10T10:00:59"/>
    <m/>
    <d v="2016-10-25T00:00:00"/>
    <d v="2016-10-26T00:00:00"/>
    <d v="2016-10-27T00:00:00"/>
    <m/>
    <n v="60"/>
    <n v="60"/>
    <n v="105600"/>
    <n v="105600"/>
    <s v="HE64"/>
    <s v="NWK ACCESS TECH"/>
    <s v="HEO"/>
    <s v="TRANSMITTER"/>
    <s v="HT"/>
    <s v="UK-STANDARD ORDER MIXED"/>
    <s v="A-SURFACE"/>
    <s v="OP"/>
    <n v="1249563"/>
    <s v="A-SURFACE"/>
    <m/>
    <m/>
    <m/>
    <s v="A-SURFACE"/>
    <s v="LTL"/>
    <s v="DDP"/>
    <s v="Prepaid"/>
    <m/>
    <m/>
    <s v="Pallets 40 inx48 inx60 in max height max pallet weight 1500 lbs/double stacked no higher 48 in ea"/>
    <m/>
    <m/>
    <m/>
    <m/>
    <s v="0"/>
    <s v="0"/>
  </r>
  <r>
    <s v="SJ2"/>
    <s v="5000311"/>
    <s v="VIDEOTRON LTEE"/>
    <s v="Montreal-Frontenac"/>
    <s v="R024P10L5B01"/>
    <s v="SJ2_FOB"/>
    <s v="VIDEOTRON G.P."/>
    <s v="4545 FRONTENAC ST"/>
    <s v="QC"/>
    <s v="Montreal"/>
    <s v="H2H 2R7"/>
    <s v="CC3008"/>
    <s v="COMM CONTROL MODULE HIGH DENSI"/>
    <s v="92002296"/>
    <s v="24.1"/>
    <x v="14"/>
    <n v="1962366"/>
    <d v="2016-10-10T10:00:59"/>
    <m/>
    <d v="2016-10-27T00:00:00"/>
    <d v="2016-10-26T00:00:00"/>
    <d v="2016-10-27T00:00:00"/>
    <m/>
    <n v="68"/>
    <n v="68"/>
    <n v="8976"/>
    <n v="8976"/>
    <s v="N260"/>
    <s v="NWK ACCESS TECH"/>
    <s v="HEO"/>
    <s v="TRANSMITTERS AURORA"/>
    <s v="HDTX"/>
    <s v="UK-STANDARD ORDER MIXED"/>
    <s v="A-SURFACE"/>
    <s v="OP"/>
    <n v="1250622"/>
    <s v="A-SURFACE"/>
    <m/>
    <m/>
    <m/>
    <s v="A-SURFACE"/>
    <s v="LTL"/>
    <s v="DDP"/>
    <s v="Prepaid"/>
    <m/>
    <m/>
    <s v="Pallets 40 inx48 inx60 in max height max pallet weight 1500 lbs/double stacked no higher 48 in ea"/>
    <m/>
    <m/>
    <m/>
    <m/>
    <s v="0"/>
    <s v="0"/>
  </r>
  <r>
    <s v="SJ2"/>
    <s v="5000311"/>
    <s v="VIDEOTRON LTEE"/>
    <s v="Montreal-Frontenac"/>
    <s v="R023P12L3"/>
    <s v="SJ2_FOB"/>
    <s v="VIDEOTRON G.P."/>
    <s v="4545 FRONTENAC ST"/>
    <s v="QC"/>
    <s v="Montreal"/>
    <s v="H2H 2R7"/>
    <s v="CC3008"/>
    <s v="COMM CONTROL MODULE HIGH DENSI"/>
    <s v="92002296"/>
    <s v="24.1"/>
    <x v="14"/>
    <n v="1962366"/>
    <d v="2016-10-10T10:00:59"/>
    <m/>
    <d v="2016-10-27T00:00:00"/>
    <d v="2016-10-26T00:00:00"/>
    <d v="2016-10-27T00:00:00"/>
    <m/>
    <n v="78"/>
    <n v="78"/>
    <n v="10296"/>
    <n v="10296"/>
    <s v="N260"/>
    <s v="NWK ACCESS TECH"/>
    <s v="HEO"/>
    <s v="TRANSMITTERS AURORA"/>
    <s v="HDTX"/>
    <s v="UK-STANDARD ORDER MIXED"/>
    <s v="A-SURFACE"/>
    <s v="OP"/>
    <n v="1250622"/>
    <s v="A-SURFACE"/>
    <m/>
    <m/>
    <m/>
    <s v="A-SURFACE"/>
    <s v="LTL"/>
    <s v="DDP"/>
    <s v="Prepaid"/>
    <m/>
    <m/>
    <s v="Pallets 40 inx48 inx60 in max height max pallet weight 1500 lbs/double stacked no higher 48 in ea"/>
    <m/>
    <m/>
    <m/>
    <m/>
    <s v="0"/>
    <s v="0"/>
  </r>
  <r>
    <s v="SJ2"/>
    <s v="5000311"/>
    <s v="VIDEOTRON LTEE"/>
    <s v="Montreal-Frontenac"/>
    <s v="R022P24L2"/>
    <s v="SJ2_FOB"/>
    <s v="VIDEOTRON G.P."/>
    <s v="4545 FRONTENAC ST"/>
    <s v="QC"/>
    <s v="Montreal"/>
    <s v="H2H 2R7"/>
    <s v="HT3541H-D-A400-2-AS"/>
    <s v="XMTR DD 1.2GHZ FULL SPECTRUM 3"/>
    <s v="92002296"/>
    <s v="8.1"/>
    <x v="17"/>
    <n v="1959744"/>
    <d v="2016-10-10T10:00:59"/>
    <m/>
    <d v="2016-10-24T00:00:00"/>
    <d v="2016-10-26T00:00:00"/>
    <d v="2016-10-26T00:00:00"/>
    <m/>
    <n v="9"/>
    <n v="9"/>
    <n v="15840"/>
    <n v="15840"/>
    <s v="HE64"/>
    <s v="NWK ACCESS TECH"/>
    <s v="HEO"/>
    <s v="TRANSMITTER"/>
    <s v="HT"/>
    <s v="UK-STANDARD ORDER MIXED"/>
    <s v="A-SURFACE"/>
    <s v="OP"/>
    <n v="1248886"/>
    <s v="A-SURFACE"/>
    <m/>
    <m/>
    <m/>
    <s v="A-SURFACE"/>
    <s v="LTL"/>
    <s v="DDP"/>
    <s v="Prepaid"/>
    <m/>
    <m/>
    <s v="Pallets 40 inx48 inx60 in max height max pallet weight 1500 lbs/double stacked no higher 48 in ea"/>
    <m/>
    <m/>
    <m/>
    <m/>
    <s v="0"/>
    <s v="0"/>
  </r>
  <r>
    <s v="SJ2"/>
    <s v="5000311"/>
    <s v="VIDEOTRON LTEE"/>
    <s v="Montreal-Frontenac"/>
    <s v="R022P32L2"/>
    <s v="SJ2_FOB"/>
    <s v="VIDEOTRON G.P."/>
    <s v="4545 FRONTENAC ST"/>
    <s v="QC"/>
    <s v="Montreal"/>
    <s v="H2H 2R7"/>
    <s v="HT3541H-D-A400-2-AS"/>
    <s v="XMTR DD 1.2GHZ FULL SPECTRUM 3"/>
    <s v="92002296"/>
    <s v="8.1"/>
    <x v="18"/>
    <n v="1960518"/>
    <d v="2016-10-10T10:00:59"/>
    <m/>
    <d v="2016-10-25T00:00:00"/>
    <d v="2016-10-26T00:00:00"/>
    <d v="2016-10-26T00:00:00"/>
    <m/>
    <n v="3"/>
    <n v="3"/>
    <n v="5280"/>
    <n v="5280"/>
    <s v="HE64"/>
    <s v="NWK ACCESS TECH"/>
    <s v="HEO"/>
    <s v="TRANSMITTER"/>
    <s v="HT"/>
    <s v="UK-STANDARD ORDER MIXED"/>
    <s v="A-SURFACE"/>
    <s v="OP"/>
    <n v="1249460"/>
    <s v="A-SURFACE"/>
    <m/>
    <m/>
    <m/>
    <s v="A-SURFACE"/>
    <s v="LTL"/>
    <s v="DDP"/>
    <s v="Prepaid"/>
    <m/>
    <m/>
    <s v="Pallets 40 inx48 inx60 in max height max pallet weight 1500 lbs/double stacked no higher 48 in ea"/>
    <m/>
    <m/>
    <m/>
    <m/>
    <s v="0"/>
    <s v="0"/>
  </r>
  <r>
    <s v="SJ2"/>
    <s v="5000319"/>
    <s v="ROGERS CABLE"/>
    <s v="160885"/>
    <s v="R024P29L1B01"/>
    <s v="SJ2_STAG"/>
    <s v="Rogers Communications Canada Inc."/>
    <s v="7810 KEELE ST UNIT B"/>
    <s v="ON"/>
    <s v="CONCORD"/>
    <s v="L4K 0B7"/>
    <s v="VH4000-EP-09-01"/>
    <s v="VHub RFoG 1PSU 4-1RTN OP4138 E"/>
    <s v="6900566"/>
    <s v="27.3"/>
    <x v="19"/>
    <n v="1961471"/>
    <d v="2016-06-10T00:00:00"/>
    <m/>
    <d v="2016-10-26T00:00:00"/>
    <d v="2016-06-08T00:00:00"/>
    <d v="2016-10-26T00:00:00"/>
    <m/>
    <n v="1"/>
    <n v="1"/>
    <n v="8250"/>
    <n v="8250"/>
    <s v="N055"/>
    <s v="NWK ACCESS TECH"/>
    <s v="HPON"/>
    <s v="VHUB AURORA"/>
    <s v="N055"/>
    <s v="AUR-STANDARD ORDER MIXED"/>
    <s v="A-SURFACE"/>
    <s v="OP"/>
    <n v="1250097"/>
    <s v="A-SURFACE"/>
    <m/>
    <m/>
    <m/>
    <s v="A-SURFACE"/>
    <s v="LTL"/>
    <s v="EXW"/>
    <s v="Prepay &amp; Add"/>
    <m/>
    <m/>
    <s v="For any shipments over 3 skids please call Rob Yetter at 647-747-9035 (Rob.Yetter@rci.rogers.com); Broker:: Please indicate Niagara Falls office as the primary location as this office is 24/7/365. This location is Managed by Julie McDermott.; Queenston # Lewiston Bridge; PO Box 453,; Niagara Falls Ontario L2E 6V2; 905-262-5121 fax 905-262-5250; wgmniagarafalls@wgmckay.com; When shipping FedEx, please select bill customer for duties and customs charges.;"/>
    <m/>
    <m/>
    <m/>
    <m/>
    <s v="0"/>
    <s v="0"/>
  </r>
  <r>
    <s v="SJ2"/>
    <s v="5000319"/>
    <s v="ROGERS CABLE"/>
    <s v="160885"/>
    <s v="R024P29L1B01"/>
    <s v="SJ2_STAG"/>
    <s v="Rogers Communications Canada Inc."/>
    <s v="7810 KEELE ST UNIT B"/>
    <s v="ON"/>
    <s v="CONCORD"/>
    <s v="L4K 0B7"/>
    <s v="VH4000-EP-09-01"/>
    <s v="VHub RFoG 1PSU 4-1RTN OP4138 E"/>
    <m/>
    <s v="27.4"/>
    <x v="19"/>
    <n v="1961471"/>
    <d v="2016-06-10T00:00:00"/>
    <m/>
    <d v="2016-10-26T00:00:00"/>
    <d v="2016-06-08T00:00:00"/>
    <d v="2016-10-26T00:00:00"/>
    <m/>
    <n v="1"/>
    <n v="1"/>
    <n v="8250"/>
    <n v="8250"/>
    <s v="N055"/>
    <s v="NWK ACCESS TECH"/>
    <s v="HPON"/>
    <s v="VHUB AURORA"/>
    <s v="N055"/>
    <s v="AUR-STANDARD ORDER MIXED"/>
    <s v="A-SURFACE"/>
    <s v="OP"/>
    <n v="1250097"/>
    <s v="A-SURFACE"/>
    <m/>
    <m/>
    <m/>
    <s v="A-SURFACE"/>
    <s v="LTL"/>
    <s v="EXW"/>
    <s v="Prepay &amp; Add"/>
    <m/>
    <m/>
    <s v="For any shipments over 3 skids please call Rob Yetter at 647-747-9035 (Rob.Yetter@rci.rogers.com); Broker:: Please indicate Niagara Falls office as the primary location as this office is 24/7/365. This location is Managed by Julie McDermott.; Queenston # Lewiston Bridge; PO Box 453,; Niagara Falls Ontario L2E 6V2; 905-262-5121 fax 905-262-5250; wgmniagarafalls@wgmckay.com; When shipping FedEx, please select bill customer for duties and customs charges.;"/>
    <m/>
    <m/>
    <m/>
    <m/>
    <s v="0"/>
    <s v="0"/>
  </r>
  <r>
    <s v="SJ2"/>
    <s v="5000319"/>
    <s v="ROGERS CABLE"/>
    <s v="160885"/>
    <s v="R023P11L1"/>
    <s v="SJ2_STAG"/>
    <s v="Rogers Communications Canada Inc."/>
    <s v="7810 KEELE ST UNIT B"/>
    <s v="ON"/>
    <s v="CONCORD"/>
    <s v="L4K 0B7"/>
    <s v="BP3001"/>
    <s v="BLANK PLATE 1 WIDE REVERSIBLE"/>
    <s v="6901101"/>
    <s v="7.1"/>
    <x v="20"/>
    <n v="1947468"/>
    <d v="2016-08-04T00:00:00"/>
    <m/>
    <d v="2016-10-11T00:00:00"/>
    <d v="2016-08-10T00:00:00"/>
    <d v="2016-10-11T00:00:00"/>
    <m/>
    <n v="145"/>
    <m/>
    <n v="101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160885"/>
    <s v="R023P14L3"/>
    <s v="SJ2_STAG"/>
    <s v="Rogers Communications Canada Inc."/>
    <s v="7810 KEELE ST UNIT B"/>
    <s v="ON"/>
    <s v="CONCORD"/>
    <s v="L4K 0B7"/>
    <s v="BP3001"/>
    <s v="BLANK PLATE 1 WIDE REVERSIBLE"/>
    <s v="6901101"/>
    <s v="7.1"/>
    <x v="20"/>
    <n v="1947468"/>
    <d v="2016-08-04T00:00:00"/>
    <m/>
    <d v="2016-10-11T00:00:00"/>
    <d v="2016-08-10T00:00:00"/>
    <d v="2016-10-11T00:00:00"/>
    <m/>
    <n v="5"/>
    <m/>
    <n v="35"/>
    <m/>
    <s v="N224"/>
    <s v="NWK ACCESS TECH"/>
    <s v="ACCESS OTHER"/>
    <s v="OTHER AURORA"/>
    <s v="N224"/>
    <s v="AUR-STANDARD ORDER MIXED"/>
    <s v="A-SURFACE"/>
    <s v="OP"/>
    <n v="1240808"/>
    <s v="A-SURFACE"/>
    <m/>
    <m/>
    <m/>
    <s v="A-SURFACE"/>
    <s v="LTL"/>
    <s v="EXW"/>
    <s v="Prepay &amp; Add"/>
    <m/>
    <m/>
    <s v="For any shipments over 3 skids please call Rob Yetter at 647-747-9035 (Rob.Yetter@rci.rogers.com)Broker:: Please indicate Niagara Falls office as the primary location as this office is 24/7/365. This location is Managed by Julie McDermott. Queenston # Lewiston Bridge Niagara Falls Ontario L2E 6V2 905-262-5121 fax 905-262-5250 wgmniagarafalls@wgmckay.com When shipping FedEx, please select bill customer for duties and customs charges.;"/>
    <m/>
    <m/>
    <m/>
    <m/>
    <s v="0"/>
    <s v="0"/>
  </r>
  <r>
    <s v="SJ2"/>
    <s v="5000319"/>
    <s v="ROGERS CABLE"/>
    <s v="AUSTIN"/>
    <s v="R024P21L2B01"/>
    <s v="SJ2_STAG"/>
    <s v="ROGERS"/>
    <s v="22 AUSTIN STREET"/>
    <s v="NF"/>
    <s v="ST. JOHN'S"/>
    <s v="A1B 3P2"/>
    <s v="AT3545G-38-1-AS"/>
    <s v="TRANSMITTER 1GHZ FULL SPECTRUM"/>
    <s v="92001537"/>
    <s v="14.1"/>
    <x v="21"/>
    <n v="1960212"/>
    <d v="2016-09-06T16:58:29"/>
    <s v="20160908 000000"/>
    <d v="2016-10-25T00:00:00"/>
    <d v="2016-09-08T00:00:00"/>
    <d v="2016-10-25T00:00:00"/>
    <m/>
    <n v="1"/>
    <n v="1"/>
    <n v="1500"/>
    <n v="1500"/>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2P51L6"/>
    <s v="SJ2_STAG"/>
    <s v="ROGERS"/>
    <s v="22 AUSTIN STREET"/>
    <s v="NF"/>
    <s v="ST. JOHN'S"/>
    <s v="A1B 3P2"/>
    <s v="AT3545G-39-1-AS"/>
    <s v="TRANSMITTER 1GHZ FULL SPECTRUM"/>
    <s v="92001537"/>
    <s v="15.1"/>
    <x v="21"/>
    <n v="1960212"/>
    <d v="2016-09-06T16:58:29"/>
    <s v="20160908 000000"/>
    <d v="2016-10-25T00:00:00"/>
    <d v="2016-09-08T00:00:00"/>
    <d v="2016-10-25T00:00:00"/>
    <m/>
    <n v="4"/>
    <n v="2"/>
    <n v="6000"/>
    <n v="3000"/>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2P51L6"/>
    <s v="SJ2_STAG"/>
    <s v="ROGERS"/>
    <s v="22 AUSTIN STREET"/>
    <s v="NF"/>
    <s v="ST. JOHN'S"/>
    <s v="A1B 3P2"/>
    <s v="AT3545G-40-1-AS"/>
    <s v="TRANSMITTER 1GHZ FULL SPECTRUM"/>
    <s v="92001537"/>
    <s v="16.1"/>
    <x v="21"/>
    <n v="1960212"/>
    <d v="2016-09-06T16:58:29"/>
    <s v="20160908 000000"/>
    <d v="2016-10-25T00:00:00"/>
    <d v="2016-09-08T00:00:00"/>
    <d v="2016-10-25T00:00:00"/>
    <m/>
    <n v="3"/>
    <n v="3"/>
    <n v="4500"/>
    <n v="4500"/>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2L2B01"/>
    <s v="SJ2_STAG"/>
    <s v="ROGERS"/>
    <s v="22 AUSTIN STREET"/>
    <s v="NF"/>
    <s v="ST. JOHN'S"/>
    <s v="A1B 3P2"/>
    <s v="AT3545G-41-1-AS"/>
    <s v="TRANSMITTER 1GHZ FULL SPECTRUM"/>
    <s v="92001537"/>
    <s v="17.1"/>
    <x v="21"/>
    <n v="1960212"/>
    <d v="2016-09-06T16:58:29"/>
    <s v="20160908 000000"/>
    <d v="2016-10-25T00:00:00"/>
    <d v="2016-09-08T00:00:00"/>
    <d v="2016-10-25T00:00:00"/>
    <m/>
    <n v="3"/>
    <n v="3"/>
    <n v="4500"/>
    <n v="4500"/>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1L2B02"/>
    <s v="SJ2_STAG"/>
    <s v="ROGERS"/>
    <s v="22 AUSTIN STREET"/>
    <s v="NF"/>
    <s v="ST. JOHN'S"/>
    <s v="A1B 3P2"/>
    <s v="AT3545G-28-1-AS"/>
    <s v="TRANSMITTER 1GHZ FULL SPECTRUM"/>
    <s v="92001537"/>
    <s v="5.1"/>
    <x v="21"/>
    <n v="1960212"/>
    <d v="2016-09-06T16:58:29"/>
    <s v="20160908 000000"/>
    <d v="2016-10-25T00:00:00"/>
    <d v="2016-09-08T00:00:00"/>
    <d v="2016-10-25T00:00:00"/>
    <m/>
    <n v="8"/>
    <n v="8"/>
    <n v="12000"/>
    <n v="12000"/>
    <s v="N005"/>
    <s v="NWK ACCESS TECH"/>
    <s v="HEO"/>
    <s v="TRANSMITTERS AURORA"/>
    <s v="N005"/>
    <s v="UK-STANDARD ORDER MIXED"/>
    <s v="A-SURFACE"/>
    <s v="OP"/>
    <n v="1249240"/>
    <s v="A-SURFACE"/>
    <m/>
    <m/>
    <m/>
    <s v="A-SURFACE"/>
    <s v="LTL"/>
    <s v="EXW"/>
    <s v="Prepay &amp; Add"/>
    <m/>
    <m/>
    <s v="DELIVERY REQUESTED 20160908"/>
    <m/>
    <m/>
    <m/>
    <m/>
    <s v="0"/>
    <s v="0"/>
  </r>
  <r>
    <s v="SJ2"/>
    <s v="5000319"/>
    <s v="ROGERS CABLE"/>
    <s v="AUSTIN"/>
    <s v="R024P21L2B01"/>
    <s v="SJ2_STAG"/>
    <s v="ROGERS"/>
    <s v="22 AUSTIN STREET"/>
    <s v="NF"/>
    <s v="ST. JOHN'S"/>
    <s v="A1B 3P2"/>
    <s v="AT3545G-30-1-AS"/>
    <s v="TRANSMITTER 1GHZ FULL SPECTRUM"/>
    <s v="92001537"/>
    <s v="7.1"/>
    <x v="21"/>
    <n v="1960212"/>
    <d v="2016-09-06T16:58:29"/>
    <s v="20160908 000000"/>
    <d v="2016-10-25T00:00:00"/>
    <d v="2016-09-08T00:00:00"/>
    <d v="2016-10-25T00:00:00"/>
    <m/>
    <n v="8"/>
    <n v="8"/>
    <n v="12000"/>
    <n v="12000"/>
    <s v="N005"/>
    <s v="NWK ACCESS TECH"/>
    <s v="HEO"/>
    <s v="TRANSMITTERS AURORA"/>
    <s v="N005"/>
    <s v="UK-STANDARD ORDER MIXED"/>
    <s v="A-SURFACE"/>
    <s v="OP"/>
    <n v="1249240"/>
    <s v="A-SURFACE"/>
    <m/>
    <m/>
    <m/>
    <s v="A-SURFACE"/>
    <s v="LTL"/>
    <s v="EXW"/>
    <s v="Prepay &amp; Add"/>
    <m/>
    <m/>
    <s v="DELIVERY REQUESTED 20160908"/>
    <m/>
    <m/>
    <m/>
    <m/>
    <s v="0"/>
    <s v="0"/>
  </r>
  <r>
    <s v="SJ2"/>
    <s v="5000319"/>
    <s v="ROGERS CABLE"/>
    <s v="VAUGHAN (EDI)"/>
    <s v="R023P01L2"/>
    <s v="SJ2_STAG"/>
    <s v="ROGERS COMMUNICATIONS CANADA INC"/>
    <s v="CENTRAL CANADA CCI GI WIRELINE"/>
    <s v="ON"/>
    <s v="VAUGHAN"/>
    <s v="L4K 0B7"/>
    <s v="70-10224-SW+"/>
    <s v="CONN SEIZURE MALE AN SW ROHS"/>
    <s v="92001755"/>
    <s v="1.1"/>
    <x v="22"/>
    <n v="1961988"/>
    <d v="2016-09-16T12:02:34"/>
    <s v="20160914 000000"/>
    <d v="2016-10-27T00:00:00"/>
    <d v="2016-09-14T00:00:00"/>
    <d v="2016-10-27T00:00:00"/>
    <m/>
    <n v="20"/>
    <n v="20"/>
    <n v="180"/>
    <n v="180"/>
    <s v="HE62"/>
    <s v="NWK ACCESS TECH"/>
    <s v="HEO"/>
    <s v="HEO MISC"/>
    <s v="AHEO"/>
    <s v="UK-STANDARD ORDER MIXED"/>
    <s v="A-SURFACE"/>
    <s v="OP"/>
    <n v="1250456"/>
    <s v="A-SURFACE"/>
    <m/>
    <m/>
    <m/>
    <s v="A-SURFACE"/>
    <s v="LTL"/>
    <s v="EXW"/>
    <s v="Prepay &amp; Add"/>
    <m/>
    <m/>
    <s v="Attn: Lyudmila Shuralyova"/>
    <s v="Shipping instructions follows: Please call or email Rob Yetter @ 1-647-747-9040 / Rob.Yetter@rci.rogers.com for delivery Appointment"/>
    <m/>
    <m/>
    <m/>
    <s v="0"/>
    <s v="0"/>
  </r>
  <r>
    <s v="SJ2"/>
    <s v="5000319"/>
    <s v="ROGERS CABLE"/>
    <s v="VAUGHAN (EDI)"/>
    <s v="R020P18L5"/>
    <s v="SJ2_STAG"/>
    <s v="ROGERS COMMUNICATIONS CANADA INC"/>
    <s v="CENTRAL CANADA CCI GI WIRELINE"/>
    <s v="ON"/>
    <s v="VAUGHAN"/>
    <s v="L4K 0B7"/>
    <s v="JC1512-MP-AS4-100"/>
    <s v="CABLE SERVICE (M)MPO/APC 4 SC/"/>
    <s v="92001755"/>
    <s v="15.1"/>
    <x v="23"/>
    <n v="1960210"/>
    <d v="2016-09-16T12:02:34"/>
    <s v="20160914 000000"/>
    <d v="2016-10-25T00:00:00"/>
    <d v="2016-09-14T00:00:00"/>
    <d v="2016-10-25T00:00:00"/>
    <m/>
    <n v="10"/>
    <n v="10"/>
    <n v="3600"/>
    <n v="3600"/>
    <s v="N223"/>
    <s v="NWK ACCESS TECH"/>
    <s v="OPTICAL PASSIVES"/>
    <s v="INDOOR PASSIVES AURORA"/>
    <s v="N223"/>
    <s v="UK-STANDARD ORDER MIXED"/>
    <s v="A-SURFACE"/>
    <s v="OP"/>
    <n v="1249240"/>
    <s v="A-SURFACE"/>
    <m/>
    <m/>
    <m/>
    <s v="A-SURFACE"/>
    <s v="LTL"/>
    <s v="EXW"/>
    <s v="Prepay &amp; Add"/>
    <m/>
    <m/>
    <s v="Attn: Lyudmila Shuralyova"/>
    <s v="Shipping instructions follows: Please call or email Rob Yetter @ 1-647-747-9040 / Rob.Yetter@rci.rogers.com for delivery Appointment"/>
    <m/>
    <m/>
    <m/>
    <s v="0"/>
    <s v="0"/>
  </r>
  <r>
    <s v="SJ2"/>
    <s v="5000319"/>
    <s v="ROGERS CABLE"/>
    <s v="VAUGHAN (EDI)"/>
    <s v="R022P02L3"/>
    <s v="SJ2_STAG"/>
    <s v="ROGERS COMMUNICATIONS CANADA INC"/>
    <s v="CENTRAL CANADA CCI GI WIRELINE"/>
    <s v="ON"/>
    <s v="VAUGHAN"/>
    <s v="L4K 0B7"/>
    <s v="OP95F1S-21-N0-00"/>
    <s v="FILTER DWDM N-CASE 0.25MM CH 2"/>
    <s v="92001757"/>
    <s v="17.1"/>
    <x v="24"/>
    <n v="1955728"/>
    <d v="2016-09-19T11:08:11"/>
    <s v="20160921 000000"/>
    <d v="2016-10-19T00:00:00"/>
    <d v="2016-09-21T00:00:00"/>
    <d v="2016-10-21T00:00:00"/>
    <m/>
    <n v="3"/>
    <m/>
    <n v="324"/>
    <m/>
    <s v="N156"/>
    <s v="NWK ACCESS TECH"/>
    <s v="ACCESS OTHER"/>
    <s v="OTHER AURORA"/>
    <s v="N156"/>
    <s v="UK-STANDARD ORDER MIXED"/>
    <s v="A-SURFACE"/>
    <s v="OP"/>
    <n v="1246038"/>
    <s v="A-SURFACE"/>
    <m/>
    <m/>
    <m/>
    <s v="A-SURFACE"/>
    <s v="LTL"/>
    <s v="EXW"/>
    <s v="Prepay &amp; Add"/>
    <m/>
    <m/>
    <s v="DELIVERY REQUESTED 20160921"/>
    <s v="Shipping instructions follows: Please call or email Rob Yetter @ 1-647-747-9040 / Rob.Yetter@rci.rogers.com for delivery Appointment"/>
    <m/>
    <m/>
    <m/>
    <s v="0"/>
    <s v="0"/>
  </r>
  <r>
    <s v="SJ2"/>
    <s v="5000319"/>
    <s v="ROGERS CABLE"/>
    <s v="VAUGHAN (EDI)"/>
    <s v="R023P49L3"/>
    <s v="SJ2_STAG"/>
    <s v="ROGERS COMMUNICATIONS CANADA INC"/>
    <s v="CENTRAL CANADA CCI GI WIRELINE"/>
    <s v="ON"/>
    <s v="VAUGHAN"/>
    <s v="L4K 0B7"/>
    <s v="BP3004"/>
    <s v="BLANK PLATE 4 WIDE REVERSIBLE"/>
    <s v="92001757"/>
    <s v="4.1"/>
    <x v="25"/>
    <n v="1961072"/>
    <d v="2016-09-19T11:08:11"/>
    <s v="20160921 000000"/>
    <d v="2016-10-26T00:00:00"/>
    <d v="2016-09-21T00:00:00"/>
    <d v="2016-10-26T00:00:00"/>
    <m/>
    <n v="20"/>
    <n v="20"/>
    <n v="280"/>
    <n v="280"/>
    <s v="N224"/>
    <s v="NWK ACCESS TECH"/>
    <s v="ACCESS OTHER"/>
    <s v="OTHER AURORA"/>
    <s v="N224"/>
    <s v="UK-STANDARD ORDER MIXED"/>
    <s v="A-SURFACE"/>
    <s v="OP"/>
    <n v="1249843"/>
    <s v="A-SURFACE"/>
    <m/>
    <m/>
    <m/>
    <s v="A-SURFACE"/>
    <s v="LTL"/>
    <s v="EXW"/>
    <s v="Prepay &amp; Add"/>
    <m/>
    <m/>
    <s v="DELIVERY REQUESTED 20160921"/>
    <s v="Shipping instructions follows: Please call or email Rob Yetter @ 1-647-747-9040 / Rob.Yetter@rci.rogers.com for delivery Appointment"/>
    <m/>
    <m/>
    <m/>
    <s v="0"/>
    <s v="0"/>
  </r>
  <r>
    <s v="SJ2"/>
    <s v="5000319"/>
    <s v="ROGERS CABLE"/>
    <s v="VAUGHAN (EDI)"/>
    <s v="R022P07L4"/>
    <s v="SJ2_STAG"/>
    <s v="ROGERS COMMUNICATIONS CANADA INC"/>
    <s v="CENTRAL CANADA CCI GI WIRELINE"/>
    <s v="ON"/>
    <s v="VAUGHAN"/>
    <s v="L4K 0B7"/>
    <s v="OP94F1S-1430-N0-00"/>
    <s v="FILTER CWDM N-CASE 0.25MM 1430"/>
    <s v="92001942"/>
    <s v="5.2"/>
    <x v="26"/>
    <n v="1961072"/>
    <d v="2016-09-26T11:05:50"/>
    <m/>
    <d v="2016-10-26T00:00:00"/>
    <d v="2016-09-26T00:00:00"/>
    <d v="2016-10-28T00:00:00"/>
    <m/>
    <n v="7"/>
    <m/>
    <n v="630"/>
    <m/>
    <s v="N156"/>
    <s v="NWK ACCESS TECH"/>
    <s v="ACCESS OTHER"/>
    <s v="OTHER AURORA"/>
    <s v="N156"/>
    <s v="UK-STANDARD ORDER MIXED"/>
    <s v="A-SURFACE"/>
    <s v="OP"/>
    <n v="1249843"/>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2P71L4"/>
    <s v="SJ2_STAG"/>
    <s v="ROGERS COMMUNICATIONS CANADA INC"/>
    <s v="CENTRAL CANADA CCI GI WIRELINE"/>
    <s v="ON"/>
    <s v="VAUGHAN"/>
    <s v="L4K 0B7"/>
    <s v="OP94F1S-1550-N0-00"/>
    <s v="FILTER CWDM N-CASE 0.25MM 1550"/>
    <s v="92001942"/>
    <s v="8.1"/>
    <x v="27"/>
    <n v="1957514"/>
    <d v="2016-09-26T11:05:50"/>
    <m/>
    <d v="2016-10-21T00:00:00"/>
    <d v="2016-09-26T00:00:00"/>
    <d v="2016-10-21T00:00:00"/>
    <m/>
    <n v="10"/>
    <m/>
    <n v="900"/>
    <m/>
    <s v="N156"/>
    <s v="NWK ACCESS TECH"/>
    <s v="ACCESS OTHER"/>
    <s v="OTHER AURORA"/>
    <s v="N156"/>
    <s v="UK-STANDARD ORDER MIXED"/>
    <s v="A-SURFACE"/>
    <s v="OP"/>
    <n v="1246854"/>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Please call or email Rob Yetter @ 1-647-747-9040 / Rob.Yetter@rci.rogers.com for delivery"/>
    <m/>
    <m/>
    <m/>
    <s v="0"/>
    <s v="0"/>
  </r>
  <r>
    <s v="SJ2"/>
    <s v="5000319"/>
    <s v="ROGERS CABLE"/>
    <s v="VAUGHAN (EDI)"/>
    <s v="R022P07L4"/>
    <s v="SJ2_STAG"/>
    <s v="ROGERS COMMUNICATIONS CANADA INC"/>
    <s v="CENTRAL CANADA CCI GI WIRELINE"/>
    <s v="ON"/>
    <s v="VAUGHAN"/>
    <s v="L4K 0B7"/>
    <s v="OP94F1S-1470-N0-00"/>
    <s v="FILTER CWDM N-CASE 0.25MM 1470"/>
    <s v="92001993"/>
    <s v="11.2"/>
    <x v="28"/>
    <n v="1960980"/>
    <d v="2016-09-26T00:00:00"/>
    <s v="20161003 000000"/>
    <d v="2016-10-26T00:00:00"/>
    <d v="2016-10-03T00:00:00"/>
    <d v="2016-10-28T00:00:00"/>
    <m/>
    <n v="1"/>
    <m/>
    <n v="90"/>
    <m/>
    <s v="N156"/>
    <s v="NWK ACCESS TECH"/>
    <s v="ACCESS OTHER"/>
    <s v="OTHER AURORA"/>
    <s v="N156"/>
    <s v="UK-STANDARD ORDER MIXED"/>
    <s v="A-SURFACE"/>
    <s v="OP"/>
    <n v="1249787"/>
    <s v="A-SURFACE"/>
    <m/>
    <m/>
    <m/>
    <s v="A-SURFACE"/>
    <s v="LTL"/>
    <s v="EXW"/>
    <s v="Prepay &amp; Add"/>
    <m/>
    <m/>
    <s v="DELIVERY REQUESTED 20161003"/>
    <s v="Shipping instructions follows: Please call or email Rob Yetter @ 1-647-747-9040 / Rob.Yetter@rci.rogers.com for delivery Appointment"/>
    <m/>
    <m/>
    <m/>
    <s v="0"/>
    <s v="0"/>
  </r>
  <r>
    <s v="SJ2"/>
    <s v="5000319"/>
    <s v="ROGERS CABLE"/>
    <s v="VAUGHAN (EDI)"/>
    <s v="R020P17L5"/>
    <s v="SJ2_STAG"/>
    <s v="ROGERS COMMUNICATIONS CANADA INC"/>
    <s v="CENTRAL CANADA CCI GI WIRELINE"/>
    <s v="ON"/>
    <s v="VAUGHAN"/>
    <s v="L4K 0B7"/>
    <s v="JC1512-MP-AS4-100"/>
    <s v="CABLE SERVICE (M)MPO/APC 4 SC/"/>
    <s v="92002148"/>
    <s v="10.1"/>
    <x v="29"/>
    <n v="1963267"/>
    <d v="2016-09-28T00:00:00"/>
    <s v="20160930 000000"/>
    <d v="2016-10-28T00:00:00"/>
    <d v="2016-09-30T00:00:00"/>
    <d v="2016-10-28T00:00:00"/>
    <m/>
    <n v="10"/>
    <m/>
    <n v="3600"/>
    <m/>
    <s v="N223"/>
    <s v="NWK ACCESS TECH"/>
    <s v="OPTICAL PASSIVES"/>
    <s v="INDOOR PASSIVES AURORA"/>
    <s v="N223"/>
    <s v="UK-STANDARD ORDER MIXED"/>
    <s v="A-SURFACE"/>
    <s v="OP"/>
    <n v="1251073"/>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4P02L1B01"/>
    <s v="SJ2_STAG"/>
    <s v="ROGERS COMMUNICATIONS CANADA INC"/>
    <s v="CENTRAL CANADA CCI GI WIRELINE"/>
    <s v="ON"/>
    <s v="VAUGHAN"/>
    <s v="L4K 0B7"/>
    <s v="OP95F1S-21-R2-AS"/>
    <s v="FILTER DWDM S-CASE 2MM SC/APC"/>
    <s v="92002148"/>
    <s v="18.1"/>
    <x v="30"/>
    <n v="1960210"/>
    <d v="2016-09-28T00:00:00"/>
    <s v="20160930 000000"/>
    <d v="2016-10-25T00:00:00"/>
    <d v="2016-09-30T00:00:00"/>
    <d v="2016-10-25T00:00:00"/>
    <m/>
    <n v="7"/>
    <n v="7"/>
    <n v="1092"/>
    <n v="1092"/>
    <s v="N156"/>
    <s v="NWK ACCESS TECH"/>
    <s v="ACCESS OTHER"/>
    <s v="OTHER AURORA"/>
    <s v="N156"/>
    <s v="UK-STANDARD ORDER MIXED"/>
    <s v="A-SURFACE"/>
    <s v="OP"/>
    <n v="1249240"/>
    <s v="A-SURFACE"/>
    <m/>
    <m/>
    <m/>
    <s v="A-SURFACE"/>
    <s v="LTL"/>
    <s v="EXW"/>
    <s v="Prepay &amp; Add"/>
    <m/>
    <m/>
    <s v="Broker:Niagara Falls office is the primary location. Manager: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ST JOHN (EDI#157)"/>
    <s v="R022P47L4"/>
    <s v="SJ2_STAG"/>
    <s v="ROGERS COMMUNICATIONS CANADA"/>
    <s v="950 FAIRVILLE BLVD"/>
    <s v="NB"/>
    <s v="SAINT JOHN"/>
    <s v="E2M 5T5"/>
    <s v="BP3001"/>
    <s v="BLANK PLATE 1 WIDE REVERSIBLE"/>
    <s v="92002391"/>
    <s v="2.1"/>
    <x v="31"/>
    <n v="1962061"/>
    <d v="2016-10-13T00:00:00"/>
    <s v="20161020 000000"/>
    <d v="2016-10-27T00:00:00"/>
    <d v="2016-10-20T00:00:00"/>
    <d v="2016-10-27T00:00:00"/>
    <m/>
    <n v="2"/>
    <m/>
    <n v="14"/>
    <m/>
    <s v="N224"/>
    <s v="NWK ACCESS TECH"/>
    <s v="ACCESS OTHER"/>
    <s v="OTHER AURORA"/>
    <s v="N224"/>
    <s v="UK-STANDARD ORDER MIXED"/>
    <s v="A-SURFACE"/>
    <s v="OP"/>
    <n v="1250456"/>
    <s v="A-SURFACE"/>
    <m/>
    <m/>
    <m/>
    <s v="A-SURFACE"/>
    <s v="LTL"/>
    <s v="EXW"/>
    <s v="Prepay &amp; Add"/>
    <m/>
    <m/>
    <s v="DELIVERY REQUESTED 20161020"/>
    <m/>
    <m/>
    <m/>
    <m/>
    <s v="0"/>
    <s v="0"/>
  </r>
  <r>
    <s v="SJ2"/>
    <s v="5000319"/>
    <s v="ROGERS CABLE"/>
    <s v="VAUGHAN (EDI)"/>
    <s v="R022P07L4"/>
    <s v="SJ2_STAG"/>
    <s v="ROGERS COMMUNICATIONS CANADA INC"/>
    <s v="CENTRAL CANADA CCI GI WIRELINE"/>
    <s v="ON"/>
    <s v="VAUGHAN"/>
    <s v="L4K 0B7"/>
    <s v="OP94F1S-1490-N0-00"/>
    <s v="FILTER CWDM N-CASE 0.25MM 1490"/>
    <s v="92002617"/>
    <s v="10.1"/>
    <x v="32"/>
    <n v="1961072"/>
    <d v="2016-10-12T00:00:00"/>
    <s v="20161014 000000"/>
    <d v="2016-10-26T00:00:00"/>
    <d v="2016-10-14T00:00:00"/>
    <d v="2016-10-26T00:00:00"/>
    <m/>
    <n v="5"/>
    <m/>
    <n v="450"/>
    <m/>
    <s v="N156"/>
    <s v="NWK ACCESS TECH"/>
    <s v="ACCESS OTHER"/>
    <s v="OTHER AURORA"/>
    <s v="N156"/>
    <s v="UK-STANDARD ORDER MIXED"/>
    <s v="A-SURFACE"/>
    <s v="OP"/>
    <n v="1249843"/>
    <s v="A-SURFACE"/>
    <m/>
    <m/>
    <m/>
    <s v="A-SURFACE"/>
    <s v="LTL"/>
    <s v="EXW"/>
    <s v="Prepay &amp; Add"/>
    <m/>
    <m/>
    <s v="DELIVERY REQUESTED 20161014"/>
    <m/>
    <m/>
    <m/>
    <m/>
    <s v="0"/>
    <s v="0"/>
  </r>
  <r>
    <s v="SJ2"/>
    <s v="5000319"/>
    <s v="ROGERS CABLE"/>
    <s v="VAUGHAN (EDI)"/>
    <s v="R022P49L6"/>
    <s v="SJ2_STAG"/>
    <s v="ROGERS COMMUNICATIONS CANADA INC"/>
    <s v="CENTRAL CANADA CCI GI WIRELINE"/>
    <s v="ON"/>
    <s v="VAUGHAN"/>
    <s v="L4K 0B7"/>
    <s v="TR4440B-1430-PI"/>
    <s v="TRANSCEIVER SFP 60KM CWDM 1430"/>
    <s v="92002617"/>
    <s v="11.1"/>
    <x v="33"/>
    <n v="1961988"/>
    <d v="2016-10-12T00:00:00"/>
    <s v="20161014 000000"/>
    <d v="2016-10-27T00:00:00"/>
    <d v="2016-10-14T00:00:00"/>
    <d v="2016-10-27T00:00:00"/>
    <m/>
    <n v="4"/>
    <m/>
    <n v="1200"/>
    <m/>
    <s v="N252"/>
    <s v="NWK ACCESS TECH"/>
    <s v="NODE"/>
    <s v="NODE MISC AURORA"/>
    <s v="N252"/>
    <s v="UK-STANDARD ORDER MIXED"/>
    <s v="A-SURFACE"/>
    <s v="OP"/>
    <n v="1250456"/>
    <s v="A-SURFACE"/>
    <m/>
    <m/>
    <m/>
    <s v="A-SURFACE"/>
    <s v="LTL"/>
    <s v="EXW"/>
    <s v="Prepay &amp; Add"/>
    <m/>
    <m/>
    <s v="DELIVERY REQUESTED 20161014"/>
    <m/>
    <m/>
    <m/>
    <m/>
    <s v="0"/>
    <s v="0"/>
  </r>
  <r>
    <s v="SJ2"/>
    <s v="5000319"/>
    <s v="ROGERS CABLE"/>
    <s v="VAUGHAN (EDI)"/>
    <s v="R023P10L4"/>
    <s v="SJ2_STAG"/>
    <s v="ROGERS COMMUNICATIONS CANADA INC"/>
    <s v="CENTRAL CANADA CCI GI WIRELINE"/>
    <s v="ON"/>
    <s v="VAUGHAN"/>
    <s v="L4K 0B7"/>
    <s v="TR4440B-1610-PI"/>
    <s v="TRANSCEIVER SFP 60KM CWDM 1610"/>
    <s v="92002617"/>
    <s v="17.1"/>
    <x v="33"/>
    <n v="1961988"/>
    <d v="2016-10-12T00:00:00"/>
    <s v="20161014 000000"/>
    <d v="2016-10-27T00:00:00"/>
    <d v="2016-10-14T00:00:00"/>
    <d v="2016-10-27T00:00:00"/>
    <m/>
    <n v="4"/>
    <m/>
    <n v="1200"/>
    <m/>
    <s v="N252"/>
    <s v="NWK ACCESS TECH"/>
    <s v="NODE"/>
    <s v="NODE MISC AURORA"/>
    <s v="N252"/>
    <s v="UK-STANDARD ORDER MIXED"/>
    <s v="A-SURFACE"/>
    <s v="OP"/>
    <n v="1250456"/>
    <s v="A-SURFACE"/>
    <m/>
    <m/>
    <m/>
    <s v="A-SURFACE"/>
    <s v="LTL"/>
    <s v="EXW"/>
    <s v="Prepay &amp; Add"/>
    <m/>
    <m/>
    <s v="DELIVERY REQUESTED 20161014"/>
    <m/>
    <m/>
    <m/>
    <m/>
    <s v="0"/>
    <s v="0"/>
  </r>
  <r>
    <s v="SJ2"/>
    <s v="5000319"/>
    <s v="ROGERS CABLE"/>
    <s v="VAUGHAN (EDI)"/>
    <s v="R023P62L7"/>
    <s v="SJ2_STAG"/>
    <s v="ROGERS COMMUNICATIONS CANADA INC"/>
    <s v="CENTRAL CANADA CCI GI WIRELINE"/>
    <s v="ON"/>
    <s v="VAUGHAN"/>
    <s v="L4K 0B7"/>
    <s v="RS4001-00"/>
    <s v="COMBINER SINGLE RETURN PATH PL"/>
    <s v="92002617"/>
    <s v="9.1"/>
    <x v="32"/>
    <n v="1961106"/>
    <d v="2016-10-12T00:00:00"/>
    <s v="20161014 000000"/>
    <d v="2016-10-26T00:00:00"/>
    <d v="2016-10-14T00:00:00"/>
    <d v="2016-10-26T00:00:00"/>
    <m/>
    <n v="10"/>
    <m/>
    <n v="180"/>
    <m/>
    <s v="N224"/>
    <s v="NWK ACCESS TECH"/>
    <s v="ACCESS OTHER"/>
    <s v="OTHER AURORA"/>
    <s v="N224"/>
    <s v="UK-STANDARD ORDER MIXED"/>
    <s v="A-SURFACE"/>
    <s v="OP"/>
    <n v="1249843"/>
    <s v="A-SURFACE"/>
    <m/>
    <m/>
    <m/>
    <s v="A-SURFACE"/>
    <s v="LTL"/>
    <s v="EXW"/>
    <s v="Prepay &amp; Add"/>
    <m/>
    <m/>
    <s v="DELIVERY REQUESTED 20161014"/>
    <m/>
    <m/>
    <m/>
    <m/>
    <s v="0"/>
    <s v="0"/>
  </r>
  <r>
    <s v="SJ2"/>
    <s v="5000319"/>
    <s v="ROGERS CABLE"/>
    <s v="VAUGHAN (EDI)"/>
    <s v="R022P02L5"/>
    <s v="SJ2_STAG"/>
    <s v="ROGERS COMMUNICATIONS CANADA INC"/>
    <s v="CENTRAL CANADA CCI GI WIRELINE"/>
    <s v="ON"/>
    <s v="VAUGHAN"/>
    <s v="L4K 0B7"/>
    <s v="NM4002-1"/>
    <s v="NC4 STATUS MONITOR PLUG-IN REV"/>
    <s v="92002650"/>
    <s v="5.1"/>
    <x v="34"/>
    <n v="1961483"/>
    <d v="2016-10-03T00:00:00"/>
    <s v="20161010 000000"/>
    <d v="2016-10-26T00:00:00"/>
    <d v="2016-10-10T00:00:00"/>
    <d v="2016-10-26T00:00:00"/>
    <m/>
    <n v="35"/>
    <n v="35"/>
    <n v="1225"/>
    <n v="1225"/>
    <s v="N224"/>
    <s v="NWK ACCESS TECH"/>
    <s v="ACCESS OTHER"/>
    <s v="OTHER AURORA"/>
    <s v="N224"/>
    <s v="UK-STANDARD ORDER MIXED"/>
    <s v="A-SURFACE"/>
    <s v="OP"/>
    <n v="1250097"/>
    <s v="A-SURFACE"/>
    <m/>
    <m/>
    <m/>
    <s v="A-SURFACE"/>
    <s v="LTL"/>
    <s v="EXW"/>
    <s v="Prepay &amp; Add"/>
    <m/>
    <m/>
    <s v="DELIVERY REQUESTED 20161010"/>
    <s v="Shipping instructions follows: Please call or email Rob Yetter @ 1-647-747-9040 / Rob.Yetter@rci.rogers.com for delivery Appointment"/>
    <m/>
    <m/>
    <m/>
    <s v="0"/>
    <s v="0"/>
  </r>
  <r>
    <s v="SJ2"/>
    <s v="5000319"/>
    <s v="ROGERS CABLE"/>
    <s v="VAUGHAN (EDI)"/>
    <s v="R023P05L4"/>
    <s v="SJ2_STAG"/>
    <s v="ROGERS COMMUNICATIONS CANADA INC"/>
    <s v="CENTRAL CANADA CCI GI WIRELINE"/>
    <s v="ON"/>
    <s v="VAUGHAN"/>
    <s v="L4K 0B7"/>
    <s v="OP31D2D-1-99-AS"/>
    <s v="OPTICAL DEMUX 1310/1550 DUAL W"/>
    <s v="92002754"/>
    <s v="11.1"/>
    <x v="35"/>
    <n v="1961816"/>
    <d v="2016-10-24T00:00:00"/>
    <s v="20161021 000000"/>
    <d v="2016-10-26T00:00:00"/>
    <d v="2016-10-21T00:00:00"/>
    <d v="2016-10-28T00:00:00"/>
    <m/>
    <n v="1"/>
    <m/>
    <n v="640"/>
    <m/>
    <s v="N165"/>
    <s v="NWK ACCESS TECH"/>
    <s v="OPTICAL PASSIVES"/>
    <s v="INDOOR PASSIVES AURORA"/>
    <s v="N165"/>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15P65L2"/>
    <s v="SJ2_STAG"/>
    <s v="ROGERS COMMUNICATIONS CANADA INC"/>
    <s v="CENTRAL CANADA CCI GI WIRELINE"/>
    <s v="ON"/>
    <s v="VAUGHAN"/>
    <s v="L4K 0B7"/>
    <s v="PS3148N"/>
    <s v="POWER SUPPLY NO DISPLAY -48VDC"/>
    <s v="92002754"/>
    <s v="19.1"/>
    <x v="35"/>
    <n v="1961816"/>
    <d v="2016-10-24T00:00:00"/>
    <s v="20161021 000000"/>
    <d v="2016-10-26T00:00:00"/>
    <d v="2016-10-21T00:00:00"/>
    <d v="2016-10-26T00:00:00"/>
    <m/>
    <n v="1"/>
    <m/>
    <n v="539"/>
    <m/>
    <s v="N204"/>
    <s v="NWK ACCESS TECH"/>
    <s v="ACCESS OTHER"/>
    <s v="OTHER AURORA"/>
    <s v="N20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TR4040-PI"/>
    <s v="TRANSCEIVER SFP 40KM"/>
    <s v="92002754"/>
    <s v="22.1"/>
    <x v="35"/>
    <n v="1961817"/>
    <d v="2016-10-24T00:00:00"/>
    <s v="20161021 000000"/>
    <d v="2016-10-26T00:00:00"/>
    <d v="2016-10-21T00:00:00"/>
    <d v="2016-10-26T00:00:00"/>
    <m/>
    <n v="6"/>
    <m/>
    <n v="1080"/>
    <m/>
    <s v="N252"/>
    <s v="NWK ACCESS TECH"/>
    <s v="NODE"/>
    <s v="NODE MISC AURORA"/>
    <s v="N252"/>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4P34L1B02"/>
    <s v="SJ2_STAG"/>
    <s v="ROGERS COMMUNICATIONS CANADA INC"/>
    <s v="CENTRAL CANADA CCI GI WIRELINE"/>
    <s v="ON"/>
    <s v="VAUGHAN"/>
    <s v="L4K 0B7"/>
    <s v="WH4122"/>
    <s v="WIRING HARNESS 2 X 2 COAX"/>
    <s v="92002754"/>
    <s v="24.1"/>
    <x v="35"/>
    <n v="1961817"/>
    <d v="2016-10-24T00:00:00"/>
    <s v="20161021 000000"/>
    <d v="2016-10-26T00:00:00"/>
    <d v="2016-10-21T00:00:00"/>
    <d v="2016-10-26T00:00:00"/>
    <m/>
    <n v="20"/>
    <m/>
    <n v="1180"/>
    <m/>
    <s v="N224"/>
    <s v="NWK ACCESS TECH"/>
    <s v="ACCESS OTHER"/>
    <s v="OTHER AURORA"/>
    <s v="N22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15P12L2"/>
    <s v="SJ2_STAG"/>
    <s v="ROGERS COMMUNICATIONS CANADA INC"/>
    <s v="CENTRAL CANADA CCI GI WIRELINE"/>
    <s v="ON"/>
    <s v="VAUGHAN"/>
    <s v="L4K 0B7"/>
    <s v="WH4144"/>
    <s v="WIRING HARNESS 4 X 4 COAX"/>
    <s v="92002754"/>
    <s v="25.1"/>
    <x v="35"/>
    <n v="1961816"/>
    <d v="2016-10-24T00:00:00"/>
    <s v="20161021 000000"/>
    <d v="2016-10-26T00:00:00"/>
    <d v="2016-10-21T00:00:00"/>
    <d v="2016-10-26T00:00:00"/>
    <m/>
    <n v="3"/>
    <m/>
    <n v="300"/>
    <m/>
    <s v="N224"/>
    <s v="NWK ACCESS TECH"/>
    <s v="ACCESS OTHER"/>
    <s v="OTHER AURORA"/>
    <s v="N22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15P52L2"/>
    <s v="SJ2_STAG"/>
    <s v="ROGERS COMMUNICATIONS CANADA INC"/>
    <s v="CENTRAL CANADA CCI GI WIRELINE"/>
    <s v="ON"/>
    <s v="VAUGHAN"/>
    <s v="L4K 0B7"/>
    <s v="DT4250N-50-00"/>
    <s v="DGTL XCVR ENH MULTI-MODES OF O"/>
    <s v="92002754"/>
    <s v="3.1"/>
    <x v="35"/>
    <n v="1961816"/>
    <d v="2016-10-24T00:00:00"/>
    <s v="20161021 000000"/>
    <d v="2016-10-26T00:00:00"/>
    <d v="2016-10-21T00:00:00"/>
    <d v="2016-10-26T00:00:00"/>
    <m/>
    <n v="1"/>
    <m/>
    <n v="285"/>
    <m/>
    <s v="N065"/>
    <s v="NWK ACCESS TECH"/>
    <s v="NODE"/>
    <s v="NODE MISC AURORA"/>
    <s v="N065"/>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48L4"/>
    <s v="SJ2_STAG"/>
    <s v="ROGERS COMMUNICATIONS CANADA INC"/>
    <s v="CENTRAL CANADA CCI GI WIRELINE"/>
    <s v="ON"/>
    <s v="VAUGHAN"/>
    <s v="L4K 0B7"/>
    <s v="EQ2100"/>
    <s v="EQL JUMPER 2000 SERIES NODE 45"/>
    <s v="92002754"/>
    <s v="4.1"/>
    <x v="35"/>
    <n v="1961816"/>
    <d v="2016-10-24T00:00:00"/>
    <s v="20161021 000000"/>
    <d v="2016-10-26T00:00:00"/>
    <d v="2016-10-21T00:00:00"/>
    <d v="2016-10-26T00:00:00"/>
    <m/>
    <n v="30"/>
    <m/>
    <n v="150"/>
    <m/>
    <s v="N224"/>
    <s v="NWK ACCESS TECH"/>
    <s v="ACCESS OTHER"/>
    <s v="OTHER AURORA"/>
    <s v="N22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12L3"/>
    <s v="SJ2_STAG"/>
    <s v="ROGERS COMMUNICATIONS CANADA INC"/>
    <s v="CENTRAL CANADA CCI GI WIRELINE"/>
    <s v="ON"/>
    <s v="VAUGHAN"/>
    <s v="L4K 0B7"/>
    <s v="EQ2106"/>
    <s v="&quot;LINEAR EQL NC2000 6dB 45-870M"/>
    <s v="92002754"/>
    <s v="5.1"/>
    <x v="35"/>
    <n v="1961816"/>
    <d v="2016-10-24T00:00:00"/>
    <s v="20161021 000000"/>
    <d v="2016-10-26T00:00:00"/>
    <d v="2016-10-21T00:00:00"/>
    <d v="2016-10-26T00:00:00"/>
    <m/>
    <n v="30"/>
    <m/>
    <n v="150"/>
    <m/>
    <s v="N224"/>
    <s v="NWK ACCESS TECH"/>
    <s v="ACCESS OTHER"/>
    <s v="OTHER AURORA"/>
    <s v="N22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18L3"/>
    <s v="SJ2_STAG"/>
    <s v="ROGERS COMMUNICATIONS CANADA INC"/>
    <s v="CENTRAL CANADA CCI GI WIRELINE"/>
    <s v="ON"/>
    <s v="VAUGHAN"/>
    <s v="L4K 0B7"/>
    <s v="EQ2109"/>
    <s v="&quot;LINEAR EQL NC2000 9dB 45-870M"/>
    <s v="92002754"/>
    <s v="7.1"/>
    <x v="35"/>
    <n v="1961816"/>
    <d v="2016-10-24T00:00:00"/>
    <s v="20161021 000000"/>
    <d v="2016-10-26T00:00:00"/>
    <d v="2016-10-21T00:00:00"/>
    <d v="2016-10-26T00:00:00"/>
    <m/>
    <n v="30"/>
    <m/>
    <n v="150"/>
    <m/>
    <s v="N224"/>
    <s v="NWK ACCESS TECH"/>
    <s v="ACCESS OTHER"/>
    <s v="OTHER AURORA"/>
    <s v="N224"/>
    <s v="UK-STANDARD ORDER MIXED"/>
    <s v="A-SURFACE"/>
    <s v="OP"/>
    <n v="1250355"/>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48L4"/>
    <s v="SJ2_STAG"/>
    <s v="ROGERS COMMUNICATIONS CANADA INC"/>
    <s v="CENTRAL CANADA CCI GI WIRELINE"/>
    <s v="ON"/>
    <s v="VAUGHAN"/>
    <s v="L4K 0B7"/>
    <s v="EQ2100"/>
    <s v="EQL JUMPER 2000 SERIES NODE 45"/>
    <s v="92002756"/>
    <s v="2.1"/>
    <x v="36"/>
    <n v="1962652"/>
    <d v="2016-10-26T00:00:00"/>
    <s v="20161102 000000"/>
    <d v="2016-10-27T00:00:00"/>
    <d v="2016-11-02T00:00:00"/>
    <d v="2016-10-27T00:00:00"/>
    <m/>
    <n v="50"/>
    <m/>
    <n v="250"/>
    <m/>
    <s v="N224"/>
    <s v="NWK ACCESS TECH"/>
    <s v="ACCESS OTHER"/>
    <s v="OTHER AURORA"/>
    <s v="N224"/>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12L3"/>
    <s v="SJ2_STAG"/>
    <s v="ROGERS COMMUNICATIONS CANADA INC"/>
    <s v="CENTRAL CANADA CCI GI WIRELINE"/>
    <s v="ON"/>
    <s v="VAUGHAN"/>
    <s v="L4K 0B7"/>
    <s v="EQ2106"/>
    <s v="&quot;LINEAR EQL NC2000 6dB 45-870M"/>
    <s v="92002756"/>
    <s v="4.1"/>
    <x v="36"/>
    <n v="1962652"/>
    <d v="2016-10-26T00:00:00"/>
    <s v="20161102 000000"/>
    <d v="2016-10-27T00:00:00"/>
    <d v="2016-11-02T00:00:00"/>
    <d v="2016-10-27T00:00:00"/>
    <m/>
    <n v="50"/>
    <m/>
    <n v="250"/>
    <m/>
    <s v="N224"/>
    <s v="NWK ACCESS TECH"/>
    <s v="ACCESS OTHER"/>
    <s v="OTHER AURORA"/>
    <s v="N224"/>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7G"/>
    <s v="LINEAR EQL NC2000 7DB 45-1GHZ"/>
    <s v="92002756"/>
    <s v="6.1"/>
    <x v="36"/>
    <n v="1962652"/>
    <d v="2016-10-26T00:00:00"/>
    <s v="20161102 000000"/>
    <d v="2016-10-27T00:00:00"/>
    <d v="2016-11-02T00:00:00"/>
    <d v="2016-10-27T00:00:00"/>
    <m/>
    <n v="100"/>
    <m/>
    <n v="500"/>
    <m/>
    <s v="N224"/>
    <s v="NWK ACCESS TECH"/>
    <s v="ACCESS OTHER"/>
    <s v="OTHER AURORA"/>
    <s v="N224"/>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2P30L5"/>
    <s v="SJ2_STAG"/>
    <s v="ROGERS COMMUNICATIONS CANADA INC"/>
    <s v="CENTRAL CANADA CCI GI WIRELINE"/>
    <s v="ON"/>
    <s v="VAUGHAN"/>
    <s v="L4K 0B7"/>
    <s v="EQ2108G"/>
    <s v="LINEAR EQL NC2000 8DB 45-1GHZ"/>
    <s v="92002756"/>
    <s v="7.1"/>
    <x v="36"/>
    <n v="1962652"/>
    <d v="2016-10-26T00:00:00"/>
    <s v="20161102 000000"/>
    <d v="2016-10-27T00:00:00"/>
    <d v="2016-11-02T00:00:00"/>
    <d v="2016-10-27T00:00:00"/>
    <m/>
    <n v="50"/>
    <m/>
    <n v="250"/>
    <m/>
    <s v="HE64"/>
    <s v="NWK ACCESS TECH"/>
    <s v="HEO"/>
    <s v="TRANSMITTER"/>
    <s v="HT"/>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62L7"/>
    <s v="SJ2_STAG"/>
    <s v="ROGERS COMMUNICATIONS CANADA INC"/>
    <s v="CENTRAL CANADA CCI GI WIRELINE"/>
    <s v="ON"/>
    <s v="VAUGHAN"/>
    <s v="L4K 0B7"/>
    <s v="RS4001-00"/>
    <s v="COMBINER SINGLE RETURN PATH PL"/>
    <s v="92002757"/>
    <s v="14.1"/>
    <x v="37"/>
    <n v="1962654"/>
    <d v="2016-10-26T00:00:00"/>
    <s v="20161102 000000"/>
    <d v="2016-10-27T00:00:00"/>
    <d v="2016-11-02T00:00:00"/>
    <d v="2016-10-27T00:00:00"/>
    <m/>
    <n v="100"/>
    <m/>
    <n v="1800"/>
    <m/>
    <s v="N224"/>
    <s v="NWK ACCESS TECH"/>
    <s v="ACCESS OTHER"/>
    <s v="OTHER AURORA"/>
    <s v="N224"/>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15P12L2"/>
    <s v="SJ2_STAG"/>
    <s v="ROGERS COMMUNICATIONS CANADA INC"/>
    <s v="CENTRAL CANADA CCI GI WIRELINE"/>
    <s v="ON"/>
    <s v="VAUGHAN"/>
    <s v="L4K 0B7"/>
    <s v="WH4144"/>
    <s v="WIRING HARNESS 4 X 4 COAX"/>
    <s v="92002757"/>
    <s v="15.1"/>
    <x v="37"/>
    <n v="1962652"/>
    <d v="2016-10-26T00:00:00"/>
    <s v="20161102 000000"/>
    <d v="2016-10-27T00:00:00"/>
    <d v="2016-11-02T00:00:00"/>
    <d v="2016-10-27T00:00:00"/>
    <m/>
    <n v="2"/>
    <m/>
    <n v="200"/>
    <m/>
    <s v="N224"/>
    <s v="NWK ACCESS TECH"/>
    <s v="ACCESS OTHER"/>
    <s v="OTHER AURORA"/>
    <s v="N224"/>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15P61L2"/>
    <s v="SJ2_STAG"/>
    <s v="ROGERS COMMUNICATIONS CANADA INC"/>
    <s v="CENTRAL CANADA CCI GI WIRELINE"/>
    <s v="ON"/>
    <s v="VAUGHAN"/>
    <s v="L4K 0B7"/>
    <s v="BP3400C-00"/>
    <s v="BACKPLATE 4.25 GB/S 1-FER/2-FE"/>
    <s v="92002757"/>
    <s v="6.1"/>
    <x v="37"/>
    <n v="1962652"/>
    <d v="2016-10-26T00:00:00"/>
    <s v="20161102 000000"/>
    <d v="2016-10-27T00:00:00"/>
    <d v="2016-11-02T00:00:00"/>
    <d v="2016-10-27T00:00:00"/>
    <m/>
    <n v="50"/>
    <m/>
    <n v="23250"/>
    <m/>
    <s v="N076"/>
    <s v="NWK ACCESS TECH"/>
    <s v="HEO"/>
    <s v="HEO MISC AURORA"/>
    <s v="N076"/>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s v="R023P18L3"/>
    <s v="SJ2_STAG"/>
    <s v="ROGERS COMMUNICATIONS CANADA INC"/>
    <s v="CENTRAL CANADA CCI GI WIRELINE"/>
    <s v="ON"/>
    <s v="VAUGHAN"/>
    <s v="L4K 0B7"/>
    <s v="OP34D10S-1-99-AS"/>
    <s v="DEMUX CWDM 10CH 1310 FLTR -20T"/>
    <s v="92002757"/>
    <s v="8.1"/>
    <x v="37"/>
    <n v="1962652"/>
    <d v="2016-10-26T00:00:00"/>
    <s v="20161102 000000"/>
    <d v="2016-10-27T00:00:00"/>
    <d v="2016-11-02T00:00:00"/>
    <d v="2016-10-27T00:00:00"/>
    <m/>
    <n v="5"/>
    <m/>
    <n v="6000"/>
    <m/>
    <s v="N165"/>
    <s v="NWK ACCESS TECH"/>
    <s v="OPTICAL PASSIVES"/>
    <s v="INDOOR PASSIVES AURORA"/>
    <s v="N165"/>
    <s v="UK-STANDARD ORDER MIXED"/>
    <s v="A-SURFACE"/>
    <s v="OP"/>
    <n v="1250743"/>
    <s v="A-SURFACE"/>
    <m/>
    <m/>
    <m/>
    <s v="A-SURFACE"/>
    <s v="LTL"/>
    <s v="EXW"/>
    <s v="Prepay &amp; Add"/>
    <m/>
    <m/>
    <s v="Broker: Niagara Falls office is the primary location. Manager: Julie McDermott, PO Box 453,Niagara Falls Ontario L2E 6V2; T:905-262-5121 F:905-262-5250 wgmniagarafalls@wgmckay.com.FedEx:Select bill customer for duties &amp; customs charges."/>
    <s v="Shipping instructions follows: Please call or email Rob Yetter @ 1-647-747-9040 / Rob.Yetter@rci.rogers.com for delivery Appointment"/>
    <m/>
    <m/>
    <m/>
    <s v="0"/>
    <s v="0"/>
  </r>
  <r>
    <s v="SJ2"/>
    <s v="5000319"/>
    <s v="ROGERS CABLE"/>
    <s v="VAUGHAN (EDI)"/>
    <m/>
    <s v="SJ2_STAG"/>
    <s v="ROGERS COMMUNICATIONS CANADA INC"/>
    <s v="CENTRAL CANADA CCI GI WIRELINE"/>
    <s v="ON"/>
    <s v="VAUGHAN"/>
    <s v="L4K 0B7"/>
    <s v="PS3148D"/>
    <s v="POWER SUPPLY W/DISPLAY -48VDC"/>
    <s v="92002758"/>
    <s v="4.1"/>
    <x v="38"/>
    <n v="1962653"/>
    <d v="2016-10-26T00:00:00"/>
    <s v="20161102 000000"/>
    <d v="2016-10-27T00:00:00"/>
    <d v="2016-11-02T00:00:00"/>
    <d v="2016-10-27T00:00:00"/>
    <m/>
    <n v="72"/>
    <m/>
    <n v="4514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5P65L2"/>
    <s v="SJ2_STAG"/>
    <s v="ROGERS COMMUNICATIONS CANADA INC"/>
    <s v="CENTRAL CANADA CCI GI WIRELINE"/>
    <s v="ON"/>
    <s v="VAUGHAN"/>
    <s v="L4K 0B7"/>
    <s v="PS3148N"/>
    <s v="POWER SUPPLY NO DISPLAY -48VDC"/>
    <s v="92002758"/>
    <s v="5.1"/>
    <x v="38"/>
    <n v="1962652"/>
    <d v="2016-10-26T00:00:00"/>
    <s v="20161102 000000"/>
    <d v="2016-10-27T00:00:00"/>
    <d v="2016-11-02T00:00:00"/>
    <d v="2016-10-27T00:00:00"/>
    <m/>
    <n v="19"/>
    <m/>
    <n v="10241"/>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16P32L1B02"/>
    <s v="SJ2_STAG"/>
    <s v="ROGERS COMMUNICATIONS CANADA INC"/>
    <s v="CENTRAL CANADA CCI GI WIRELINE"/>
    <s v="ON"/>
    <s v="VAUGHAN"/>
    <s v="L4K 0B7"/>
    <s v="PS3148N"/>
    <s v="POWER SUPPLY NO DISPLAY -48VDC"/>
    <s v="92002758"/>
    <s v="5.1"/>
    <x v="38"/>
    <n v="1962652"/>
    <d v="2016-10-26T00:00:00"/>
    <s v="20161102 000000"/>
    <d v="2016-10-27T00:00:00"/>
    <d v="2016-11-02T00:00:00"/>
    <d v="2016-10-27T00:00:00"/>
    <m/>
    <n v="6"/>
    <m/>
    <n v="3234"/>
    <m/>
    <s v="N204"/>
    <s v="NWK ACCESS TECH"/>
    <s v="ACCESS OTHER"/>
    <s v="OTHER AURORA"/>
    <s v="N20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3L3"/>
    <s v="SJ2_STAG"/>
    <s v="ROGERS COMMUNICATIONS CANADA INC"/>
    <s v="CENTRAL CANADA CCI GI WIRELINE"/>
    <s v="ON"/>
    <s v="VAUGHAN"/>
    <s v="L4K 0B7"/>
    <s v="TR4040-PI"/>
    <s v="TRANSCEIVER SFP 40KM"/>
    <s v="92002758"/>
    <s v="6.1"/>
    <x v="38"/>
    <n v="1962652"/>
    <d v="2016-10-26T00:00:00"/>
    <s v="20161102 000000"/>
    <d v="2016-10-27T00:00:00"/>
    <d v="2016-11-02T00:00:00"/>
    <d v="2016-10-27T00:00:00"/>
    <m/>
    <n v="7"/>
    <m/>
    <n v="126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3P46L1"/>
    <s v="SJ2_STAG"/>
    <s v="ROGERS COMMUNICATIONS CANADA INC"/>
    <s v="CENTRAL CANADA CCI GI WIRELINE"/>
    <s v="ON"/>
    <s v="VAUGHAN"/>
    <s v="L4K 0B7"/>
    <s v="TR4040-PI"/>
    <s v="TRANSCEIVER SFP 40KM"/>
    <s v="92002758"/>
    <s v="6.1"/>
    <x v="38"/>
    <n v="1962654"/>
    <d v="2016-10-26T00:00:00"/>
    <s v="20161102 000000"/>
    <d v="2016-10-27T00:00:00"/>
    <d v="2016-11-02T00:00:00"/>
    <d v="2016-10-27T00:00:00"/>
    <m/>
    <n v="3"/>
    <m/>
    <n v="540"/>
    <m/>
    <s v="N252"/>
    <s v="NWK ACCESS TECH"/>
    <s v="NODE"/>
    <s v="NODE MISC AURORA"/>
    <s v="N252"/>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4P34L1B02"/>
    <s v="SJ2_STAG"/>
    <s v="ROGERS COMMUNICATIONS CANADA INC"/>
    <s v="CENTRAL CANADA CCI GI WIRELINE"/>
    <s v="ON"/>
    <s v="VAUGHAN"/>
    <s v="L4K 0B7"/>
    <s v="WH4122"/>
    <s v="WIRING HARNESS 2 X 2 COAX"/>
    <s v="92002758"/>
    <s v="7.1"/>
    <x v="38"/>
    <n v="1962654"/>
    <d v="2016-10-26T00:00:00"/>
    <s v="20161102 000000"/>
    <d v="2016-10-27T00:00:00"/>
    <d v="2016-11-02T00:00:00"/>
    <d v="2016-10-27T00:00:00"/>
    <m/>
    <n v="10"/>
    <m/>
    <n v="590"/>
    <m/>
    <s v="N224"/>
    <s v="NWK ACCESS TECH"/>
    <s v="ACCESS OTHER"/>
    <s v="OTHER AURORA"/>
    <s v="N22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2P79L3"/>
    <s v="SJ2_STAG"/>
    <s v="ROGERS COMMUNICATIONS CANADA INC"/>
    <s v="CENTRAL CANADA CCI GI WIRELINE"/>
    <s v="ON"/>
    <s v="VAUGHAN"/>
    <s v="L4K 0B7"/>
    <s v="RR4000-00-PI"/>
    <s v="RCVR DUAL PLUGGABLE SFP 3 GBPS"/>
    <s v="92002760"/>
    <s v="7.1"/>
    <x v="39"/>
    <n v="1962654"/>
    <d v="2016-10-26T00:00:00"/>
    <s v="20161102 000000"/>
    <d v="2016-10-27T00:00:00"/>
    <d v="2016-11-02T00:00:00"/>
    <d v="2016-10-27T00:00:00"/>
    <m/>
    <n v="29"/>
    <m/>
    <n v="5220"/>
    <m/>
    <s v="N224"/>
    <s v="NWK ACCESS TECH"/>
    <s v="ACCESS OTHER"/>
    <s v="OTHER AURORA"/>
    <s v="N22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19"/>
    <s v="ROGERS CABLE"/>
    <s v="VAUGHAN (EDI)"/>
    <s v="R022P32L5"/>
    <s v="SJ2_STAG"/>
    <s v="ROGERS COMMUNICATIONS CANADA INC"/>
    <s v="CENTRAL CANADA CCI GI WIRELINE"/>
    <s v="ON"/>
    <s v="VAUGHAN"/>
    <s v="L4K 0B7"/>
    <s v="RR4000-00-PI"/>
    <s v="RCVR DUAL PLUGGABLE SFP 3 GBPS"/>
    <s v="92002760"/>
    <s v="7.1"/>
    <x v="39"/>
    <n v="1962654"/>
    <d v="2016-10-26T00:00:00"/>
    <s v="20161102 000000"/>
    <d v="2016-10-27T00:00:00"/>
    <d v="2016-11-02T00:00:00"/>
    <d v="2016-10-27T00:00:00"/>
    <m/>
    <n v="71"/>
    <m/>
    <n v="12780"/>
    <m/>
    <s v="N224"/>
    <s v="NWK ACCESS TECH"/>
    <s v="ACCESS OTHER"/>
    <s v="OTHER AURORA"/>
    <s v="N224"/>
    <s v="UK-STANDARD ORDER MIXED"/>
    <s v="A-SURFACE"/>
    <s v="OP"/>
    <n v="1250743"/>
    <s v="A-SURFACE"/>
    <m/>
    <m/>
    <m/>
    <s v="A-SURFACE"/>
    <s v="LTL"/>
    <s v="EXW"/>
    <s v="Prepay &amp; Add"/>
    <m/>
    <m/>
    <s v="DELIVERY REQUESTED 20161102"/>
    <s v="Shipping instructions follows: Please call or email Rob Yetter @ 1-647-747-9040 / Rob.Yetter@rci.rogers.com for delivery Appointment"/>
    <m/>
    <m/>
    <m/>
    <s v="0"/>
    <s v="0"/>
  </r>
  <r>
    <s v="SJ2"/>
    <s v="5000349"/>
    <s v="COGECO"/>
    <s v="Trois-4151 12/11"/>
    <s v="R023P06L3"/>
    <s v="SJ2_FOB"/>
    <s v="COGECO CABLE"/>
    <s v="4151 SAINT-JEAN BLVD"/>
    <s v="QC"/>
    <s v="TROIS-RIVIERES"/>
    <s v="G9B 2M8"/>
    <s v="NTM3249T-C31-AS-4L"/>
    <s v="OXT CDFB NTM3249T-C31 DWDM AS"/>
    <s v="92001706"/>
    <s v="1.1"/>
    <x v="40"/>
    <n v="1962768"/>
    <d v="2016-09-14T15:54:17"/>
    <m/>
    <d v="2016-10-27T00:00:00"/>
    <d v="2016-10-25T00:00:00"/>
    <d v="2016-10-31T00:00:00"/>
    <m/>
    <n v="1"/>
    <m/>
    <n v="1478"/>
    <m/>
    <s v="N155"/>
    <s v="NWK ACCESS TECH"/>
    <s v="NODE"/>
    <s v="HL NODE MISC AURORA"/>
    <s v="N155"/>
    <s v="UK-STANDARD ORDER MIXED"/>
    <s v="A-SURFACE"/>
    <s v="OP"/>
    <n v="1250840"/>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Trois-4151 12/11"/>
    <s v="R016P48L2B01"/>
    <s v="SJ2_FOB"/>
    <s v="COGECO CABLE"/>
    <s v="4151 SAINT-JEAN BLVD"/>
    <s v="QC"/>
    <s v="TROIS-RIVIERES"/>
    <s v="G9B 2M8"/>
    <s v="HLP4800-6F"/>
    <s v="PLATFORM HLP4800"/>
    <s v="92002087"/>
    <s v="1.1"/>
    <x v="41"/>
    <n v="1960394"/>
    <d v="2016-09-30T16:24:03"/>
    <m/>
    <d v="2016-10-25T00:00:00"/>
    <d v="2016-10-31T00:00:00"/>
    <d v="2016-10-25T00:00:00"/>
    <m/>
    <n v="4"/>
    <m/>
    <n v="1428"/>
    <m/>
    <s v="N140"/>
    <s v="NWK ACCESS TECH"/>
    <s v="HEO"/>
    <s v="HEO MISC AURORA"/>
    <s v="N140"/>
    <s v="UK-STANDARD ORDER MIXED"/>
    <s v="A-SURFACE"/>
    <s v="OP"/>
    <n v="1249355"/>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Trois-4151 12/11"/>
    <s v="R015P44L2"/>
    <s v="SJ2_FOB"/>
    <s v="COGECO CABLE"/>
    <s v="4151 SAINT-JEAN BLVD"/>
    <s v="QC"/>
    <s v="TROIS-RIVIERES"/>
    <s v="G9B 2M8"/>
    <s v="CPS4801-DC-01F"/>
    <s v="MOD POWER SUPPLY CPS4801-DC"/>
    <s v="92002087"/>
    <s v="4.1"/>
    <x v="41"/>
    <n v="1960395"/>
    <d v="2016-09-30T16:24:03"/>
    <m/>
    <d v="2016-10-25T00:00:00"/>
    <d v="2016-10-31T00:00:00"/>
    <d v="2016-10-25T00:00:00"/>
    <m/>
    <n v="4"/>
    <m/>
    <n v="2312"/>
    <m/>
    <s v="N224"/>
    <s v="NWK ACCESS TECH"/>
    <s v="ACCESS OTHER"/>
    <s v="OTHER AURORA"/>
    <s v="N224"/>
    <s v="UK-STANDARD ORDER MIXED"/>
    <s v="A-SURFACE"/>
    <s v="OP"/>
    <n v="1249355"/>
    <s v="A-SURFACE"/>
    <m/>
    <m/>
    <m/>
    <s v="A-SURFACE"/>
    <s v="LTL"/>
    <s v="DDP"/>
    <s v="Prepaid"/>
    <m/>
    <m/>
    <s v="IF SHIPMENT PALLETIZED/REPALLETIZED SERIAL # VISIBLE/ONLY CLEAR SHRINK WRAP/45 HR APPT NOTICE/4-WAY PALLETS, 48X40 NO HIGHER/CALL WAREHOUSE 4 APPT /JEAN LANGLOIS PH: 819-841-3621 E-MAIL: jean.langlois@cogeco.com"/>
    <m/>
    <m/>
    <m/>
    <m/>
    <s v="0"/>
    <s v="0"/>
  </r>
  <r>
    <s v="SJ2"/>
    <s v="5000349"/>
    <s v="COGECO"/>
    <s v="BURLINGTON 970"/>
    <s v="R016P37L2B02"/>
    <s v="SJ2_FOB"/>
    <s v="COGECO"/>
    <s v="970 SYSCON RD"/>
    <s v="ON"/>
    <s v="BURLINGTON"/>
    <s v="L7L 5S2"/>
    <s v="NOM3121A-42-3L"/>
    <s v="RF MOD NOM3121A-42 1GHZ NODE"/>
    <s v="92002813"/>
    <s v="1.1"/>
    <x v="42"/>
    <n v="1963674"/>
    <d v="2016-10-28T16:26:24"/>
    <m/>
    <d v="2016-10-28T00:00:00"/>
    <d v="2016-10-28T00:00:00"/>
    <d v="2016-10-28T00:00:00"/>
    <m/>
    <n v="4"/>
    <m/>
    <n v="1512"/>
    <m/>
    <s v="N053"/>
    <s v="NWK ACCESS TECH"/>
    <s v="NODE"/>
    <s v="HLN3144 AURORA"/>
    <s v="N053"/>
    <s v="UK-STANDARD ORDER MIXED"/>
    <s v="A-SURFACE"/>
    <s v="OP"/>
    <n v="1251428"/>
    <s v="A-SURFACE"/>
    <m/>
    <m/>
    <m/>
    <s v="A-SURFACE"/>
    <s v="LTL"/>
    <s v="DDP"/>
    <s v="Prepaid"/>
    <m/>
    <m/>
    <s v="REQUIRE PALLET ID &amp; CARTON ID/IF SHIPMENT PALLETIZED/REPALLETIZED SERIAL # VISIBLE/ONLY CLEAR SHRINK WRAP/45 HR APPT NOTICE/ 4-WAY PALLETS, 48X40 NO HIGHER/CALL WAREHOUSE 4 APPT PH: 289-337-7143 E-MAIL: TDC_scheduling@cogeco.com"/>
    <m/>
    <m/>
    <m/>
    <m/>
    <s v="0"/>
    <s v="0"/>
  </r>
  <r>
    <s v="SJ2"/>
    <s v="5000431"/>
    <s v="TIME WARNER CABLE INC"/>
    <s v="VAN NUYS14221"/>
    <s v="R016P24L1B01"/>
    <s v="SJ2_STAG"/>
    <s v="TIME WARNER CABLE"/>
    <s v="14221 Covello St"/>
    <s v="CA"/>
    <s v="Van Nuys"/>
    <s v="91405-1496"/>
    <s v="NC4111H3D9-00000000"/>
    <s v="NODE FD 2X2 5-45/54-1GHZ UHG A"/>
    <s v="20112057"/>
    <s v="18.1"/>
    <x v="43"/>
    <n v="1957477"/>
    <d v="2016-09-20T09:23:13"/>
    <m/>
    <d v="2016-10-21T00:00:00"/>
    <d v="2016-09-26T00:00:00"/>
    <d v="2016-10-21T00:00:00"/>
    <m/>
    <n v="10"/>
    <m/>
    <n v="15960"/>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VAN NUYS14221"/>
    <s v="R024P08L2B01"/>
    <s v="SJ2_STAG"/>
    <s v="TIME WARNER CABLE"/>
    <s v="14221 Covello St"/>
    <s v="CA"/>
    <s v="Van Nuys"/>
    <s v="91405-1496"/>
    <s v="NC4111H3D9-00000000"/>
    <s v="NODE FD 2X2 5-45/54-1GHZ UHG A"/>
    <s v="20112057"/>
    <s v="18.1"/>
    <x v="43"/>
    <n v="1957477"/>
    <d v="2016-09-20T09:23:13"/>
    <m/>
    <d v="2016-10-21T00:00:00"/>
    <d v="2016-09-26T00:00:00"/>
    <d v="2016-10-21T00:00:00"/>
    <m/>
    <n v="4"/>
    <m/>
    <n v="6384"/>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31"/>
    <s v="TIME WARNER CABLE INC"/>
    <s v="DAYTON002"/>
    <s v="R022P71L4"/>
    <s v="SJ2_STAG"/>
    <s v="TIME WARNER CABLE"/>
    <s v="3691 Turner Rd"/>
    <s v="OH"/>
    <s v="Dayton"/>
    <s v="45415-3690"/>
    <s v="OP94F1S-1550-N0-00"/>
    <s v="FILTER CWDM N-CASE 0.25MM 1550"/>
    <s v="20113320"/>
    <s v="7.1"/>
    <x v="44"/>
    <n v="1957510"/>
    <d v="2016-09-26T11:43:44"/>
    <m/>
    <d v="2016-10-21T00:00:00"/>
    <d v="2016-09-26T00:00:00"/>
    <d v="2016-10-21T00:00:00"/>
    <m/>
    <n v="10"/>
    <m/>
    <n v="900"/>
    <m/>
    <s v="N156"/>
    <s v="NWK ACCESS TECH"/>
    <s v="ACCESS OTHER"/>
    <s v="OTHER AURORA"/>
    <s v="N156"/>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m/>
    <m/>
    <m/>
    <m/>
    <s v="0"/>
    <s v="0"/>
  </r>
  <r>
    <s v="SJ2"/>
    <s v="5000431"/>
    <s v="TIME WARNER CABLE INC"/>
    <s v="VAN NUYS14221"/>
    <s v="R016P24L1B01"/>
    <s v="SJ2_STAG"/>
    <s v="TIME WARNER CABLE"/>
    <s v="14221 Covello St"/>
    <s v="CA"/>
    <s v="Van Nuys"/>
    <s v="91405-1496"/>
    <s v="NC4111H3D9-00000000"/>
    <s v="NODE FD 2X2 5-45/54-1GHZ UHG A"/>
    <s v="20113885"/>
    <s v="3.1"/>
    <x v="45"/>
    <n v="1957477"/>
    <d v="2016-09-28T15:40:43"/>
    <m/>
    <d v="2016-10-21T00:00:00"/>
    <d v="2016-09-28T00:00:00"/>
    <d v="2016-10-21T00:00:00"/>
    <m/>
    <n v="8"/>
    <m/>
    <n v="12768"/>
    <m/>
    <s v="N032"/>
    <s v="NWK ACCESS TECH"/>
    <s v="NODE"/>
    <s v="NC4000 AURORA"/>
    <s v="N032"/>
    <s v="AS-STANDARD ORDER MIXED"/>
    <s v="TRNSINSGHLOGCTR-TL"/>
    <s v="OP"/>
    <n v="1246854"/>
    <s v="TRNSINSGHLOGCTR"/>
    <m/>
    <m/>
    <m/>
    <s v="TRANSPORTATION INSIGHT LOGISTICS CENTER"/>
    <s v="SUR"/>
    <s v="EXW"/>
    <s v="Third Party Billing"/>
    <m/>
    <m/>
    <s v="UNDER 200 LBS, SHIP COLL FEDEX GRND ACCT #217633729;OVER 200 LBS SHIP 3RD PTY TRNS INSIGHT LOGISTICS CTR. 1-828-485-5222 EMAIL: twc@t-insight.com *DELIVERY TRUCKS CANNOT ACCESS OR LEAVE THE WAREHOUSE USING TYRONE STREET*"/>
    <m/>
    <m/>
    <m/>
    <m/>
    <s v="0"/>
    <s v="0"/>
  </r>
  <r>
    <s v="SJ2"/>
    <s v="5000445"/>
    <s v="COMCAST"/>
    <s v="SALEM - MURPHY"/>
    <s v="R024P01L1B01"/>
    <s v="SJ2_STAG"/>
    <s v="COMCAST CABLE"/>
    <s v="9 Northeastern Blvd"/>
    <s v="NH"/>
    <s v="Salem"/>
    <s v="03079-1996"/>
    <s v="OP95D4-CF1-100-R2-AS"/>
    <s v="DEMUX DWDM 100GHZ 4 CH F-CASE"/>
    <s v="20106163"/>
    <s v="1.1"/>
    <x v="46"/>
    <n v="1960984"/>
    <d v="2016-08-22T10:31:44"/>
    <m/>
    <d v="2016-10-26T00:00:00"/>
    <d v="2016-08-22T00:00:00"/>
    <d v="2016-10-28T00:00:00"/>
    <m/>
    <n v="7"/>
    <m/>
    <n v="5299"/>
    <m/>
    <s v="N160"/>
    <s v="NWK ACCESS TECH"/>
    <s v="OPTICAL PASSIVES"/>
    <s v="OUTDOOR PASSIVES AURORA"/>
    <s v="N160"/>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 MURPHY"/>
    <s v="R024P01L1B01"/>
    <s v="SJ2_STAG"/>
    <s v="COMCAST CABLE"/>
    <s v="9 Northeastern Blvd"/>
    <s v="NH"/>
    <s v="Salem"/>
    <s v="03079-1996"/>
    <s v="OP95D4-CF1-100-R2-AS"/>
    <s v="DEMUX DWDM 100GHZ 4 CH F-CASE"/>
    <m/>
    <s v="1.2"/>
    <x v="46"/>
    <n v="1960984"/>
    <d v="2016-08-22T10:31:44"/>
    <m/>
    <d v="2016-10-26T00:00:00"/>
    <d v="2016-08-22T00:00:00"/>
    <d v="2016-10-28T00:00:00"/>
    <m/>
    <n v="3"/>
    <m/>
    <n v="2271"/>
    <m/>
    <s v="N160"/>
    <s v="NWK ACCESS TECH"/>
    <s v="OPTICAL PASSIVES"/>
    <s v="OUTDOOR PASSIVES AURORA"/>
    <s v="N160"/>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10495"/>
    <s v="R023P13L2"/>
    <s v="SJ2_STAG"/>
    <s v="COMCAST CABLE COMM MGMT, LLC"/>
    <s v="2055 Folsom St"/>
    <s v="CA"/>
    <s v="San Francisco"/>
    <s v="94110-1330"/>
    <s v="OP35F1S-29-0-00-AS"/>
    <s v="DWDM FILTER SINGLE ITU CH 29 S"/>
    <s v="20106257"/>
    <s v="3.1"/>
    <x v="47"/>
    <n v="1963198"/>
    <d v="2016-08-22T13:21:15"/>
    <m/>
    <d v="2016-10-28T00:00:00"/>
    <d v="2016-08-22T00:00:00"/>
    <d v="2016-10-28T00:00:00"/>
    <m/>
    <n v="1"/>
    <m/>
    <n v="213"/>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2P26L3"/>
    <s v="SJ2_STAG"/>
    <s v="COMCAST CABLE COMMUNICATIONS"/>
    <s v="3500 Patterson Ave SE"/>
    <s v="MI"/>
    <s v="Grand Rapids"/>
    <s v="49512-5699"/>
    <s v="OP35D4P-1-99-AS"/>
    <s v="OPT DEMUX 100GHZ CH 40-43 EXP"/>
    <s v="20106296"/>
    <s v="26.1"/>
    <x v="48"/>
    <n v="1963226"/>
    <d v="2016-08-22T14:05:08"/>
    <m/>
    <d v="2016-10-28T00:00:00"/>
    <d v="2016-08-22T00:00:00"/>
    <d v="2016-10-28T00:00:00"/>
    <m/>
    <n v="1"/>
    <n v="1"/>
    <n v="582"/>
    <n v="582"/>
    <s v="N165"/>
    <s v="NWK ACCESS TECH"/>
    <s v="OPTICAL PASSIVES"/>
    <s v="INDOOR PASSIVES AURORA"/>
    <s v="N16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LIVERMORE (3011) BERG"/>
    <s v="R024P01L1B01"/>
    <s v="SJ2_STAG"/>
    <s v="COMCAST CABLE COMMUNICATIONS INC"/>
    <s v="3011 Comcast Pl"/>
    <s v="CA"/>
    <s v="Livermore"/>
    <s v="94551-7594"/>
    <s v="OP95D4-CF1-100-R2-AS"/>
    <s v="DEMUX DWDM 100GHZ 4 CH F-CASE"/>
    <s v="20106317"/>
    <s v="15.1"/>
    <x v="49"/>
    <n v="1960985"/>
    <d v="2016-08-22T14:21:57"/>
    <m/>
    <d v="2016-10-26T00:00:00"/>
    <d v="2016-08-23T00:00:00"/>
    <d v="2016-10-28T00:00:00"/>
    <m/>
    <n v="1"/>
    <m/>
    <n v="757"/>
    <m/>
    <s v="N160"/>
    <s v="NWK ACCESS TECH"/>
    <s v="OPTICAL PASSIVES"/>
    <s v="OUTDOOR PASSIVES AURORA"/>
    <s v="N160"/>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2416"/>
    <s v="R015P61L5"/>
    <s v="SJ2_STAG"/>
    <s v="COMCAST CABLE CENTRAL LOCAL"/>
    <s v="3707 Buckeye St"/>
    <s v="FL"/>
    <s v="Palm Beach Gardens"/>
    <s v="33410-4230"/>
    <s v="CE8300H-00"/>
    <s v="ENCLOSURE PRIMEX OUTDOOR SINGL"/>
    <s v="20106527"/>
    <s v="3.3"/>
    <x v="50"/>
    <n v="1963208"/>
    <d v="2016-08-22T21:30:22"/>
    <m/>
    <d v="2016-10-28T00:00:00"/>
    <d v="2016-08-22T00:00:00"/>
    <d v="2016-10-28T00:00:00"/>
    <m/>
    <n v="125"/>
    <m/>
    <n v="4500"/>
    <m/>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SALEM (ROY)"/>
    <s v="R024P01L1B01"/>
    <s v="SJ2_STAG"/>
    <s v="COMCAST CABLE"/>
    <s v="9 Northeastern Blvd"/>
    <s v="NH"/>
    <s v="Salem"/>
    <s v="03079-1996"/>
    <s v="OP95D4-CF1-100-R2-AS"/>
    <s v="DEMUX DWDM 100GHZ 4 CH F-CASE"/>
    <s v="20106702"/>
    <s v="1.1"/>
    <x v="51"/>
    <n v="1960987"/>
    <d v="2016-08-23T11:43:09"/>
    <m/>
    <d v="2016-10-26T00:00:00"/>
    <d v="2016-08-23T00:00:00"/>
    <d v="2016-10-28T00:00:00"/>
    <m/>
    <n v="6"/>
    <m/>
    <n v="4542"/>
    <m/>
    <s v="N160"/>
    <s v="NWK ACCESS TECH"/>
    <s v="OPTICAL PASSIVES"/>
    <s v="OUTDOOR PASSIVES AURORA"/>
    <s v="N160"/>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02L1B02"/>
    <s v="SJ2_STAG"/>
    <s v="COMCAST CABLE"/>
    <s v="5934 Richard St"/>
    <s v="FL"/>
    <s v="Jacksonville"/>
    <s v="32216-5951"/>
    <s v="NH4000-RFP2"/>
    <s v="HOUSING VHUB-RFPON DUAL PWR SP"/>
    <s v="20106720"/>
    <s v="23.1"/>
    <x v="52"/>
    <n v="1951527"/>
    <d v="2016-08-23T12:00:55"/>
    <m/>
    <d v="2016-10-15T00:00:00"/>
    <d v="2016-08-23T00:00:00"/>
    <d v="2016-10-17T00:00:00"/>
    <m/>
    <n v="2"/>
    <m/>
    <n v="1870"/>
    <m/>
    <s v="N224"/>
    <s v="NWK ACCESS TECH"/>
    <s v="ACCESS OTHER"/>
    <s v="OTHER AURORA"/>
    <s v="N224"/>
    <s v="AS-STANDARD ORDER MIXED"/>
    <s v="FEDEX-GROUND"/>
    <s v="OP"/>
    <n v="1243259"/>
    <s v="A-SURFACE"/>
    <m/>
    <m/>
    <m/>
    <s v="FEDERAL EXPRESS"/>
    <s v="GND"/>
    <s v="EXW"/>
    <s v="Collect"/>
    <m/>
    <m/>
    <s v="UNDER 200LBS UNPALLETIZED OR SINGLE BOX UNDER 150LBS USE FEDEX #128153870 OVER 200LBS USE OMNI LOGISTICS ACCT COMCASTLSS-COMCASTLSS@OMNILOGISTICS.COM 866-247-6664"/>
    <m/>
    <n v="126"/>
    <n v="126"/>
    <m/>
    <s v="0"/>
    <s v="0"/>
  </r>
  <r>
    <s v="SJ2"/>
    <s v="5000445"/>
    <s v="COMCAST"/>
    <s v="JACKSONVILLE (MISC)"/>
    <s v="R024P20L2B01"/>
    <s v="SJ2_STAG"/>
    <s v="COMCAST CABLE"/>
    <s v="5934 Richard St"/>
    <s v="FL"/>
    <s v="Jacksonville"/>
    <s v="32216-5951"/>
    <s v="OP91S2Q-EQ-R2-MP"/>
    <s v="SPLITTER QUAD 1X2 F-CASE MPO 4"/>
    <s v="20106720"/>
    <s v="32.1"/>
    <x v="53"/>
    <n v="1962862"/>
    <d v="2016-08-23T12:00:55"/>
    <m/>
    <d v="2016-10-27T00:00:00"/>
    <d v="2016-08-23T00:00:00"/>
    <d v="2016-10-28T00:00:00"/>
    <m/>
    <n v="2"/>
    <m/>
    <n v="814"/>
    <m/>
    <s v="N156"/>
    <s v="NWK ACCESS TECH"/>
    <s v="ACCESS OTHER"/>
    <s v="OTHER AURORA"/>
    <s v="N156"/>
    <s v="AS-STANDARD ORDER MIXED"/>
    <s v="A-SURFACE"/>
    <s v="OP"/>
    <n v="1250890"/>
    <s v="A-SURFACE"/>
    <m/>
    <m/>
    <m/>
    <s v="A-SURFACE"/>
    <s v="LTL"/>
    <s v="EXW"/>
    <s v="Collect"/>
    <m/>
    <m/>
    <s v="UNDER 200LBS UNPALLETIZED OR SINGLE BOX UNDER 150LBS USE FEDEX #128153870 OVER 200LBS USE OMNI LOGISTICS ACCT COMCASTLSS-COMCASTLSS@OMNILOGISTICS.COM 866-247-6664"/>
    <m/>
    <m/>
    <m/>
    <m/>
    <s v="0"/>
    <s v="0"/>
  </r>
  <r>
    <s v="SJ2"/>
    <s v="5000445"/>
    <s v="COMCAST"/>
    <s v="FORT MYERS - BATE"/>
    <s v="R015P59L2"/>
    <s v="SJ2_STAG"/>
    <s v="COMCAST CABLE"/>
    <s v="12600 Westlinks Dr"/>
    <s v="FL"/>
    <s v="Fort Myers"/>
    <s v="33913-6103"/>
    <s v="CP8015U-02-10"/>
    <s v="CPE RFOG 1550/1610 42MHZ PWR I"/>
    <s v="20106903"/>
    <s v="1.1"/>
    <x v="54"/>
    <n v="1958477"/>
    <d v="2016-08-24T08:35:38"/>
    <m/>
    <d v="2016-10-22T00:00:00"/>
    <d v="2016-08-24T00:00:00"/>
    <d v="2016-10-24T00:00:00"/>
    <m/>
    <n v="72"/>
    <m/>
    <n v="7848"/>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7P67L3"/>
    <s v="SJ2_STAG"/>
    <s v="COMCAST CABLE"/>
    <s v="12600 Westlinks Dr"/>
    <s v="FL"/>
    <s v="Fort Myers"/>
    <s v="33913-6103"/>
    <s v="CP8015U-02-10"/>
    <s v="CPE RFOG 1550/1610 42MHZ PWR I"/>
    <s v="20106903"/>
    <s v="1.1"/>
    <x v="54"/>
    <n v="1958477"/>
    <d v="2016-08-24T08:35:38"/>
    <m/>
    <d v="2016-10-22T00:00:00"/>
    <d v="2016-08-24T00:00:00"/>
    <d v="2016-10-24T00:00:00"/>
    <m/>
    <n v="189"/>
    <m/>
    <n v="20601"/>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FORT MYERS - BATE"/>
    <s v="R015P65L1"/>
    <s v="SJ2_STAG"/>
    <s v="COMCAST CABLE"/>
    <s v="12600 Westlinks Dr"/>
    <s v="FL"/>
    <s v="Fort Myers"/>
    <s v="33913-6103"/>
    <s v="CP8015U-02-10"/>
    <s v="CPE RFOG 1550/1610 42MHZ PWR I"/>
    <s v="20106903"/>
    <s v="1.1"/>
    <x v="54"/>
    <n v="1958477"/>
    <d v="2016-08-24T08:35:38"/>
    <m/>
    <d v="2016-10-22T00:00:00"/>
    <d v="2016-08-24T00:00:00"/>
    <d v="2016-10-24T00:00:00"/>
    <m/>
    <n v="320"/>
    <m/>
    <n v="34880"/>
    <m/>
    <s v="N226"/>
    <s v="NWK ACCESS TECH"/>
    <s v="HPON"/>
    <s v="CPE AURORA"/>
    <s v="CPE"/>
    <s v="AS-STANDARD ORDER MIXED"/>
    <s v="CR-FEDEX-Ground"/>
    <s v="OP"/>
    <n v="1247474"/>
    <s v="FEDEX"/>
    <m/>
    <m/>
    <m/>
    <s v="FEDERAL EXPRESS"/>
    <s v="ECO"/>
    <s v="EXW"/>
    <s v="Collect"/>
    <m/>
    <m/>
    <s v="UNDER 200LBS UNPALLETIZED OR SINGLE BOX UNDER 150LBS USE FEDEX #128153870 OVER 200LBS USE OMNI LOGISTICS ACCT COMCASTLSS-COMCASTLSS@OMNILOGISTICS.COM 866-247-6664"/>
    <m/>
    <m/>
    <m/>
    <m/>
    <s v="0"/>
    <s v="0"/>
  </r>
  <r>
    <s v="SJ2"/>
    <s v="5000445"/>
    <s v="COMCAST"/>
    <s v="MIRAMAR - MCCARTY"/>
    <s v="R017P67L3"/>
    <s v="SJ2_STAG"/>
    <s v="COMCAST CABLE"/>
    <s v="2601 SW 145th Ave"/>
    <s v="FL"/>
    <s v="Miramar"/>
    <s v="33027-4139"/>
    <s v="CP8015U-02-10"/>
    <s v="CPE RFOG 1550/1610 42MHZ PWR I"/>
    <s v="20107079"/>
    <s v="11.1"/>
    <x v="55"/>
    <n v="1958484"/>
    <d v="2016-08-24T13:46:24"/>
    <m/>
    <d v="2016-10-22T00:00:00"/>
    <d v="2016-08-31T00:00:00"/>
    <d v="2016-10-24T00:00:00"/>
    <m/>
    <n v="36"/>
    <m/>
    <n v="3924"/>
    <m/>
    <s v="N226"/>
    <s v="NWK ACCESS TECH"/>
    <s v="HPON"/>
    <s v="CPE AURORA"/>
    <s v="CPE"/>
    <s v="AS-STANDARD ORDER MIXED"/>
    <s v="A-SURFACE"/>
    <s v="OP"/>
    <n v="1247474"/>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0L2B01"/>
    <s v="SJ2_STAG"/>
    <s v="COMCAST CABLE"/>
    <s v="2601 SW 145th Ave"/>
    <s v="FL"/>
    <s v="Miramar"/>
    <s v="33027-4139"/>
    <s v="OP91S2Q-EQ-R2-MP"/>
    <s v="SPLITTER QUAD 1X2 F-CASE MPO 4"/>
    <s v="20107079"/>
    <s v="14.1"/>
    <x v="56"/>
    <n v="1962863"/>
    <d v="2016-08-24T13:46:24"/>
    <m/>
    <d v="2016-10-27T00:00:00"/>
    <d v="2016-08-31T00:00:00"/>
    <d v="2016-10-28T00:00:00"/>
    <m/>
    <n v="1"/>
    <m/>
    <n v="407"/>
    <m/>
    <s v="N156"/>
    <s v="NWK ACCESS TECH"/>
    <s v="ACCESS OTHER"/>
    <s v="OTHER AURORA"/>
    <s v="N156"/>
    <s v="AS-STANDARD ORDER MIXED"/>
    <s v="A-SURFACE"/>
    <s v="OP"/>
    <n v="1250890"/>
    <s v="A-SURFACE"/>
    <m/>
    <m/>
    <m/>
    <s v="A-SURFACE"/>
    <s v="LTL"/>
    <s v="EXW"/>
    <s v="Collect"/>
    <m/>
    <m/>
    <s v="UNDER 200LBS UNPALLETIZED OR SINGLE BOX UNDER 150LBS USE FEDEX #128153870 OVER 200LBS USE OMNI LOGISTICS ACCT COMCASTLSS-COMCASTLSS@OMNILOGISTICS.COM 866-247-6664"/>
    <m/>
    <m/>
    <m/>
    <m/>
    <s v="0"/>
    <s v="0"/>
  </r>
  <r>
    <s v="SJ2"/>
    <s v="5000445"/>
    <s v="COMCAST"/>
    <s v="LIVERMORE (3011) BERG"/>
    <s v="R022P15L2"/>
    <s v="SJ2_STAG"/>
    <s v="COMCAST CABLE COMMUNICATIONS INC"/>
    <s v="3011 Comcast Pl"/>
    <s v="CA"/>
    <s v="Livermore"/>
    <s v="94551-7594"/>
    <s v="OP35F1S-CF-1-0-00-AS"/>
    <s v="FILTER RED/BL SGL ITU 18-35 &amp;"/>
    <s v="20107128"/>
    <s v="18.1"/>
    <x v="57"/>
    <n v="1962592"/>
    <d v="2016-08-24T15:37:03"/>
    <m/>
    <d v="2016-10-27T00:00:00"/>
    <d v="2016-09-02T00:00:00"/>
    <d v="2016-10-28T00:00:00"/>
    <m/>
    <n v="1"/>
    <m/>
    <n v="272"/>
    <m/>
    <s v="N156"/>
    <s v="NWK ACCESS TECH"/>
    <s v="ACCESS OTHER"/>
    <s v="OTHER AURORA"/>
    <s v="N156"/>
    <s v="AS-STANDARD ORDER MIXED"/>
    <s v="A-SURFACE"/>
    <s v="OP"/>
    <n v="1250721"/>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140"/>
    <s v="12.1"/>
    <x v="58"/>
    <n v="1963257"/>
    <d v="2016-08-24T16:05:50"/>
    <m/>
    <d v="2016-10-28T00:00:00"/>
    <d v="2016-08-24T00:00:00"/>
    <d v="2016-10-28T00:00:00"/>
    <m/>
    <n v="1"/>
    <m/>
    <n v="407"/>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1L3B01"/>
    <s v="SJ2_STAG"/>
    <s v="COMCAST CABLE"/>
    <s v="2601 SW 145th Ave"/>
    <s v="FL"/>
    <s v="Miramar"/>
    <s v="33027-4139"/>
    <s v="NTM3245-AS-4L"/>
    <s v="OTX NCDFB NTM3245-AS SEALD LSR"/>
    <s v="20107194"/>
    <s v="1.1"/>
    <x v="59"/>
    <n v="1960986"/>
    <d v="2016-08-24T18:03:21"/>
    <m/>
    <d v="2016-10-26T00:00:00"/>
    <d v="2016-09-16T00:00:00"/>
    <d v="2016-10-28T00:00:00"/>
    <m/>
    <n v="10"/>
    <m/>
    <n v="5270"/>
    <m/>
    <s v="N152"/>
    <s v="NWK ACCESS TECH"/>
    <s v="NODE"/>
    <s v="HL NODE MISC AURORA"/>
    <s v="N152"/>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9L3"/>
    <s v="SJ2_STAG"/>
    <s v="COMCAST CORPORATION"/>
    <s v="8700 Ritchie Dr Ste A"/>
    <s v="MD"/>
    <s v="Capitol Heights"/>
    <s v="20743-4920"/>
    <s v="OP35M4-CF1-1-99-3-AS"/>
    <s v="OPT MUX4 100GHZ D CF1 EXP -20T"/>
    <s v="20107333"/>
    <s v="13.3"/>
    <x v="60"/>
    <n v="1962893"/>
    <d v="2016-08-25T13:52:39"/>
    <m/>
    <d v="2016-10-27T00:00:00"/>
    <d v="2016-08-31T00:00:00"/>
    <d v="2016-10-28T00:00:00"/>
    <m/>
    <n v="6"/>
    <m/>
    <n v="5238"/>
    <m/>
    <s v="N160"/>
    <s v="NWK ACCESS TECH"/>
    <s v="OPTICAL PASSIVES"/>
    <s v="OUTDOOR PASSIVES AURORA"/>
    <s v="N160"/>
    <s v="AS-STANDARD ORDER MIXED"/>
    <s v="A-SURFACE"/>
    <s v="OP"/>
    <n v="1250912"/>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3P08L3"/>
    <s v="SJ2_STAG"/>
    <s v="COMCAST CORPORATION"/>
    <s v="8700 Ritchie Dr Ste A"/>
    <s v="MD"/>
    <s v="Capitol Heights"/>
    <s v="20743-4920"/>
    <s v="OP35M4-CF1-1-99-3-AS"/>
    <s v="OPT MUX4 100GHZ D CF1 EXP -20T"/>
    <s v="20107333"/>
    <s v="13.3"/>
    <x v="61"/>
    <n v="1962730"/>
    <d v="2016-08-25T13:52:39"/>
    <m/>
    <d v="2016-10-27T00:00:00"/>
    <d v="2016-08-31T00:00:00"/>
    <d v="2016-10-28T00:00:00"/>
    <m/>
    <n v="1"/>
    <m/>
    <n v="873"/>
    <m/>
    <s v="N160"/>
    <s v="NWK ACCESS TECH"/>
    <s v="OPTICAL PASSIVES"/>
    <s v="OUTDOOR PASSIVES AURORA"/>
    <s v="N160"/>
    <s v="AS-STANDARD ORDER MIXED"/>
    <s v="A-SURFACE"/>
    <s v="OP"/>
    <n v="1250809"/>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2P79L3"/>
    <s v="SJ2_STAG"/>
    <s v="COMCAST CORPORATION"/>
    <s v="8700 Ritchie Dr Ste A"/>
    <s v="MD"/>
    <s v="Capitol Heights"/>
    <s v="20743-4920"/>
    <s v="OP35M4-CF1-1-99-3-AS"/>
    <s v="OPT MUX4 100GHZ D CF1 EXP -20T"/>
    <s v="20107333"/>
    <s v="13.5"/>
    <x v="60"/>
    <n v="1962893"/>
    <d v="2016-08-25T13:52:39"/>
    <m/>
    <d v="2016-10-27T00:00:00"/>
    <d v="2016-08-31T00:00:00"/>
    <d v="2016-10-28T00:00:00"/>
    <m/>
    <n v="12"/>
    <m/>
    <n v="10476"/>
    <m/>
    <s v="N160"/>
    <s v="NWK ACCESS TECH"/>
    <s v="OPTICAL PASSIVES"/>
    <s v="OUTDOOR PASSIVES AURORA"/>
    <s v="N160"/>
    <s v="AS-STANDARD ORDER MIXED"/>
    <s v="A-SURFACE"/>
    <s v="OP"/>
    <n v="1250912"/>
    <s v="A-SURFACE"/>
    <m/>
    <m/>
    <m/>
    <s v="A-SURFACE"/>
    <s v="LTL"/>
    <s v="EXW"/>
    <s v="Collect"/>
    <m/>
    <m/>
    <s v="UNDER 200LBS UNPALLETIZED OR SINGLE BOX UNDER 150LBS USE FEDEX #128153870 OVER 200LBS USE OMNI LOGISTICS ACCT COMCASTLSS-COMCASTLSS@OMNILOGISTICS.COM 866-247-6664"/>
    <m/>
    <m/>
    <m/>
    <m/>
    <s v="0"/>
    <s v="0"/>
  </r>
  <r>
    <s v="SJ2"/>
    <s v="5000445"/>
    <s v="COMCAST"/>
    <s v="CAPITOL HEIGHTS - EBSON"/>
    <s v="R024P20L2B01"/>
    <s v="SJ2_STAG"/>
    <s v="COMCAST CORPORATION"/>
    <s v="8700 Ritchie Dr Ste A"/>
    <s v="MD"/>
    <s v="Capitol Heights"/>
    <s v="20743-4920"/>
    <s v="OP91S2Q-EQ-R2-MP"/>
    <s v="SPLITTER QUAD 1X2 F-CASE MPO 4"/>
    <s v="20107333"/>
    <s v="18.1"/>
    <x v="62"/>
    <n v="1963241"/>
    <d v="2016-08-25T13:52:39"/>
    <m/>
    <d v="2016-10-28T00:00:00"/>
    <d v="2016-08-31T00:00:00"/>
    <d v="2016-10-28T00:00:00"/>
    <m/>
    <n v="15"/>
    <m/>
    <n v="6105"/>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4P20L2B01"/>
    <s v="SJ2_STAG"/>
    <s v="COMCAST"/>
    <s v="3707 Buckeye St"/>
    <s v="FL"/>
    <s v="Palm Beach Gardens"/>
    <s v="33410-4230"/>
    <s v="OP91S2Q-EQ-R2-MP"/>
    <s v="SPLITTER QUAD 1X2 F-CASE MPO 4"/>
    <s v="20107356"/>
    <s v="31.1"/>
    <x v="63"/>
    <n v="1962868"/>
    <d v="2016-08-25T15:05:03"/>
    <m/>
    <d v="2016-10-27T00:00:00"/>
    <d v="2016-09-07T00:00:00"/>
    <d v="2016-10-28T00:00:00"/>
    <m/>
    <n v="1"/>
    <m/>
    <n v="407"/>
    <m/>
    <s v="N156"/>
    <s v="NWK ACCESS TECH"/>
    <s v="ACCESS OTHER"/>
    <s v="OTHER AURORA"/>
    <s v="N156"/>
    <s v="AS-STANDARD ORDER MIXED"/>
    <s v="A-SURFACE"/>
    <s v="OP"/>
    <n v="1250890"/>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4P20L2B01"/>
    <s v="SJ2_STAG"/>
    <s v="COMCAST CABLE"/>
    <s v="5934 Richard St"/>
    <s v="FL"/>
    <s v="Jacksonville"/>
    <s v="32216-5951"/>
    <s v="OP91S2Q-EQ-R2-MP"/>
    <s v="SPLITTER QUAD 1X2 F-CASE MPO 4"/>
    <s v="20107388"/>
    <s v="18.1"/>
    <x v="64"/>
    <n v="1962862"/>
    <d v="2016-08-25T16:13:18"/>
    <m/>
    <d v="2016-10-27T00:00:00"/>
    <d v="2016-08-25T00:00:00"/>
    <d v="2016-10-28T00:00:00"/>
    <m/>
    <n v="1"/>
    <m/>
    <n v="407"/>
    <m/>
    <s v="N156"/>
    <s v="NWK ACCESS TECH"/>
    <s v="ACCESS OTHER"/>
    <s v="OTHER AURORA"/>
    <s v="N156"/>
    <s v="AS-STANDARD ORDER MIXED"/>
    <s v="A-SURFACE"/>
    <s v="OP"/>
    <n v="12508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20L2B01"/>
    <s v="SJ2_STAG"/>
    <s v="COMCAST CABLE"/>
    <s v="5330 E 65th St"/>
    <s v="IN"/>
    <s v="Indianapolis"/>
    <s v="46220-4821"/>
    <s v="OP91S2Q-EQ-R2-MP"/>
    <s v="SPLITTER QUAD 1X2 F-CASE MPO 4"/>
    <s v="20107522"/>
    <s v="1.1"/>
    <x v="65"/>
    <n v="1963252"/>
    <d v="2016-08-26T11:48:51"/>
    <m/>
    <d v="2016-10-28T00:00:00"/>
    <d v="2016-09-01T00:00:00"/>
    <d v="2016-10-28T00:00:00"/>
    <m/>
    <n v="8"/>
    <m/>
    <n v="3256"/>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73L5"/>
    <s v="SJ2_STAG"/>
    <s v="COMCAST CABLE"/>
    <s v="5330 E 65th St"/>
    <s v="IN"/>
    <s v="Indianapolis"/>
    <s v="46220-4821"/>
    <s v="OP91S2Q-EQ-R2-MP"/>
    <s v="SPLITTER QUAD 1X2 F-CASE MPO 4"/>
    <s v="20107522"/>
    <s v="1.1"/>
    <x v="65"/>
    <n v="1963252"/>
    <d v="2016-08-26T11:48:51"/>
    <m/>
    <d v="2016-10-28T00:00:00"/>
    <d v="2016-09-01T00:00:00"/>
    <d v="2016-10-28T00:00:00"/>
    <m/>
    <n v="14"/>
    <m/>
    <n v="5698"/>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7556"/>
    <s v="18.1"/>
    <x v="66"/>
    <n v="1963257"/>
    <d v="2016-08-26T13:14:20"/>
    <m/>
    <d v="2016-10-28T00:00:00"/>
    <d v="2016-08-26T00:00:00"/>
    <d v="2016-10-28T00:00:00"/>
    <m/>
    <n v="2"/>
    <m/>
    <n v="814"/>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2P15L2"/>
    <s v="SJ2_STAG"/>
    <s v="COMCAST CABLE COMMUNICATIONS"/>
    <s v="3500 Patterson Ave SE"/>
    <s v="MI"/>
    <s v="Grand Rapids"/>
    <s v="49512-5699"/>
    <s v="OP35F1S-52-0-00-AS"/>
    <s v="DWDM FILTER SINGLE ITU CH 52 S"/>
    <s v="20107565"/>
    <s v="2.1"/>
    <x v="67"/>
    <n v="1962572"/>
    <d v="2016-08-26T13:35:00"/>
    <m/>
    <d v="2016-10-27T00:00:00"/>
    <d v="2016-09-08T00:00:00"/>
    <d v="2016-10-27T00:00:00"/>
    <m/>
    <n v="1"/>
    <n v="1"/>
    <n v="213"/>
    <n v="213"/>
    <s v="N156"/>
    <s v="NWK ACCESS TECH"/>
    <s v="ACCESS OTHER"/>
    <s v="OTHER AURORA"/>
    <s v="N156"/>
    <s v="AS-STANDARD ORDER MIXED"/>
    <s v="A-SURFACE"/>
    <s v="OP"/>
    <n v="1250721"/>
    <s v="A-SURFACE"/>
    <m/>
    <m/>
    <m/>
    <s v="A-SURFACE"/>
    <s v="LTL"/>
    <s v="EXW"/>
    <s v="Collect"/>
    <m/>
    <m/>
    <s v="UNDER 200LBS UNPALLETIZED OR SINGLE BOX UNDER 150LBS USE FEDEX #128153870 OVER 200LBS USE OMNI LOGISTICS ACCT COMCASTLSS-COMCASTLSS@OMNILOGISTICS.COM 866-247-6664"/>
    <m/>
    <m/>
    <m/>
    <m/>
    <s v="0"/>
    <s v="0"/>
  </r>
  <r>
    <s v="SJ2"/>
    <s v="5000445"/>
    <s v="COMCAST"/>
    <s v="PANAMA CITY10554"/>
    <s v="R022P73L5"/>
    <s v="SJ2_STAG"/>
    <s v="COMCAST CABLE COMM MGMT, LLC"/>
    <s v="4001 W 23rd St"/>
    <s v="FL"/>
    <s v="Panama City"/>
    <s v="32405-0300"/>
    <s v="OP91S2Q-EQ-R2-MP"/>
    <s v="SPLITTER QUAD 1X2 F-CASE MPO 4"/>
    <s v="20107569"/>
    <s v="23.1"/>
    <x v="68"/>
    <n v="1963260"/>
    <d v="2016-08-26T13:45:45"/>
    <m/>
    <d v="2016-10-28T00:00:00"/>
    <d v="2016-08-26T00:00:00"/>
    <d v="2016-10-28T00:00:00"/>
    <m/>
    <n v="1"/>
    <m/>
    <n v="407"/>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MYERS)"/>
    <s v="R022P73L5"/>
    <s v="SJ2_STAG"/>
    <s v="COMCAST CABLE"/>
    <s v="2601 SW 145th Ave"/>
    <s v="FL"/>
    <s v="Miramar"/>
    <s v="33027-4139"/>
    <s v="OP91S2Q-EQ-R2-MP"/>
    <s v="SPLITTER QUAD 1X2 F-CASE MPO 4"/>
    <s v="20108183"/>
    <s v="33.1"/>
    <x v="69"/>
    <n v="1963229"/>
    <d v="2016-08-30T12:11:26"/>
    <m/>
    <d v="2016-10-28T00:00:00"/>
    <d v="2016-08-30T00:00:00"/>
    <d v="2016-10-28T00:00:00"/>
    <m/>
    <n v="1"/>
    <n v="1"/>
    <n v="407"/>
    <n v="407"/>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23L1"/>
    <s v="SJ2_STAG"/>
    <s v="COMCAST CABLE COMMUNICATIONS"/>
    <s v="7900 NE Killingsworth St"/>
    <s v="OR"/>
    <s v="Portland"/>
    <s v="97218-4028"/>
    <s v="HT3541H-D-A570-2-AS"/>
    <s v="XMTR DD 1.2GHZ FULL SPECTRUM 3"/>
    <s v="20108276"/>
    <s v="48.1"/>
    <x v="70"/>
    <n v="1960656"/>
    <d v="2016-08-30T15:36:19"/>
    <m/>
    <d v="2016-10-25T00:00:00"/>
    <d v="2016-09-02T00:00:00"/>
    <d v="2016-10-27T00:00:00"/>
    <m/>
    <n v="3"/>
    <n v="3"/>
    <n v="4191"/>
    <n v="4191"/>
    <s v="HE64"/>
    <s v="NWK ACCESS TECH"/>
    <s v="HEO"/>
    <s v="TRANSMITTER"/>
    <s v="HT"/>
    <s v="AS-STANDARD ORDER MIXED"/>
    <s v="A-SURFACE"/>
    <s v="OP"/>
    <n v="124956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10L1"/>
    <s v="SJ2_STAG"/>
    <s v="COMCAST CABLE COMMUNICATIONS"/>
    <s v="7900 NE Killingsworth St"/>
    <s v="OR"/>
    <s v="Portland"/>
    <s v="97218-4028"/>
    <s v="OP35F1D-CF-1-0-00-AS"/>
    <s v="FILTER RED/BL DUAL ITU 18-35 &amp;"/>
    <s v="20108276"/>
    <s v="64.2"/>
    <x v="71"/>
    <n v="1963194"/>
    <d v="2016-08-30T15:36:19"/>
    <m/>
    <d v="2016-10-28T00:00:00"/>
    <d v="2016-09-02T00:00:00"/>
    <d v="2016-10-28T00:00:00"/>
    <m/>
    <n v="4"/>
    <m/>
    <n v="221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4P04L1B01"/>
    <s v="SJ2_STAG"/>
    <s v="COMCAST CABLE COMMUNICATIONS"/>
    <s v="7900 NE Killingsworth St"/>
    <s v="OR"/>
    <s v="Portland"/>
    <s v="97218-4028"/>
    <s v="OP35F1D-CF-1-0-00-AS"/>
    <s v="FILTER RED/BL DUAL ITU 18-35 &amp;"/>
    <s v="20108276"/>
    <s v="64.2"/>
    <x v="71"/>
    <n v="1963194"/>
    <d v="2016-08-30T15:36:19"/>
    <m/>
    <d v="2016-10-28T00:00:00"/>
    <d v="2016-09-02T00:00:00"/>
    <d v="2016-10-28T00:00:00"/>
    <m/>
    <n v="23"/>
    <m/>
    <n v="12719"/>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SUMNER - SEFNCO"/>
    <s v="R022P33L5"/>
    <s v="SJ2_STAG"/>
    <s v="COMCAST CABLE C/O SEFNCO"/>
    <s v="4610 Tacoma Ave"/>
    <s v="WA"/>
    <s v="Sumner"/>
    <s v="98390-2200"/>
    <s v="OP95F1S-40-R2-AS"/>
    <s v="FILTER DWDM S-CASE 2MM SC/APC"/>
    <s v="20108464"/>
    <s v="2.2"/>
    <x v="72"/>
    <n v="1963206"/>
    <d v="2016-08-31T10:03:43"/>
    <m/>
    <d v="2016-10-28T00:00:00"/>
    <d v="2016-09-09T00:00:00"/>
    <d v="2016-10-28T00:00:00"/>
    <m/>
    <n v="1"/>
    <n v="1"/>
    <n v="151"/>
    <n v="151"/>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23P13L2"/>
    <s v="SJ2_STAG"/>
    <s v="COMCAST CABLE"/>
    <s v="8130 CR44 LEG A"/>
    <s v="FL"/>
    <s v="LEESBURG"/>
    <s v="34788"/>
    <s v="OP35F1S-21-0-00-AS"/>
    <s v="DWDM FILTER SINGLE ITU CH 21 S"/>
    <s v="20108762"/>
    <s v="7.2"/>
    <x v="73"/>
    <n v="1963195"/>
    <d v="2016-09-01T13:35:49"/>
    <m/>
    <d v="2016-10-28T00:00:00"/>
    <d v="2016-09-01T00:00:00"/>
    <d v="2016-10-28T00:00:00"/>
    <m/>
    <n v="2"/>
    <m/>
    <n v="426"/>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LEESBURG - MISC"/>
    <s v="R023P06L2"/>
    <s v="SJ2_STAG"/>
    <s v="COMCAST CABLE"/>
    <s v="8130 CR44 LEG A"/>
    <s v="FL"/>
    <s v="LEESBURG"/>
    <s v="34788"/>
    <s v="OP35D4J-1-99-AS"/>
    <s v="OPT DEMUX 100GHZ CH 20-23 EXP"/>
    <s v="20108762"/>
    <s v="9.1"/>
    <x v="74"/>
    <n v="1961523"/>
    <d v="2016-09-01T13:35:49"/>
    <m/>
    <d v="2016-10-26T00:00:00"/>
    <d v="2016-09-01T00:00:00"/>
    <d v="2016-10-28T00:00:00"/>
    <m/>
    <n v="5"/>
    <m/>
    <n v="2910"/>
    <m/>
    <s v="N165"/>
    <s v="NWK ACCESS TECH"/>
    <s v="OPTICAL PASSIVES"/>
    <s v="INDOOR PASSIVES AURORA"/>
    <s v="N165"/>
    <s v="AS-STANDARD ORDER MIXED"/>
    <s v="A-SURFACE"/>
    <s v="OP"/>
    <n v="1250124"/>
    <s v="A-SURFACE"/>
    <m/>
    <m/>
    <m/>
    <s v="A-SURFACE"/>
    <s v="LTL"/>
    <s v="EXW"/>
    <s v="Collect"/>
    <m/>
    <m/>
    <s v="UNDER 200LBS UNPALLETIZED OR SINGLE BOX UNDER 150LBS USE FEDEX #128153870 OVER 200LBS USE OMNI LOGISTICS ACCT COMCASTLSS-COMCASTLSS@OMNILOGISTICS.COM 866-247-6664"/>
    <m/>
    <m/>
    <m/>
    <m/>
    <s v="0"/>
    <s v="0"/>
  </r>
  <r>
    <s v="SJ2"/>
    <s v="5000445"/>
    <s v="COMCAST"/>
    <s v="JACKSONVILLE (MISC)"/>
    <s v="R022P73L5"/>
    <s v="SJ2_STAG"/>
    <s v="COMCAST CABLE"/>
    <s v="5934 Richard St"/>
    <s v="FL"/>
    <s v="Jacksonville"/>
    <s v="32216-5951"/>
    <s v="OP91S2Q-EQ-R2-MP"/>
    <s v="SPLITTER QUAD 1X2 F-CASE MPO 4"/>
    <s v="20108780"/>
    <s v="12.1"/>
    <x v="75"/>
    <n v="1963257"/>
    <d v="2016-09-01T14:43:40"/>
    <m/>
    <d v="2016-10-28T00:00:00"/>
    <d v="2016-09-01T00:00:00"/>
    <d v="2016-10-28T00:00:00"/>
    <m/>
    <n v="1"/>
    <n v="1"/>
    <n v="407"/>
    <n v="407"/>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6L2"/>
    <s v="SJ2_STAG"/>
    <s v="COMCAST CABLE C/O XPO LOGISTICS"/>
    <s v="2179 S COMMERCE CENTER DR"/>
    <s v="UT"/>
    <s v="West Valley City"/>
    <s v="84120-6426"/>
    <s v="OP35D4J-1-99-AS"/>
    <s v="OPT DEMUX 100GHZ CH 20-23 EXP"/>
    <s v="20108821"/>
    <s v="7.1"/>
    <x v="76"/>
    <n v="1961524"/>
    <d v="2016-09-01T16:16:34"/>
    <m/>
    <d v="2016-10-26T00:00:00"/>
    <d v="2016-09-29T00:00:00"/>
    <d v="2016-10-28T00:00:00"/>
    <m/>
    <n v="7"/>
    <m/>
    <n v="4074"/>
    <m/>
    <s v="N165"/>
    <s v="NWK ACCESS TECH"/>
    <s v="OPTICAL PASSIVES"/>
    <s v="INDOOR PASSIVES AURORA"/>
    <s v="N165"/>
    <s v="AS-STANDARD ORDER MIXED"/>
    <s v="A-SURFACE"/>
    <s v="OP"/>
    <n v="1250124"/>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13L2"/>
    <s v="SJ2_STAG"/>
    <s v="COMCAST CABLE COMMUNICATIONS"/>
    <s v="3500 Patterson Ave SE"/>
    <s v="MI"/>
    <s v="Grand Rapids"/>
    <s v="49512-5699"/>
    <s v="OP35F1S-21-0-00-AS"/>
    <s v="DWDM FILTER SINGLE ITU CH 21 S"/>
    <s v="20110638"/>
    <s v="4.1"/>
    <x v="77"/>
    <n v="1963226"/>
    <d v="2016-09-12T15:33:51"/>
    <m/>
    <d v="2016-10-28T00:00:00"/>
    <d v="2016-09-22T00:00:00"/>
    <d v="2016-10-28T00:00:00"/>
    <m/>
    <n v="1"/>
    <n v="1"/>
    <n v="213"/>
    <n v="213"/>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2P15L2"/>
    <s v="SJ2_STAG"/>
    <s v="COMCAST CABLE COMMUNICATIONS"/>
    <s v="3500 Patterson Ave SE"/>
    <s v="MI"/>
    <s v="Grand Rapids"/>
    <s v="49512-5699"/>
    <s v="OP35F1S-52-0-00-AS"/>
    <s v="DWDM FILTER SINGLE ITU CH 52 S"/>
    <s v="20110638"/>
    <s v="8.1"/>
    <x v="77"/>
    <n v="1963226"/>
    <d v="2016-09-12T15:33:51"/>
    <m/>
    <d v="2016-10-28T00:00:00"/>
    <d v="2016-09-22T00:00:00"/>
    <d v="2016-10-28T00:00:00"/>
    <m/>
    <n v="1"/>
    <n v="1"/>
    <n v="213"/>
    <n v="213"/>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SAN JOSE (BRISSEY)"/>
    <s v="R024P02L1B01"/>
    <s v="SJ2_STAG"/>
    <s v="COMCAST CABLE COMMUNICATIONS"/>
    <s v="1900 S 10th St"/>
    <s v="CA"/>
    <s v="San Jose"/>
    <s v="95112-4110"/>
    <s v="BD35M4-AC3-H02F-1-AS"/>
    <s v="OPT MUX BD 100GHZ A1 ITU CH 23"/>
    <s v="20110763"/>
    <s v="13.1"/>
    <x v="78"/>
    <n v="1960982"/>
    <d v="2016-09-13T08:41:32"/>
    <m/>
    <d v="2016-10-26T00:00:00"/>
    <d v="2016-09-19T00:00:00"/>
    <d v="2016-10-28T00:00:00"/>
    <m/>
    <n v="1"/>
    <m/>
    <n v="1617"/>
    <m/>
    <s v="N258"/>
    <s v="NWK ACCESS TECH"/>
    <s v="HEO"/>
    <s v="TRANSMITTERS AURORA"/>
    <s v="HDTX"/>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MYERS)"/>
    <s v="R022P39L2"/>
    <s v="SJ2_STAG"/>
    <s v="COMCAST CABLE"/>
    <s v="2601 SW 145th Ave"/>
    <s v="FL"/>
    <s v="Miramar"/>
    <s v="33027-4139"/>
    <s v="OA-01.0-02-AS"/>
    <s v="ATTENUATOR PRCN OPT SC/APC-SC/"/>
    <s v="20110780"/>
    <s v="31.1"/>
    <x v="79"/>
    <n v="1963229"/>
    <d v="2016-09-13T09:36:31"/>
    <m/>
    <d v="2016-10-28T00:00:00"/>
    <d v="2016-09-23T00:00:00"/>
    <d v="2016-10-28T00:00:00"/>
    <m/>
    <n v="1"/>
    <n v="1"/>
    <n v="48"/>
    <n v="48"/>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AMI"/>
    <s v="R024P21L3B01"/>
    <s v="SJ2_STAG"/>
    <s v="COMCAST CABLE COMMUNICATIONS"/>
    <s v="9825 SW 72nd St"/>
    <s v="FL"/>
    <s v="Miami"/>
    <s v="33173-4617"/>
    <s v="NTM3245-AS-4L"/>
    <s v="OTX NCDFB NTM3245-AS SEALD LSR"/>
    <s v="20110901"/>
    <s v="1.1"/>
    <x v="80"/>
    <n v="1960989"/>
    <d v="2016-09-13T15:18:05"/>
    <m/>
    <d v="2016-10-26T00:00:00"/>
    <d v="2016-09-21T00:00:00"/>
    <d v="2016-10-28T00:00:00"/>
    <m/>
    <n v="8"/>
    <m/>
    <n v="4216"/>
    <m/>
    <s v="N152"/>
    <s v="NWK ACCESS TECH"/>
    <s v="NODE"/>
    <s v="HL NODE MISC AURORA"/>
    <s v="N152"/>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39L2"/>
    <s v="SJ2_STAG"/>
    <s v="COMCAST"/>
    <s v="3707 Buckeye St"/>
    <s v="FL"/>
    <s v="Palm Beach Gardens"/>
    <s v="33410-4230"/>
    <s v="OA-01.0-02-AS"/>
    <s v="ATTENUATOR PRCN OPT SC/APC-SC/"/>
    <s v="20111124"/>
    <s v="20.1"/>
    <x v="81"/>
    <n v="1963231"/>
    <d v="2016-09-14T15:08:19"/>
    <m/>
    <d v="2016-10-28T00:00:00"/>
    <d v="2016-09-14T00:00:00"/>
    <d v="2016-10-28T00:00:00"/>
    <m/>
    <n v="1"/>
    <n v="1"/>
    <n v="48"/>
    <n v="48"/>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07L2"/>
    <s v="SJ2_STAG"/>
    <s v="COMCAST CABLE"/>
    <s v="3050 Echo Lake Ave"/>
    <s v="MN"/>
    <s v="Mahtomedi"/>
    <s v="55115-1910"/>
    <s v="OP95F1S-35-R2-AS"/>
    <s v="FILTER DWDM S-CASE 2MM SC/APC"/>
    <s v="20111522"/>
    <s v="10.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3P08L2"/>
    <s v="SJ2_STAG"/>
    <s v="COMCAST CABLE"/>
    <s v="3050 Echo Lake Ave"/>
    <s v="MN"/>
    <s v="Mahtomedi"/>
    <s v="55115-1910"/>
    <s v="OP95F1S-42-R2-AS"/>
    <s v="FILTER DWDM S-CASE 2MM SC/APC"/>
    <s v="20111522"/>
    <s v="11.1"/>
    <x v="83"/>
    <n v="1945905"/>
    <d v="2016-09-16T12:51:13"/>
    <m/>
    <d v="2016-10-08T00:00:00"/>
    <d v="2016-09-19T00:00:00"/>
    <d v="2016-10-10T00:00:00"/>
    <m/>
    <n v="1"/>
    <m/>
    <n v="151"/>
    <m/>
    <s v="N156"/>
    <s v="NWK ACCESS TECH"/>
    <s v="ACCESS OTHER"/>
    <s v="OTHER AURORA"/>
    <s v="N156"/>
    <s v="AS-STANDARD ORDER MIXED"/>
    <s v="A-SURFACE"/>
    <s v="OP"/>
    <n v="1239007"/>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15L2"/>
    <s v="SJ2_STAG"/>
    <s v="COMCAST CABLE"/>
    <s v="3050 Echo Lake Ave"/>
    <s v="MN"/>
    <s v="Mahtomedi"/>
    <s v="55115-1910"/>
    <s v="OP95F1S-51-R2-AS"/>
    <s v="FILTER DWDM S-CASE 2MM SC/APC"/>
    <s v="20111522"/>
    <s v="14.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15L2"/>
    <s v="SJ2_STAG"/>
    <s v="COMCAST CABLE"/>
    <s v="3050 Echo Lake Ave"/>
    <s v="MN"/>
    <s v="Mahtomedi"/>
    <s v="55115-1910"/>
    <s v="OP95F1S-57-R2-AS"/>
    <s v="FILTER DWDM S-CASE 2MM SC/APC"/>
    <s v="20111522"/>
    <s v="15.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05L4"/>
    <s v="SJ2_STAG"/>
    <s v="COMCAST CABLE"/>
    <s v="3050 Echo Lake Ave"/>
    <s v="MN"/>
    <s v="Mahtomedi"/>
    <s v="55115-1910"/>
    <s v="OP95F1S-24-R2-AS"/>
    <s v="FILTER DWDM S-CASE 2MM SC/APC"/>
    <s v="20111522"/>
    <s v="7.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09L3"/>
    <s v="SJ2_STAG"/>
    <s v="COMCAST CABLE"/>
    <s v="3050 Echo Lake Ave"/>
    <s v="MN"/>
    <s v="Mahtomedi"/>
    <s v="55115-1910"/>
    <s v="OP95F1S-29-R2-AS"/>
    <s v="FILTER DWDM S-CASE 2MM SC/APC"/>
    <s v="20111522"/>
    <s v="8.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AHTOMEDI (SCHRANKLER)"/>
    <s v="R022P55L4"/>
    <s v="SJ2_STAG"/>
    <s v="COMCAST CABLE"/>
    <s v="3050 Echo Lake Ave"/>
    <s v="MN"/>
    <s v="Mahtomedi"/>
    <s v="55115-1910"/>
    <s v="OP95F1S-33-R2-AS"/>
    <s v="FILTER DWDM S-CASE 2MM SC/APC"/>
    <s v="20111522"/>
    <s v="9.1"/>
    <x v="82"/>
    <n v="1963193"/>
    <d v="2016-09-16T12:51:13"/>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09L3"/>
    <s v="SJ2_STAG"/>
    <s v="COMCAST CABLE"/>
    <s v="5330 E 65th St"/>
    <s v="IN"/>
    <s v="Indianapolis"/>
    <s v="46220-4821"/>
    <s v="OP95F1S-24-R2-AS"/>
    <s v="FILTER DWDM S-CASE 2MM SC/APC"/>
    <s v="20111736"/>
    <s v="28.1"/>
    <x v="84"/>
    <n v="1963204"/>
    <d v="2016-09-19T11:01:04"/>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1280"/>
    <s v="R022P09L3"/>
    <s v="SJ2_STAG"/>
    <s v="COMCAST CABLE"/>
    <s v="5330 E 65th St"/>
    <s v="IN"/>
    <s v="Indianapolis"/>
    <s v="46220-4821"/>
    <s v="OP95F1S-24-R2-AS"/>
    <s v="FILTER DWDM S-CASE 2MM SC/APC"/>
    <s v="20111755"/>
    <s v="28.1"/>
    <x v="85"/>
    <n v="1963238"/>
    <d v="2016-09-19T12:09:24"/>
    <m/>
    <d v="2016-10-28T00:00:00"/>
    <d v="2016-09-19T00:00:00"/>
    <d v="2016-10-28T00:00:00"/>
    <m/>
    <n v="1"/>
    <n v="1"/>
    <n v="151"/>
    <n v="151"/>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3L2"/>
    <s v="SJ2_STAG"/>
    <s v="COMCAST CABLE C/O XPO LOGISTICS"/>
    <s v="2179 S COMMERCE CENTER DR"/>
    <s v="UT"/>
    <s v="West Valley City"/>
    <s v="84120-6426"/>
    <s v="OP35F1S-27-0-00-AS"/>
    <s v="DWDM FILTER SINGLE ITU CH 27 S"/>
    <s v="20111778"/>
    <s v="3.1"/>
    <x v="86"/>
    <n v="1963197"/>
    <d v="2016-09-19T14:02:55"/>
    <m/>
    <d v="2016-10-28T00:00:00"/>
    <d v="2016-10-14T00:00:00"/>
    <d v="2016-10-28T00:00:00"/>
    <m/>
    <n v="4"/>
    <m/>
    <n v="85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01L4"/>
    <s v="SJ2_STAG"/>
    <s v="COMCAST CABLE"/>
    <s v="5330 E 65th St"/>
    <s v="IN"/>
    <s v="Indianapolis"/>
    <s v="46220-4821"/>
    <s v="OP95F1S-20-R2-AS"/>
    <s v="FILTER DWDM S-CASE 2MM SC/APC"/>
    <s v="20111812"/>
    <s v="24.1"/>
    <x v="87"/>
    <n v="1963204"/>
    <d v="2016-09-19T15:15:05"/>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09L3"/>
    <s v="SJ2_STAG"/>
    <s v="COMCAST CABLE"/>
    <s v="5330 E 65th St"/>
    <s v="IN"/>
    <s v="Indianapolis"/>
    <s v="46220-4821"/>
    <s v="OP95F1S-24-R2-AS"/>
    <s v="FILTER DWDM S-CASE 2MM SC/APC"/>
    <s v="20111812"/>
    <s v="28.1"/>
    <x v="87"/>
    <n v="1963204"/>
    <d v="2016-09-19T15:15:05"/>
    <m/>
    <d v="2016-10-28T00:00:00"/>
    <d v="2016-09-19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09L3"/>
    <s v="SJ2_STAG"/>
    <s v="COMCAST CABLE"/>
    <s v="5330 E 65th St"/>
    <s v="IN"/>
    <s v="Indianapolis"/>
    <s v="46220-4821"/>
    <s v="OP95F1S-24-R2-AS"/>
    <s v="FILTER DWDM S-CASE 2MM SC/APC"/>
    <s v="20111827"/>
    <s v="29.1"/>
    <x v="88"/>
    <n v="1963204"/>
    <d v="2016-09-19T15:30:22"/>
    <m/>
    <d v="2016-10-28T00:00:00"/>
    <d v="2016-09-19T00:00:00"/>
    <d v="2016-10-28T00:00:00"/>
    <m/>
    <n v="1"/>
    <n v="1"/>
    <n v="151"/>
    <n v="151"/>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MAYKOWSKI"/>
    <s v="R022P07L2"/>
    <s v="SJ2_STAG"/>
    <s v="COMCAST CABLE"/>
    <s v="5330 E 65th St"/>
    <s v="IN"/>
    <s v="Indianapolis"/>
    <s v="46220-4821"/>
    <s v="OP95F1S-29-R2-AS"/>
    <s v="FILTER DWDM S-CASE 2MM SC/APC"/>
    <s v="20111827"/>
    <s v="31.1"/>
    <x v="88"/>
    <n v="1963204"/>
    <d v="2016-09-19T15:30:22"/>
    <m/>
    <d v="2016-10-28T00:00:00"/>
    <d v="2016-09-19T00:00:00"/>
    <d v="2016-10-28T00:00:00"/>
    <m/>
    <n v="1"/>
    <n v="1"/>
    <n v="151"/>
    <n v="151"/>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 MAUER"/>
    <s v="R022P01L4"/>
    <s v="SJ2_STAG"/>
    <s v="COMCAST CABLE COMMUNICATIONS"/>
    <s v="1530 Chartiers Ave"/>
    <s v="PA"/>
    <s v="Pittsburgh"/>
    <s v="15204-2520"/>
    <s v="BP-A5"/>
    <s v="BACKPLATE RF INP RF OUT MP OPT"/>
    <s v="20111841"/>
    <s v="9.1"/>
    <x v="89"/>
    <n v="1963635"/>
    <d v="2016-09-19T15:58:08"/>
    <m/>
    <d v="2016-10-28T00:00:00"/>
    <d v="2016-09-19T00:00:00"/>
    <d v="2016-11-01T00:00:00"/>
    <m/>
    <n v="1"/>
    <m/>
    <n v="69"/>
    <m/>
    <s v="N224"/>
    <s v="NWK ACCESS TECH"/>
    <s v="ACCESS OTHER"/>
    <s v="OTHER AURORA"/>
    <s v="N224"/>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4P22L2B01"/>
    <s v="SJ2_STAG"/>
    <s v="COMCAST CABLE"/>
    <s v="5330 E 65th St"/>
    <s v="IN"/>
    <s v="Indianapolis"/>
    <s v="46220-4821"/>
    <s v="TR4580-54-PI"/>
    <s v="XCVR PLUGGABLE DWDM ITU CH 54"/>
    <s v="20112069"/>
    <s v="15.1"/>
    <x v="90"/>
    <n v="1963200"/>
    <d v="2016-09-20T10:36:21"/>
    <m/>
    <d v="2016-10-28T00:00:00"/>
    <d v="2016-09-20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7L2"/>
    <s v="SJ2_STAG"/>
    <s v="COMCAST CABLE"/>
    <s v="5330 E 65th St"/>
    <s v="IN"/>
    <s v="Indianapolis"/>
    <s v="46220-4821"/>
    <s v="OP95F1S-23-R2-AS"/>
    <s v="FILTER DWDM S-CASE 2MM SC/APC"/>
    <s v="20112112"/>
    <s v="13.1"/>
    <x v="91"/>
    <n v="1962593"/>
    <d v="2016-09-20T11:47:24"/>
    <m/>
    <d v="2016-10-27T00:00:00"/>
    <d v="2016-09-20T00:00:00"/>
    <d v="2016-10-28T00:00:00"/>
    <m/>
    <n v="1"/>
    <m/>
    <n v="151"/>
    <m/>
    <s v="N156"/>
    <s v="NWK ACCESS TECH"/>
    <s v="ACCESS OTHER"/>
    <s v="OTHER AURORA"/>
    <s v="N156"/>
    <s v="AS-STANDARD ORDER MIXED"/>
    <s v="A-SURFACE"/>
    <s v="OP"/>
    <n v="1250721"/>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11L4"/>
    <s v="SJ2_STAG"/>
    <s v="COMCAST CABLE"/>
    <s v="5330 E 65th St"/>
    <s v="IN"/>
    <s v="Indianapolis"/>
    <s v="46220-4821"/>
    <s v="OP95F1S-24-R2-AS"/>
    <s v="FILTER DWDM S-CASE 2MM SC/APC"/>
    <s v="20112112"/>
    <s v="15.1"/>
    <x v="92"/>
    <n v="1963252"/>
    <d v="2016-09-20T11:47:24"/>
    <m/>
    <d v="2016-10-28T00:00:00"/>
    <d v="2016-09-20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7L2"/>
    <s v="SJ2_STAG"/>
    <s v="COMCAST CABLE"/>
    <s v="5330 E 65th St"/>
    <s v="IN"/>
    <s v="Indianapolis"/>
    <s v="46220-4821"/>
    <s v="OP95F1S-24-R2-AS"/>
    <s v="FILTER DWDM S-CASE 2MM SC/APC"/>
    <s v="20112112"/>
    <s v="15.1"/>
    <x v="92"/>
    <n v="1963252"/>
    <d v="2016-09-20T11:47:24"/>
    <m/>
    <d v="2016-10-28T00:00:00"/>
    <d v="2016-09-20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07L2"/>
    <s v="SJ2_STAG"/>
    <s v="COMCAST CABLE"/>
    <s v="5330 E 65th St"/>
    <s v="IN"/>
    <s v="Indianapolis"/>
    <s v="46220-4821"/>
    <s v="OP95F1S-29-R2-AS"/>
    <s v="FILTER DWDM S-CASE 2MM SC/APC"/>
    <s v="20112112"/>
    <s v="17.1"/>
    <x v="92"/>
    <n v="1963200"/>
    <d v="2016-09-20T11:47:24"/>
    <m/>
    <d v="2016-10-28T00:00:00"/>
    <d v="2016-09-20T00:00:00"/>
    <d v="2016-10-28T00:00:00"/>
    <m/>
    <n v="2"/>
    <m/>
    <n v="30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55L4"/>
    <s v="SJ2_STAG"/>
    <s v="COMCAST CABLE"/>
    <s v="5330 E 65th St"/>
    <s v="IN"/>
    <s v="Indianapolis"/>
    <s v="46220-4821"/>
    <s v="OP95F1S-33-R2-AS"/>
    <s v="FILTER DWDM S-CASE 2MM SC/APC"/>
    <s v="20112112"/>
    <s v="19.1"/>
    <x v="92"/>
    <n v="1963200"/>
    <d v="2016-09-20T11:47:24"/>
    <m/>
    <d v="2016-10-28T00:00:00"/>
    <d v="2016-09-20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07L2"/>
    <s v="SJ2_STAG"/>
    <s v="COMCAST CABLE"/>
    <s v="5330 E 65th St"/>
    <s v="IN"/>
    <s v="Indianapolis"/>
    <s v="46220-4821"/>
    <s v="OP95F1S-35-R2-AS"/>
    <s v="FILTER DWDM S-CASE 2MM SC/APC"/>
    <s v="20112112"/>
    <s v="21.1"/>
    <x v="92"/>
    <n v="1963200"/>
    <d v="2016-09-20T11:47:24"/>
    <m/>
    <d v="2016-10-28T00:00:00"/>
    <d v="2016-09-20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15L2"/>
    <s v="SJ2_STAG"/>
    <s v="COMCAST CABLE"/>
    <s v="5330 E 65th St"/>
    <s v="IN"/>
    <s v="Indianapolis"/>
    <s v="46220-4821"/>
    <s v="OP95F1S-35-R2-AS"/>
    <s v="FILTER DWDM S-CASE 2MM SC/APC"/>
    <s v="20112112"/>
    <s v="21.1"/>
    <x v="92"/>
    <n v="1963200"/>
    <d v="2016-09-20T11:47:24"/>
    <m/>
    <d v="2016-10-28T00:00:00"/>
    <d v="2016-09-20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32L4"/>
    <s v="SJ2_STAG"/>
    <s v="COMCAST CABLE"/>
    <s v="5330 E 65th St"/>
    <s v="IN"/>
    <s v="Indianapolis"/>
    <s v="46220-4821"/>
    <s v="OP95F1S-44-R2-AS"/>
    <s v="FILTER DWDM S-CASE 2MM SC/APC"/>
    <s v="20112112"/>
    <s v="25.1"/>
    <x v="91"/>
    <n v="1962593"/>
    <d v="2016-09-20T11:47:24"/>
    <m/>
    <d v="2016-10-27T00:00:00"/>
    <d v="2016-09-20T00:00:00"/>
    <d v="2016-10-28T00:00:00"/>
    <m/>
    <n v="1"/>
    <m/>
    <n v="151"/>
    <m/>
    <s v="N156"/>
    <s v="NWK ACCESS TECH"/>
    <s v="ACCESS OTHER"/>
    <s v="OTHER AURORA"/>
    <s v="N156"/>
    <s v="AS-STANDARD ORDER MIXED"/>
    <s v="A-SURFACE"/>
    <s v="OP"/>
    <n v="1250721"/>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01L4"/>
    <s v="SJ2_STAG"/>
    <s v="COMCAST CABLE"/>
    <s v="5330 E 65th St"/>
    <s v="IN"/>
    <s v="Indianapolis"/>
    <s v="46220-4821"/>
    <s v="OP95F1S-20-R2-AS"/>
    <s v="FILTER DWDM S-CASE 2MM SC/APC"/>
    <s v="20112112"/>
    <s v="9.1"/>
    <x v="92"/>
    <n v="1963200"/>
    <d v="2016-09-20T11:47:24"/>
    <m/>
    <d v="2016-10-28T00:00:00"/>
    <d v="2016-09-20T00:00:00"/>
    <d v="2016-10-28T00:00:00"/>
    <m/>
    <n v="2"/>
    <m/>
    <n v="30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4P22L2B01"/>
    <s v="SJ2_STAG"/>
    <s v="COMCAST CABLE COMMUNICATIONS"/>
    <s v="7900 NE Killingsworth St"/>
    <s v="OR"/>
    <s v="Portland"/>
    <s v="97218-4028"/>
    <s v="TR4580-54-PI"/>
    <s v="XCVR PLUGGABLE DWDM ITU CH 54"/>
    <s v="20112471"/>
    <s v="34.1"/>
    <x v="93"/>
    <n v="1963194"/>
    <d v="2016-09-21T11:45:23"/>
    <m/>
    <d v="2016-10-28T00:00:00"/>
    <d v="2016-09-22T00:00:00"/>
    <d v="2016-10-28T00:00:00"/>
    <m/>
    <n v="5"/>
    <m/>
    <n v="345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4P22L2B01"/>
    <s v="SJ2_STAG"/>
    <s v="COMCAST CABLE COMMUNICATIONS"/>
    <s v="7900 NE Killingsworth St"/>
    <s v="OR"/>
    <s v="Portland"/>
    <s v="97218-4028"/>
    <s v="TR4580-25-PI"/>
    <s v="XCVR PLUGGABLE DWDM ITU CH 25"/>
    <s v="20112471"/>
    <s v="6.1"/>
    <x v="93"/>
    <n v="1963194"/>
    <d v="2016-09-21T11:45:23"/>
    <m/>
    <d v="2016-10-28T00:00:00"/>
    <d v="2016-09-22T00:00:00"/>
    <d v="2016-10-28T00:00:00"/>
    <m/>
    <n v="7"/>
    <m/>
    <n v="483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01L4"/>
    <s v="SJ2_STAG"/>
    <s v="COMCAST CABLE"/>
    <s v="5330 E 65th St"/>
    <s v="IN"/>
    <s v="Indianapolis"/>
    <s v="46220-4821"/>
    <s v="OP95F1S-20-R2-AS"/>
    <s v="FILTER DWDM S-CASE 2MM SC/APC"/>
    <s v="20112565"/>
    <s v="25.1"/>
    <x v="94"/>
    <n v="1963200"/>
    <d v="2016-09-21T15:45:51"/>
    <m/>
    <d v="2016-10-28T00:00:00"/>
    <d v="2016-09-21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7L2"/>
    <s v="SJ2_STAG"/>
    <s v="COMCAST CABLE"/>
    <s v="5330 E 65th St"/>
    <s v="IN"/>
    <s v="Indianapolis"/>
    <s v="46220-4821"/>
    <s v="OP95F1S-24-R2-AS"/>
    <s v="FILTER DWDM S-CASE 2MM SC/APC"/>
    <s v="20112565"/>
    <s v="29.1"/>
    <x v="94"/>
    <n v="1963252"/>
    <d v="2016-09-21T15:45:51"/>
    <m/>
    <d v="2016-10-28T00:00:00"/>
    <d v="2016-09-21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07L2"/>
    <s v="SJ2_STAG"/>
    <s v="COMCAST CABLE"/>
    <s v="5330 E 65th St"/>
    <s v="IN"/>
    <s v="Indianapolis"/>
    <s v="46220-4821"/>
    <s v="OP95F1S-29-R2-AS"/>
    <s v="FILTER DWDM S-CASE 2MM SC/APC"/>
    <s v="20112565"/>
    <s v="31.1"/>
    <x v="94"/>
    <n v="1963200"/>
    <d v="2016-09-21T15:45:51"/>
    <m/>
    <d v="2016-10-28T00:00:00"/>
    <d v="2016-09-21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9L1"/>
    <s v="SJ2_STAG"/>
    <s v="COMCAST CABLE"/>
    <s v="5330 E 65th St"/>
    <s v="IN"/>
    <s v="Indianapolis"/>
    <s v="46220-4821"/>
    <s v="OP95M8S-1-00-R2-00"/>
    <s v="MUX DWDM 100GHZ CH 44-51 F-CAS"/>
    <s v="20112763"/>
    <s v="6.1"/>
    <x v="95"/>
    <n v="1959321"/>
    <d v="2016-09-22T15:40:36"/>
    <m/>
    <d v="2016-10-24T00:00:00"/>
    <d v="2016-09-22T00:00:00"/>
    <d v="2016-10-26T00:00:00"/>
    <m/>
    <n v="1"/>
    <m/>
    <n v="1397"/>
    <m/>
    <s v="N165"/>
    <s v="NWK ACCESS TECH"/>
    <s v="OPTICAL PASSIVES"/>
    <s v="INDOOR PASSIVES AURORA"/>
    <s v="N1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34L3"/>
    <s v="SJ2_STAG"/>
    <s v="COMCAST CABLE"/>
    <s v="5330 E 65th St"/>
    <s v="IN"/>
    <s v="Indianapolis"/>
    <s v="46220-4821"/>
    <s v="OP95F1S-20-R2-00"/>
    <s v="FILTER DWDM C-CASE 2MM CH 20"/>
    <s v="20112769"/>
    <s v="24.1"/>
    <x v="96"/>
    <n v="1963200"/>
    <d v="2016-09-22T16:03:03"/>
    <m/>
    <d v="2016-10-28T00:00:00"/>
    <d v="2016-09-22T00:00:00"/>
    <d v="2016-10-28T00:00:00"/>
    <m/>
    <n v="1"/>
    <m/>
    <n v="12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SOUTH BOSTON10950"/>
    <s v="R023P77L1"/>
    <s v="SJ2_STAG"/>
    <s v="COMCAST CABLE COMM MGMT, LLC"/>
    <s v="426 E 1st St"/>
    <s v="MA"/>
    <s v="South Boston"/>
    <s v="02127-1344"/>
    <s v="OP95D4-CF1-103-R2-AS"/>
    <s v="DEMUX DWDM 100GHZ 4 CH 03 F-CA"/>
    <s v="20112889"/>
    <s v="1.2"/>
    <x v="97"/>
    <n v="1960291"/>
    <d v="2016-09-23T09:24:29"/>
    <m/>
    <d v="2016-10-25T00:00:00"/>
    <d v="2016-09-23T00:00:00"/>
    <d v="2016-10-25T00:00:00"/>
    <m/>
    <n v="1"/>
    <n v="1"/>
    <n v="757"/>
    <n v="757"/>
    <s v="N160"/>
    <s v="NWK ACCESS TECH"/>
    <s v="OPTICAL PASSIVES"/>
    <s v="OUTDOOR PASSIVES AURORA"/>
    <s v="N160"/>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1L3B01"/>
    <s v="SJ2_STAG"/>
    <s v="COMCAST CABLE"/>
    <s v="2601 SW 145th Ave"/>
    <s v="FL"/>
    <s v="Miramar"/>
    <s v="33027-4139"/>
    <s v="NTM3245-AS-4L"/>
    <s v="OTX NCDFB NTM3245-AS SEALD LSR"/>
    <s v="20112894"/>
    <s v="1.1"/>
    <x v="98"/>
    <n v="1960986"/>
    <d v="2016-09-23T09:40:40"/>
    <m/>
    <d v="2016-10-26T00:00:00"/>
    <d v="2016-10-20T00:00:00"/>
    <d v="2016-10-28T00:00:00"/>
    <m/>
    <n v="5"/>
    <m/>
    <n v="2635"/>
    <m/>
    <s v="N152"/>
    <s v="NWK ACCESS TECH"/>
    <s v="NODE"/>
    <s v="HL NODE MISC AURORA"/>
    <s v="N152"/>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55L2"/>
    <s v="SJ2_STAG"/>
    <s v="COMCAST CABLE COMMUNICATIONS"/>
    <s v="7900 NE Killingsworth St"/>
    <s v="OR"/>
    <s v="Portland"/>
    <s v="97218-4028"/>
    <s v="HT3541H-D-A210-2-AS"/>
    <s v="XMTR DD 1.2GHZ FULL SPECTRUM 3"/>
    <s v="20112958"/>
    <s v="16.1"/>
    <x v="99"/>
    <n v="1960295"/>
    <d v="2016-09-23T12:17:58"/>
    <m/>
    <d v="2016-10-25T00:00:00"/>
    <d v="2016-09-23T00:00:00"/>
    <d v="2016-10-25T00:00:00"/>
    <m/>
    <n v="2"/>
    <n v="2"/>
    <n v="2794"/>
    <n v="2794"/>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48L2"/>
    <s v="SJ2_STAG"/>
    <s v="COMCAST CABLE COMMUNICATIONS"/>
    <s v="7900 NE Killingsworth St"/>
    <s v="OR"/>
    <s v="Portland"/>
    <s v="97218-4028"/>
    <s v="HT3541H-D-A210-2-AS"/>
    <s v="XMTR DD 1.2GHZ FULL SPECTRUM 3"/>
    <s v="20112958"/>
    <s v="16.1"/>
    <x v="99"/>
    <n v="1960295"/>
    <d v="2016-09-23T12:17:58"/>
    <m/>
    <d v="2016-10-25T00:00:00"/>
    <d v="2016-09-23T00:00:00"/>
    <d v="2016-10-25T00:00:00"/>
    <m/>
    <n v="3"/>
    <n v="3"/>
    <n v="4191"/>
    <n v="4191"/>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02L4"/>
    <s v="SJ2_STAG"/>
    <s v="COMCAST CABLE COMMUNICATIONS"/>
    <s v="7900 NE Killingsworth St"/>
    <s v="OR"/>
    <s v="Portland"/>
    <s v="97218-4028"/>
    <s v="HB4003"/>
    <s v="MOUNTING BRACKET KIT NC4000 WA"/>
    <s v="20112958"/>
    <s v="23.1"/>
    <x v="100"/>
    <n v="1959288"/>
    <d v="2016-09-23T12:17:58"/>
    <m/>
    <d v="2016-10-24T00:00:00"/>
    <d v="2016-09-23T00:00:00"/>
    <d v="2016-10-26T00:00:00"/>
    <m/>
    <n v="5"/>
    <m/>
    <n v="30"/>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3P02L4"/>
    <s v="SJ2_STAG"/>
    <s v="COMCAST CABLE COMMUNICATIONS"/>
    <s v="7900 NE Killingsworth St"/>
    <s v="OR"/>
    <s v="Portland"/>
    <s v="97218-4028"/>
    <s v="HB4002"/>
    <s v="BRACKET 2 SLOT FOR 6 S-CASE PA"/>
    <s v="20112958"/>
    <s v="3.1"/>
    <x v="100"/>
    <n v="1959288"/>
    <d v="2016-09-23T12:17:58"/>
    <m/>
    <d v="2016-10-24T00:00:00"/>
    <d v="2016-09-23T00:00:00"/>
    <d v="2016-10-26T00:00:00"/>
    <m/>
    <n v="5"/>
    <m/>
    <n v="255"/>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8L5"/>
    <s v="SJ2_STAG"/>
    <s v="COMCAST CABLE COMMUNICATIONS"/>
    <s v="7900 NE Killingsworth St"/>
    <s v="OR"/>
    <s v="Portland"/>
    <s v="97218-4028"/>
    <s v="JC1512-MP-AS4-100"/>
    <s v="CABLE SERVICE (M)MPO/APC 4 SC/"/>
    <s v="20112958"/>
    <s v="9.1"/>
    <x v="99"/>
    <n v="1960295"/>
    <d v="2016-09-23T12:17:58"/>
    <m/>
    <d v="2016-10-25T00:00:00"/>
    <d v="2016-09-23T00:00:00"/>
    <d v="2016-10-25T00:00:00"/>
    <m/>
    <n v="4"/>
    <n v="4"/>
    <n v="1440"/>
    <n v="144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0P17L5"/>
    <s v="SJ2_STAG"/>
    <s v="COMCAST CABLE COMMUNICATIONS"/>
    <s v="7900 NE Killingsworth St"/>
    <s v="OR"/>
    <s v="Portland"/>
    <s v="97218-4028"/>
    <s v="JC1512-MP-AS4-100"/>
    <s v="CABLE SERVICE (M)MPO/APC 4 SC/"/>
    <s v="20112958"/>
    <s v="9.1"/>
    <x v="99"/>
    <n v="1960295"/>
    <d v="2016-09-23T12:17:58"/>
    <m/>
    <d v="2016-10-25T00:00:00"/>
    <d v="2016-09-23T00:00:00"/>
    <d v="2016-10-25T00:00:00"/>
    <m/>
    <n v="1"/>
    <n v="1"/>
    <n v="360"/>
    <n v="360"/>
    <s v="N223"/>
    <s v="NWK ACCESS TECH"/>
    <s v="OPTICAL PASSIVES"/>
    <s v="INDOOR PASSIVES AURORA"/>
    <s v="N223"/>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BURLINGAME - BERG"/>
    <s v="R024P16L3B01"/>
    <s v="SJ2_STAG"/>
    <s v="COMCAST CABLE COMMUNICATIONS"/>
    <s v="860 Stanton Rd"/>
    <s v="CA"/>
    <s v="Burlingame"/>
    <s v="94010-1404"/>
    <s v="OP95D4-CF1-103-R2-AS"/>
    <s v="DEMUX DWDM 100GHZ 4 CH 03 F-CA"/>
    <s v="20113039"/>
    <s v="33.1"/>
    <x v="101"/>
    <n v="1961738"/>
    <d v="2016-09-23T14:26:58"/>
    <m/>
    <d v="2016-10-26T00:00:00"/>
    <d v="2016-09-30T00:00:00"/>
    <d v="2016-10-28T00:00:00"/>
    <m/>
    <n v="13"/>
    <m/>
    <n v="9841"/>
    <m/>
    <s v="N160"/>
    <s v="NWK ACCESS TECH"/>
    <s v="OPTICAL PASSIVES"/>
    <s v="OUTDOOR PASSIVES AURORA"/>
    <s v="N160"/>
    <s v="AS-STANDARD ORDER MIXED"/>
    <s v="A-SURFACE"/>
    <s v="OP"/>
    <n v="125028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2L1B01"/>
    <s v="SJ2_STAG"/>
    <s v="COMCAST CABLE COMMUNICATIONS"/>
    <s v="3500 Patterson Ave SE"/>
    <s v="MI"/>
    <s v="Grand Rapids"/>
    <s v="49512-5699"/>
    <s v="BD35M4-AC3-H02F-1-AS"/>
    <s v="OPT MUX BD 100GHZ A1 ITU CH 23"/>
    <s v="20113048"/>
    <s v="12.1"/>
    <x v="102"/>
    <n v="1960991"/>
    <d v="2016-09-23T14:54:32"/>
    <m/>
    <d v="2016-10-26T00:00:00"/>
    <d v="2016-10-12T00:00:00"/>
    <d v="2016-10-28T00:00:00"/>
    <m/>
    <n v="2"/>
    <m/>
    <n v="3234"/>
    <m/>
    <s v="N258"/>
    <s v="NWK ACCESS TECH"/>
    <s v="HEO"/>
    <s v="TRANSMITTERS AURORA"/>
    <s v="HDTX"/>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3P09L2"/>
    <s v="SJ2_STAG"/>
    <s v="COMCAST CABLE COMMUNICATIONS"/>
    <s v="3500 Patterson Ave SE"/>
    <s v="MI"/>
    <s v="Grand Rapids"/>
    <s v="49512-5699"/>
    <s v="OP35D8-CF4-1-99-AS"/>
    <s v="OPT DEMUX 100GHZ 8 CH EXP PORT"/>
    <s v="20113048"/>
    <s v="4.1"/>
    <x v="103"/>
    <n v="1963226"/>
    <d v="2016-09-23T14:54:32"/>
    <m/>
    <d v="2016-10-28T00:00:00"/>
    <d v="2016-10-12T00:00:00"/>
    <d v="2016-10-28T00:00:00"/>
    <m/>
    <n v="2"/>
    <n v="2"/>
    <n v="3590"/>
    <n v="3590"/>
    <s v="N160"/>
    <s v="NWK ACCESS TECH"/>
    <s v="OPTICAL PASSIVES"/>
    <s v="OUTDOOR PASSIVES AURORA"/>
    <s v="N160"/>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2P07L2"/>
    <s v="SJ2_STAG"/>
    <s v="COMCAST CABLE COMM MGMT, LLC"/>
    <s v="155 W Industrial Dr"/>
    <s v="IL"/>
    <s v="Elmhurst"/>
    <s v="60126-1618"/>
    <s v="OP95F1S-59-R2-AS"/>
    <s v="FILTER DWDM S-CASE 2MM SC/APC"/>
    <s v="20113292"/>
    <s v="11.1"/>
    <x v="104"/>
    <n v="1963196"/>
    <d v="2016-09-26T10:48:55"/>
    <m/>
    <d v="2016-10-28T00:00:00"/>
    <d v="2016-10-07T00:00:00"/>
    <d v="2016-10-28T00:00:00"/>
    <m/>
    <n v="1"/>
    <m/>
    <n v="15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ELMHURST10559"/>
    <s v="R023P12L4"/>
    <s v="SJ2_STAG"/>
    <s v="COMCAST CABLE COMM MGMT, LLC"/>
    <s v="155 W Industrial Dr"/>
    <s v="IL"/>
    <s v="Elmhurst"/>
    <s v="60126-1618"/>
    <s v="TR4580-21-PI"/>
    <s v="XCVR PLUGGABLE DWDM ITU CH 21"/>
    <s v="20113292"/>
    <s v="4.1"/>
    <x v="104"/>
    <n v="1963196"/>
    <d v="2016-09-26T10:48:55"/>
    <m/>
    <d v="2016-10-28T00:00:00"/>
    <d v="2016-10-07T00:00:00"/>
    <d v="2016-10-28T00:00:00"/>
    <m/>
    <n v="2"/>
    <m/>
    <n v="138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2L2B01"/>
    <s v="SJ2_STAG"/>
    <s v="COMCAST CABLE"/>
    <s v="2601 SW 145th Ave"/>
    <s v="FL"/>
    <s v="Miramar"/>
    <s v="33027-4139"/>
    <s v="TR4580-25-PI"/>
    <s v="XCVR PLUGGABLE DWDM ITU CH 25"/>
    <s v="20113576"/>
    <s v="7.1"/>
    <x v="105"/>
    <n v="1963242"/>
    <d v="2016-09-27T11:59:58"/>
    <m/>
    <d v="2016-10-28T00:00:00"/>
    <d v="2016-09-30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2L2B01"/>
    <s v="SJ2_STAG"/>
    <s v="COMCAST CABLE"/>
    <s v="2601 SW 145th Ave"/>
    <s v="FL"/>
    <s v="Miramar"/>
    <s v="33027-4139"/>
    <s v="TR4580-21-PI"/>
    <s v="XCVR PLUGGABLE DWDM ITU CH 21"/>
    <s v="20113581"/>
    <s v="3.1"/>
    <x v="106"/>
    <n v="1963242"/>
    <d v="2016-09-27T12:11:36"/>
    <m/>
    <d v="2016-10-28T00:00:00"/>
    <d v="2016-09-30T00:00:00"/>
    <d v="2016-10-28T00:00:00"/>
    <m/>
    <n v="2"/>
    <m/>
    <n v="138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01L4"/>
    <s v="SJ2_STAG"/>
    <s v="COMCAST CABLE COMMUNICATIONS"/>
    <s v="7900 NE Killingsworth St"/>
    <s v="OR"/>
    <s v="Portland"/>
    <s v="97218-4028"/>
    <s v="AT3545G-42-1-AS"/>
    <s v="TRANSMITTER 1GHZ FULL SPECTRUM"/>
    <s v="20113762"/>
    <s v="9.2"/>
    <x v="107"/>
    <n v="1961625"/>
    <d v="2016-09-28T09:26:48"/>
    <m/>
    <d v="2016-10-26T00:00:00"/>
    <d v="2016-09-28T00:00:00"/>
    <d v="2016-10-26T00:00:00"/>
    <m/>
    <n v="1"/>
    <m/>
    <n v="1310"/>
    <m/>
    <s v="N005"/>
    <s v="NWK ACCESS TECH"/>
    <s v="HEO"/>
    <s v="TRANSMITTERS AURORA"/>
    <s v="N005"/>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LAWRENCE (METIVIER)"/>
    <s v="R024P16L3B01"/>
    <s v="SJ2_STAG"/>
    <s v="COMCAST CABLE COMMUNICATIONS"/>
    <s v="144 Shepard St"/>
    <s v="MA"/>
    <s v="Lawrence"/>
    <s v="01843-1026"/>
    <s v="OP95D4-CF1-103-R2-AS"/>
    <s v="DEMUX DWDM 100GHZ 4 CH 03 F-CA"/>
    <s v="20113804"/>
    <s v="3.1"/>
    <x v="108"/>
    <n v="1961741"/>
    <d v="2016-09-28T11:54:06"/>
    <m/>
    <d v="2016-10-26T00:00:00"/>
    <d v="2016-09-29T00:00:00"/>
    <d v="2016-10-28T00:00:00"/>
    <m/>
    <n v="25"/>
    <m/>
    <n v="18925"/>
    <m/>
    <s v="N160"/>
    <s v="NWK ACCESS TECH"/>
    <s v="OPTICAL PASSIVES"/>
    <s v="OUTDOOR PASSIVES AURORA"/>
    <s v="N160"/>
    <s v="AS-STANDARD ORDER MIXED"/>
    <s v="A-SURFACE"/>
    <s v="OP"/>
    <n v="125028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01L3"/>
    <s v="SJ2_STAG"/>
    <s v="COMCAST CABLE C/O XPO LOGISTICS"/>
    <s v="2179 S COMMERCE CENTER DR"/>
    <s v="UT"/>
    <s v="West Valley City"/>
    <s v="84120-6426"/>
    <s v="OP35D8U-1-99-AS"/>
    <s v="OPT DEMUX 100GHZ ITU CH 52-59"/>
    <s v="20113864"/>
    <s v="1.1"/>
    <x v="109"/>
    <n v="1959318"/>
    <d v="2016-09-28T14:56:32"/>
    <m/>
    <d v="2016-10-24T00:00:00"/>
    <d v="2016-09-29T00:00:00"/>
    <d v="2016-10-26T00:00:00"/>
    <m/>
    <n v="2"/>
    <n v="2"/>
    <n v="2522"/>
    <n v="2522"/>
    <s v="N165"/>
    <s v="NWK ACCESS TECH"/>
    <s v="OPTICAL PASSIVES"/>
    <s v="INDOOR PASSIVES AURORA"/>
    <s v="N1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2L2B01"/>
    <s v="SJ2_STAG"/>
    <s v="COMCAST CABLE C/O XPO LOGISTICS"/>
    <s v="2179 S COMMERCE CENTER DR"/>
    <s v="UT"/>
    <s v="West Valley City"/>
    <s v="84120-6426"/>
    <s v="TR4580-54-PI"/>
    <s v="XCVR PLUGGABLE DWDM ITU CH 54"/>
    <s v="20114033"/>
    <s v="14.1"/>
    <x v="110"/>
    <n v="1963197"/>
    <d v="2016-09-29T11:43:41"/>
    <m/>
    <d v="2016-10-28T00:00:00"/>
    <d v="2016-09-29T00:00:00"/>
    <d v="2016-10-28T00:00:00"/>
    <m/>
    <n v="3"/>
    <m/>
    <n v="207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ADDISON"/>
    <s v="R024P05L2B02"/>
    <s v="SJ2_STAG"/>
    <s v="COMCAST CABLE COMMUNICATIONS"/>
    <s v="5N301 Medinah Rd"/>
    <s v="IL"/>
    <s v="Addison"/>
    <s v="60101-1096"/>
    <s v="VH4000-COM-04"/>
    <s v="VH CUSTOM COMCAST 1X2 1XFA4521"/>
    <s v="20114232"/>
    <s v="5.1"/>
    <x v="111"/>
    <n v="1959433"/>
    <d v="2016-09-30T10:26:05"/>
    <m/>
    <d v="2016-10-24T00:00:00"/>
    <d v="2016-10-21T00:00:00"/>
    <d v="2016-10-24T00:00:00"/>
    <m/>
    <n v="1"/>
    <n v="1"/>
    <n v="7364"/>
    <n v="7364"/>
    <s v="N055"/>
    <s v="NWK ACCESS TECH"/>
    <s v="HPON"/>
    <s v="VHUB AURORA"/>
    <s v="N055"/>
    <s v="AS-STANDARD ORDER MIXED"/>
    <s v="A-SURFACE"/>
    <s v="OP"/>
    <n v="1248645"/>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 CENTRAL DIV"/>
    <s v="R023P06L4"/>
    <s v="SJ2_STAG"/>
    <s v="COMCAST CABLE COMMUNICATIONS"/>
    <s v="6225 Shiloh Rd MDSI"/>
    <s v="GA"/>
    <s v="ALPHARETTA"/>
    <s v="30005-2206"/>
    <s v="HT3FILD"/>
    <s v="XMTR DOUBLE HT FILLER MODULE"/>
    <s v="20114500"/>
    <s v="1.2"/>
    <x v="112"/>
    <n v="1962060"/>
    <d v="2016-10-03T09:36:51"/>
    <m/>
    <d v="2016-10-27T00:00:00"/>
    <d v="2016-10-14T00:00:00"/>
    <d v="2016-10-27T00:00:00"/>
    <m/>
    <n v="50"/>
    <m/>
    <n v="8400"/>
    <m/>
    <s v="N224"/>
    <s v="NWK ACCESS TECH"/>
    <s v="ACCESS OTHER"/>
    <s v="OTHER AURORA"/>
    <s v="N224"/>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 CENTRAL DIV"/>
    <s v="R022P52L5"/>
    <s v="SJ2_STAG"/>
    <s v="COMCAST CABLE COMMUNICATIONS"/>
    <s v="6225 Shiloh Rd MDSI"/>
    <s v="GA"/>
    <s v="ALPHARETTA"/>
    <s v="30005-2206"/>
    <s v="HT3FILD"/>
    <s v="XMTR DOUBLE HT FILLER MODULE"/>
    <s v="20114500"/>
    <s v="1.3"/>
    <x v="113"/>
    <n v="1963264"/>
    <d v="2016-10-03T09:36:51"/>
    <m/>
    <d v="2016-10-28T00:00:00"/>
    <d v="2016-10-14T00:00:00"/>
    <d v="2016-10-28T00:00:00"/>
    <m/>
    <n v="1"/>
    <m/>
    <n v="168"/>
    <m/>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 CENTRAL DIV"/>
    <s v="R023P06L4"/>
    <s v="SJ2_STAG"/>
    <s v="COMCAST CABLE COMMUNICATIONS"/>
    <s v="6225 Shiloh Rd MDSI"/>
    <s v="GA"/>
    <s v="ALPHARETTA"/>
    <s v="30005-2206"/>
    <s v="HT3FILD"/>
    <s v="XMTR DOUBLE HT FILLER MODULE"/>
    <s v="20114500"/>
    <s v="1.3"/>
    <x v="113"/>
    <n v="1963264"/>
    <d v="2016-10-03T09:36:51"/>
    <m/>
    <d v="2016-10-28T00:00:00"/>
    <d v="2016-10-14T00:00:00"/>
    <d v="2016-10-28T00:00:00"/>
    <m/>
    <n v="43"/>
    <m/>
    <n v="7224"/>
    <m/>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 CENTRAL DIV"/>
    <s v="R023P76L1"/>
    <s v="SJ2_STAG"/>
    <s v="COMCAST CABLE COMMUNICATIONS"/>
    <s v="6225 Shiloh Rd MDSI"/>
    <s v="GA"/>
    <s v="ALPHARETTA"/>
    <s v="30005-2206"/>
    <s v="HT3FILD"/>
    <s v="XMTR DOUBLE HT FILLER MODULE"/>
    <s v="20114500"/>
    <s v="1.3"/>
    <x v="113"/>
    <n v="1963264"/>
    <d v="2016-10-03T09:36:51"/>
    <m/>
    <d v="2016-10-28T00:00:00"/>
    <d v="2016-10-14T00:00:00"/>
    <d v="2016-10-28T00:00:00"/>
    <m/>
    <n v="6"/>
    <m/>
    <n v="1008"/>
    <m/>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61L2"/>
    <s v="SJ2_STAG"/>
    <s v="COMCAST CABLE"/>
    <s v="2601 SW 145th Ave"/>
    <s v="FL"/>
    <s v="Miramar"/>
    <s v="33027-4139"/>
    <s v="CH3000N"/>
    <s v="CHASSIS NO COVERS 3RU"/>
    <s v="20114877"/>
    <s v="1.1"/>
    <x v="114"/>
    <n v="1959315"/>
    <d v="2016-10-04T11:10:55"/>
    <m/>
    <d v="2016-10-24T00:00:00"/>
    <d v="2016-11-02T00:00:00"/>
    <d v="2016-10-26T00:00:00"/>
    <m/>
    <n v="2"/>
    <n v="2"/>
    <n v="440"/>
    <n v="440"/>
    <s v="N199"/>
    <s v="NWK ACCESS TECH"/>
    <s v="HEO"/>
    <s v="HEO MISC AURORA"/>
    <s v="N199"/>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52L2"/>
    <s v="SJ2_STAG"/>
    <s v="COMCAST CABLE"/>
    <s v="2601 SW 145th Ave"/>
    <s v="FL"/>
    <s v="Miramar"/>
    <s v="33027-4139"/>
    <s v="DT4250N-50-00"/>
    <s v="DGTL XCVR ENH MULTI-MODES OF O"/>
    <s v="20114877"/>
    <s v="11.1"/>
    <x v="114"/>
    <n v="1959343"/>
    <d v="2016-10-04T11:10:55"/>
    <m/>
    <d v="2016-10-24T00:00:00"/>
    <d v="2016-11-02T00:00:00"/>
    <d v="2016-10-26T00:00:00"/>
    <m/>
    <n v="4"/>
    <n v="4"/>
    <n v="1140"/>
    <n v="1140"/>
    <s v="N065"/>
    <s v="NWK ACCESS TECH"/>
    <s v="NODE"/>
    <s v="NODE MISC AURORA"/>
    <s v="N06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2L4"/>
    <s v="SJ2_STAG"/>
    <s v="COMCAST CABLE"/>
    <s v="2601 SW 145th Ave"/>
    <s v="FL"/>
    <s v="Miramar"/>
    <s v="33027-4139"/>
    <s v="HB4001"/>
    <s v="BRACKET 2 SLOT FOR 12 BC1000-A"/>
    <s v="20114877"/>
    <s v="15.1"/>
    <x v="114"/>
    <n v="1959287"/>
    <d v="2016-10-04T11:10:55"/>
    <m/>
    <d v="2016-10-24T00:00:00"/>
    <d v="2016-11-02T00:00:00"/>
    <d v="2016-10-26T00:00:00"/>
    <m/>
    <n v="2"/>
    <n v="2"/>
    <n v="114"/>
    <n v="114"/>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2L4"/>
    <s v="SJ2_STAG"/>
    <s v="COMCAST CABLE"/>
    <s v="2601 SW 145th Ave"/>
    <s v="FL"/>
    <s v="Miramar"/>
    <s v="33027-4139"/>
    <s v="HB4002"/>
    <s v="BRACKET 2 SLOT FOR 6 S-CASE PA"/>
    <s v="20114877"/>
    <s v="16.1"/>
    <x v="114"/>
    <n v="1959287"/>
    <d v="2016-10-04T11:10:55"/>
    <m/>
    <d v="2016-10-24T00:00:00"/>
    <d v="2016-11-02T00:00:00"/>
    <d v="2016-10-26T00:00:00"/>
    <m/>
    <n v="2"/>
    <n v="2"/>
    <n v="102"/>
    <n v="102"/>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24L3"/>
    <s v="SJ2_STAG"/>
    <s v="COMCAST CABLE"/>
    <s v="2601 SW 145th Ave"/>
    <s v="FL"/>
    <s v="Miramar"/>
    <s v="33027-4139"/>
    <s v="HT3541H-D-A240-2-AS"/>
    <s v="XMTR DD 1.2GHZ FULL SPECTRUM 3"/>
    <s v="20114877"/>
    <s v="2.1"/>
    <x v="114"/>
    <n v="1959315"/>
    <d v="2016-10-04T11:10:55"/>
    <m/>
    <d v="2016-10-24T00:00:00"/>
    <d v="2016-11-02T00:00:00"/>
    <d v="2016-10-26T00:00:00"/>
    <m/>
    <n v="1"/>
    <n v="1"/>
    <n v="1397"/>
    <n v="1397"/>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06L4B01"/>
    <s v="SJ2_STAG"/>
    <s v="COMCAST CABLE"/>
    <s v="2601 SW 145th Ave"/>
    <s v="FL"/>
    <s v="Miramar"/>
    <s v="33027-4139"/>
    <s v="DR3450N-50-00"/>
    <s v="DIGITAL RECEIVER Q-RX 2.125GBP"/>
    <s v="20114877"/>
    <s v="22.1"/>
    <x v="114"/>
    <n v="1959343"/>
    <d v="2016-10-04T11:10:55"/>
    <m/>
    <d v="2016-10-24T00:00:00"/>
    <d v="2016-11-02T00:00:00"/>
    <d v="2016-10-26T00:00:00"/>
    <m/>
    <n v="2"/>
    <n v="2"/>
    <n v="2400"/>
    <n v="2400"/>
    <s v="N275"/>
    <s v="NWK ACCESS TECH"/>
    <s v="HEO"/>
    <s v="RECEIVERS AURORA"/>
    <s v="N27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17L1B01"/>
    <s v="SJ2_STAG"/>
    <s v="COMCAST CABLE"/>
    <s v="2601 SW 145th Ave"/>
    <s v="FL"/>
    <s v="Miramar"/>
    <s v="33027-4139"/>
    <s v="CH3000U-FM-00"/>
    <s v="ADAPTER FIBER MGT FOR CH3000 C"/>
    <s v="20114877"/>
    <s v="23.1"/>
    <x v="114"/>
    <n v="1959315"/>
    <d v="2016-10-04T11:10:55"/>
    <m/>
    <d v="2016-10-24T00:00:00"/>
    <d v="2016-11-02T00:00:00"/>
    <d v="2016-10-26T00:00:00"/>
    <m/>
    <n v="2"/>
    <n v="2"/>
    <n v="110"/>
    <n v="110"/>
    <s v="N199"/>
    <s v="NWK ACCESS TECH"/>
    <s v="HEO"/>
    <s v="HEO MISC AURORA"/>
    <s v="N199"/>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4L1"/>
    <s v="SJ2_STAG"/>
    <s v="COMCAST CABLE"/>
    <s v="2601 SW 145th Ave"/>
    <s v="FL"/>
    <s v="Miramar"/>
    <s v="33027-4139"/>
    <s v="TL3000-EJ-00"/>
    <s v="TOOL EXTRACTOR HANDLE CH3000"/>
    <s v="20114877"/>
    <s v="24.1"/>
    <x v="114"/>
    <n v="1959315"/>
    <d v="2016-10-04T11:10:55"/>
    <m/>
    <d v="2016-10-24T00:00:00"/>
    <d v="2016-11-02T00:00:00"/>
    <d v="2016-10-26T00:00:00"/>
    <m/>
    <n v="1"/>
    <n v="1"/>
    <n v="6"/>
    <n v="6"/>
    <s v="N185"/>
    <s v="NWK ACCESS TECH"/>
    <s v="ACCESS OTHER"/>
    <s v="OTHER AURORA"/>
    <s v="N185"/>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6L5B02"/>
    <s v="SJ2_STAG"/>
    <s v="COMCAST CABLE"/>
    <s v="2601 SW 145th Ave"/>
    <s v="FL"/>
    <s v="Miramar"/>
    <s v="33027-4139"/>
    <s v="PS3148D"/>
    <s v="POWER SUPPLY W/DISPLAY -48VDC"/>
    <s v="20114877"/>
    <s v="25.1"/>
    <x v="115"/>
    <n v="1961116"/>
    <d v="2016-10-04T11:10:55"/>
    <m/>
    <d v="2016-10-26T00:00:00"/>
    <d v="2016-11-02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6P13L4B01"/>
    <s v="SJ2_STAG"/>
    <s v="COMCAST CABLE"/>
    <s v="2601 SW 145th Ave"/>
    <s v="FL"/>
    <s v="Miramar"/>
    <s v="33027-4139"/>
    <s v="PS3148N"/>
    <s v="POWER SUPPLY NO DISPLAY -48VDC"/>
    <s v="20114877"/>
    <s v="26.1"/>
    <x v="114"/>
    <n v="1959315"/>
    <d v="2016-10-04T11:10:55"/>
    <m/>
    <d v="2016-10-24T00:00:00"/>
    <d v="2016-11-02T00:00:00"/>
    <d v="2016-10-26T00:00:00"/>
    <m/>
    <n v="2"/>
    <n v="2"/>
    <n v="1056"/>
    <n v="1056"/>
    <s v="N204"/>
    <s v="NWK ACCESS TECH"/>
    <s v="ACCESS OTHER"/>
    <s v="OTHER AURORA"/>
    <s v="N20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15P61L2"/>
    <s v="SJ2_STAG"/>
    <s v="COMCAST CABLE"/>
    <s v="2601 SW 145th Ave"/>
    <s v="FL"/>
    <s v="Miramar"/>
    <s v="33027-4139"/>
    <s v="BP3400C-00"/>
    <s v="BACKPLATE 4.25 GB/S 1-FER/2-FE"/>
    <s v="20114877"/>
    <s v="27.1"/>
    <x v="114"/>
    <n v="1959315"/>
    <d v="2016-10-04T11:10:55"/>
    <m/>
    <d v="2016-10-24T00:00:00"/>
    <d v="2016-11-02T00:00:00"/>
    <d v="2016-10-26T00:00:00"/>
    <m/>
    <n v="1"/>
    <n v="1"/>
    <n v="392"/>
    <n v="392"/>
    <s v="N076"/>
    <s v="NWK ACCESS TECH"/>
    <s v="HEO"/>
    <s v="HEO MISC AURORA"/>
    <s v="N076"/>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73L6"/>
    <s v="SJ2_STAG"/>
    <s v="COMCAST CABLE"/>
    <s v="2601 SW 145th Ave"/>
    <s v="FL"/>
    <s v="Miramar"/>
    <s v="33027-4139"/>
    <s v="CX3002"/>
    <s v="COMMUNICATIONS MODULE"/>
    <s v="20114877"/>
    <s v="28.1"/>
    <x v="114"/>
    <n v="1959287"/>
    <d v="2016-10-04T11:10:55"/>
    <m/>
    <d v="2016-10-24T00:00:00"/>
    <d v="2016-11-02T00:00:00"/>
    <d v="2016-10-26T00:00:00"/>
    <m/>
    <n v="2"/>
    <n v="2"/>
    <n v="572"/>
    <n v="572"/>
    <s v="N080"/>
    <s v="NWK ACCESS TECH"/>
    <s v="HEO"/>
    <s v="HEO MISC AURORA"/>
    <s v="N080"/>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05L2"/>
    <s v="SJ2_STAG"/>
    <s v="COMCAST CABLE"/>
    <s v="2601 SW 145th Ave"/>
    <s v="FL"/>
    <s v="Miramar"/>
    <s v="33027-4139"/>
    <s v="HT3541H-D-A350-2-AS"/>
    <s v="XMTR DD 1.2GHZ FULL SPECTRUM 3"/>
    <s v="20114877"/>
    <s v="3.1"/>
    <x v="114"/>
    <n v="1959315"/>
    <d v="2016-10-04T11:10:55"/>
    <m/>
    <d v="2016-10-24T00:00:00"/>
    <d v="2016-11-02T00:00:00"/>
    <d v="2016-10-26T00:00:00"/>
    <m/>
    <n v="1"/>
    <n v="1"/>
    <n v="1397"/>
    <n v="1397"/>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17L3"/>
    <s v="SJ2_STAG"/>
    <s v="COMCAST CABLE"/>
    <s v="2601 SW 145th Ave"/>
    <s v="FL"/>
    <s v="Miramar"/>
    <s v="33027-4139"/>
    <s v="HT3541H-D-A290-2-AS"/>
    <s v="XMTR DD 1.2GHZ FULL SPECTRUM 3"/>
    <s v="20114877"/>
    <s v="31.1"/>
    <x v="114"/>
    <n v="1959287"/>
    <d v="2016-10-04T11:10:55"/>
    <m/>
    <d v="2016-10-24T00:00:00"/>
    <d v="2016-11-02T00:00:00"/>
    <d v="2016-10-26T00:00:00"/>
    <m/>
    <n v="1"/>
    <n v="1"/>
    <n v="1397"/>
    <n v="1397"/>
    <s v="HE64"/>
    <s v="NWK ACCESS TECH"/>
    <s v="HEO"/>
    <s v="TRANSMITTER"/>
    <s v="HT"/>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20L6"/>
    <s v="SJ2_STAG"/>
    <s v="COMCAST CABLE"/>
    <s v="2601 SW 145th Ave"/>
    <s v="FL"/>
    <s v="Miramar"/>
    <s v="33027-4139"/>
    <s v="CA3008"/>
    <s v="CARRIER MODULE HIGH DENSITY"/>
    <s v="20114877"/>
    <s v="32.1"/>
    <x v="114"/>
    <n v="1959315"/>
    <d v="2016-10-04T11:10:55"/>
    <m/>
    <d v="2016-10-24T00:00:00"/>
    <d v="2016-11-02T00:00:00"/>
    <d v="2016-10-26T00:00:00"/>
    <m/>
    <n v="1"/>
    <n v="1"/>
    <n v="216"/>
    <n v="216"/>
    <s v="N259"/>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14L5B01"/>
    <s v="SJ2_STAG"/>
    <s v="COMCAST CABLE"/>
    <s v="2601 SW 145th Ave"/>
    <s v="FL"/>
    <s v="Miramar"/>
    <s v="33027-4139"/>
    <s v="CA3008"/>
    <s v="CARRIER MODULE HIGH DENSITY"/>
    <s v="20114877"/>
    <s v="32.1"/>
    <x v="114"/>
    <n v="1959315"/>
    <d v="2016-10-04T11:10:55"/>
    <m/>
    <d v="2016-10-24T00:00:00"/>
    <d v="2016-11-02T00:00:00"/>
    <d v="2016-10-26T00:00:00"/>
    <m/>
    <n v="1"/>
    <n v="1"/>
    <n v="216"/>
    <n v="216"/>
    <s v="N259"/>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73L5"/>
    <s v="SJ2_STAG"/>
    <s v="COMCAST CABLE"/>
    <s v="2601 SW 145th Ave"/>
    <s v="FL"/>
    <s v="Miramar"/>
    <s v="33027-4139"/>
    <s v="CC3008"/>
    <s v="COMM CONTROL MODULE HIGH DENSI"/>
    <s v="20114877"/>
    <s v="33.1"/>
    <x v="114"/>
    <n v="1959343"/>
    <d v="2016-10-04T11:10:55"/>
    <m/>
    <d v="2016-10-24T00:00:00"/>
    <d v="2016-11-02T00:00:00"/>
    <d v="2016-10-26T00:00:00"/>
    <m/>
    <n v="2"/>
    <n v="2"/>
    <n v="216"/>
    <n v="216"/>
    <s v="N260"/>
    <s v="NWK ACCESS TECH"/>
    <s v="HEO"/>
    <s v="TRANSMITTERS AURORA"/>
    <s v="HDTX"/>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57L2"/>
    <s v="SJ2_STAG"/>
    <s v="COMCAST CABLE"/>
    <s v="2601 SW 145th Ave"/>
    <s v="FL"/>
    <s v="Miramar"/>
    <s v="33027-4139"/>
    <s v="HT3FILD"/>
    <s v="XMTR DOUBLE HT FILLER MODULE"/>
    <s v="20114877"/>
    <s v="34.1"/>
    <x v="114"/>
    <n v="1959315"/>
    <d v="2016-10-04T11:10:55"/>
    <m/>
    <d v="2016-10-24T00:00:00"/>
    <d v="2016-11-02T00:00:00"/>
    <d v="2016-10-26T00:00:00"/>
    <m/>
    <n v="3"/>
    <n v="3"/>
    <n v="504"/>
    <n v="504"/>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79L3"/>
    <s v="SJ2_STAG"/>
    <s v="COMCAST CABLE"/>
    <s v="2601 SW 145th Ave"/>
    <s v="FL"/>
    <s v="Miramar"/>
    <s v="33027-4139"/>
    <s v="RR4000-00-PI"/>
    <s v="RCVR DUAL PLUGGABLE SFP 3 GBPS"/>
    <s v="20114877"/>
    <s v="35.1"/>
    <x v="114"/>
    <n v="1959287"/>
    <d v="2016-10-04T11:10:55"/>
    <m/>
    <d v="2016-10-24T00:00:00"/>
    <d v="2016-11-02T00:00:00"/>
    <d v="2016-10-26T00:00:00"/>
    <m/>
    <n v="2"/>
    <n v="2"/>
    <n v="360"/>
    <n v="360"/>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2P52L4"/>
    <s v="SJ2_STAG"/>
    <s v="COMCAST CABLE"/>
    <s v="2601 SW 145th Ave"/>
    <s v="FL"/>
    <s v="Miramar"/>
    <s v="33027-4139"/>
    <s v="OP35D8K-1-99-AS"/>
    <s v="OPT DEMUX 100GHZ ITU CH 20-27"/>
    <s v="20114877"/>
    <s v="6.1"/>
    <x v="116"/>
    <n v="1963242"/>
    <d v="2016-10-04T11:10:55"/>
    <m/>
    <d v="2016-10-28T00:00:00"/>
    <d v="2016-11-02T00:00:00"/>
    <d v="2016-10-28T00:00:00"/>
    <m/>
    <n v="1"/>
    <m/>
    <n v="1261"/>
    <m/>
    <s v="N165"/>
    <s v="NWK ACCESS TECH"/>
    <s v="OPTICAL PASSIVES"/>
    <s v="INDOOR PASSIVES AURORA"/>
    <s v="N16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3P73L4"/>
    <s v="SJ2_STAG"/>
    <s v="COMCAST CABLE"/>
    <s v="2601 SW 145th Ave"/>
    <s v="FL"/>
    <s v="Miramar"/>
    <s v="33027-4139"/>
    <s v="BC1000-AS"/>
    <s v="BULKHEAD ADAPTER SC/APC-SC/APC"/>
    <s v="20114877"/>
    <s v="7.1"/>
    <x v="114"/>
    <n v="1959287"/>
    <d v="2016-10-04T11:10:55"/>
    <m/>
    <d v="2016-10-24T00:00:00"/>
    <d v="2016-11-02T00:00:00"/>
    <d v="2016-10-26T00:00:00"/>
    <m/>
    <n v="4"/>
    <n v="4"/>
    <n v="12"/>
    <n v="12"/>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2L2B01"/>
    <s v="SJ2_STAG"/>
    <s v="COMCAST CABLE"/>
    <s v="2601 SW 145th Ave"/>
    <s v="FL"/>
    <s v="Miramar"/>
    <s v="33027-4139"/>
    <s v="TR4580-21-PI"/>
    <s v="XCVR PLUGGABLE DWDM ITU CH 21"/>
    <s v="20114877"/>
    <s v="8.1"/>
    <x v="116"/>
    <n v="1963242"/>
    <d v="2016-10-04T11:10:55"/>
    <m/>
    <d v="2016-10-28T00:00:00"/>
    <d v="2016-11-02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2L4"/>
    <s v="SJ2_STAG"/>
    <s v="COMCAST"/>
    <s v="3707 Buckeye St"/>
    <s v="FL"/>
    <s v="Palm Beach Gardens"/>
    <s v="33410-4230"/>
    <s v="HB4001"/>
    <s v="BRACKET 2 SLOT FOR 12 BC1000-A"/>
    <s v="20114891"/>
    <s v="26.1"/>
    <x v="117"/>
    <n v="1959312"/>
    <d v="2016-10-04T11:27:54"/>
    <m/>
    <d v="2016-10-24T00:00:00"/>
    <d v="2016-10-04T00:00:00"/>
    <d v="2016-10-26T00:00:00"/>
    <m/>
    <n v="1"/>
    <m/>
    <n v="57"/>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3P02L4"/>
    <s v="SJ2_STAG"/>
    <s v="COMCAST"/>
    <s v="3707 Buckeye St"/>
    <s v="FL"/>
    <s v="Palm Beach Gardens"/>
    <s v="33410-4230"/>
    <s v="HB4002"/>
    <s v="BRACKET 2 SLOT FOR 6 S-CASE PA"/>
    <s v="20114891"/>
    <s v="27.1"/>
    <x v="117"/>
    <n v="1959312"/>
    <d v="2016-10-04T11:27:54"/>
    <m/>
    <d v="2016-10-24T00:00:00"/>
    <d v="2016-10-04T00:00:00"/>
    <d v="2016-10-26T00:00:00"/>
    <m/>
    <n v="1"/>
    <m/>
    <n v="51"/>
    <m/>
    <s v="N224"/>
    <s v="NWK ACCESS TECH"/>
    <s v="ACCESS OTHER"/>
    <s v="OTHER AURORA"/>
    <s v="N22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39L2"/>
    <s v="SJ2_STAG"/>
    <s v="COMCAST"/>
    <s v="3707 Buckeye St"/>
    <s v="FL"/>
    <s v="Palm Beach Gardens"/>
    <s v="33410-4230"/>
    <s v="OA-01.0-02-AS"/>
    <s v="ATTENUATOR PRCN OPT SC/APC-SC/"/>
    <s v="20114891"/>
    <s v="31.1"/>
    <x v="118"/>
    <n v="1963231"/>
    <d v="2016-10-04T11:27:54"/>
    <m/>
    <d v="2016-10-28T00:00:00"/>
    <d v="2016-10-04T00:00:00"/>
    <d v="2016-10-28T00:00:00"/>
    <m/>
    <n v="1"/>
    <n v="1"/>
    <n v="48"/>
    <n v="48"/>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ALM BEACH GARDENS - McCarty"/>
    <s v="R022P11L6"/>
    <s v="SJ2_STAG"/>
    <s v="COMCAST"/>
    <s v="3707 Buckeye St"/>
    <s v="FL"/>
    <s v="Palm Beach Gardens"/>
    <s v="33410-4230"/>
    <s v="OA-07-00-AS"/>
    <s v="ATTENUATOR STD OPT SC/APC-SC/A"/>
    <s v="20114993"/>
    <s v="37.1"/>
    <x v="119"/>
    <n v="1963231"/>
    <d v="2016-10-04T15:17:55"/>
    <m/>
    <d v="2016-10-28T00:00:00"/>
    <d v="2016-10-04T00:00:00"/>
    <d v="2016-10-28T00:00:00"/>
    <m/>
    <n v="1"/>
    <m/>
    <n v="26"/>
    <m/>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34L2B01"/>
    <s v="SJ2_STAG"/>
    <s v="COMCAST"/>
    <s v="195 Rainville Rd"/>
    <s v="VA"/>
    <s v="Winchester"/>
    <s v="22602-4802"/>
    <s v="AR4214G-AS"/>
    <s v="OPT RCVR 51-1000MHZ FWD HG ALC"/>
    <s v="20115327"/>
    <s v="1.1"/>
    <x v="120"/>
    <n v="1943696"/>
    <d v="2016-10-05T15:27:18"/>
    <m/>
    <d v="2016-10-05T00:00:00"/>
    <d v="2016-10-14T00:00:00"/>
    <d v="2016-10-07T00:00:00"/>
    <m/>
    <n v="2"/>
    <m/>
    <n v="752"/>
    <m/>
    <s v="N027"/>
    <s v="NWK ACCESS TECH"/>
    <s v="NODE"/>
    <s v="NODE MISC AURORA"/>
    <s v="N02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WINCHESTER - SELF"/>
    <s v="R016P11L2B02"/>
    <s v="SJ2_STAG"/>
    <s v="COMCAST"/>
    <s v="195 Rainville Rd"/>
    <s v="VA"/>
    <s v="Winchester"/>
    <s v="22602-4802"/>
    <s v="NC412A1SGA1-U0000000"/>
    <s v="NODE 5-42MHZ RVS 51-1GHZ FWD 1"/>
    <s v="20115327"/>
    <s v="2.1"/>
    <x v="120"/>
    <n v="1943695"/>
    <d v="2016-10-05T15:27:18"/>
    <m/>
    <d v="2016-10-05T00:00:00"/>
    <d v="2016-10-14T00:00:00"/>
    <d v="2016-10-07T00:00:00"/>
    <m/>
    <n v="1"/>
    <m/>
    <n v="1665"/>
    <m/>
    <s v="N047"/>
    <s v="NWK ACCESS TECH"/>
    <s v="NODE"/>
    <s v="NC4000 AURORA"/>
    <s v="N047"/>
    <s v="AS-STANDARD ORDER MIXED"/>
    <s v="A-SURFACE"/>
    <s v="OP"/>
    <n v="1237510"/>
    <s v="A-SURFACE"/>
    <m/>
    <m/>
    <m/>
    <s v="A-SURFACE"/>
    <s v="LTL"/>
    <s v="EXW"/>
    <s v="Collect"/>
    <m/>
    <m/>
    <s v="UNDER 200LBS UNPALLETIZED OR SINGLE BOX UNDER 150LBS USE FEDEX #128153870 OVER 200LBS USE OMNI LOGISTICS ACCT COMCASTLSS-COMCASTLSS@OMNILOGISTICS.COM 866-247-6664"/>
    <m/>
    <m/>
    <m/>
    <m/>
    <s v="0"/>
    <s v="0"/>
  </r>
  <r>
    <s v="SJ2"/>
    <s v="5000445"/>
    <s v="COMCAST"/>
    <s v="SALT LAKE CITY10520"/>
    <s v="R023P62L5"/>
    <s v="SJ2_STAG"/>
    <s v="COMCAST CABLE COMM MGMT, LLC"/>
    <s v="1350 E Miller Ave"/>
    <s v="UT"/>
    <s v="Salt Lake City"/>
    <s v="84106-3092"/>
    <s v="OA4444SG-42"/>
    <s v="RF MODULE G SCALABLE 5-42MHZ R"/>
    <s v="20115438"/>
    <s v="1.1"/>
    <x v="121"/>
    <n v="1961079"/>
    <d v="2016-10-06T10:31:49"/>
    <m/>
    <d v="2016-10-26T00:00:00"/>
    <d v="2016-10-06T00:00:00"/>
    <d v="2016-10-26T00:00:00"/>
    <m/>
    <n v="1"/>
    <m/>
    <n v="0"/>
    <m/>
    <s v="N224"/>
    <s v="NWK ACCESS TECH"/>
    <s v="ACCESS OTHER"/>
    <s v="OTHER AURORA"/>
    <s v="N224"/>
    <s v="AS-CUSTOMER DEMO SAMPLE"/>
    <s v="A-SURFACE"/>
    <s v="OP"/>
    <n v="1249843"/>
    <s v="A-SURFACE"/>
    <m/>
    <m/>
    <m/>
    <s v="A-SURFACE"/>
    <s v="LTL"/>
    <s v="DAP"/>
    <s v="Prepaid"/>
    <m/>
    <m/>
    <s v="*** ATTN: JEFF DENT TEL: 801-831-6702"/>
    <m/>
    <m/>
    <m/>
    <m/>
    <s v="0"/>
    <s v="0"/>
  </r>
  <r>
    <s v="SJ2"/>
    <s v="5000445"/>
    <s v="COMCAST"/>
    <s v="PORTLAND"/>
    <s v="R022P20L3"/>
    <s v="SJ2_STAG"/>
    <s v="COMCAST CABLE COMMUNICATIONS"/>
    <s v="7900 NE Killingsworth St"/>
    <s v="OR"/>
    <s v="Portland"/>
    <s v="97218-4028"/>
    <s v="OP35F1D-CF-2-0-00-AS"/>
    <s v="FILTER RED/BL DUAL ITU 18-35 &amp;"/>
    <s v="20115450"/>
    <s v="33.1"/>
    <x v="122"/>
    <n v="1963194"/>
    <d v="2016-10-06T10:48:47"/>
    <m/>
    <d v="2016-10-28T00:00:00"/>
    <d v="2016-10-10T00:00:00"/>
    <d v="2016-10-28T00:00:00"/>
    <m/>
    <n v="2"/>
    <m/>
    <n v="126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2P18L6"/>
    <s v="SJ2_STAG"/>
    <s v="COMCAST CABLE COMMUNICATIONS"/>
    <s v="7900 NE Killingsworth St"/>
    <s v="OR"/>
    <s v="Portland"/>
    <s v="97218-4028"/>
    <s v="OP35F1D-CF-2-0-00-AS"/>
    <s v="FILTER RED/BL DUAL ITU 18-35 &amp;"/>
    <s v="20115450"/>
    <s v="33.1"/>
    <x v="122"/>
    <n v="1963194"/>
    <d v="2016-10-06T10:48:47"/>
    <m/>
    <d v="2016-10-28T00:00:00"/>
    <d v="2016-10-10T00:00:00"/>
    <d v="2016-10-28T00:00:00"/>
    <m/>
    <n v="12"/>
    <m/>
    <n v="757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4P22L2B01"/>
    <s v="SJ2_STAG"/>
    <s v="COMCAST CABLE COMMUNICATIONS"/>
    <s v="7900 NE Killingsworth St"/>
    <s v="OR"/>
    <s v="Portland"/>
    <s v="97218-4028"/>
    <s v="TR4580-21-PI"/>
    <s v="XCVR PLUGGABLE DWDM ITU CH 21"/>
    <s v="20115450"/>
    <s v="43.1"/>
    <x v="122"/>
    <n v="1963194"/>
    <d v="2016-10-06T10:48:47"/>
    <m/>
    <d v="2016-10-28T00:00:00"/>
    <d v="2016-10-10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PORTLAND"/>
    <s v="R024P22L2B01"/>
    <s v="SJ2_STAG"/>
    <s v="COMCAST CABLE COMMUNICATIONS"/>
    <s v="7900 NE Killingsworth St"/>
    <s v="OR"/>
    <s v="Portland"/>
    <s v="97218-4028"/>
    <s v="TR4580-25-PI"/>
    <s v="XCVR PLUGGABLE DWDM ITU CH 25"/>
    <s v="20115450"/>
    <s v="45.1"/>
    <x v="122"/>
    <n v="1963194"/>
    <d v="2016-10-06T10:48:47"/>
    <m/>
    <d v="2016-10-28T00:00:00"/>
    <d v="2016-10-10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2P21L2"/>
    <s v="SJ2_STAG"/>
    <s v="COMCAST CABLE"/>
    <s v="5330 E 65th St"/>
    <s v="IN"/>
    <s v="Indianapolis"/>
    <s v="46220-4821"/>
    <s v="BD35M4-AC1-H02F-3-AS"/>
    <s v="OPT MUX BD 100GHZ D ITU CH 20"/>
    <s v="20115482"/>
    <s v="4.1"/>
    <x v="123"/>
    <n v="1962062"/>
    <d v="2016-10-06T11:56:40"/>
    <m/>
    <d v="2016-10-27T00:00:00"/>
    <d v="2016-10-28T00:00:00"/>
    <d v="2016-10-27T00:00:00"/>
    <m/>
    <n v="1"/>
    <n v="1"/>
    <n v="1617"/>
    <n v="1617"/>
    <s v="N258"/>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16L3B01"/>
    <s v="SJ2_STAG"/>
    <s v="COMCAST CABLE COMMUNICATIONS"/>
    <s v="3500 Patterson Ave SE"/>
    <s v="MI"/>
    <s v="Grand Rapids"/>
    <s v="49512-5699"/>
    <s v="OP95D4-CF1-103-R2-AS"/>
    <s v="DEMUX DWDM 100GHZ 4 CH 03 F-CA"/>
    <s v="20115563"/>
    <s v="16.1"/>
    <x v="124"/>
    <n v="1961744"/>
    <d v="2016-10-06T15:59:25"/>
    <m/>
    <d v="2016-10-26T00:00:00"/>
    <d v="2016-10-19T00:00:00"/>
    <d v="2016-10-28T00:00:00"/>
    <m/>
    <n v="1"/>
    <m/>
    <n v="757"/>
    <m/>
    <s v="N160"/>
    <s v="NWK ACCESS TECH"/>
    <s v="OPTICAL PASSIVES"/>
    <s v="OUTDOOR PASSIVES AURORA"/>
    <s v="N160"/>
    <s v="AS-STANDARD ORDER MIXED"/>
    <s v="A-SURFACE"/>
    <s v="OP"/>
    <n v="1250280"/>
    <s v="A-SURFACE"/>
    <m/>
    <m/>
    <m/>
    <s v="A-SURFACE"/>
    <s v="LTL"/>
    <s v="EXW"/>
    <s v="Collect"/>
    <m/>
    <m/>
    <s v="UNDER 200LBS UNPALLETIZED OR SINGLE BOX UNDER 150LBS USE FEDEX #128153870 OVER 200LBS USE OMNI LOGISTICS ACCT COMCASTLSS-COMCASTLSS@OMNILOGISTICS.COM 866-247-6664"/>
    <m/>
    <m/>
    <m/>
    <m/>
    <s v="0"/>
    <s v="0"/>
  </r>
  <r>
    <s v="SJ2"/>
    <s v="5000445"/>
    <s v="COMCAST"/>
    <s v="GRAND RAPIDS (BERRY)"/>
    <s v="R024P05L2B02"/>
    <s v="SJ2_STAG"/>
    <s v="COMCAST CABLE COMMUNICATIONS"/>
    <s v="3500 Patterson Ave SE"/>
    <s v="MI"/>
    <s v="Grand Rapids"/>
    <s v="49512-5699"/>
    <s v="VH4000-COM-04"/>
    <s v="VH CUSTOM COMCAST 1X2 1XFA4521"/>
    <s v="20115563"/>
    <s v="19.1"/>
    <x v="125"/>
    <n v="1960296"/>
    <d v="2016-10-06T15:59:25"/>
    <m/>
    <d v="2016-10-25T00:00:00"/>
    <d v="2016-10-19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2L2B01"/>
    <s v="SJ2_STAG"/>
    <s v="COMCAST CABLE C/O XPO LOGISTICS"/>
    <s v="2179 S COMMERCE CENTER DR"/>
    <s v="UT"/>
    <s v="West Valley City"/>
    <s v="84120-6426"/>
    <s v="TR4580-21-PI"/>
    <s v="XCVR PLUGGABLE DWDM ITU CH 21"/>
    <s v="20116252"/>
    <s v="2.1"/>
    <x v="126"/>
    <n v="1963197"/>
    <d v="2016-10-11T11:25:16"/>
    <m/>
    <d v="2016-10-28T00:00:00"/>
    <d v="2016-10-31T00:00:00"/>
    <d v="2016-10-28T00:00:00"/>
    <m/>
    <n v="5"/>
    <m/>
    <n v="345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2L2B01"/>
    <s v="SJ2_STAG"/>
    <s v="COMCAST CABLE C/O XPO LOGISTICS"/>
    <s v="2179 S COMMERCE CENTER DR"/>
    <s v="UT"/>
    <s v="West Valley City"/>
    <s v="84120-6426"/>
    <s v="TR4580-25-PI"/>
    <s v="XCVR PLUGGABLE DWDM ITU CH 25"/>
    <s v="20116252"/>
    <s v="5.1"/>
    <x v="126"/>
    <n v="1963197"/>
    <d v="2016-10-11T11:25:16"/>
    <m/>
    <d v="2016-10-28T00:00:00"/>
    <d v="2016-10-31T00:00:00"/>
    <d v="2016-10-28T00:00:00"/>
    <m/>
    <n v="5"/>
    <m/>
    <n v="345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2L2"/>
    <s v="SJ2_STAG"/>
    <s v="COMCAST CABLE C/O XPO LOGISTICS"/>
    <s v="2179 S COMMERCE CENTER DR"/>
    <s v="UT"/>
    <s v="West Valley City"/>
    <s v="84120-6426"/>
    <s v="HT3541H-D-A410-2-AS"/>
    <s v="XMTR DD 1.2GHZ FULL SPECTRUM 3"/>
    <s v="20116270"/>
    <s v="18.1"/>
    <x v="127"/>
    <n v="1961084"/>
    <d v="2016-10-11T12:37:47"/>
    <m/>
    <d v="2016-10-26T00:00:00"/>
    <d v="2016-10-28T00:00:00"/>
    <d v="2016-10-26T00:00:00"/>
    <m/>
    <n v="4"/>
    <n v="4"/>
    <n v="5588"/>
    <n v="5588"/>
    <s v="HE64"/>
    <s v="NWK ACCESS TECH"/>
    <s v="HEO"/>
    <s v="TRANSMITTER"/>
    <s v="HT"/>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34L2"/>
    <s v="SJ2_STAG"/>
    <s v="COMCAST CABLE C/O XPO LOGISTICS"/>
    <s v="2179 S COMMERCE CENTER DR"/>
    <s v="UT"/>
    <s v="West Valley City"/>
    <s v="84120-6426"/>
    <s v="HT3541H-D-A430-2-AS"/>
    <s v="XMTR DD 1.2GHZ FULL SPECTRUM 3"/>
    <s v="20116270"/>
    <s v="19.1"/>
    <x v="128"/>
    <n v="1960519"/>
    <d v="2016-10-11T12:37:47"/>
    <m/>
    <d v="2016-10-25T00:00:00"/>
    <d v="2016-10-28T00:00:00"/>
    <d v="2016-10-26T00:00:00"/>
    <m/>
    <n v="4"/>
    <m/>
    <n v="5588"/>
    <m/>
    <s v="HE64"/>
    <s v="NWK ACCESS TECH"/>
    <s v="HEO"/>
    <s v="TRANSMITTER"/>
    <s v="HT"/>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6L5B02"/>
    <s v="SJ2_STAG"/>
    <s v="COMCAST CABLE C/O XPO LOGISTICS"/>
    <s v="2179 S COMMERCE CENTER DR"/>
    <s v="UT"/>
    <s v="West Valley City"/>
    <s v="84120-6426"/>
    <s v="PS3148D"/>
    <s v="POWER SUPPLY W/DISPLAY -48VDC"/>
    <s v="20116272"/>
    <s v="10.1"/>
    <x v="129"/>
    <n v="1961084"/>
    <d v="2016-10-11T12:44:59"/>
    <m/>
    <d v="2016-10-26T00:00:00"/>
    <d v="2016-10-31T00:00:00"/>
    <d v="2016-10-26T00:00:00"/>
    <m/>
    <n v="10"/>
    <n v="10"/>
    <n v="6140"/>
    <n v="6140"/>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4L5B02"/>
    <s v="SJ2_STAG"/>
    <s v="COMCAST CABLE C/O XPO LOGISTICS"/>
    <s v="2179 S COMMERCE CENTER DR"/>
    <s v="UT"/>
    <s v="West Valley City"/>
    <s v="84120-6426"/>
    <s v="PS3148D"/>
    <s v="POWER SUPPLY W/DISPLAY -48VDC"/>
    <s v="20116278"/>
    <s v="5.1"/>
    <x v="130"/>
    <n v="1961084"/>
    <d v="2016-10-11T13:10:34"/>
    <m/>
    <d v="2016-10-26T00:00:00"/>
    <d v="2016-11-03T00:00:00"/>
    <d v="2016-10-27T00:00:00"/>
    <m/>
    <n v="12"/>
    <n v="12"/>
    <n v="7368"/>
    <n v="736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6L5B02"/>
    <s v="SJ2_STAG"/>
    <s v="COMCAST CABLE C/O XPO LOGISTICS"/>
    <s v="2179 S COMMERCE CENTER DR"/>
    <s v="UT"/>
    <s v="West Valley City"/>
    <s v="84120-6426"/>
    <s v="PS3148D"/>
    <s v="POWER SUPPLY W/DISPLAY -48VDC"/>
    <s v="20116278"/>
    <s v="5.1"/>
    <x v="130"/>
    <n v="1961084"/>
    <d v="2016-10-11T13:10:34"/>
    <m/>
    <d v="2016-10-26T00:00:00"/>
    <d v="2016-11-03T00:00:00"/>
    <d v="2016-10-27T00:00:00"/>
    <m/>
    <n v="6"/>
    <n v="6"/>
    <n v="3684"/>
    <n v="3684"/>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17P59L5"/>
    <s v="SJ2_STAG"/>
    <s v="COMCAST CABLE"/>
    <s v="5330 E 65th St"/>
    <s v="IN"/>
    <s v="Indianapolis"/>
    <s v="46220-4821"/>
    <s v="PF3000N-FM-00"/>
    <s v="PASSIVE FRAME 4RU FBR MGT NO C"/>
    <s v="20116297"/>
    <s v="1.1"/>
    <x v="131"/>
    <n v="1954499"/>
    <d v="2016-10-11T14:42:07"/>
    <m/>
    <d v="2016-10-19T00:00:00"/>
    <d v="2016-10-28T00:00:00"/>
    <d v="2016-10-21T00:00:00"/>
    <m/>
    <n v="1"/>
    <m/>
    <n v="121"/>
    <m/>
    <s v="N224"/>
    <s v="NWK ACCESS TECH"/>
    <s v="ACCESS OTHER"/>
    <s v="OTHER AURORA"/>
    <s v="N224"/>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1"/>
    <s v="SJ2_STAG"/>
    <s v="COMCAST CABLE"/>
    <s v="5330 E 65th St"/>
    <s v="IN"/>
    <s v="Indianapolis"/>
    <s v="46220-4821"/>
    <s v="TL3000-EJ-00"/>
    <s v="TOOL EXTRACTOR HANDLE CH3000"/>
    <s v="20116297"/>
    <s v="5.1"/>
    <x v="131"/>
    <n v="1954499"/>
    <d v="2016-10-11T14:42:07"/>
    <m/>
    <d v="2016-10-19T00:00:00"/>
    <d v="2016-10-28T00:00:00"/>
    <d v="2016-10-21T00:00:00"/>
    <m/>
    <n v="1"/>
    <m/>
    <n v="6"/>
    <m/>
    <s v="N185"/>
    <s v="NWK ACCESS TECH"/>
    <s v="ACCESS OTHER"/>
    <s v="OTHER AURORA"/>
    <s v="N185"/>
    <s v="AS-STANDARD ORDER MIXED"/>
    <s v="A-SURFACE"/>
    <s v="OP"/>
    <n v="124559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05L2B02"/>
    <s v="SJ2_STAG"/>
    <s v="COMCAST CABLE COMMUNICATIONS"/>
    <s v="49800 Martin Dr"/>
    <s v="MI"/>
    <s v="Wixom"/>
    <s v="48393-2404"/>
    <s v="VH4000-COM-04"/>
    <s v="VH CUSTOM COMCAST 1X2 1XFA4521"/>
    <s v="20116327"/>
    <s v="16.1"/>
    <x v="132"/>
    <n v="1960300"/>
    <d v="2016-10-11T15:10:15"/>
    <m/>
    <d v="2016-10-25T00:00:00"/>
    <d v="2016-10-24T00:00:00"/>
    <d v="2016-10-25T00:00:00"/>
    <m/>
    <n v="1"/>
    <n v="1"/>
    <n v="7364"/>
    <n v="7364"/>
    <s v="N055"/>
    <s v="NWK ACCESS TECH"/>
    <s v="HPON"/>
    <s v="VHUB AURORA"/>
    <s v="N055"/>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3P63L3"/>
    <s v="SJ2_STAG"/>
    <s v="COMCAST CABLE"/>
    <s v="1530 Chartiers Ave"/>
    <s v="PA"/>
    <s v="Pittsburgh"/>
    <s v="15204-2520"/>
    <s v="HT3541H-D-A210-2-AS"/>
    <s v="XMTR DD 1.2GHZ FULL SPECTRUM 3"/>
    <s v="20116418"/>
    <s v="13.1"/>
    <x v="133"/>
    <n v="1960205"/>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1L3"/>
    <s v="SJ2_STAG"/>
    <s v="COMCAST CABLE"/>
    <s v="1530 Chartiers Ave"/>
    <s v="PA"/>
    <s v="Pittsburgh"/>
    <s v="15204-2520"/>
    <s v="HT3541H-D-A520-2-AS"/>
    <s v="XMTR DD 1.2GHZ FULL SPECTRUM 3"/>
    <s v="20116418"/>
    <s v="22.1"/>
    <x v="133"/>
    <n v="1960205"/>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02L1B01"/>
    <s v="SJ2_STAG"/>
    <s v="COMCAST CABLE"/>
    <s v="1530 Chartiers Ave"/>
    <s v="PA"/>
    <s v="Pittsburgh"/>
    <s v="15204-2520"/>
    <s v="BD35M4-AC3-H02F-1-AS"/>
    <s v="OPT MUX BD 100GHZ A1 ITU CH 23"/>
    <s v="20116418"/>
    <s v="27.1"/>
    <x v="134"/>
    <n v="1960994"/>
    <d v="2016-10-12T09:57:08"/>
    <m/>
    <d v="2016-10-26T00:00:00"/>
    <d v="2016-10-12T00:00:00"/>
    <d v="2016-10-28T00:00:00"/>
    <m/>
    <n v="1"/>
    <m/>
    <n v="1617"/>
    <m/>
    <s v="N258"/>
    <s v="NWK ACCESS TECH"/>
    <s v="HEO"/>
    <s v="TRANSMITTERS AURORA"/>
    <s v="HDTX"/>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20L2B01"/>
    <s v="SJ2_STAG"/>
    <s v="COMCAST CABLE"/>
    <s v="1530 Chartiers Ave"/>
    <s v="PA"/>
    <s v="Pittsburgh"/>
    <s v="15204-2520"/>
    <s v="HT3303H-D-1310-2-AS"/>
    <s v="XMTR DD 1.2GHZ 1310NM D-IN 3DB"/>
    <s v="20116418"/>
    <s v="31.1"/>
    <x v="133"/>
    <n v="1960205"/>
    <d v="2016-10-12T09:57:08"/>
    <m/>
    <d v="2016-10-25T00:00:00"/>
    <d v="2016-10-12T00:00:00"/>
    <d v="2016-10-27T00:00:00"/>
    <m/>
    <n v="2"/>
    <m/>
    <n v="162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1L4"/>
    <s v="SJ2_STAG"/>
    <s v="COMCAST CABLE"/>
    <s v="1530 Chartiers Ave"/>
    <s v="PA"/>
    <s v="Pittsburgh"/>
    <s v="15204-2520"/>
    <s v="HT3303H-D-1310-2-AS"/>
    <s v="XMTR DD 1.2GHZ 1310NM D-IN 3DB"/>
    <s v="20116418"/>
    <s v="31.1"/>
    <x v="133"/>
    <n v="1960249"/>
    <d v="2016-10-12T09:57:08"/>
    <m/>
    <d v="2016-10-25T00:00:00"/>
    <d v="2016-10-12T00:00:00"/>
    <d v="2016-10-27T00:00:00"/>
    <m/>
    <n v="2"/>
    <m/>
    <n v="162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0L4"/>
    <s v="SJ2_STAG"/>
    <s v="COMCAST CABLE"/>
    <s v="1530 Chartiers Ave"/>
    <s v="PA"/>
    <s v="Pittsburgh"/>
    <s v="15204-2520"/>
    <s v="HT3310H-D-1310-2-AS"/>
    <s v="XMTR DD 1.2GHZ 1310NM D-IN 10D"/>
    <s v="20116418"/>
    <s v="34.1"/>
    <x v="133"/>
    <n v="1960249"/>
    <d v="2016-10-12T09:57:08"/>
    <m/>
    <d v="2016-10-25T00:00:00"/>
    <d v="2016-10-12T00:00:00"/>
    <d v="2016-10-25T00:00:00"/>
    <m/>
    <n v="2"/>
    <m/>
    <n v="2008"/>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4P19L2B01"/>
    <s v="SJ2_STAG"/>
    <s v="COMCAST CABLE"/>
    <s v="1530 Chartiers Ave"/>
    <s v="PA"/>
    <s v="Pittsburgh"/>
    <s v="15204-2520"/>
    <s v="HT3311H-D-1310-2-AS"/>
    <s v="XMTR DD 1.2GHZ 1310NM D-IN 11D"/>
    <s v="20116418"/>
    <s v="35.1"/>
    <x v="133"/>
    <n v="1960205"/>
    <d v="2016-10-12T09:57:08"/>
    <m/>
    <d v="2016-10-25T00:00:00"/>
    <d v="2016-10-12T00:00:00"/>
    <d v="2016-10-27T00:00:00"/>
    <m/>
    <n v="6"/>
    <m/>
    <n v="6810"/>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70L4"/>
    <s v="SJ2_STAG"/>
    <s v="COMCAST CABLE"/>
    <s v="1530 Chartiers Ave"/>
    <s v="PA"/>
    <s v="Pittsburgh"/>
    <s v="15204-2520"/>
    <s v="HT3313H-D-1310-2-AS"/>
    <s v="XMTR DD 1.2GHZ 1310NM D-IN 13D"/>
    <s v="20116418"/>
    <s v="37.1"/>
    <x v="133"/>
    <n v="1960249"/>
    <d v="2016-10-12T09:57:08"/>
    <m/>
    <d v="2016-10-25T00:00:00"/>
    <d v="2016-10-12T00:00:00"/>
    <d v="2016-10-25T00:00:00"/>
    <m/>
    <n v="1"/>
    <m/>
    <n v="1397"/>
    <m/>
    <s v="HE64"/>
    <s v="NWK ACCESS TECH"/>
    <s v="HEO"/>
    <s v="TRANSMITTER"/>
    <s v="HT"/>
    <s v="AS-STANDARD ORDER MIXED"/>
    <s v="A-SURFACE"/>
    <s v="OP"/>
    <n v="1249240"/>
    <s v="A-SURFACE"/>
    <m/>
    <m/>
    <m/>
    <s v="A-SURFACE"/>
    <s v="LTL"/>
    <s v="EXW"/>
    <s v="Collect"/>
    <m/>
    <m/>
    <s v="UNDER 200LBS UNPALLETIZED OR SINGLE BOX UNDER 150LBS USE FEDEX #128153870 OVER 200LBS USE OMNI LOGISTICS ACCT COMCASTLSS-COMCASTLSS@OMNILOGISTICS.COM 866-247-6664"/>
    <m/>
    <m/>
    <m/>
    <m/>
    <s v="0"/>
    <s v="0"/>
  </r>
  <r>
    <s v="SJ2"/>
    <s v="5000445"/>
    <s v="COMCAST"/>
    <s v="PITTSBURGH (TROMBETTA)"/>
    <s v="R022P33L2"/>
    <s v="SJ2_STAG"/>
    <s v="COMCAST CABLE"/>
    <s v="1530 Chartiers Ave"/>
    <s v="PA"/>
    <s v="Pittsburgh"/>
    <s v="15204-2520"/>
    <s v="OA-01.5-02-AS"/>
    <s v="ATTENUATOR PRCN OPT SC/APC-SC/"/>
    <s v="20116418"/>
    <s v="59.1"/>
    <x v="135"/>
    <n v="1963205"/>
    <d v="2016-10-12T09:57:08"/>
    <m/>
    <d v="2016-10-28T00:00:00"/>
    <d v="2016-10-12T00:00:00"/>
    <d v="2016-10-28T00:00:00"/>
    <m/>
    <n v="2"/>
    <n v="2"/>
    <n v="168"/>
    <n v="168"/>
    <s v="N224"/>
    <s v="NWK ACCESS TECH"/>
    <s v="ACCESS OTHER"/>
    <s v="OTHER AURORA"/>
    <s v="N224"/>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1"/>
    <s v="1.1"/>
    <x v="136"/>
    <n v="1949201"/>
    <d v="2016-10-12T13:31:28"/>
    <m/>
    <d v="2016-10-12T00:00:00"/>
    <d v="2016-10-12T00:00:00"/>
    <d v="2016-10-12T00:00:00"/>
    <m/>
    <n v="1"/>
    <m/>
    <n v="2041"/>
    <m/>
    <s v="N034"/>
    <s v="NWK ACCESS TECH"/>
    <s v="NODE"/>
    <s v="NC4000 AURORA"/>
    <s v="N03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HT3541H-D-A200-2-AS"/>
    <s v="XMTR DD 1.2GHZ FULL SPECTRUM 3"/>
    <s v="20116471"/>
    <s v="11.1"/>
    <x v="136"/>
    <n v="1949200"/>
    <d v="2016-10-12T13:31:28"/>
    <m/>
    <d v="2016-10-12T00:00:00"/>
    <d v="2016-10-12T00:00:00"/>
    <d v="2016-10-12T00:00:00"/>
    <m/>
    <n v="1"/>
    <m/>
    <n v="1397"/>
    <m/>
    <s v="HE64"/>
    <s v="NWK ACCESS TECH"/>
    <s v="HEO"/>
    <s v="TRANSMITTER"/>
    <s v="HT"/>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02L1"/>
    <s v="SJ2_STAG"/>
    <s v="COMCAST CABLE COMMUNICATIONS"/>
    <s v="1050 E King St"/>
    <s v="PA"/>
    <s v="York"/>
    <s v="17403-1855"/>
    <s v="BP3400C-00"/>
    <s v="BACKPLATE 4.25 GB/S 1-FER/2-FE"/>
    <s v="20116471"/>
    <s v="13.1"/>
    <x v="136"/>
    <n v="1949200"/>
    <d v="2016-10-12T13:31:28"/>
    <m/>
    <d v="2016-10-12T00:00:00"/>
    <d v="2016-10-12T00:00:00"/>
    <d v="2016-10-12T00:00:00"/>
    <m/>
    <n v="1"/>
    <m/>
    <n v="392"/>
    <m/>
    <s v="N076"/>
    <s v="NWK ACCESS TECH"/>
    <s v="HEO"/>
    <s v="HEO MISC AURORA"/>
    <s v="N076"/>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02L3B01"/>
    <s v="SJ2_STAG"/>
    <s v="COMCAST CABLE COMMUNICATIONS"/>
    <s v="1050 E King St"/>
    <s v="PA"/>
    <s v="York"/>
    <s v="17403-1855"/>
    <s v="DR3450N-50-00"/>
    <s v="DIGITAL RECEIVER Q-RX 2.125GBP"/>
    <s v="20116471"/>
    <s v="14.1"/>
    <x v="136"/>
    <n v="1949201"/>
    <d v="2016-10-12T13:31:28"/>
    <m/>
    <d v="2016-10-12T00:00:00"/>
    <d v="2016-10-12T00:00:00"/>
    <d v="2016-10-12T00:00:00"/>
    <m/>
    <n v="1"/>
    <m/>
    <n v="1200"/>
    <m/>
    <s v="N275"/>
    <s v="NWK ACCESS TECH"/>
    <s v="HEO"/>
    <s v="RECEIVERS AURORA"/>
    <s v="N275"/>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59L1"/>
    <s v="SJ2_STAG"/>
    <s v="COMCAST CABLE COMMUNICATIONS"/>
    <s v="1050 E King St"/>
    <s v="PA"/>
    <s v="York"/>
    <s v="17403-1855"/>
    <s v="PF3000C-FM-00"/>
    <s v="PASSIVE FRAME 4RU FBR MGT COVE"/>
    <s v="20116471"/>
    <s v="17.1"/>
    <x v="136"/>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4L2B01"/>
    <s v="SJ2_STAG"/>
    <s v="COMCAST CABLE COMMUNICATIONS"/>
    <s v="1050 E King St"/>
    <s v="PA"/>
    <s v="York"/>
    <s v="17403-1855"/>
    <s v="PF3000C-FM-00"/>
    <s v="PASSIVE FRAME 4RU FBR MGT COVE"/>
    <s v="20116471"/>
    <s v="17.1"/>
    <x v="136"/>
    <n v="1949200"/>
    <d v="2016-10-12T13:31:28"/>
    <m/>
    <d v="2016-10-12T00:00:00"/>
    <d v="2016-10-12T00:00:00"/>
    <d v="2016-10-12T00:00:00"/>
    <m/>
    <n v="1"/>
    <m/>
    <n v="198"/>
    <m/>
    <s v="N224"/>
    <s v="NWK ACCESS TECH"/>
    <s v="ACCESS OTHER"/>
    <s v="OTHER AURORA"/>
    <s v="N22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EC1"/>
    <s v="SJ2_STAG"/>
    <s v="COMCAST CABLE COMMUNICATIONS"/>
    <s v="1050 E King St"/>
    <s v="PA"/>
    <s v="York"/>
    <s v="17403-1855"/>
    <s v="CH3000N"/>
    <s v="CHASSIS NO COVERS 3RU"/>
    <s v="20116471"/>
    <s v="4.1"/>
    <x v="136"/>
    <n v="1949200"/>
    <d v="2016-10-12T13:31:28"/>
    <m/>
    <d v="2016-10-12T00:00:00"/>
    <d v="2016-10-12T00:00:00"/>
    <d v="2016-10-12T00:00:00"/>
    <m/>
    <n v="2"/>
    <m/>
    <n v="440"/>
    <m/>
    <s v="N199"/>
    <s v="NWK ACCESS TECH"/>
    <s v="HEO"/>
    <s v="HEO MISC AURORA"/>
    <s v="N199"/>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6P23L1B01"/>
    <s v="SJ2_STAG"/>
    <s v="COMCAST CABLE COMMUNICATIONS"/>
    <s v="1050 E King St"/>
    <s v="PA"/>
    <s v="York"/>
    <s v="17403-1855"/>
    <s v="PS3148D"/>
    <s v="POWER SUPPLY W/DISPLAY -48VDC"/>
    <s v="20116471"/>
    <s v="5.1"/>
    <x v="136"/>
    <n v="1949201"/>
    <d v="2016-10-12T13:31:28"/>
    <m/>
    <d v="2016-10-12T00:00:00"/>
    <d v="2016-10-12T00:00:00"/>
    <d v="2016-10-12T00:00:00"/>
    <m/>
    <n v="2"/>
    <m/>
    <n v="1228"/>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22L4"/>
    <s v="SJ2_STAG"/>
    <s v="COMCAST CABLE COMMUNICATIONS"/>
    <s v="1050 E King St"/>
    <s v="PA"/>
    <s v="York"/>
    <s v="17403-1855"/>
    <s v="PS3148N"/>
    <s v="POWER SUPPLY NO DISPLAY -48VDC"/>
    <s v="20116471"/>
    <s v="6.1"/>
    <x v="136"/>
    <n v="1949200"/>
    <d v="2016-10-12T13:31:28"/>
    <m/>
    <d v="2016-10-12T00:00:00"/>
    <d v="2016-10-12T00:00:00"/>
    <d v="2016-10-12T00:00:00"/>
    <m/>
    <n v="2"/>
    <m/>
    <n v="1056"/>
    <m/>
    <s v="N204"/>
    <s v="NWK ACCESS TECH"/>
    <s v="ACCESS OTHER"/>
    <s v="OTHER AURORA"/>
    <s v="N204"/>
    <s v="AS-STANDARD ORDER MIXED"/>
    <s v="A-SURFACE"/>
    <s v="OP"/>
    <n v="124174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2P62L3"/>
    <s v="SJ2_STAG"/>
    <s v="COMCAST CABLE COMMUNICATIONS"/>
    <s v="1050 E King St"/>
    <s v="PA"/>
    <s v="York"/>
    <s v="17403-1855"/>
    <s v="HT3541H-D-A240-2-AS"/>
    <s v="XMTR DD 1.2GHZ FULL SPECTRUM 3"/>
    <s v="20116473"/>
    <s v="15.1"/>
    <x v="137"/>
    <n v="1959704"/>
    <d v="2016-10-12T13:44:24"/>
    <m/>
    <d v="2016-10-24T00:00:00"/>
    <d v="2016-10-12T00:00:00"/>
    <d v="2016-10-26T00:00:00"/>
    <m/>
    <n v="2"/>
    <n v="2"/>
    <n v="2794"/>
    <n v="2794"/>
    <s v="HE64"/>
    <s v="NWK ACCESS TECH"/>
    <s v="HEO"/>
    <s v="TRANSMITTER"/>
    <s v="HT"/>
    <s v="AS-STANDARD ORDER MIXED"/>
    <s v="A-SURFACE"/>
    <s v="OP"/>
    <n v="1248864"/>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10L4"/>
    <s v="SJ2_STAG"/>
    <s v="COMCAST CABLE COMMUNICATIONS"/>
    <s v="1050 E King St"/>
    <s v="PA"/>
    <s v="York"/>
    <s v="17403-1855"/>
    <s v="TR4440B-1610-PI"/>
    <s v="TRANSCEIVER SFP 60KM CWDM 1610"/>
    <s v="20116473"/>
    <s v="4.1"/>
    <x v="138"/>
    <n v="1962085"/>
    <d v="2016-10-12T13:44:24"/>
    <m/>
    <d v="2016-10-27T00:00:00"/>
    <d v="2016-10-12T00:00:00"/>
    <d v="2016-10-27T00:00:00"/>
    <m/>
    <n v="4"/>
    <m/>
    <n v="1200"/>
    <m/>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4P16L3B01"/>
    <s v="SJ2_STAG"/>
    <s v="COMCAST CABLE COMMUNICATIONS"/>
    <s v="1050 E King St"/>
    <s v="PA"/>
    <s v="York"/>
    <s v="17403-1855"/>
    <s v="OP95D4-CF1-103-R2-AS"/>
    <s v="DEMUX DWDM 100GHZ 4 CH 03 F-CA"/>
    <s v="20116473"/>
    <s v="5.1"/>
    <x v="138"/>
    <n v="1962085"/>
    <d v="2016-10-12T13:44:24"/>
    <m/>
    <d v="2016-10-27T00:00:00"/>
    <d v="2016-10-12T00:00:00"/>
    <d v="2016-10-27T00:00:00"/>
    <m/>
    <n v="4"/>
    <m/>
    <n v="3028"/>
    <m/>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64L2"/>
    <s v="SJ2_STAG"/>
    <s v="COMCAST CABLE COMMUNICATIONS"/>
    <s v="1050 E King St"/>
    <s v="PA"/>
    <s v="York"/>
    <s v="17403-1855"/>
    <s v="NC412A1S2A1-U0000000"/>
    <s v="NODE 5-42/51-1GHZ JXP HG RX DT"/>
    <s v="20116478"/>
    <s v="1.1"/>
    <x v="139"/>
    <n v="1949173"/>
    <d v="2016-10-12T14:03:54"/>
    <m/>
    <d v="2016-10-12T00:00:00"/>
    <d v="2016-10-12T00:00:00"/>
    <d v="2016-10-12T00:00:00"/>
    <m/>
    <n v="10"/>
    <n v="10"/>
    <n v="16650"/>
    <n v="16650"/>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15P31L3"/>
    <s v="SJ2_STAG"/>
    <s v="COMCAST CABLE COMMUNICATIONS"/>
    <s v="1050 E King St"/>
    <s v="PA"/>
    <s v="York"/>
    <s v="17403-1855"/>
    <s v="NC412A2S2A5-U0000000"/>
    <s v="NODE 5-42/51-1GHZ JXP 2X2 SEG"/>
    <s v="20116478"/>
    <s v="2.1"/>
    <x v="139"/>
    <n v="1949173"/>
    <d v="2016-10-12T14:03:54"/>
    <m/>
    <d v="2016-10-12T00:00:00"/>
    <d v="2016-10-12T00:00:00"/>
    <d v="2016-10-12T00:00:00"/>
    <m/>
    <n v="9"/>
    <n v="9"/>
    <n v="18369"/>
    <n v="18369"/>
    <s v="N034"/>
    <s v="NWK ACCESS TECH"/>
    <s v="NODE"/>
    <s v="NC4000 AURORA"/>
    <s v="N034"/>
    <s v="AS-STANDARD ORDER MIXED"/>
    <s v="A-SURFACE"/>
    <s v="OP"/>
    <n v="1241715"/>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3P10L4"/>
    <s v="SJ2_STAG"/>
    <s v="COMCAST CABLE COMMUNICATIONS"/>
    <s v="1050 E King St"/>
    <s v="PA"/>
    <s v="York"/>
    <s v="17403-1855"/>
    <s v="TR4440B-1610-PI"/>
    <s v="TRANSCEIVER SFP 60KM CWDM 1610"/>
    <s v="20116478"/>
    <s v="3.1"/>
    <x v="140"/>
    <n v="1962085"/>
    <d v="2016-10-12T14:03:54"/>
    <m/>
    <d v="2016-10-27T00:00:00"/>
    <d v="2016-10-12T00:00:00"/>
    <d v="2016-10-27T00:00:00"/>
    <m/>
    <n v="19"/>
    <m/>
    <n v="5700"/>
    <m/>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YORK"/>
    <s v="R024P16L3B01"/>
    <s v="SJ2_STAG"/>
    <s v="COMCAST CABLE COMMUNICATIONS"/>
    <s v="1050 E King St"/>
    <s v="PA"/>
    <s v="York"/>
    <s v="17403-1855"/>
    <s v="OP95D4-CF1-103-R2-AS"/>
    <s v="DEMUX DWDM 100GHZ 4 CH 03 F-CA"/>
    <s v="20116478"/>
    <s v="4.1"/>
    <x v="140"/>
    <n v="1962085"/>
    <d v="2016-10-12T14:03:54"/>
    <m/>
    <d v="2016-10-27T00:00:00"/>
    <d v="2016-10-12T00:00:00"/>
    <d v="2016-10-27T00:00:00"/>
    <m/>
    <n v="9"/>
    <m/>
    <n v="6813"/>
    <m/>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6L5B01"/>
    <s v="SJ2_STAG"/>
    <s v="COMCAST CABLE C/O XPO LOGISTICS"/>
    <s v="2179 S COMMERCE CENTER DR"/>
    <s v="UT"/>
    <s v="West Valley City"/>
    <s v="84120-6426"/>
    <s v="OP34D5H-0-00-AS"/>
    <s v="DEMUX CWDM HIGH 5CH SC/APC"/>
    <s v="20116616"/>
    <s v="18.1"/>
    <x v="141"/>
    <n v="1962022"/>
    <d v="2016-10-13T10:15:50"/>
    <m/>
    <d v="2016-10-27T00:00:00"/>
    <d v="2016-10-13T00:00:00"/>
    <d v="2016-10-27T00:00:00"/>
    <m/>
    <n v="5"/>
    <m/>
    <n v="2765"/>
    <m/>
    <s v="N165"/>
    <s v="NWK ACCESS TECH"/>
    <s v="OPTICAL PASSIVES"/>
    <s v="INDOOR PASSIVES AURORA"/>
    <s v="N165"/>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49L6"/>
    <s v="SJ2_STAG"/>
    <s v="COMCAST CABLE C/O XPO LOGISTICS"/>
    <s v="2179 S COMMERCE CENTER DR"/>
    <s v="UT"/>
    <s v="West Valley City"/>
    <s v="84120-6426"/>
    <s v="TR4440B-1450-PI"/>
    <s v="TRANSCEIVER SFP 60KM CWDM 1450"/>
    <s v="20116616"/>
    <s v="2.1"/>
    <x v="141"/>
    <n v="1962022"/>
    <d v="2016-10-13T10:15:50"/>
    <m/>
    <d v="2016-10-27T00:00:00"/>
    <d v="2016-10-13T00:00:00"/>
    <d v="2016-10-27T00:00:00"/>
    <m/>
    <n v="3"/>
    <m/>
    <n v="900"/>
    <m/>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65L6"/>
    <s v="SJ2_STAG"/>
    <s v="COMCAST CABLE C/O XPO LOGISTICS"/>
    <s v="2179 S COMMERCE CENTER DR"/>
    <s v="UT"/>
    <s v="West Valley City"/>
    <s v="84120-6426"/>
    <s v="TR4440B-1450-PI"/>
    <s v="TRANSCEIVER SFP 60KM CWDM 1450"/>
    <s v="20116616"/>
    <s v="2.1"/>
    <x v="141"/>
    <n v="1962022"/>
    <d v="2016-10-13T10:15:50"/>
    <m/>
    <d v="2016-10-27T00:00:00"/>
    <d v="2016-10-13T00:00:00"/>
    <d v="2016-10-27T00:00:00"/>
    <m/>
    <n v="2"/>
    <m/>
    <n v="600"/>
    <m/>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2L4"/>
    <s v="SJ2_STAG"/>
    <s v="COMCAST CABLE C/O XPO LOGISTICS"/>
    <s v="2179 S COMMERCE CENTER DR"/>
    <s v="UT"/>
    <s v="West Valley City"/>
    <s v="84120-6426"/>
    <s v="OP35D8K-1-99-AS"/>
    <s v="OPT DEMUX 100GHZ ITU CH 20-27"/>
    <s v="20116616"/>
    <s v="22.1"/>
    <x v="142"/>
    <n v="1963197"/>
    <d v="2016-10-13T10:15:50"/>
    <m/>
    <d v="2016-10-28T00:00:00"/>
    <d v="2016-10-13T00:00:00"/>
    <d v="2016-10-28T00:00:00"/>
    <m/>
    <n v="1"/>
    <m/>
    <n v="1261"/>
    <m/>
    <s v="N165"/>
    <s v="NWK ACCESS TECH"/>
    <s v="OPTICAL PASSIVES"/>
    <s v="INDOOR PASSIVES AURORA"/>
    <s v="N16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4P23L3B01"/>
    <s v="SJ2_STAG"/>
    <s v="COMCAST CABLE"/>
    <s v="1233 Cumberland St"/>
    <s v="PA"/>
    <s v="Lebanon"/>
    <s v="17042-4527"/>
    <s v="CC3008"/>
    <s v="COMM CONTROL MODULE HIGH DENSI"/>
    <s v="20116656"/>
    <s v="12.1"/>
    <x v="143"/>
    <n v="1962087"/>
    <d v="2016-10-13T12:00:36"/>
    <m/>
    <d v="2016-10-27T00:00:00"/>
    <d v="2016-10-13T00:00:00"/>
    <d v="2016-10-27T00:00:00"/>
    <m/>
    <n v="6"/>
    <m/>
    <n v="648"/>
    <m/>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3P10L4"/>
    <s v="SJ2_STAG"/>
    <s v="COMCAST CABLE"/>
    <s v="1233 Cumberland St"/>
    <s v="PA"/>
    <s v="Lebanon"/>
    <s v="17042-4527"/>
    <s v="TR4440B-1610-PI"/>
    <s v="TRANSCEIVER SFP 60KM CWDM 1610"/>
    <s v="20116656"/>
    <s v="5.1"/>
    <x v="143"/>
    <n v="1962087"/>
    <d v="2016-10-13T12:00:36"/>
    <m/>
    <d v="2016-10-27T00:00:00"/>
    <d v="2016-10-13T00:00:00"/>
    <d v="2016-10-27T00:00:00"/>
    <m/>
    <n v="10"/>
    <m/>
    <n v="3000"/>
    <m/>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LEBANON (MISC)"/>
    <s v="R024P16L3B01"/>
    <s v="SJ2_STAG"/>
    <s v="COMCAST CABLE"/>
    <s v="1233 Cumberland St"/>
    <s v="PA"/>
    <s v="Lebanon"/>
    <s v="17042-4527"/>
    <s v="OP95D4-CF1-103-R2-AS"/>
    <s v="DEMUX DWDM 100GHZ 4 CH 03 F-CA"/>
    <s v="20116656"/>
    <s v="6.1"/>
    <x v="143"/>
    <n v="1962087"/>
    <d v="2016-10-13T12:00:36"/>
    <m/>
    <d v="2016-10-27T00:00:00"/>
    <d v="2016-10-13T00:00:00"/>
    <d v="2016-10-27T00:00:00"/>
    <m/>
    <n v="7"/>
    <m/>
    <n v="5299"/>
    <m/>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4P23L3B01"/>
    <s v="SJ2_STAG"/>
    <s v="COMCAST CABLE COMM MGMT, LLC"/>
    <s v="400 Riverfront Dr"/>
    <s v="PA"/>
    <s v="Reading"/>
    <s v="19602-2600"/>
    <s v="CC3008"/>
    <s v="COMM CONTROL MODULE HIGH DENSI"/>
    <s v="20116659"/>
    <s v="12.1"/>
    <x v="144"/>
    <n v="1962088"/>
    <d v="2016-10-13T12:11:14"/>
    <m/>
    <d v="2016-10-27T00:00:00"/>
    <d v="2016-10-13T00:00:00"/>
    <d v="2016-10-27T00:00:00"/>
    <m/>
    <n v="15"/>
    <n v="15"/>
    <n v="1620"/>
    <n v="1620"/>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3P10L4"/>
    <s v="SJ2_STAG"/>
    <s v="COMCAST CABLE COMM MGMT, LLC"/>
    <s v="400 Riverfront Dr"/>
    <s v="PA"/>
    <s v="Reading"/>
    <s v="19602-2600"/>
    <s v="TR4440B-1610-PI"/>
    <s v="TRANSCEIVER SFP 60KM CWDM 1610"/>
    <s v="20116659"/>
    <s v="5.1"/>
    <x v="144"/>
    <n v="1962088"/>
    <d v="2016-10-13T12:11:14"/>
    <m/>
    <d v="2016-10-27T00:00:00"/>
    <d v="2016-10-13T00:00:00"/>
    <d v="2016-10-27T00:00:00"/>
    <m/>
    <n v="26"/>
    <n v="26"/>
    <n v="7800"/>
    <n v="7800"/>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READING10553"/>
    <s v="R024P16L3B01"/>
    <s v="SJ2_STAG"/>
    <s v="COMCAST CABLE COMM MGMT, LLC"/>
    <s v="400 Riverfront Dr"/>
    <s v="PA"/>
    <s v="Reading"/>
    <s v="19602-2600"/>
    <s v="OP95D4-CF1-103-R2-AS"/>
    <s v="DEMUX DWDM 100GHZ 4 CH 03 F-CA"/>
    <s v="20116659"/>
    <s v="6.1"/>
    <x v="144"/>
    <n v="1962088"/>
    <d v="2016-10-13T12:11:14"/>
    <m/>
    <d v="2016-10-27T00:00:00"/>
    <d v="2016-10-13T00:00:00"/>
    <d v="2016-10-27T00:00:00"/>
    <m/>
    <n v="25"/>
    <n v="25"/>
    <n v="18925"/>
    <n v="18925"/>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4P23L3B01"/>
    <s v="SJ2_STAG"/>
    <s v="COMCAST CABLE"/>
    <s v="4601 SMITH ST"/>
    <s v="PA"/>
    <s v="HARRISBURG"/>
    <s v="17109"/>
    <s v="CC3008"/>
    <s v="COMM CONTROL MODULE HIGH DENSI"/>
    <s v="20116672"/>
    <s v="9.1"/>
    <x v="145"/>
    <n v="1961127"/>
    <d v="2016-10-13T12:46:08"/>
    <m/>
    <d v="2016-10-26T00:00:00"/>
    <d v="2016-10-13T00:00:00"/>
    <d v="2016-10-26T00:00:00"/>
    <m/>
    <n v="1"/>
    <n v="1"/>
    <n v="108"/>
    <n v="108"/>
    <s v="N260"/>
    <s v="NWK ACCESS TECH"/>
    <s v="HEO"/>
    <s v="TRANSMITTERS AURORA"/>
    <s v="HDTX"/>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10L4"/>
    <s v="SJ2_STAG"/>
    <s v="COMCAST CABLE"/>
    <s v="5330 E 65th St"/>
    <s v="IN"/>
    <s v="Indianapolis"/>
    <s v="46220-4821"/>
    <s v="TR4440B-1610-PI"/>
    <s v="TRANSCEIVER SFP 60KM CWDM 1610"/>
    <s v="20116892"/>
    <s v="1.1"/>
    <x v="146"/>
    <n v="1962062"/>
    <d v="2016-10-14T11:27:50"/>
    <m/>
    <d v="2016-10-27T00:00:00"/>
    <d v="2016-10-14T00:00:00"/>
    <d v="2016-10-27T00:00:00"/>
    <m/>
    <n v="3"/>
    <n v="3"/>
    <n v="900"/>
    <n v="900"/>
    <s v="N252"/>
    <s v="NWK ACCESS TECH"/>
    <s v="NODE"/>
    <s v="NODE MISC AURORA"/>
    <s v="N252"/>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3P54L2"/>
    <s v="SJ2_STAG"/>
    <s v="COMCAST CABLE COMMUNICATION"/>
    <s v="1707 Imperial Way"/>
    <s v="NJ"/>
    <s v="West Deptford"/>
    <s v="08066-1818"/>
    <s v="OP34F1D-1530-0-00-AS"/>
    <s v="CWDM FLTR DUAL 1530NM SC/APC 3"/>
    <s v="20116906"/>
    <s v="1.1"/>
    <x v="147"/>
    <n v="1963202"/>
    <d v="2016-10-14T12:15:31"/>
    <m/>
    <d v="2016-10-28T00:00:00"/>
    <d v="2016-10-18T00:00:00"/>
    <d v="2016-10-28T00:00:00"/>
    <m/>
    <n v="12"/>
    <m/>
    <n v="3492"/>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3P72L8"/>
    <s v="SJ2_STAG"/>
    <s v="COMCAST CABLE COMMUNICATION"/>
    <s v="1707 Imperial Way"/>
    <s v="NJ"/>
    <s v="West Deptford"/>
    <s v="08066-1818"/>
    <s v="OP34F1D-1530-0-00-AS"/>
    <s v="CWDM FLTR DUAL 1530NM SC/APC 3"/>
    <s v="20116906"/>
    <s v="1.1"/>
    <x v="147"/>
    <n v="1963203"/>
    <d v="2016-10-14T12:15:31"/>
    <m/>
    <d v="2016-10-28T00:00:00"/>
    <d v="2016-10-18T00:00:00"/>
    <d v="2016-10-28T00:00:00"/>
    <m/>
    <n v="17"/>
    <m/>
    <n v="4947"/>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DEPTFORD"/>
    <s v="R023P14L2"/>
    <s v="SJ2_STAG"/>
    <s v="COMCAST CABLE COMMUNICATION"/>
    <s v="1707 Imperial Way"/>
    <s v="NJ"/>
    <s v="West Deptford"/>
    <s v="08066-1818"/>
    <s v="OP34F1D-1530-0-00-AS"/>
    <s v="CWDM FLTR DUAL 1530NM SC/APC 3"/>
    <s v="20116906"/>
    <s v="1.1"/>
    <x v="147"/>
    <n v="1963203"/>
    <d v="2016-10-14T12:15:31"/>
    <m/>
    <d v="2016-10-28T00:00:00"/>
    <d v="2016-10-18T00:00:00"/>
    <d v="2016-10-28T00:00:00"/>
    <m/>
    <n v="1"/>
    <m/>
    <n v="291"/>
    <m/>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4L4"/>
    <s v="SJ2_STAG"/>
    <s v="COMCAST CABLE C/O XPO LOGISTICS"/>
    <s v="2179 S COMMERCE CENTER DR"/>
    <s v="UT"/>
    <s v="West Valley City"/>
    <s v="84120-6426"/>
    <s v="OP95D4-CF3-103-R2-AS"/>
    <s v="DEMUX DWDM 100GHZ 4 CH 03 F-CA"/>
    <s v="20116915"/>
    <s v="69.1"/>
    <x v="148"/>
    <n v="1963249"/>
    <d v="2016-10-14T13:00:37"/>
    <m/>
    <d v="2016-10-28T00:00:00"/>
    <d v="2016-10-14T00:00:00"/>
    <d v="2016-10-28T00:00:00"/>
    <m/>
    <n v="5"/>
    <m/>
    <n v="3785"/>
    <m/>
    <s v="N160"/>
    <s v="NWK ACCESS TECH"/>
    <s v="OPTICAL PASSIVES"/>
    <s v="OUTDOOR PASSIVES AURORA"/>
    <s v="N160"/>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MIRAMAR - MCCARTY"/>
    <s v="R024P22L2B01"/>
    <s v="SJ2_STAG"/>
    <s v="COMCAST CABLE"/>
    <s v="2601 SW 145th Ave"/>
    <s v="FL"/>
    <s v="Miramar"/>
    <s v="33027-4139"/>
    <s v="TR4580-21-PI"/>
    <s v="XCVR PLUGGABLE DWDM ITU CH 21"/>
    <s v="20116921"/>
    <s v="2.1"/>
    <x v="149"/>
    <n v="1963242"/>
    <d v="2016-10-14T13:26:14"/>
    <m/>
    <d v="2016-10-28T00:00:00"/>
    <d v="2016-11-01T00:00:00"/>
    <d v="2016-10-28T00:00:00"/>
    <m/>
    <n v="1"/>
    <m/>
    <n v="69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4L3"/>
    <s v="SJ2_STAG"/>
    <s v="COMCAST CABLE C/O XPO LOGISTICS"/>
    <s v="2179 S COMMERCE CENTER DR"/>
    <s v="UT"/>
    <s v="West Valley City"/>
    <s v="84120-6426"/>
    <s v="HT3541H-D-A240-2-AS"/>
    <s v="XMTR DD 1.2GHZ FULL SPECTRUM 3"/>
    <s v="20116923"/>
    <s v="14.2"/>
    <x v="150"/>
    <n v="1959747"/>
    <d v="2016-10-14T13:35:14"/>
    <m/>
    <d v="2016-10-24T00:00:00"/>
    <d v="2016-10-14T00:00:00"/>
    <d v="2016-10-28T00:00:00"/>
    <m/>
    <n v="6"/>
    <n v="6"/>
    <n v="8382"/>
    <n v="8382"/>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0L4"/>
    <s v="SJ2_STAG"/>
    <s v="COMCAST CABLE C/O XPO LOGISTICS"/>
    <s v="2179 S COMMERCE CENTER DR"/>
    <s v="UT"/>
    <s v="West Valley City"/>
    <s v="84120-6426"/>
    <s v="OP35D4-CF4-1-99-AS"/>
    <s v="OPT DEMUX4 100GHZ A1 CF4 EXP -"/>
    <s v="20116923"/>
    <s v="29.1"/>
    <x v="151"/>
    <n v="1963197"/>
    <d v="2016-10-14T13:35:14"/>
    <m/>
    <d v="2016-10-28T00:00:00"/>
    <d v="2016-10-14T00:00:00"/>
    <d v="2016-10-28T00:00:00"/>
    <m/>
    <n v="1"/>
    <m/>
    <n v="873"/>
    <m/>
    <s v="N160"/>
    <s v="NWK ACCESS TECH"/>
    <s v="OPTICAL PASSIVES"/>
    <s v="OUTDOOR PASSIVES AURORA"/>
    <s v="N160"/>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9L6"/>
    <s v="SJ2_STAG"/>
    <s v="COMCAST CABLE C/O XPO LOGISTICS"/>
    <s v="2179 S COMMERCE CENTER DR"/>
    <s v="UT"/>
    <s v="West Valley City"/>
    <s v="84120-6426"/>
    <s v="OP35D4-CF4-1-99-AS"/>
    <s v="OPT DEMUX4 100GHZ A1 CF4 EXP -"/>
    <s v="20116923"/>
    <s v="29.1"/>
    <x v="151"/>
    <n v="1963197"/>
    <d v="2016-10-14T13:35:14"/>
    <m/>
    <d v="2016-10-28T00:00:00"/>
    <d v="2016-10-14T00:00:00"/>
    <d v="2016-10-28T00:00:00"/>
    <m/>
    <n v="9"/>
    <m/>
    <n v="7857"/>
    <m/>
    <s v="N160"/>
    <s v="NWK ACCESS TECH"/>
    <s v="OPTICAL PASSIVES"/>
    <s v="OUTDOOR PASSIVES AURORA"/>
    <s v="N160"/>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24L3"/>
    <s v="SJ2_STAG"/>
    <s v="COMCAST CABLE C/O XPO LOGISTICS"/>
    <s v="2179 S COMMERCE CENTER DR"/>
    <s v="UT"/>
    <s v="West Valley City"/>
    <s v="84120-6426"/>
    <s v="HT3541H-D-A240-2-AS"/>
    <s v="XMTR DD 1.2GHZ FULL SPECTRUM 3"/>
    <s v="20116971"/>
    <s v="29.1"/>
    <x v="152"/>
    <n v="1959747"/>
    <d v="2016-10-14T15:11:54"/>
    <m/>
    <d v="2016-10-24T00:00:00"/>
    <d v="2016-10-14T00:00:00"/>
    <d v="2016-10-26T00:00:00"/>
    <m/>
    <n v="1"/>
    <m/>
    <n v="1397"/>
    <m/>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33L3"/>
    <s v="SJ2_STAG"/>
    <s v="COMCAST CABLE C/O XPO LOGISTICS"/>
    <s v="2179 S COMMERCE CENTER DR"/>
    <s v="UT"/>
    <s v="West Valley City"/>
    <s v="84120-6426"/>
    <s v="HT3541H-D-A240-2-AS"/>
    <s v="XMTR DD 1.2GHZ FULL SPECTRUM 3"/>
    <s v="20116971"/>
    <s v="29.1"/>
    <x v="152"/>
    <n v="1959747"/>
    <d v="2016-10-14T15:11:54"/>
    <m/>
    <d v="2016-10-24T00:00:00"/>
    <d v="2016-10-14T00:00:00"/>
    <d v="2016-10-26T00:00:00"/>
    <m/>
    <n v="59"/>
    <m/>
    <n v="82423"/>
    <m/>
    <s v="HE64"/>
    <s v="NWK ACCESS TECH"/>
    <s v="HEO"/>
    <s v="TRANSMITTER"/>
    <s v="HT"/>
    <s v="AS-STANDARD ORDER MIXED"/>
    <s v="A-SURFACE"/>
    <s v="OP"/>
    <n v="124888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23L3B01"/>
    <s v="SJ2_STAG"/>
    <s v="COMCAST CABLE C/O XPO LOGISTICS"/>
    <s v="2179 S COMMERCE CENTER DR"/>
    <s v="UT"/>
    <s v="West Valley City"/>
    <s v="84120-6426"/>
    <s v="CC3008"/>
    <s v="COMM CONTROL MODULE HIGH DENSI"/>
    <s v="20116971"/>
    <s v="36.1"/>
    <x v="153"/>
    <n v="1962022"/>
    <d v="2016-10-14T15:11:54"/>
    <m/>
    <d v="2016-10-27T00:00:00"/>
    <d v="2016-10-14T00:00:00"/>
    <d v="2016-10-27T00:00:00"/>
    <m/>
    <n v="91"/>
    <m/>
    <n v="9828"/>
    <m/>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12L3"/>
    <s v="SJ2_STAG"/>
    <s v="COMCAST CABLE C/O XPO LOGISTICS"/>
    <s v="2179 S COMMERCE CENTER DR"/>
    <s v="UT"/>
    <s v="West Valley City"/>
    <s v="84120-6426"/>
    <s v="CC3008"/>
    <s v="COMM CONTROL MODULE HIGH DENSI"/>
    <s v="20116971"/>
    <s v="36.1"/>
    <x v="153"/>
    <n v="1962022"/>
    <d v="2016-10-14T15:11:54"/>
    <m/>
    <d v="2016-10-27T00:00:00"/>
    <d v="2016-10-14T00:00:00"/>
    <d v="2016-10-27T00:00:00"/>
    <m/>
    <n v="9"/>
    <m/>
    <n v="972"/>
    <m/>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STATE COLLEGE - REESE RD"/>
    <s v="R012P11L1"/>
    <s v="SJ2_FOB"/>
    <s v="COMCAST CABLE"/>
    <s v="250 Reese Rd"/>
    <s v="PA"/>
    <s v="State College"/>
    <s v="16801-7552"/>
    <s v="OP15M40U-0-99-AS"/>
    <s v="OPT MUX 100GHZ CH 20-59 1RU -2"/>
    <s v="20117162"/>
    <s v="2.1"/>
    <x v="154"/>
    <n v="1963627"/>
    <d v="2016-10-17T11:28:39"/>
    <m/>
    <d v="2016-10-28T00:00:00"/>
    <d v="2016-10-17T00:00:00"/>
    <d v="2016-10-28T00:00:00"/>
    <m/>
    <n v="1"/>
    <m/>
    <n v="6155"/>
    <m/>
    <s v="N157"/>
    <s v="NWK ACCESS TECH"/>
    <s v="OPTICAL PASSIVES"/>
    <s v="INDOOR PASSIVES AURORA"/>
    <s v="N157"/>
    <s v="AS-DEFECTIVE MIXED"/>
    <s v="A-AIR O/N"/>
    <s v="OP"/>
    <n v="1251366"/>
    <s v="A-AIR"/>
    <m/>
    <m/>
    <m/>
    <s v="A-AIR"/>
    <s v="1DA"/>
    <s v="DAP"/>
    <s v="Prepaid"/>
    <m/>
    <m/>
    <s v="ATTN: FRED HALLER TEL: 814-360-7643 EMAIL FREDERICK_HALLERLI@COMCAST.COM"/>
    <m/>
    <m/>
    <m/>
    <m/>
    <s v="0"/>
    <s v="0"/>
  </r>
  <r>
    <s v="SJ2"/>
    <s v="5000445"/>
    <s v="COMCAST"/>
    <s v="ALPHARETTA/MDSI/ NE DIV"/>
    <s v="R023P73L4"/>
    <s v="SJ2_STAG"/>
    <s v="MDSI C/O COMCAST NE DIVISION"/>
    <s v="6225 Shiloh Rd"/>
    <s v="GA"/>
    <s v="Alpharetta"/>
    <s v="30005-2206"/>
    <s v="BC1000-AS"/>
    <s v="BULKHEAD ADAPTER SC/APC-SC/APC"/>
    <s v="20117385"/>
    <s v="1.1"/>
    <x v="155"/>
    <n v="1956281"/>
    <d v="2016-10-18T13:07:31"/>
    <m/>
    <d v="2016-10-20T00:00:00"/>
    <d v="2016-10-21T00:00:00"/>
    <d v="2016-10-20T00:00:00"/>
    <m/>
    <n v="50"/>
    <m/>
    <n v="150"/>
    <m/>
    <s v="N224"/>
    <s v="NWK ACCESS TECH"/>
    <s v="ACCESS OTHER"/>
    <s v="OTHER AURORA"/>
    <s v="N224"/>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1B01"/>
    <s v="SJ2_STAG"/>
    <s v="MDSI C/O COMCAST NE DIVISION"/>
    <s v="6225 Shiloh Rd"/>
    <s v="GA"/>
    <s v="Alpharetta"/>
    <s v="30005-2206"/>
    <s v="SC-PS-10F"/>
    <s v="CABLE DB9F-3.5MM RTANG 10FT RO"/>
    <s v="20117385"/>
    <s v="11.1"/>
    <x v="156"/>
    <n v="1962039"/>
    <d v="2016-10-18T13:07:31"/>
    <m/>
    <d v="2016-10-27T00:00:00"/>
    <d v="2016-10-21T00:00:00"/>
    <d v="2016-10-27T00:00:00"/>
    <m/>
    <n v="50"/>
    <n v="50"/>
    <n v="450"/>
    <n v="450"/>
    <s v="N224"/>
    <s v="NWK ACCESS TECH"/>
    <s v="ACCESS OTHER"/>
    <s v="OTHER AURORA"/>
    <s v="N224"/>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22L2"/>
    <s v="SJ2_STAG"/>
    <s v="MDSI C/O COMCAST NE DIVISION"/>
    <s v="6225 Shiloh Rd"/>
    <s v="GA"/>
    <s v="Alpharetta"/>
    <s v="30005-2206"/>
    <s v="HT3541H-D-A210-2-AS"/>
    <s v="XMTR DD 1.2GHZ FULL SPECTRUM 3"/>
    <s v="20117385"/>
    <s v="15.1"/>
    <x v="156"/>
    <n v="1962039"/>
    <d v="2016-10-18T13:07:31"/>
    <m/>
    <d v="2016-10-27T00:00:00"/>
    <d v="2016-10-21T00:00:00"/>
    <d v="2016-10-27T00:00:00"/>
    <m/>
    <n v="8"/>
    <n v="8"/>
    <n v="11176"/>
    <n v="11176"/>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23L3"/>
    <s v="SJ2_STAG"/>
    <s v="MDSI C/O COMCAST NE DIVISION"/>
    <s v="6225 Shiloh Rd"/>
    <s v="GA"/>
    <s v="Alpharetta"/>
    <s v="30005-2206"/>
    <s v="HT3541H-D-A210-2-AS"/>
    <s v="XMTR DD 1.2GHZ FULL SPECTRUM 3"/>
    <s v="20117385"/>
    <s v="15.1"/>
    <x v="156"/>
    <n v="1962039"/>
    <d v="2016-10-18T13:07:31"/>
    <m/>
    <d v="2016-10-27T00:00:00"/>
    <d v="2016-10-21T00:00:00"/>
    <d v="2016-10-27T00:00:00"/>
    <m/>
    <n v="12"/>
    <n v="12"/>
    <n v="16764"/>
    <n v="16764"/>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43L2"/>
    <s v="SJ2_STAG"/>
    <s v="MDSI C/O COMCAST NE DIVISION"/>
    <s v="6225 Shiloh Rd"/>
    <s v="GA"/>
    <s v="Alpharetta"/>
    <s v="30005-2206"/>
    <s v="HT3541H-D-A210-2-AS"/>
    <s v="XMTR DD 1.2GHZ FULL SPECTRUM 3"/>
    <s v="20117385"/>
    <s v="15.1"/>
    <x v="156"/>
    <n v="1962039"/>
    <d v="2016-10-18T13:07:31"/>
    <m/>
    <d v="2016-10-27T00:00:00"/>
    <d v="2016-10-21T00:00:00"/>
    <d v="2016-10-27T00:00:00"/>
    <m/>
    <n v="1"/>
    <n v="1"/>
    <n v="1397"/>
    <n v="1397"/>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0L4"/>
    <s v="SJ2_STAG"/>
    <s v="MDSI C/O COMCAST NE DIVISION"/>
    <s v="6225 Shiloh Rd"/>
    <s v="GA"/>
    <s v="Alpharetta"/>
    <s v="30005-2206"/>
    <s v="HT3541H-D-A210-2-AS"/>
    <s v="XMTR DD 1.2GHZ FULL SPECTRUM 3"/>
    <s v="20117385"/>
    <s v="15.1"/>
    <x v="156"/>
    <n v="1962059"/>
    <d v="2016-10-18T13:07:31"/>
    <m/>
    <d v="2016-10-27T00:00:00"/>
    <d v="2016-10-21T00:00:00"/>
    <d v="2016-10-27T00:00:00"/>
    <m/>
    <n v="7"/>
    <n v="7"/>
    <n v="9779"/>
    <n v="9779"/>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3L2"/>
    <s v="SJ2_STAG"/>
    <s v="MDSI C/O COMCAST NE DIVISION"/>
    <s v="6225 Shiloh Rd"/>
    <s v="GA"/>
    <s v="Alpharetta"/>
    <s v="30005-2206"/>
    <s v="HT3541H-D-A210-2-AS"/>
    <s v="XMTR DD 1.2GHZ FULL SPECTRUM 3"/>
    <s v="20117385"/>
    <s v="15.1"/>
    <x v="156"/>
    <n v="1962059"/>
    <d v="2016-10-18T13:07:31"/>
    <m/>
    <d v="2016-10-27T00:00:00"/>
    <d v="2016-10-21T00:00:00"/>
    <d v="2016-10-27T00:00:00"/>
    <m/>
    <n v="4"/>
    <n v="4"/>
    <n v="5588"/>
    <n v="5588"/>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7L3"/>
    <s v="SJ2_STAG"/>
    <s v="MDSI C/O COMCAST NE DIVISION"/>
    <s v="6225 Shiloh Rd"/>
    <s v="GA"/>
    <s v="Alpharetta"/>
    <s v="30005-2206"/>
    <s v="HT3541H-D-A210-2-AS"/>
    <s v="XMTR DD 1.2GHZ FULL SPECTRUM 3"/>
    <s v="20117385"/>
    <s v="15.1"/>
    <x v="156"/>
    <n v="1962039"/>
    <d v="2016-10-18T13:07:31"/>
    <m/>
    <d v="2016-10-27T00:00:00"/>
    <d v="2016-10-21T00:00:00"/>
    <d v="2016-10-27T00:00:00"/>
    <m/>
    <n v="17"/>
    <n v="17"/>
    <n v="23749"/>
    <n v="23749"/>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63L3"/>
    <s v="SJ2_STAG"/>
    <s v="MDSI C/O COMCAST NE DIVISION"/>
    <s v="6225 Shiloh Rd"/>
    <s v="GA"/>
    <s v="Alpharetta"/>
    <s v="30005-2206"/>
    <s v="HT3541H-D-A210-2-AS"/>
    <s v="XMTR DD 1.2GHZ FULL SPECTRUM 3"/>
    <s v="20117385"/>
    <s v="15.1"/>
    <x v="156"/>
    <n v="1962059"/>
    <d v="2016-10-18T13:07:31"/>
    <m/>
    <d v="2016-10-27T00:00:00"/>
    <d v="2016-10-21T00:00:00"/>
    <d v="2016-10-27T00:00:00"/>
    <m/>
    <n v="23"/>
    <n v="232"/>
    <n v="32131"/>
    <n v="324104"/>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1L3"/>
    <s v="SJ2_STAG"/>
    <s v="MDSI C/O COMCAST NE DIVISION"/>
    <s v="6225 Shiloh Rd"/>
    <s v="GA"/>
    <s v="Alpharetta"/>
    <s v="30005-2206"/>
    <s v="HT3541H-D-A210-2-AS"/>
    <s v="XMTR DD 1.2GHZ FULL SPECTRUM 3"/>
    <s v="20117385"/>
    <s v="15.1"/>
    <x v="156"/>
    <n v="1962039"/>
    <d v="2016-10-18T13:07:31"/>
    <m/>
    <d v="2016-10-27T00:00:00"/>
    <d v="2016-10-21T00:00:00"/>
    <d v="2016-10-27T00:00:00"/>
    <m/>
    <n v="1"/>
    <n v="1"/>
    <n v="1397"/>
    <n v="1397"/>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4L2"/>
    <s v="SJ2_STAG"/>
    <s v="MDSI C/O COMCAST NE DIVISION"/>
    <s v="6225 Shiloh Rd"/>
    <s v="GA"/>
    <s v="Alpharetta"/>
    <s v="30005-2206"/>
    <s v="HT3541H-D-A210-2-AS"/>
    <s v="XMTR DD 1.2GHZ FULL SPECTRUM 3"/>
    <s v="20117385"/>
    <s v="15.1"/>
    <x v="156"/>
    <n v="1962059"/>
    <d v="2016-10-18T13:07:31"/>
    <m/>
    <d v="2016-10-27T00:00:00"/>
    <d v="2016-10-21T00:00:00"/>
    <d v="2016-10-27T00:00:00"/>
    <m/>
    <n v="63"/>
    <n v="63"/>
    <n v="88011"/>
    <n v="88011"/>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04L3"/>
    <s v="SJ2_STAG"/>
    <s v="MDSI C/O COMCAST NE DIVISION"/>
    <s v="6225 Shiloh Rd"/>
    <s v="GA"/>
    <s v="Alpharetta"/>
    <s v="30005-2206"/>
    <s v="HT3541H-D-A210-2-AS"/>
    <s v="XMTR DD 1.2GHZ FULL SPECTRUM 3"/>
    <s v="20117385"/>
    <s v="15.1"/>
    <x v="156"/>
    <n v="1962059"/>
    <d v="2016-10-18T13:07:31"/>
    <m/>
    <d v="2016-10-27T00:00:00"/>
    <d v="2016-10-21T00:00:00"/>
    <d v="2016-10-27T00:00:00"/>
    <m/>
    <n v="6"/>
    <n v="6"/>
    <n v="8382"/>
    <n v="8382"/>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19L2"/>
    <s v="SJ2_STAG"/>
    <s v="MDSI C/O COMCAST NE DIVISION"/>
    <s v="6225 Shiloh Rd"/>
    <s v="GA"/>
    <s v="Alpharetta"/>
    <s v="30005-2206"/>
    <s v="HT3541H-D-A210-2-AS"/>
    <s v="XMTR DD 1.2GHZ FULL SPECTRUM 3"/>
    <s v="20117385"/>
    <s v="15.1"/>
    <x v="156"/>
    <n v="1962039"/>
    <d v="2016-10-18T13:07:31"/>
    <m/>
    <d v="2016-10-27T00:00:00"/>
    <d v="2016-10-21T00:00:00"/>
    <d v="2016-10-27T00:00:00"/>
    <m/>
    <n v="6"/>
    <n v="6"/>
    <n v="8382"/>
    <n v="8382"/>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17L3"/>
    <s v="SJ2_STAG"/>
    <s v="MDSI C/O COMCAST NE DIVISION"/>
    <s v="6225 Shiloh Rd"/>
    <s v="GA"/>
    <s v="Alpharetta"/>
    <s v="30005-2206"/>
    <s v="HT3541H-D-A210-2-AS"/>
    <s v="XMTR DD 1.2GHZ FULL SPECTRUM 3"/>
    <s v="20117385"/>
    <s v="15.1"/>
    <x v="156"/>
    <n v="1962039"/>
    <d v="2016-10-18T13:07:31"/>
    <m/>
    <d v="2016-10-27T00:00:00"/>
    <d v="2016-10-21T00:00:00"/>
    <d v="2016-10-27T00:00:00"/>
    <m/>
    <n v="14"/>
    <n v="14"/>
    <n v="19558"/>
    <n v="19558"/>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08L3"/>
    <s v="SJ2_STAG"/>
    <s v="MDSI C/O COMCAST NE DIVISION"/>
    <s v="6225 Shiloh Rd"/>
    <s v="GA"/>
    <s v="Alpharetta"/>
    <s v="30005-2206"/>
    <s v="HT3541H-D-A210-2-AS"/>
    <s v="XMTR DD 1.2GHZ FULL SPECTRUM 3"/>
    <s v="20117385"/>
    <s v="15.1"/>
    <x v="156"/>
    <n v="1962039"/>
    <d v="2016-10-18T13:07:31"/>
    <m/>
    <d v="2016-10-27T00:00:00"/>
    <d v="2016-10-21T00:00:00"/>
    <d v="2016-10-27T00:00:00"/>
    <m/>
    <n v="2"/>
    <n v="2"/>
    <n v="2794"/>
    <n v="2794"/>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65L5"/>
    <s v="SJ2_STAG"/>
    <s v="MDSI C/O COMCAST NE DIVISION"/>
    <s v="6225 Shiloh Rd"/>
    <s v="GA"/>
    <s v="Alpharetta"/>
    <s v="30005-2206"/>
    <s v="HT3541H-D-A210-2-AS"/>
    <s v="XMTR DD 1.2GHZ FULL SPECTRUM 3"/>
    <s v="20117385"/>
    <s v="15.1"/>
    <x v="156"/>
    <n v="1962039"/>
    <d v="2016-10-18T13:07:31"/>
    <m/>
    <d v="2016-10-27T00:00:00"/>
    <d v="2016-10-21T00:00:00"/>
    <d v="2016-10-27T00:00:00"/>
    <m/>
    <n v="4"/>
    <n v="4"/>
    <n v="5588"/>
    <n v="5588"/>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65L3"/>
    <s v="SJ2_STAG"/>
    <s v="MDSI C/O COMCAST NE DIVISION"/>
    <s v="6225 Shiloh Rd"/>
    <s v="GA"/>
    <s v="Alpharetta"/>
    <s v="30005-2206"/>
    <s v="HT3541H-D-A210-2-AS"/>
    <s v="XMTR DD 1.2GHZ FULL SPECTRUM 3"/>
    <s v="20117385"/>
    <s v="15.1"/>
    <x v="156"/>
    <n v="1962059"/>
    <d v="2016-10-18T13:07:31"/>
    <m/>
    <d v="2016-10-27T00:00:00"/>
    <d v="2016-10-21T00:00:00"/>
    <d v="2016-10-27T00:00:00"/>
    <m/>
    <n v="7"/>
    <n v="7"/>
    <n v="9779"/>
    <n v="9779"/>
    <s v="HE64"/>
    <s v="NWK ACCESS TECH"/>
    <s v="HEO"/>
    <s v="TRANSMITTER"/>
    <s v="HT"/>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59L1"/>
    <s v="SJ2_STAG"/>
    <s v="MDSI C/O COMCAST NE DIVISION"/>
    <s v="6225 Shiloh Rd"/>
    <s v="GA"/>
    <s v="Alpharetta"/>
    <s v="30005-2206"/>
    <s v="HT3541H-D-A290-2-AS"/>
    <s v="XMTR DD 1.2GHZ FULL SPECTRUM 3"/>
    <s v="20117385"/>
    <s v="17.1"/>
    <x v="155"/>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6L1"/>
    <s v="SJ2_STAG"/>
    <s v="MDSI C/O COMCAST NE DIVISION"/>
    <s v="6225 Shiloh Rd"/>
    <s v="GA"/>
    <s v="Alpharetta"/>
    <s v="30005-2206"/>
    <s v="HT3541H-D-A290-2-AS"/>
    <s v="XMTR DD 1.2GHZ FULL SPECTRUM 3"/>
    <s v="20117385"/>
    <s v="17.1"/>
    <x v="155"/>
    <n v="1956225"/>
    <d v="2016-10-18T13:07:31"/>
    <m/>
    <d v="2016-10-20T00:00:00"/>
    <d v="2016-10-21T00:00:00"/>
    <d v="2016-10-20T00:00:00"/>
    <m/>
    <n v="10"/>
    <m/>
    <n v="13970"/>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3P51L3"/>
    <s v="SJ2_STAG"/>
    <s v="MDSI C/O COMCAST NE DIVISION"/>
    <s v="6225 Shiloh Rd"/>
    <s v="GA"/>
    <s v="Alpharetta"/>
    <s v="30005-2206"/>
    <s v="HT3541H-D-A290-2-AS"/>
    <s v="XMTR DD 1.2GHZ FULL SPECTRUM 3"/>
    <s v="20117385"/>
    <s v="17.1"/>
    <x v="155"/>
    <n v="1956225"/>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65L1"/>
    <s v="SJ2_STAG"/>
    <s v="MDSI C/O COMCAST NE DIVISION"/>
    <s v="6225 Shiloh Rd"/>
    <s v="GA"/>
    <s v="Alpharetta"/>
    <s v="30005-2206"/>
    <s v="HT3541H-D-A290-2-AS"/>
    <s v="XMTR DD 1.2GHZ FULL SPECTRUM 3"/>
    <s v="20117385"/>
    <s v="17.1"/>
    <x v="155"/>
    <n v="1956290"/>
    <d v="2016-10-18T13:07:31"/>
    <m/>
    <d v="2016-10-20T00:00:00"/>
    <d v="2016-10-21T00:00:00"/>
    <d v="2016-10-20T00:00:00"/>
    <m/>
    <n v="3"/>
    <m/>
    <n v="4191"/>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07L2"/>
    <s v="SJ2_STAG"/>
    <s v="MDSI C/O COMCAST NE DIVISION"/>
    <s v="6225 Shiloh Rd"/>
    <s v="GA"/>
    <s v="Alpharetta"/>
    <s v="30005-2206"/>
    <s v="HT3541H-D-A290-2-AS"/>
    <s v="XMTR DD 1.2GHZ FULL SPECTRUM 3"/>
    <s v="20117385"/>
    <s v="17.1"/>
    <x v="155"/>
    <n v="1956290"/>
    <d v="2016-10-18T13:07:31"/>
    <m/>
    <d v="2016-10-20T00:00:00"/>
    <d v="2016-10-21T00:00:00"/>
    <d v="2016-10-20T00:00:00"/>
    <m/>
    <n v="6"/>
    <m/>
    <n v="8382"/>
    <m/>
    <s v="HE64"/>
    <s v="NWK ACCESS TECH"/>
    <s v="HEO"/>
    <s v="TRANSMITTER"/>
    <s v="HT"/>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5L1B01"/>
    <s v="SJ2_STAG"/>
    <s v="MDSI C/O COMCAST NE DIVISION"/>
    <s v="6225 Shiloh Rd"/>
    <s v="GA"/>
    <s v="Alpharetta"/>
    <s v="30005-2206"/>
    <s v="CH3000C"/>
    <s v="CHASSIS WITH COVERS 3RU"/>
    <s v="20117385"/>
    <s v="2.1"/>
    <x v="155"/>
    <n v="1956225"/>
    <d v="2016-10-18T13:07:31"/>
    <m/>
    <d v="2016-10-20T00:00:00"/>
    <d v="2016-10-21T00:00:00"/>
    <d v="2016-10-20T00:00:00"/>
    <m/>
    <n v="20"/>
    <m/>
    <n v="528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08L5B02"/>
    <s v="SJ2_STAG"/>
    <s v="MDSI C/O COMCAST NE DIVISION"/>
    <s v="6225 Shiloh Rd"/>
    <s v="GA"/>
    <s v="Alpharetta"/>
    <s v="30005-2206"/>
    <s v="CH3000C"/>
    <s v="CHASSIS WITH COVERS 3RU"/>
    <s v="20117385"/>
    <s v="2.1"/>
    <x v="155"/>
    <n v="1956225"/>
    <d v="2016-10-18T13:07:31"/>
    <m/>
    <d v="2016-10-20T00:00:00"/>
    <d v="2016-10-21T00:00:00"/>
    <d v="2016-10-20T00:00:00"/>
    <m/>
    <n v="12"/>
    <m/>
    <n v="3168"/>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3L5B02"/>
    <s v="SJ2_STAG"/>
    <s v="MDSI C/O COMCAST NE DIVISION"/>
    <s v="6225 Shiloh Rd"/>
    <s v="GA"/>
    <s v="Alpharetta"/>
    <s v="30005-2206"/>
    <s v="CH3000C"/>
    <s v="CHASSIS WITH COVERS 3RU"/>
    <s v="20117385"/>
    <s v="2.1"/>
    <x v="155"/>
    <n v="1956225"/>
    <d v="2016-10-18T13:07:31"/>
    <m/>
    <d v="2016-10-20T00:00:00"/>
    <d v="2016-10-21T00:00:00"/>
    <d v="2016-10-20T00:00:00"/>
    <m/>
    <n v="8"/>
    <m/>
    <n v="2112"/>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59L4"/>
    <s v="SJ2_STAG"/>
    <s v="MDSI C/O COMCAST NE DIVISION"/>
    <s v="6225 Shiloh Rd"/>
    <s v="GA"/>
    <s v="Alpharetta"/>
    <s v="30005-2206"/>
    <s v="CH3000C"/>
    <s v="CHASSIS WITH COVERS 3RU"/>
    <s v="20117385"/>
    <s v="2.1"/>
    <x v="155"/>
    <n v="1956225"/>
    <d v="2016-10-18T13:07:31"/>
    <m/>
    <d v="2016-10-20T00:00:00"/>
    <d v="2016-10-21T00:00:00"/>
    <d v="2016-10-20T00:00:00"/>
    <m/>
    <n v="10"/>
    <m/>
    <n v="2640"/>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23L3B01"/>
    <s v="SJ2_STAG"/>
    <s v="MDSI C/O COMCAST NE DIVISION"/>
    <s v="6225 Shiloh Rd"/>
    <s v="GA"/>
    <s v="Alpharetta"/>
    <s v="30005-2206"/>
    <s v="CC3008"/>
    <s v="COMM CONTROL MODULE HIGH DENSI"/>
    <s v="20117385"/>
    <s v="20.1"/>
    <x v="157"/>
    <n v="1961120"/>
    <d v="2016-10-18T13:07:31"/>
    <m/>
    <d v="2016-10-26T00:00:00"/>
    <d v="2016-10-21T00:00:00"/>
    <d v="2016-10-26T00:00:00"/>
    <m/>
    <n v="164"/>
    <n v="164"/>
    <n v="17712"/>
    <n v="17712"/>
    <s v="N260"/>
    <s v="NWK ACCESS TECH"/>
    <s v="HEO"/>
    <s v="TRANSMITTERS AURORA"/>
    <s v="HDTX"/>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2P73L5"/>
    <s v="SJ2_STAG"/>
    <s v="MDSI C/O COMCAST NE DIVISION"/>
    <s v="6225 Shiloh Rd"/>
    <s v="GA"/>
    <s v="Alpharetta"/>
    <s v="30005-2206"/>
    <s v="CC3008"/>
    <s v="COMM CONTROL MODULE HIGH DENSI"/>
    <s v="20117385"/>
    <s v="20.1"/>
    <x v="157"/>
    <n v="1961120"/>
    <d v="2016-10-18T13:07:31"/>
    <m/>
    <d v="2016-10-26T00:00:00"/>
    <d v="2016-10-21T00:00:00"/>
    <d v="2016-10-26T00:00:00"/>
    <m/>
    <n v="11"/>
    <n v="11"/>
    <n v="1188"/>
    <n v="1188"/>
    <s v="N260"/>
    <s v="NWK ACCESS TECH"/>
    <s v="HEO"/>
    <s v="TRANSMITTERS AURORA"/>
    <s v="HDTX"/>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24P16L3B01"/>
    <s v="SJ2_STAG"/>
    <s v="MDSI C/O COMCAST NE DIVISION"/>
    <s v="6225 Shiloh Rd"/>
    <s v="GA"/>
    <s v="Alpharetta"/>
    <s v="30005-2206"/>
    <s v="OP95D4-CF1-103-R2-AS"/>
    <s v="DEMUX DWDM 100GHZ 4 CH 03 F-CA"/>
    <s v="20117385"/>
    <s v="31.1"/>
    <x v="156"/>
    <n v="1962059"/>
    <d v="2016-10-18T13:07:31"/>
    <m/>
    <d v="2016-10-27T00:00:00"/>
    <d v="2016-10-21T00:00:00"/>
    <d v="2016-10-27T00:00:00"/>
    <m/>
    <n v="175"/>
    <n v="175"/>
    <n v="132475"/>
    <n v="132475"/>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0L4B02"/>
    <s v="SJ2_STAG"/>
    <s v="MDSI C/O COMCAST NE DIVISION"/>
    <s v="6225 Shiloh Rd"/>
    <s v="GA"/>
    <s v="Alpharetta"/>
    <s v="30005-2206"/>
    <s v="JC1508-AS-50"/>
    <s v="CABLE SERVICE 8 SC/APC 50FT"/>
    <s v="20117385"/>
    <s v="32.1"/>
    <x v="155"/>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32L3"/>
    <s v="SJ2_STAG"/>
    <s v="MDSI C/O COMCAST NE DIVISION"/>
    <s v="6225 Shiloh Rd"/>
    <s v="GA"/>
    <s v="Alpharetta"/>
    <s v="30005-2206"/>
    <s v="JC1508-AS-50"/>
    <s v="CABLE SERVICE 8 SC/APC 50FT"/>
    <s v="20117385"/>
    <s v="32.1"/>
    <x v="155"/>
    <n v="1956225"/>
    <d v="2016-10-18T13:07:31"/>
    <m/>
    <d v="2016-10-20T00:00:00"/>
    <d v="2016-10-21T00:00:00"/>
    <d v="2016-10-20T00:00:00"/>
    <m/>
    <n v="39"/>
    <m/>
    <n v="8424"/>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44L1B01"/>
    <s v="SJ2_STAG"/>
    <s v="MDSI C/O COMCAST NE DIVISION"/>
    <s v="6225 Shiloh Rd"/>
    <s v="GA"/>
    <s v="Alpharetta"/>
    <s v="30005-2206"/>
    <s v="JC1508-AS-50"/>
    <s v="CABLE SERVICE 8 SC/APC 50FT"/>
    <s v="20117385"/>
    <s v="32.1"/>
    <x v="155"/>
    <n v="1956225"/>
    <d v="2016-10-18T13:07:31"/>
    <m/>
    <d v="2016-10-20T00:00:00"/>
    <d v="2016-10-21T00:00:00"/>
    <d v="2016-10-20T00:00:00"/>
    <m/>
    <n v="50"/>
    <m/>
    <n v="10800"/>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9L1B01"/>
    <s v="SJ2_STAG"/>
    <s v="MDSI C/O COMCAST NE DIVISION"/>
    <s v="6225 Shiloh Rd"/>
    <s v="GA"/>
    <s v="Alpharetta"/>
    <s v="30005-2206"/>
    <s v="JC1508-AS-50"/>
    <s v="CABLE SERVICE 8 SC/APC 50FT"/>
    <s v="20117385"/>
    <s v="32.1"/>
    <x v="155"/>
    <n v="1956225"/>
    <d v="2016-10-18T13:07:31"/>
    <m/>
    <d v="2016-10-20T00:00:00"/>
    <d v="2016-10-21T00:00:00"/>
    <d v="2016-10-20T00:00:00"/>
    <m/>
    <n v="36"/>
    <m/>
    <n v="7776"/>
    <m/>
    <s v="N223"/>
    <s v="NWK ACCESS TECH"/>
    <s v="OPTICAL PASSIVES"/>
    <s v="INDOOR PASSIVES AURORA"/>
    <s v="N223"/>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5P22L4"/>
    <s v="SJ2_STAG"/>
    <s v="MDSI C/O COMCAST NE DIVISION"/>
    <s v="6225 Shiloh Rd"/>
    <s v="GA"/>
    <s v="Alpharetta"/>
    <s v="30005-2206"/>
    <s v="CH3000U-FM-00"/>
    <s v="ADAPTER FIBER MGT FOR CH3000 C"/>
    <s v="20117385"/>
    <s v="4.1"/>
    <x v="155"/>
    <n v="1956290"/>
    <d v="2016-10-18T13:07:31"/>
    <m/>
    <d v="2016-10-20T00:00:00"/>
    <d v="2016-10-21T00:00:00"/>
    <d v="2016-10-20T00:00:00"/>
    <m/>
    <n v="41"/>
    <m/>
    <n v="225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34L2B02"/>
    <s v="SJ2_STAG"/>
    <s v="MDSI C/O COMCAST NE DIVISION"/>
    <s v="6225 Shiloh Rd"/>
    <s v="GA"/>
    <s v="Alpharetta"/>
    <s v="30005-2206"/>
    <s v="CH3000U-FM-00"/>
    <s v="ADAPTER FIBER MGT FOR CH3000 C"/>
    <s v="20117385"/>
    <s v="4.1"/>
    <x v="155"/>
    <n v="1956290"/>
    <d v="2016-10-18T13:07:31"/>
    <m/>
    <d v="2016-10-20T00:00:00"/>
    <d v="2016-10-21T00:00:00"/>
    <d v="2016-10-20T00:00:00"/>
    <m/>
    <n v="59"/>
    <m/>
    <n v="3245"/>
    <m/>
    <s v="N199"/>
    <s v="NWK ACCESS TECH"/>
    <s v="HEO"/>
    <s v="HEO MISC AURORA"/>
    <s v="N199"/>
    <s v="AS-STANDARD ORDER MIXED"/>
    <s v="A-SURFACE"/>
    <s v="OP"/>
    <n v="1246243"/>
    <s v="A-SURFACE"/>
    <m/>
    <m/>
    <m/>
    <s v="A-SURFACE"/>
    <s v="LTL"/>
    <s v="EXW"/>
    <s v="Collect"/>
    <m/>
    <m/>
    <s v="UNDER 200LBS UNPALLETIZED OR SINGLE BOX UNDER 150LBS USE FEDEX #128153870 OVER 200LBS USE OMNI LOGISTICS ACCT COMCASTLSS-COMCASTLSS@OMNILOGISTICS.COM 866-247-6664"/>
    <m/>
    <m/>
    <m/>
    <m/>
    <s v="0"/>
    <s v="0"/>
  </r>
  <r>
    <s v="SJ2"/>
    <s v="5000445"/>
    <s v="COMCAST"/>
    <s v="ALPHARETTA/MDSI/ NE DIV"/>
    <s v="R016P28L1B01"/>
    <s v="SJ2_STAG"/>
    <s v="MDSI C/O COMCAST NE DIVISION"/>
    <s v="6225 Shiloh Rd"/>
    <s v="GA"/>
    <s v="Alpharetta"/>
    <s v="30005-2206"/>
    <s v="PS3148D"/>
    <s v="POWER SUPPLY W/DISPLAY -48VDC"/>
    <s v="20117385"/>
    <s v="7.3"/>
    <x v="158"/>
    <n v="1959342"/>
    <d v="2016-10-18T13:07:31"/>
    <m/>
    <d v="2016-10-24T00:00:00"/>
    <d v="2016-10-21T00:00:00"/>
    <d v="2016-10-26T00:00:00"/>
    <m/>
    <n v="1"/>
    <m/>
    <n v="614"/>
    <m/>
    <s v="N204"/>
    <s v="NWK ACCESS TECH"/>
    <s v="ACCESS OTHER"/>
    <s v="OTHER AURORA"/>
    <s v="N204"/>
    <s v="AS-STANDARD ORDER MIXED"/>
    <s v="A-SURFACE"/>
    <s v="OP"/>
    <n v="1248585"/>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6L3B01"/>
    <s v="SJ2_STAG"/>
    <s v="COMCAST CABLE C/O XPO LOGISTICS"/>
    <s v="2179 S COMMERCE CENTER DR"/>
    <s v="UT"/>
    <s v="West Valley City"/>
    <s v="84120-6426"/>
    <s v="OP95D4-CF1-103-R2-AS"/>
    <s v="DEMUX DWDM 100GHZ 4 CH 03 F-CA"/>
    <s v="20117420"/>
    <s v="4.1"/>
    <x v="159"/>
    <n v="1962022"/>
    <d v="2016-10-18T14:50:07"/>
    <m/>
    <d v="2016-10-27T00:00:00"/>
    <d v="2016-10-18T00:00:00"/>
    <d v="2016-10-27T00:00:00"/>
    <m/>
    <n v="1"/>
    <n v="1"/>
    <n v="757"/>
    <n v="757"/>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LITTLE ROCK (MISC)"/>
    <s v="R015P52L2"/>
    <s v="SJ2_STAG"/>
    <s v="COMCAST CORPORATION"/>
    <s v="2724 S Shackleford Rd"/>
    <s v="AR"/>
    <s v="Little Rock"/>
    <s v="72205-6918"/>
    <s v="DT4250N-50-00"/>
    <s v="DGTL XCVR ENH MULTI-MODES OF O"/>
    <s v="20117581"/>
    <s v="1.1"/>
    <x v="160"/>
    <n v="1963079"/>
    <d v="2016-10-19T11:39:01"/>
    <m/>
    <d v="2016-10-28T00:00:00"/>
    <d v="2016-11-01T00:00:00"/>
    <d v="2016-11-01T00:00:00"/>
    <m/>
    <n v="10"/>
    <m/>
    <n v="2850"/>
    <m/>
    <s v="N065"/>
    <s v="NWK ACCESS TECH"/>
    <s v="NODE"/>
    <s v="NODE MISC AURORA"/>
    <s v="N065"/>
    <s v="AS-STANDARD ORDER MIXED"/>
    <s v="CR-FEDEX-Ground"/>
    <s v="OP"/>
    <n v="1251017"/>
    <s v="FEDEX"/>
    <m/>
    <m/>
    <m/>
    <s v="FEDERAL EXPRESS"/>
    <s v="ECO"/>
    <s v="EXW"/>
    <s v="Collect"/>
    <m/>
    <m/>
    <s v="UNDER 200LBS UNPALLETIZED OR SINGLE BOX UNDER 150LBS USE FEDEX #128153870 OVER 200LBS USE OMNI LOGISTICS ACCT COMCASTLSS-COMCASTLSS@OMNILOGISTICS.COM 866-247-6664"/>
    <m/>
    <m/>
    <m/>
    <m/>
    <s v="0"/>
    <s v="0"/>
  </r>
  <r>
    <s v="SJ2"/>
    <s v="5000445"/>
    <s v="COMCAST"/>
    <s v="BERLIN (ARCE)"/>
    <s v="R022P03L4"/>
    <s v="SJ2_STAG"/>
    <s v="COMCAST CABLE"/>
    <s v="222 New Park Dr"/>
    <s v="CT"/>
    <s v="Berlin"/>
    <s v="06037-3741"/>
    <s v="BP-A9"/>
    <s v="BACKPLATE RF INP OPTICAL OUT L"/>
    <s v="20117609"/>
    <s v="1.1"/>
    <x v="161"/>
    <n v="1961894"/>
    <d v="2016-10-19T12:46:01"/>
    <m/>
    <d v="2016-10-27T00:00:00"/>
    <d v="2016-11-07T00:00:00"/>
    <d v="2016-10-31T00:00:00"/>
    <m/>
    <n v="2"/>
    <m/>
    <n v="78"/>
    <m/>
    <s v="N224"/>
    <s v="NWK ACCESS TECH"/>
    <s v="ACCESS OTHER"/>
    <s v="OTHER AURORA"/>
    <s v="N224"/>
    <s v="AS-STANDARD ORDER MIXED"/>
    <s v="A-SURFACE"/>
    <s v="OP"/>
    <n v="1250403"/>
    <s v="A-SURFACE"/>
    <m/>
    <m/>
    <m/>
    <s v="A-SURFACE"/>
    <s v="LTL"/>
    <s v="EXW"/>
    <s v="Collect"/>
    <m/>
    <m/>
    <s v="UNDER 200LBS UNPALLETIZED OR SINGLE BOX UNDER 150LBS USE FEDEX #128153870 OVER 200LBS USE OMNI LOGISTICS ACCT COMCASTLSS-COMCASTLSS@OMNILOGISTICS.COM 866-247-6664"/>
    <m/>
    <m/>
    <m/>
    <m/>
    <s v="0"/>
    <s v="0"/>
  </r>
  <r>
    <s v="SJ2"/>
    <s v="5000445"/>
    <s v="COMCAST"/>
    <s v="BERLIN (ARCE)"/>
    <s v="R023P08L5"/>
    <s v="SJ2_STAG"/>
    <s v="COMCAST CABLE"/>
    <s v="222 New Park Dr"/>
    <s v="CT"/>
    <s v="Berlin"/>
    <s v="06037-3741"/>
    <s v="AT3553A-BA-00-AS"/>
    <s v="ANLG XMTR XMOD 65KM GP A 1563N"/>
    <s v="20117609"/>
    <s v="2.1"/>
    <x v="161"/>
    <n v="1961895"/>
    <d v="2016-10-19T12:46:01"/>
    <m/>
    <d v="2016-10-27T00:00:00"/>
    <d v="2016-11-07T00:00:00"/>
    <d v="2016-10-31T00:00:00"/>
    <m/>
    <n v="2"/>
    <m/>
    <n v="23978"/>
    <m/>
    <s v="N310"/>
    <s v="NWK ACCESS TECH"/>
    <s v="HEO"/>
    <s v="TRANSMITTERS AURORA"/>
    <s v="N310"/>
    <s v="AS-STANDARD ORDER MIXED"/>
    <s v="A-SURFACE"/>
    <s v="OP"/>
    <n v="1250403"/>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66L3"/>
    <s v="SJ2_STAG"/>
    <s v="COMCAST CABLE"/>
    <s v="4601 SMITH ST"/>
    <s v="PA"/>
    <s v="HARRISBURG"/>
    <s v="17109"/>
    <s v="NC412A2S2A5-U0000000"/>
    <s v="NODE 5-42/51-1GHZ JXP 2X2 SEG"/>
    <s v="20117614"/>
    <s v="1.1"/>
    <x v="162"/>
    <n v="1955473"/>
    <d v="2016-10-19T13:20:42"/>
    <m/>
    <d v="2016-10-19T00:00:00"/>
    <d v="2016-10-28T00:00:00"/>
    <d v="2016-10-21T00:00:00"/>
    <m/>
    <n v="1"/>
    <n v="1"/>
    <n v="2041"/>
    <n v="2041"/>
    <s v="N034"/>
    <s v="NWK ACCESS TECH"/>
    <s v="NODE"/>
    <s v="NC4000 AURORA"/>
    <s v="N03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EC1"/>
    <s v="SJ2_STAG"/>
    <s v="COMCAST CABLE"/>
    <s v="4601 SMITH ST"/>
    <s v="PA"/>
    <s v="HARRISBURG"/>
    <s v="17109"/>
    <s v="CX3002"/>
    <s v="COMMUNICATIONS MODULE"/>
    <s v="20117614"/>
    <s v="10.1"/>
    <x v="162"/>
    <n v="1955472"/>
    <d v="2016-10-19T13:20:42"/>
    <m/>
    <d v="2016-10-19T00:00:00"/>
    <d v="2016-10-28T00:00:00"/>
    <d v="2016-10-21T00:00:00"/>
    <m/>
    <n v="2"/>
    <n v="2"/>
    <n v="572"/>
    <n v="572"/>
    <s v="N080"/>
    <s v="NWK ACCESS TECH"/>
    <s v="HEO"/>
    <s v="HEO MISC AURORA"/>
    <s v="N080"/>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03L2"/>
    <s v="SJ2_STAG"/>
    <s v="COMCAST CABLE"/>
    <s v="4601 SMITH ST"/>
    <s v="PA"/>
    <s v="HARRISBURG"/>
    <s v="17109"/>
    <s v="HT3541H-D-A200-2-AS"/>
    <s v="XMTR DD 1.2GHZ FULL SPECTRUM 3"/>
    <s v="20117614"/>
    <s v="11.1"/>
    <x v="162"/>
    <n v="1955472"/>
    <d v="2016-10-19T13:20:42"/>
    <m/>
    <d v="2016-10-19T00:00:00"/>
    <d v="2016-10-28T00:00:00"/>
    <d v="2016-10-21T00:00:00"/>
    <m/>
    <n v="1"/>
    <n v="1"/>
    <n v="1397"/>
    <n v="1397"/>
    <s v="HE64"/>
    <s v="NWK ACCESS TECH"/>
    <s v="HEO"/>
    <s v="TRANSMITTER"/>
    <s v="HT"/>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50L3B01"/>
    <s v="SJ2_STAG"/>
    <s v="COMCAST CABLE"/>
    <s v="4601 SMITH ST"/>
    <s v="PA"/>
    <s v="HARRISBURG"/>
    <s v="17109"/>
    <s v="BP3400C-00"/>
    <s v="BACKPLATE 4.25 GB/S 1-FER/2-FE"/>
    <s v="20117614"/>
    <s v="13.1"/>
    <x v="162"/>
    <n v="1955472"/>
    <d v="2016-10-19T13:20:42"/>
    <m/>
    <d v="2016-10-19T00:00:00"/>
    <d v="2016-10-28T00:00:00"/>
    <d v="2016-10-21T00:00:00"/>
    <m/>
    <n v="1"/>
    <n v="1"/>
    <n v="392"/>
    <n v="392"/>
    <s v="N076"/>
    <s v="NWK ACCESS TECH"/>
    <s v="HEO"/>
    <s v="HEO MISC AURORA"/>
    <s v="N076"/>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06L4B01"/>
    <s v="SJ2_STAG"/>
    <s v="COMCAST CABLE"/>
    <s v="4601 SMITH ST"/>
    <s v="PA"/>
    <s v="HARRISBURG"/>
    <s v="17109"/>
    <s v="DR3450N-50-00"/>
    <s v="DIGITAL RECEIVER Q-RX 2.125GBP"/>
    <s v="20117614"/>
    <s v="14.1"/>
    <x v="162"/>
    <n v="1955474"/>
    <d v="2016-10-19T13:20:42"/>
    <m/>
    <d v="2016-10-19T00:00:00"/>
    <d v="2016-10-28T00:00:00"/>
    <d v="2016-10-21T00:00:00"/>
    <m/>
    <n v="1"/>
    <n v="1"/>
    <n v="1200"/>
    <n v="1200"/>
    <s v="N275"/>
    <s v="NWK ACCESS TECH"/>
    <s v="HEO"/>
    <s v="RECEIVERS AURORA"/>
    <s v="N275"/>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78L3"/>
    <s v="SJ2_STAG"/>
    <s v="COMCAST CABLE"/>
    <s v="4601 SMITH ST"/>
    <s v="PA"/>
    <s v="HARRISBURG"/>
    <s v="17109"/>
    <s v="RR4000-00-PI"/>
    <s v="RCVR DUAL PLUGGABLE SFP 3 GBPS"/>
    <s v="20117614"/>
    <s v="15.1"/>
    <x v="162"/>
    <n v="1955473"/>
    <d v="2016-10-19T13:20:42"/>
    <m/>
    <d v="2016-10-19T00:00:00"/>
    <d v="2016-10-28T00:00:00"/>
    <d v="2016-10-21T00:00:00"/>
    <m/>
    <n v="1"/>
    <n v="1"/>
    <n v="180"/>
    <n v="180"/>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59L1"/>
    <s v="SJ2_STAG"/>
    <s v="COMCAST CABLE"/>
    <s v="4601 SMITH ST"/>
    <s v="PA"/>
    <s v="HARRISBURG"/>
    <s v="17109"/>
    <s v="PF3000C-FM-00"/>
    <s v="PASSIVE FRAME 4RU FBR MGT COVE"/>
    <s v="20117614"/>
    <s v="17.1"/>
    <x v="162"/>
    <n v="1955472"/>
    <d v="2016-10-19T13:20:42"/>
    <m/>
    <d v="2016-10-19T00:00:00"/>
    <d v="2016-10-28T00:00:00"/>
    <d v="2016-10-21T00:00:00"/>
    <m/>
    <n v="1"/>
    <n v="1"/>
    <n v="198"/>
    <n v="198"/>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3P47L2"/>
    <s v="SJ2_STAG"/>
    <s v="COMCAST CABLE"/>
    <s v="4601 SMITH ST"/>
    <s v="PA"/>
    <s v="HARRISBURG"/>
    <s v="17109"/>
    <s v="HT3FILD"/>
    <s v="XMTR DOUBLE HT FILLER MODULE"/>
    <s v="20117614"/>
    <s v="18.1"/>
    <x v="162"/>
    <n v="1955472"/>
    <d v="2016-10-19T13:20:42"/>
    <m/>
    <d v="2016-10-19T00:00:00"/>
    <d v="2016-10-28T00:00:00"/>
    <d v="2016-10-21T00:00:00"/>
    <m/>
    <n v="2"/>
    <n v="2"/>
    <n v="336"/>
    <n v="336"/>
    <s v="N224"/>
    <s v="NWK ACCESS TECH"/>
    <s v="ACCESS OTHER"/>
    <s v="OTHER AURORA"/>
    <s v="N22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15L1"/>
    <s v="SJ2_STAG"/>
    <s v="COMCAST CABLE"/>
    <s v="4601 SMITH ST"/>
    <s v="PA"/>
    <s v="HARRISBURG"/>
    <s v="17109"/>
    <s v="CH3000N"/>
    <s v="CHASSIS NO COVERS 3RU"/>
    <s v="20117614"/>
    <s v="4.1"/>
    <x v="162"/>
    <n v="1955472"/>
    <d v="2016-10-19T13:20:42"/>
    <m/>
    <d v="2016-10-19T00:00:00"/>
    <d v="2016-10-28T00:00:00"/>
    <d v="2016-10-21T00:00:00"/>
    <m/>
    <n v="2"/>
    <n v="2"/>
    <n v="440"/>
    <n v="440"/>
    <s v="N199"/>
    <s v="NWK ACCESS TECH"/>
    <s v="HEO"/>
    <s v="HEO MISC AURORA"/>
    <s v="N199"/>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6P28L1B01"/>
    <s v="SJ2_STAG"/>
    <s v="COMCAST CABLE"/>
    <s v="4601 SMITH ST"/>
    <s v="PA"/>
    <s v="HARRISBURG"/>
    <s v="17109"/>
    <s v="PS3148D"/>
    <s v="POWER SUPPLY W/DISPLAY -48VDC"/>
    <s v="20117614"/>
    <s v="5.1"/>
    <x v="162"/>
    <n v="1955472"/>
    <d v="2016-10-19T13:20:42"/>
    <m/>
    <d v="2016-10-19T00:00:00"/>
    <d v="2016-10-28T00:00:00"/>
    <d v="2016-10-21T00:00:00"/>
    <m/>
    <n v="1"/>
    <n v="1"/>
    <n v="614"/>
    <n v="614"/>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07L4"/>
    <s v="SJ2_STAG"/>
    <s v="COMCAST CABLE"/>
    <s v="4601 SMITH ST"/>
    <s v="PA"/>
    <s v="HARRISBURG"/>
    <s v="17109"/>
    <s v="PS3148D"/>
    <s v="POWER SUPPLY W/DISPLAY -48VDC"/>
    <s v="20117614"/>
    <s v="5.1"/>
    <x v="162"/>
    <n v="1955472"/>
    <d v="2016-10-19T13:20:42"/>
    <m/>
    <d v="2016-10-19T00:00:00"/>
    <d v="2016-10-28T00:00:00"/>
    <d v="2016-10-21T00:00:00"/>
    <m/>
    <n v="1"/>
    <n v="1"/>
    <n v="614"/>
    <n v="614"/>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15P07L1"/>
    <s v="SJ2_STAG"/>
    <s v="COMCAST CABLE"/>
    <s v="4601 SMITH ST"/>
    <s v="PA"/>
    <s v="HARRISBURG"/>
    <s v="17109"/>
    <s v="PS3148N"/>
    <s v="POWER SUPPLY NO DISPLAY -48VDC"/>
    <s v="20117614"/>
    <s v="6.1"/>
    <x v="162"/>
    <n v="1955473"/>
    <d v="2016-10-19T13:20:42"/>
    <m/>
    <d v="2016-10-19T00:00:00"/>
    <d v="2016-10-28T00:00:00"/>
    <d v="2016-10-21T00:00:00"/>
    <m/>
    <n v="2"/>
    <n v="2"/>
    <n v="1056"/>
    <n v="1056"/>
    <s v="N204"/>
    <s v="NWK ACCESS TECH"/>
    <s v="ACCESS OTHER"/>
    <s v="OTHER AURORA"/>
    <s v="N204"/>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47L6"/>
    <s v="SJ2_STAG"/>
    <s v="COMCAST CABLE"/>
    <s v="4601 SMITH ST"/>
    <s v="PA"/>
    <s v="HARRISBURG"/>
    <s v="17109"/>
    <s v="BD31A4-100-H12F-0-AS"/>
    <s v="OPT PASSTHRU BD 4 XMTR 4 BC 4"/>
    <s v="20117614"/>
    <s v="7.1"/>
    <x v="162"/>
    <n v="1955472"/>
    <d v="2016-10-19T13:20:42"/>
    <m/>
    <d v="2016-10-19T00:00:00"/>
    <d v="2016-10-28T00:00:00"/>
    <d v="2016-10-21T00:00:00"/>
    <m/>
    <n v="1"/>
    <n v="1"/>
    <n v="588"/>
    <n v="588"/>
    <s v="N258"/>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4P13L3B02"/>
    <s v="SJ2_STAG"/>
    <s v="COMCAST CABLE"/>
    <s v="4601 SMITH ST"/>
    <s v="PA"/>
    <s v="HARRISBURG"/>
    <s v="17109"/>
    <s v="CA3008"/>
    <s v="CARRIER MODULE HIGH DENSITY"/>
    <s v="20117614"/>
    <s v="8.1"/>
    <x v="162"/>
    <n v="1955472"/>
    <d v="2016-10-19T13:20:42"/>
    <m/>
    <d v="2016-10-19T00:00:00"/>
    <d v="2016-10-28T00:00:00"/>
    <d v="2016-10-21T00:00:00"/>
    <m/>
    <n v="1"/>
    <n v="1"/>
    <n v="216"/>
    <n v="216"/>
    <s v="N259"/>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HARRISBURG (RUBY)"/>
    <s v="R022P26L5"/>
    <s v="SJ2_STAG"/>
    <s v="COMCAST CABLE"/>
    <s v="4601 SMITH ST"/>
    <s v="PA"/>
    <s v="HARRISBURG"/>
    <s v="17109"/>
    <s v="CC3008"/>
    <s v="COMM CONTROL MODULE HIGH DENSI"/>
    <s v="20117614"/>
    <s v="9.1"/>
    <x v="162"/>
    <n v="1955474"/>
    <d v="2016-10-19T13:20:42"/>
    <m/>
    <d v="2016-10-19T00:00:00"/>
    <d v="2016-10-28T00:00:00"/>
    <d v="2016-10-21T00:00:00"/>
    <m/>
    <n v="1"/>
    <n v="1"/>
    <n v="108"/>
    <n v="108"/>
    <s v="N260"/>
    <s v="NWK ACCESS TECH"/>
    <s v="HEO"/>
    <s v="TRANSMITTERS AURORA"/>
    <s v="HDTX"/>
    <s v="AS-STANDARD ORDER MIXED"/>
    <s v="A-SURFACE"/>
    <s v="OP"/>
    <n v="124593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023P04L2"/>
    <s v="SJ2_STAG"/>
    <s v="COMCAST CABLE"/>
    <s v="5330 E 65th St"/>
    <s v="IN"/>
    <s v="Indianapolis"/>
    <s v="46220-4821"/>
    <s v="OP34F1D-1490-0-00-AS"/>
    <s v="CWDM FLTR DUAL 1490NM SC/APC 3"/>
    <s v="20117881"/>
    <s v="2.1"/>
    <x v="163"/>
    <n v="1963200"/>
    <d v="2016-10-20T14:37:57"/>
    <m/>
    <d v="2016-10-28T00:00:00"/>
    <d v="2016-10-28T00:00:00"/>
    <d v="2016-10-28T00:00:00"/>
    <m/>
    <n v="1"/>
    <n v="1"/>
    <n v="291"/>
    <n v="291"/>
    <s v="N156"/>
    <s v="NWK ACCESS TECH"/>
    <s v="ACCESS OTHER"/>
    <s v="OTHER AURORA"/>
    <s v="N156"/>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RICHMOND1401"/>
    <s v="R024P22L2B01"/>
    <s v="SJ2_STAG"/>
    <s v="COMCAST"/>
    <s v="1401 Marina Way S"/>
    <s v="CA"/>
    <s v="Richmond"/>
    <s v="94804-3723"/>
    <s v="TR4580-25-PI"/>
    <s v="XCVR PLUGGABLE DWDM ITU CH 25"/>
    <s v="20118323"/>
    <s v="9.1"/>
    <x v="164"/>
    <n v="1963258"/>
    <d v="2016-10-24T11:13:13"/>
    <m/>
    <d v="2016-10-28T00:00:00"/>
    <d v="2016-10-31T00:00:00"/>
    <d v="2016-10-28T00:00:00"/>
    <m/>
    <n v="2"/>
    <m/>
    <n v="1380"/>
    <m/>
    <s v="N252"/>
    <s v="NWK ACCESS TECH"/>
    <s v="NODE"/>
    <s v="NODE MISC AURORA"/>
    <s v="N252"/>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3P12L3"/>
    <s v="SJ2_STAG"/>
    <s v="COMCAST CABLE COMMUNICATIONS"/>
    <s v="555 Mowry Ave"/>
    <s v="CA"/>
    <s v="Fremont"/>
    <s v="94536-4110"/>
    <s v="CC3008"/>
    <s v="COMM CONTROL MODULE HIGH DENSI"/>
    <s v="20118339"/>
    <s v="15.1"/>
    <x v="165"/>
    <n v="1962113"/>
    <d v="2016-10-24T11:58:52"/>
    <m/>
    <d v="2016-10-27T00:00:00"/>
    <d v="2016-10-28T00:00:00"/>
    <d v="2016-10-27T00:00:00"/>
    <m/>
    <n v="2"/>
    <m/>
    <n v="216"/>
    <m/>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16L3B01"/>
    <s v="SJ2_STAG"/>
    <s v="COMCAST CABLE COMMUNICATIONS"/>
    <s v="555 Mowry Ave"/>
    <s v="CA"/>
    <s v="Fremont"/>
    <s v="94536-4110"/>
    <s v="OP95D4-CF1-103-R2-AS"/>
    <s v="DEMUX DWDM 100GHZ 4 CH 03 F-CA"/>
    <s v="20118339"/>
    <s v="21.1"/>
    <x v="165"/>
    <n v="1962113"/>
    <d v="2016-10-24T11:58:52"/>
    <m/>
    <d v="2016-10-27T00:00:00"/>
    <d v="2016-10-28T00:00:00"/>
    <d v="2016-10-27T00:00:00"/>
    <m/>
    <n v="2"/>
    <m/>
    <n v="1514"/>
    <m/>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FREMONT (TONGA)"/>
    <s v="R024P24L5B02"/>
    <s v="SJ2_STAG"/>
    <s v="COMCAST CABLE COMMUNICATIONS"/>
    <s v="555 Mowry Ave"/>
    <s v="CA"/>
    <s v="Fremont"/>
    <s v="94536-4110"/>
    <s v="PS3148D"/>
    <s v="POWER SUPPLY W/DISPLAY -48VDC"/>
    <s v="20118339"/>
    <s v="5.1"/>
    <x v="166"/>
    <n v="1961122"/>
    <d v="2016-10-24T11:58:52"/>
    <m/>
    <d v="2016-10-26T00:00:00"/>
    <d v="2016-10-28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15P61L2"/>
    <s v="SJ2_STAG"/>
    <s v="COMCAST CABLE"/>
    <s v="2055 Folsom St"/>
    <s v="CA"/>
    <s v="San Francisco"/>
    <s v="94110-1330"/>
    <s v="BP3400C-00"/>
    <s v="BACKPLATE 4.25 GB/S 1-FER/2-FE"/>
    <s v="20118604"/>
    <s v="1.1"/>
    <x v="167"/>
    <n v="1960558"/>
    <d v="2016-10-25T09:17:44"/>
    <m/>
    <d v="2016-10-25T00:00:00"/>
    <d v="2016-11-03T00:00:00"/>
    <d v="2016-10-27T00:00:00"/>
    <m/>
    <n v="10"/>
    <m/>
    <n v="3920"/>
    <m/>
    <s v="N076"/>
    <s v="NWK ACCESS TECH"/>
    <s v="HEO"/>
    <s v="HEO MISC AURORA"/>
    <s v="N076"/>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16P24L4B02"/>
    <s v="SJ2_STAG"/>
    <s v="COMCAST CABLE"/>
    <s v="2055 Folsom St"/>
    <s v="CA"/>
    <s v="San Francisco"/>
    <s v="94110-1330"/>
    <s v="NC412A1S2A5-U0000000"/>
    <s v="NODE 5-42/51-1GHZ JXP 1X2 SEG"/>
    <s v="20118604"/>
    <s v="10.1"/>
    <x v="167"/>
    <n v="1960559"/>
    <d v="2016-10-25T09:17:44"/>
    <m/>
    <d v="2016-10-25T00:00:00"/>
    <d v="2016-11-03T00:00:00"/>
    <d v="2016-10-27T00:00:00"/>
    <m/>
    <n v="9"/>
    <m/>
    <n v="14985"/>
    <m/>
    <s v="N034"/>
    <s v="NWK ACCESS TECH"/>
    <s v="NODE"/>
    <s v="NC4000 AURORA"/>
    <s v="N034"/>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15P53L3"/>
    <s v="SJ2_STAG"/>
    <s v="COMCAST CABLE"/>
    <s v="2055 Folsom St"/>
    <s v="CA"/>
    <s v="San Francisco"/>
    <s v="94110-1330"/>
    <s v="NC412A1S2A5-U0000000"/>
    <s v="NODE 5-42/51-1GHZ JXP 1X2 SEG"/>
    <s v="20118604"/>
    <s v="10.1"/>
    <x v="167"/>
    <n v="1960559"/>
    <d v="2016-10-25T09:17:44"/>
    <m/>
    <d v="2016-10-25T00:00:00"/>
    <d v="2016-11-03T00:00:00"/>
    <d v="2016-10-27T00:00:00"/>
    <m/>
    <n v="1"/>
    <m/>
    <n v="1665"/>
    <m/>
    <s v="N034"/>
    <s v="NWK ACCESS TECH"/>
    <s v="NODE"/>
    <s v="NC4000 AURORA"/>
    <s v="N034"/>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46L1"/>
    <s v="SJ2_STAG"/>
    <s v="COMCAST CABLE"/>
    <s v="2055 Folsom St"/>
    <s v="CA"/>
    <s v="San Francisco"/>
    <s v="94110-1330"/>
    <s v="RR4010-00-PI"/>
    <s v="RCVR DUAL PLUGGABLE SFP 3 GBPS"/>
    <s v="20118604"/>
    <s v="2.1"/>
    <x v="167"/>
    <n v="1960559"/>
    <d v="2016-10-25T09:17:44"/>
    <m/>
    <d v="2016-10-25T00:00:00"/>
    <d v="2016-11-03T00:00:00"/>
    <d v="2016-10-27T00:00:00"/>
    <m/>
    <n v="10"/>
    <m/>
    <n v="3000"/>
    <m/>
    <s v="N224"/>
    <s v="NWK ACCESS TECH"/>
    <s v="ACCESS OTHER"/>
    <s v="OTHER AURORA"/>
    <s v="N224"/>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2P17L5"/>
    <s v="SJ2_STAG"/>
    <s v="COMCAST CABLE"/>
    <s v="2055 Folsom St"/>
    <s v="CA"/>
    <s v="San Francisco"/>
    <s v="94110-1330"/>
    <s v="TR4440B-1590-PI"/>
    <s v="TRANSCEIVER SFP 60KM CWDM 1590"/>
    <s v="20118604"/>
    <s v="3.1"/>
    <x v="167"/>
    <n v="1960558"/>
    <d v="2016-10-25T09:17:44"/>
    <m/>
    <d v="2016-10-25T00:00:00"/>
    <d v="2016-11-03T00:00:00"/>
    <d v="2016-10-27T00:00:00"/>
    <m/>
    <n v="10"/>
    <m/>
    <n v="3000"/>
    <m/>
    <s v="N252"/>
    <s v="NWK ACCESS TECH"/>
    <s v="NODE"/>
    <s v="NODE MISC AURORA"/>
    <s v="N252"/>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03L2"/>
    <s v="SJ2_STAG"/>
    <s v="COMCAST CABLE"/>
    <s v="2055 Folsom St"/>
    <s v="CA"/>
    <s v="San Francisco"/>
    <s v="94110-1330"/>
    <s v="HT3541H-D-A200-2-AS"/>
    <s v="XMTR DD 1.2GHZ FULL SPECTRUM 3"/>
    <s v="20118604"/>
    <s v="4.1"/>
    <x v="167"/>
    <n v="1960558"/>
    <d v="2016-10-25T09:17:44"/>
    <m/>
    <d v="2016-10-25T00:00:00"/>
    <d v="2016-11-03T00:00:00"/>
    <d v="2016-10-27T00:00:00"/>
    <m/>
    <n v="10"/>
    <m/>
    <n v="13970"/>
    <m/>
    <s v="HE64"/>
    <s v="NWK ACCESS TECH"/>
    <s v="HEO"/>
    <s v="TRANSMITTER"/>
    <s v="HT"/>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16P06L4B01"/>
    <s v="SJ2_STAG"/>
    <s v="COMCAST CABLE"/>
    <s v="2055 Folsom St"/>
    <s v="CA"/>
    <s v="San Francisco"/>
    <s v="94110-1330"/>
    <s v="DR3450N-50-00"/>
    <s v="DIGITAL RECEIVER Q-RX 2.125GBP"/>
    <s v="20118604"/>
    <s v="7.1"/>
    <x v="167"/>
    <n v="1960558"/>
    <d v="2016-10-25T09:17:44"/>
    <m/>
    <d v="2016-10-25T00:00:00"/>
    <d v="2016-11-03T00:00:00"/>
    <d v="2016-10-27T00:00:00"/>
    <m/>
    <n v="4"/>
    <m/>
    <n v="4800"/>
    <m/>
    <s v="N275"/>
    <s v="NWK ACCESS TECH"/>
    <s v="HEO"/>
    <s v="RECEIVERS AURORA"/>
    <s v="N275"/>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16P07L2B02"/>
    <s v="SJ2_STAG"/>
    <s v="COMCAST CABLE"/>
    <s v="2055 Folsom St"/>
    <s v="CA"/>
    <s v="San Francisco"/>
    <s v="94110-1330"/>
    <s v="DR3450N-50-00"/>
    <s v="DIGITAL RECEIVER Q-RX 2.125GBP"/>
    <s v="20118604"/>
    <s v="7.1"/>
    <x v="167"/>
    <n v="1960558"/>
    <d v="2016-10-25T09:17:44"/>
    <m/>
    <d v="2016-10-25T00:00:00"/>
    <d v="2016-11-03T00:00:00"/>
    <d v="2016-10-27T00:00:00"/>
    <m/>
    <n v="6"/>
    <m/>
    <n v="7200"/>
    <m/>
    <s v="N275"/>
    <s v="NWK ACCESS TECH"/>
    <s v="HEO"/>
    <s v="RECEIVERS AURORA"/>
    <s v="N275"/>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SAN FRANCISCO - COLLOT"/>
    <s v="R023P10L6"/>
    <s v="SJ2_STAG"/>
    <s v="COMCAST CABLE"/>
    <s v="2055 Folsom St"/>
    <s v="CA"/>
    <s v="San Francisco"/>
    <s v="94110-1330"/>
    <s v="OP34F1D-1590-0-00-AS"/>
    <s v="CWDM FLTR DUAL 1590NM SC/APC 3"/>
    <s v="20118604"/>
    <s v="8.1"/>
    <x v="167"/>
    <n v="1960558"/>
    <d v="2016-10-25T09:17:44"/>
    <m/>
    <d v="2016-10-25T00:00:00"/>
    <d v="2016-11-03T00:00:00"/>
    <d v="2016-10-27T00:00:00"/>
    <m/>
    <n v="10"/>
    <m/>
    <n v="2910"/>
    <m/>
    <s v="N156"/>
    <s v="NWK ACCESS TECH"/>
    <s v="ACCESS OTHER"/>
    <s v="OTHER AURORA"/>
    <s v="N156"/>
    <s v="AS-STANDARD ORDER MIXED"/>
    <s v="A-SURFACE"/>
    <s v="OP"/>
    <n v="1249484"/>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2L4"/>
    <s v="SJ2_STAG"/>
    <s v="COMCAST CABLE COMMUNICATIONS"/>
    <s v="49800 Martin Dr"/>
    <s v="MI"/>
    <s v="Wixom"/>
    <s v="48393-2404"/>
    <s v="HB4002"/>
    <s v="BRACKET 2 SLOT FOR 6 S-CASE PA"/>
    <s v="20118628"/>
    <s v="1.1"/>
    <x v="168"/>
    <n v="1960922"/>
    <d v="2016-10-25T10:40:36"/>
    <m/>
    <d v="2016-10-26T00:00:00"/>
    <d v="2016-11-04T00:00:00"/>
    <d v="2016-10-28T00:00:00"/>
    <m/>
    <n v="1"/>
    <m/>
    <n v="51"/>
    <m/>
    <s v="N224"/>
    <s v="NWK ACCESS TECH"/>
    <s v="ACCESS OTHER"/>
    <s v="OTHER AURORA"/>
    <s v="N224"/>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0P33L4"/>
    <s v="SJ2_STAG"/>
    <s v="COMCAST CABLE COMMUNICATIONS"/>
    <s v="49800 Martin Dr"/>
    <s v="MI"/>
    <s v="Wixom"/>
    <s v="48393-2404"/>
    <s v="OP34F1D-1430-0-00-AS"/>
    <s v="CWDM FLTR DUAL 1430NM SC/APC 3"/>
    <s v="20118628"/>
    <s v="2.1"/>
    <x v="168"/>
    <n v="1960975"/>
    <d v="2016-10-25T10:40:36"/>
    <m/>
    <d v="2016-10-26T00:00:00"/>
    <d v="2016-11-04T00:00:00"/>
    <d v="2016-10-28T00:00:00"/>
    <m/>
    <n v="1"/>
    <m/>
    <n v="291"/>
    <m/>
    <s v="N156"/>
    <s v="NWK ACCESS TECH"/>
    <s v="ACCESS OTHER"/>
    <s v="OTHER AURORA"/>
    <s v="N156"/>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1"/>
    <s v="SJ2_STAG"/>
    <s v="COMCAST CABLE COMMUNICATIONS"/>
    <s v="49800 Martin Dr"/>
    <s v="MI"/>
    <s v="Wixom"/>
    <s v="48393-2404"/>
    <s v="TL3000-EJ-00"/>
    <s v="TOOL EXTRACTOR HANDLE CH3000"/>
    <s v="20118628"/>
    <s v="5.1"/>
    <x v="168"/>
    <n v="1960975"/>
    <d v="2016-10-25T10:40:36"/>
    <m/>
    <d v="2016-10-26T00:00:00"/>
    <d v="2016-11-04T00:00:00"/>
    <d v="2016-10-28T00:00:00"/>
    <m/>
    <n v="1"/>
    <m/>
    <n v="6"/>
    <m/>
    <s v="N185"/>
    <s v="NWK ACCESS TECH"/>
    <s v="ACCESS OTHER"/>
    <s v="OTHER AURORA"/>
    <s v="N185"/>
    <s v="AS-STANDARD ORDER MIXED"/>
    <s v="A-SURFACE"/>
    <s v="OP"/>
    <n v="1249787"/>
    <s v="A-SURFACE"/>
    <m/>
    <m/>
    <m/>
    <s v="A-SURFACE"/>
    <s v="LTL"/>
    <s v="EXW"/>
    <s v="Collect"/>
    <m/>
    <m/>
    <s v="UNDER 200LBS UNPALLETIZED OR SINGLE BOX UNDER 150LBS USE FEDEX #128153870 OVER 200LBS USE OMNI LOGISTICS ACCT COMCASTLSS-COMCASTLSS@OMNILOGISTICS.COM 866-247-6664"/>
    <m/>
    <m/>
    <m/>
    <m/>
    <s v="0"/>
    <s v="0"/>
  </r>
  <r>
    <s v="SJ2"/>
    <s v="5000445"/>
    <s v="COMCAST"/>
    <s v="INDIANAPOLIS - NICHOLAS2"/>
    <s v="REC1"/>
    <s v="SJ2_STAG"/>
    <s v="COMCAST CABLE"/>
    <s v="5330 E 65th St"/>
    <s v="IN"/>
    <s v="Indianapolis"/>
    <s v="46220-4821"/>
    <s v="OP95D4-CF2-103-R2-AS"/>
    <s v="DEMUX DWDM 100GHZ 4 CH 03 F-CA"/>
    <s v="20118636"/>
    <s v="2.1"/>
    <x v="169"/>
    <n v="1960530"/>
    <d v="2016-10-25T11:17:23"/>
    <m/>
    <d v="2016-10-25T00:00:00"/>
    <d v="2016-10-28T00:00:00"/>
    <d v="2016-10-25T00:00:00"/>
    <m/>
    <n v="1"/>
    <n v="1"/>
    <n v="757"/>
    <n v="757"/>
    <s v="N160"/>
    <s v="NWK ACCESS TECH"/>
    <s v="OPTICAL PASSIVES"/>
    <s v="OUTDOOR PASSIVES AURORA"/>
    <s v="N160"/>
    <s v="AS-STANDARD ORDER MIXED"/>
    <s v="A-SURFACE"/>
    <s v="OP"/>
    <n v="1249460"/>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13L5B01"/>
    <s v="SJ2_STAG"/>
    <s v="COMCAST CABLE COMMUNICATIONS"/>
    <s v="49800 Martin Dr"/>
    <s v="MI"/>
    <s v="Wixom"/>
    <s v="48393-2404"/>
    <s v="CH3000C"/>
    <s v="CHASSIS WITH COVERS 3RU"/>
    <s v="20118694"/>
    <s v="1.1"/>
    <x v="170"/>
    <n v="1960719"/>
    <d v="2016-10-25T14:34:46"/>
    <m/>
    <d v="2016-10-25T00:00:00"/>
    <d v="2016-10-25T00:00:00"/>
    <d v="2016-10-25T00:00:00"/>
    <m/>
    <n v="2"/>
    <n v="2"/>
    <n v="528"/>
    <n v="528"/>
    <s v="N199"/>
    <s v="NWK ACCESS TECH"/>
    <s v="HEO"/>
    <s v="HEO MISC AURORA"/>
    <s v="N199"/>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60L6"/>
    <s v="SJ2_STAG"/>
    <s v="COMCAST CABLE COMMUNICATIONS"/>
    <s v="49800 Martin Dr"/>
    <s v="MI"/>
    <s v="Wixom"/>
    <s v="48393-2404"/>
    <s v="CA3008"/>
    <s v="CARRIER MODULE HIGH DENSITY"/>
    <s v="20118694"/>
    <s v="11.1"/>
    <x v="170"/>
    <n v="1960719"/>
    <d v="2016-10-25T14:34:46"/>
    <m/>
    <d v="2016-10-25T00:00:00"/>
    <d v="2016-10-25T00:00:00"/>
    <d v="2016-10-25T00:00:00"/>
    <m/>
    <n v="1"/>
    <n v="1"/>
    <n v="216"/>
    <n v="216"/>
    <s v="N259"/>
    <s v="NWK ACCESS TECH"/>
    <s v="HEO"/>
    <s v="TRANSMITTERS AURORA"/>
    <s v="HDTX"/>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12L3"/>
    <s v="SJ2_STAG"/>
    <s v="COMCAST CABLE COMMUNICATIONS"/>
    <s v="49800 Martin Dr"/>
    <s v="MI"/>
    <s v="Wixom"/>
    <s v="48393-2404"/>
    <s v="CC3008"/>
    <s v="COMM CONTROL MODULE HIGH DENSI"/>
    <s v="20118694"/>
    <s v="12.1"/>
    <x v="171"/>
    <n v="1962025"/>
    <d v="2016-10-25T14:34:46"/>
    <m/>
    <d v="2016-10-27T00:00:00"/>
    <d v="2016-10-25T00:00:00"/>
    <d v="2016-10-27T00:00:00"/>
    <m/>
    <n v="1"/>
    <m/>
    <n v="108"/>
    <m/>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73L5"/>
    <s v="SJ2_STAG"/>
    <s v="COMCAST CABLE COMMUNICATIONS"/>
    <s v="49800 Martin Dr"/>
    <s v="MI"/>
    <s v="Wixom"/>
    <s v="48393-2404"/>
    <s v="HT3FILD"/>
    <s v="XMTR DOUBLE HT FILLER MODULE"/>
    <s v="20118694"/>
    <s v="13.1"/>
    <x v="170"/>
    <n v="1960719"/>
    <d v="2016-10-25T14:34:46"/>
    <m/>
    <d v="2016-10-25T00:00:00"/>
    <d v="2016-10-25T00:00:00"/>
    <d v="2016-10-25T00:00:00"/>
    <m/>
    <n v="1"/>
    <n v="1"/>
    <n v="168"/>
    <n v="168"/>
    <s v="N224"/>
    <s v="NWK ACCESS TECH"/>
    <s v="ACCESS OTHER"/>
    <s v="OTHER AURORA"/>
    <s v="N224"/>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57L2"/>
    <s v="SJ2_STAG"/>
    <s v="COMCAST CABLE COMMUNICATIONS"/>
    <s v="49800 Martin Dr"/>
    <s v="MI"/>
    <s v="Wixom"/>
    <s v="48393-2404"/>
    <s v="HT3FILD"/>
    <s v="XMTR DOUBLE HT FILLER MODULE"/>
    <s v="20118694"/>
    <s v="13.1"/>
    <x v="170"/>
    <n v="1960719"/>
    <d v="2016-10-25T14:34:46"/>
    <m/>
    <d v="2016-10-25T00:00:00"/>
    <d v="2016-10-25T00:00:00"/>
    <d v="2016-10-25T00:00:00"/>
    <m/>
    <n v="2"/>
    <n v="2"/>
    <n v="336"/>
    <n v="336"/>
    <s v="N224"/>
    <s v="NWK ACCESS TECH"/>
    <s v="ACCESS OTHER"/>
    <s v="OTHER AURORA"/>
    <s v="N224"/>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07L2B02"/>
    <s v="SJ2_STAG"/>
    <s v="COMCAST CABLE COMMUNICATIONS"/>
    <s v="49800 Martin Dr"/>
    <s v="MI"/>
    <s v="Wixom"/>
    <s v="48393-2404"/>
    <s v="DR3450N-50-00"/>
    <s v="DIGITAL RECEIVER Q-RX 2.125GBP"/>
    <s v="20118694"/>
    <s v="14.1"/>
    <x v="170"/>
    <n v="1960719"/>
    <d v="2016-10-25T14:34:46"/>
    <m/>
    <d v="2016-10-25T00:00:00"/>
    <d v="2016-10-25T00:00:00"/>
    <d v="2016-10-25T00:00:00"/>
    <m/>
    <n v="1"/>
    <n v="1"/>
    <n v="1200"/>
    <n v="1200"/>
    <s v="N275"/>
    <s v="NWK ACCESS TECH"/>
    <s v="HEO"/>
    <s v="RECEIVERS AURORA"/>
    <s v="N275"/>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79L3"/>
    <s v="SJ2_STAG"/>
    <s v="COMCAST CABLE COMMUNICATIONS"/>
    <s v="49800 Martin Dr"/>
    <s v="MI"/>
    <s v="Wixom"/>
    <s v="48393-2404"/>
    <s v="RR4000-00-PI"/>
    <s v="RCVR DUAL PLUGGABLE SFP 3 GBPS"/>
    <s v="20118694"/>
    <s v="15.1"/>
    <x v="170"/>
    <n v="1960722"/>
    <d v="2016-10-25T14:34:46"/>
    <m/>
    <d v="2016-10-25T00:00:00"/>
    <d v="2016-10-25T00:00:00"/>
    <d v="2016-10-25T00:00:00"/>
    <m/>
    <n v="1"/>
    <n v="1"/>
    <n v="180"/>
    <n v="180"/>
    <s v="N224"/>
    <s v="NWK ACCESS TECH"/>
    <s v="ACCESS OTHER"/>
    <s v="OTHER AURORA"/>
    <s v="N224"/>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16L3B01"/>
    <s v="SJ2_STAG"/>
    <s v="COMCAST CABLE COMMUNICATIONS"/>
    <s v="49800 Martin Dr"/>
    <s v="MI"/>
    <s v="Wixom"/>
    <s v="48393-2404"/>
    <s v="OP95D4-CF1-103-R2-AS"/>
    <s v="DEMUX DWDM 100GHZ 4 CH 03 F-CA"/>
    <s v="20118694"/>
    <s v="17.1"/>
    <x v="171"/>
    <n v="1962025"/>
    <d v="2016-10-25T14:34:46"/>
    <m/>
    <d v="2016-10-27T00:00:00"/>
    <d v="2016-10-25T00:00:00"/>
    <d v="2016-10-27T00:00:00"/>
    <m/>
    <n v="1"/>
    <m/>
    <n v="757"/>
    <m/>
    <s v="N160"/>
    <s v="NWK ACCESS TECH"/>
    <s v="OPTICAL PASSIVES"/>
    <s v="OUTDOOR PASSIVES AURORA"/>
    <s v="N160"/>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32L1B01"/>
    <s v="SJ2_STAG"/>
    <s v="COMCAST CABLE COMMUNICATIONS"/>
    <s v="49800 Martin Dr"/>
    <s v="MI"/>
    <s v="Wixom"/>
    <s v="48393-2404"/>
    <s v="NC412B1S3H5-U0000000"/>
    <s v="NODE 5-42MHZ RVS 51-1GHZ FWD G"/>
    <s v="20118694"/>
    <s v="18.1"/>
    <x v="170"/>
    <n v="1960722"/>
    <d v="2016-10-25T14:34:46"/>
    <m/>
    <d v="2016-10-25T00:00:00"/>
    <d v="2016-10-25T00:00:00"/>
    <d v="2016-10-25T00:00:00"/>
    <m/>
    <n v="1"/>
    <n v="1"/>
    <n v="1842"/>
    <n v="1842"/>
    <s v="N035"/>
    <s v="NWK ACCESS TECH"/>
    <s v="NODE"/>
    <s v="NC4000 AURORA"/>
    <s v="N035"/>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17L1B01"/>
    <s v="SJ2_STAG"/>
    <s v="COMCAST CABLE COMMUNICATIONS"/>
    <s v="49800 Martin Dr"/>
    <s v="MI"/>
    <s v="Wixom"/>
    <s v="48393-2404"/>
    <s v="CH3000U-FM-00"/>
    <s v="ADAPTER FIBER MGT FOR CH3000 C"/>
    <s v="20118694"/>
    <s v="2.1"/>
    <x v="170"/>
    <n v="1960719"/>
    <d v="2016-10-25T14:34:46"/>
    <m/>
    <d v="2016-10-25T00:00:00"/>
    <d v="2016-10-25T00:00:00"/>
    <d v="2016-10-25T00:00:00"/>
    <m/>
    <n v="2"/>
    <n v="2"/>
    <n v="110"/>
    <n v="110"/>
    <s v="N199"/>
    <s v="NWK ACCESS TECH"/>
    <s v="HEO"/>
    <s v="HEO MISC AURORA"/>
    <s v="N199"/>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4L1"/>
    <s v="SJ2_STAG"/>
    <s v="COMCAST CABLE COMMUNICATIONS"/>
    <s v="49800 Martin Dr"/>
    <s v="MI"/>
    <s v="Wixom"/>
    <s v="48393-2404"/>
    <s v="TL3000-EJ-00"/>
    <s v="TOOL EXTRACTOR HANDLE CH3000"/>
    <s v="20118694"/>
    <s v="3.1"/>
    <x v="170"/>
    <n v="1960719"/>
    <d v="2016-10-25T14:34:46"/>
    <m/>
    <d v="2016-10-25T00:00:00"/>
    <d v="2016-10-25T00:00:00"/>
    <d v="2016-10-25T00:00:00"/>
    <m/>
    <n v="1"/>
    <n v="1"/>
    <n v="6"/>
    <n v="6"/>
    <s v="N185"/>
    <s v="NWK ACCESS TECH"/>
    <s v="ACCESS OTHER"/>
    <s v="OTHER AURORA"/>
    <s v="N185"/>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4P24L5B02"/>
    <s v="SJ2_STAG"/>
    <s v="COMCAST CABLE COMMUNICATIONS"/>
    <s v="49800 Martin Dr"/>
    <s v="MI"/>
    <s v="Wixom"/>
    <s v="48393-2404"/>
    <s v="PS3148D"/>
    <s v="POWER SUPPLY W/DISPLAY -48VDC"/>
    <s v="20118694"/>
    <s v="4.1"/>
    <x v="172"/>
    <n v="1961125"/>
    <d v="2016-10-25T14:34:46"/>
    <m/>
    <d v="2016-10-26T00:00:00"/>
    <d v="2016-10-25T00:00:00"/>
    <d v="2016-10-26T00:00:00"/>
    <m/>
    <n v="2"/>
    <n v="2"/>
    <n v="1228"/>
    <n v="1228"/>
    <s v="N204"/>
    <s v="NWK ACCESS TECH"/>
    <s v="ACCESS OTHER"/>
    <s v="OTHER AURORA"/>
    <s v="N204"/>
    <s v="AS-STANDARD ORDER MIXED"/>
    <s v="A-SURFACE"/>
    <s v="OP"/>
    <n v="1249843"/>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13L4B01"/>
    <s v="SJ2_STAG"/>
    <s v="COMCAST CABLE COMMUNICATIONS"/>
    <s v="49800 Martin Dr"/>
    <s v="MI"/>
    <s v="Wixom"/>
    <s v="48393-2404"/>
    <s v="PS3148N"/>
    <s v="POWER SUPPLY NO DISPLAY -48VDC"/>
    <s v="20118694"/>
    <s v="5.1"/>
    <x v="170"/>
    <n v="1960719"/>
    <d v="2016-10-25T14:34:46"/>
    <m/>
    <d v="2016-10-25T00:00:00"/>
    <d v="2016-10-25T00:00:00"/>
    <d v="2016-10-25T00:00:00"/>
    <m/>
    <n v="2"/>
    <n v="2"/>
    <n v="1056"/>
    <n v="1056"/>
    <s v="N204"/>
    <s v="NWK ACCESS TECH"/>
    <s v="ACCESS OTHER"/>
    <s v="OTHER AURORA"/>
    <s v="N204"/>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5P61L2"/>
    <s v="SJ2_STAG"/>
    <s v="COMCAST CABLE COMMUNICATIONS"/>
    <s v="49800 Martin Dr"/>
    <s v="MI"/>
    <s v="Wixom"/>
    <s v="48393-2404"/>
    <s v="BP3400C-00"/>
    <s v="BACKPLATE 4.25 GB/S 1-FER/2-FE"/>
    <s v="20118694"/>
    <s v="6.1"/>
    <x v="170"/>
    <n v="1960719"/>
    <d v="2016-10-25T14:34:46"/>
    <m/>
    <d v="2016-10-25T00:00:00"/>
    <d v="2016-10-25T00:00:00"/>
    <d v="2016-10-25T00:00:00"/>
    <m/>
    <n v="1"/>
    <n v="1"/>
    <n v="392"/>
    <n v="392"/>
    <s v="N076"/>
    <s v="NWK ACCESS TECH"/>
    <s v="HEO"/>
    <s v="HEO MISC AURORA"/>
    <s v="N076"/>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73L6"/>
    <s v="SJ2_STAG"/>
    <s v="COMCAST CABLE COMMUNICATIONS"/>
    <s v="49800 Martin Dr"/>
    <s v="MI"/>
    <s v="Wixom"/>
    <s v="48393-2404"/>
    <s v="CX3002"/>
    <s v="COMMUNICATIONS MODULE"/>
    <s v="20118694"/>
    <s v="7.1"/>
    <x v="170"/>
    <n v="1960722"/>
    <d v="2016-10-25T14:34:46"/>
    <m/>
    <d v="2016-10-25T00:00:00"/>
    <d v="2016-10-25T00:00:00"/>
    <d v="2016-10-25T00:00:00"/>
    <m/>
    <n v="2"/>
    <n v="2"/>
    <n v="572"/>
    <n v="572"/>
    <s v="N080"/>
    <s v="NWK ACCESS TECH"/>
    <s v="HEO"/>
    <s v="HEO MISC AURORA"/>
    <s v="N080"/>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3L2"/>
    <s v="SJ2_STAG"/>
    <s v="COMCAST CABLE COMMUNICATIONS"/>
    <s v="49800 Martin Dr"/>
    <s v="MI"/>
    <s v="Wixom"/>
    <s v="48393-2404"/>
    <s v="HT3541H-D-A200-2-AS"/>
    <s v="XMTR DD 1.2GHZ FULL SPECTRUM 3"/>
    <s v="20118694"/>
    <s v="9.1"/>
    <x v="170"/>
    <n v="1960719"/>
    <d v="2016-10-25T14:34:46"/>
    <m/>
    <d v="2016-10-25T00:00:00"/>
    <d v="2016-10-25T00:00:00"/>
    <d v="2016-10-25T00:00:00"/>
    <m/>
    <n v="1"/>
    <n v="1"/>
    <n v="1397"/>
    <n v="1397"/>
    <s v="HE64"/>
    <s v="NWK ACCESS TECH"/>
    <s v="HEO"/>
    <s v="TRANSMITTER"/>
    <s v="HT"/>
    <s v="AS-STANDARD ORDER MIXED"/>
    <s v="A-SURFACE"/>
    <s v="OP"/>
    <n v="1249585"/>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53L7"/>
    <s v="SJ2_STAG"/>
    <s v="COMCAST CABLE COMM MGMT, LLC"/>
    <s v="299 N Main St"/>
    <s v="VT"/>
    <s v="Rutland"/>
    <s v="05701-2414"/>
    <s v="BD31A4-100-H12F-0-AS"/>
    <s v="OPT PASSTHRU BD 4 XMTR 4 BC 4"/>
    <s v="20118704"/>
    <s v="1.1"/>
    <x v="173"/>
    <n v="1963644"/>
    <d v="2016-10-25T15:27:44"/>
    <m/>
    <d v="2016-10-28T00:00:00"/>
    <d v="2016-11-03T00:00:00"/>
    <d v="2016-10-28T00:00:00"/>
    <m/>
    <n v="1"/>
    <m/>
    <n v="588"/>
    <m/>
    <s v="N258"/>
    <s v="NWK ACCESS TECH"/>
    <s v="HEO"/>
    <s v="TRANSMITTERS AURORA"/>
    <s v="HDTX"/>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16P32L1B02"/>
    <s v="SJ2_STAG"/>
    <s v="COMCAST CABLE COMM MGMT, LLC"/>
    <s v="299 N Main St"/>
    <s v="VT"/>
    <s v="Rutland"/>
    <s v="05701-2414"/>
    <s v="PS3148N"/>
    <s v="POWER SUPPLY NO DISPLAY -48VDC"/>
    <s v="20118704"/>
    <s v="10.1"/>
    <x v="173"/>
    <n v="1963646"/>
    <d v="2016-10-25T15:27:44"/>
    <m/>
    <d v="2016-10-28T00:00:00"/>
    <d v="2016-11-03T00:00:00"/>
    <d v="2016-10-28T00:00:00"/>
    <m/>
    <n v="1"/>
    <m/>
    <n v="528"/>
    <m/>
    <s v="N204"/>
    <s v="NWK ACCESS TECH"/>
    <s v="ACCESS OTHER"/>
    <s v="OTHER AURORA"/>
    <s v="N204"/>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49L2"/>
    <s v="SJ2_STAG"/>
    <s v="COMCAST CABLE COMM MGMT, LLC"/>
    <s v="299 N Main St"/>
    <s v="VT"/>
    <s v="Rutland"/>
    <s v="05701-2414"/>
    <s v="AR3001H-AS"/>
    <s v="ANALOG RETURN RX DUAL 5-100MHZ"/>
    <s v="20118704"/>
    <s v="12.1"/>
    <x v="173"/>
    <n v="1963646"/>
    <d v="2016-10-25T15:27:44"/>
    <m/>
    <d v="2016-10-28T00:00:00"/>
    <d v="2016-11-03T00:00:00"/>
    <d v="2016-10-28T00:00:00"/>
    <m/>
    <n v="3"/>
    <m/>
    <n v="1872"/>
    <m/>
    <s v="HE62"/>
    <s v="NWK ACCESS TECH"/>
    <s v="HEO"/>
    <s v="HEO MISC"/>
    <s v="AHEO"/>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3P60L6"/>
    <s v="SJ2_STAG"/>
    <s v="COMCAST CABLE COMM MGMT, LLC"/>
    <s v="299 N Main St"/>
    <s v="VT"/>
    <s v="Rutland"/>
    <s v="05701-2414"/>
    <s v="CA3008"/>
    <s v="CARRIER MODULE HIGH DENSITY"/>
    <s v="20118704"/>
    <s v="2.1"/>
    <x v="173"/>
    <n v="1963646"/>
    <d v="2016-10-25T15:27:44"/>
    <m/>
    <d v="2016-10-28T00:00:00"/>
    <d v="2016-11-03T00:00:00"/>
    <d v="2016-10-28T00:00:00"/>
    <m/>
    <n v="1"/>
    <m/>
    <n v="216"/>
    <m/>
    <s v="N259"/>
    <s v="NWK ACCESS TECH"/>
    <s v="HEO"/>
    <s v="TRANSMITTERS AURORA"/>
    <s v="HDTX"/>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4P10L5B01"/>
    <s v="SJ2_STAG"/>
    <s v="COMCAST CABLE COMM MGMT, LLC"/>
    <s v="299 N Main St"/>
    <s v="VT"/>
    <s v="Rutland"/>
    <s v="05701-2414"/>
    <s v="CC3008"/>
    <s v="COMM CONTROL MODULE HIGH DENSI"/>
    <s v="20118704"/>
    <s v="3.1"/>
    <x v="173"/>
    <n v="1963646"/>
    <d v="2016-10-25T15:27:44"/>
    <m/>
    <d v="2016-10-28T00:00:00"/>
    <d v="2016-11-03T00:00:00"/>
    <d v="2016-10-28T00:00:00"/>
    <m/>
    <n v="1"/>
    <m/>
    <n v="108"/>
    <m/>
    <s v="N260"/>
    <s v="NWK ACCESS TECH"/>
    <s v="HEO"/>
    <s v="TRANSMITTERS AURORA"/>
    <s v="HDTX"/>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3P73L6"/>
    <s v="SJ2_STAG"/>
    <s v="COMCAST CABLE COMM MGMT, LLC"/>
    <s v="299 N Main St"/>
    <s v="VT"/>
    <s v="Rutland"/>
    <s v="05701-2414"/>
    <s v="CX3002"/>
    <s v="COMMUNICATIONS MODULE"/>
    <s v="20118704"/>
    <s v="4.1"/>
    <x v="173"/>
    <n v="1963644"/>
    <d v="2016-10-25T15:27:44"/>
    <m/>
    <d v="2016-10-28T00:00:00"/>
    <d v="2016-11-03T00:00:00"/>
    <d v="2016-10-28T00:00:00"/>
    <m/>
    <n v="1"/>
    <m/>
    <n v="286"/>
    <m/>
    <s v="N080"/>
    <s v="NWK ACCESS TECH"/>
    <s v="HEO"/>
    <s v="HEO MISC AURORA"/>
    <s v="N080"/>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3P17L3"/>
    <s v="SJ2_STAG"/>
    <s v="COMCAST CABLE COMM MGMT, LLC"/>
    <s v="299 N Main St"/>
    <s v="VT"/>
    <s v="Rutland"/>
    <s v="05701-2414"/>
    <s v="HT3541H-D-A290-2-AS"/>
    <s v="XMTR DD 1.2GHZ FULL SPECTRUM 3"/>
    <s v="20118704"/>
    <s v="5.1"/>
    <x v="173"/>
    <n v="1963644"/>
    <d v="2016-10-25T15:27:44"/>
    <m/>
    <d v="2016-10-28T00:00:00"/>
    <d v="2016-11-03T00:00:00"/>
    <d v="2016-10-28T00:00:00"/>
    <m/>
    <n v="3"/>
    <m/>
    <n v="4191"/>
    <m/>
    <s v="HE64"/>
    <s v="NWK ACCESS TECH"/>
    <s v="HEO"/>
    <s v="TRANSMITTER"/>
    <s v="HT"/>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60L2"/>
    <s v="SJ2_STAG"/>
    <s v="COMCAST CABLE COMM MGMT, LLC"/>
    <s v="299 N Main St"/>
    <s v="VT"/>
    <s v="Rutland"/>
    <s v="05701-2414"/>
    <s v="FA3524S-01-AS"/>
    <s v="FIBEROPTIC AMPLIFIER SINGLE 24"/>
    <s v="20118704"/>
    <s v="7.1"/>
    <x v="173"/>
    <n v="1963646"/>
    <d v="2016-10-25T15:27:44"/>
    <m/>
    <d v="2016-10-28T00:00:00"/>
    <d v="2016-11-03T00:00:00"/>
    <d v="2016-10-28T00:00:00"/>
    <m/>
    <n v="1"/>
    <m/>
    <n v="4627"/>
    <m/>
    <s v="N125"/>
    <s v="NWK ACCESS TECH"/>
    <s v="HEO"/>
    <s v="HEO MISC AURORA"/>
    <s v="EDFA"/>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s v="R022P25L3"/>
    <s v="SJ2_STAG"/>
    <s v="COMCAST CABLE COMM MGMT, LLC"/>
    <s v="299 N Main St"/>
    <s v="VT"/>
    <s v="Rutland"/>
    <s v="05701-2414"/>
    <s v="FA3524S-01-AS"/>
    <s v="FIBEROPTIC AMPLIFIER SINGLE 24"/>
    <s v="20118704"/>
    <s v="7.1"/>
    <x v="173"/>
    <n v="1963646"/>
    <d v="2016-10-25T15:27:44"/>
    <m/>
    <d v="2016-10-28T00:00:00"/>
    <d v="2016-11-03T00:00:00"/>
    <d v="2016-10-28T00:00:00"/>
    <m/>
    <n v="2"/>
    <m/>
    <n v="9254"/>
    <m/>
    <s v="N125"/>
    <s v="NWK ACCESS TECH"/>
    <s v="HEO"/>
    <s v="HEO MISC AURORA"/>
    <s v="EDFA"/>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RUTLAND10948"/>
    <m/>
    <s v="SJ2_STAG"/>
    <s v="COMCAST CABLE COMM MGMT, LLC"/>
    <s v="299 N Main St"/>
    <s v="VT"/>
    <s v="Rutland"/>
    <s v="05701-2414"/>
    <s v="PS3148D"/>
    <s v="POWER SUPPLY W/DISPLAY -48VDC"/>
    <s v="20118704"/>
    <s v="9.1"/>
    <x v="173"/>
    <n v="1963645"/>
    <d v="2016-10-25T15:27:44"/>
    <m/>
    <d v="2016-10-28T00:00:00"/>
    <d v="2016-11-03T00:00:00"/>
    <d v="2016-10-28T00:00:00"/>
    <m/>
    <n v="1"/>
    <m/>
    <n v="614"/>
    <m/>
    <s v="N204"/>
    <s v="NWK ACCESS TECH"/>
    <s v="ACCESS OTHER"/>
    <s v="OTHER AURORA"/>
    <s v="N204"/>
    <s v="AS-STANDARD ORDER MIXED"/>
    <s v="A-SURFACE"/>
    <s v="OP"/>
    <n v="1251406"/>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72L1"/>
    <s v="SJ2_STAG"/>
    <s v="COMCAST CABLE"/>
    <s v="23525 Clawiter Rd"/>
    <s v="CA"/>
    <s v="Hayward"/>
    <s v="94545-1328"/>
    <s v="BC1001-AS"/>
    <s v="BULKHEAD ADAPTER W/SHUTTER SC/"/>
    <s v="20118810"/>
    <s v="1.1"/>
    <x v="174"/>
    <n v="1961647"/>
    <d v="2016-10-26T10:13:25"/>
    <m/>
    <d v="2016-10-26T00:00:00"/>
    <d v="2016-11-04T00:00:00"/>
    <d v="2016-10-28T00:00:00"/>
    <m/>
    <n v="1"/>
    <m/>
    <n v="6"/>
    <m/>
    <s v="N224"/>
    <s v="NWK ACCESS TECH"/>
    <s v="ACCESS OTHER"/>
    <s v="OTHER AURORA"/>
    <s v="N22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60L6"/>
    <s v="SJ2_STAG"/>
    <s v="COMCAST CABLE"/>
    <s v="23525 Clawiter Rd"/>
    <s v="CA"/>
    <s v="Hayward"/>
    <s v="94545-1328"/>
    <s v="CA3008"/>
    <s v="CARRIER MODULE HIGH DENSITY"/>
    <s v="20118810"/>
    <s v="12.1"/>
    <x v="174"/>
    <n v="1961642"/>
    <d v="2016-10-26T10:13:25"/>
    <m/>
    <d v="2016-10-26T00:00:00"/>
    <d v="2016-11-04T00:00:00"/>
    <d v="2016-10-28T00:00:00"/>
    <m/>
    <n v="2"/>
    <m/>
    <n v="432"/>
    <m/>
    <s v="N259"/>
    <s v="NWK ACCESS TECH"/>
    <s v="HEO"/>
    <s v="TRANSMITTERS AURORA"/>
    <s v="HDTX"/>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12L3"/>
    <s v="SJ2_STAG"/>
    <s v="COMCAST CABLE"/>
    <s v="23525 Clawiter Rd"/>
    <s v="CA"/>
    <s v="Hayward"/>
    <s v="94545-1328"/>
    <s v="CC3008"/>
    <s v="COMM CONTROL MODULE HIGH DENSI"/>
    <s v="20118810"/>
    <s v="13.1"/>
    <x v="175"/>
    <n v="1962118"/>
    <d v="2016-10-26T10:13:25"/>
    <m/>
    <d v="2016-10-27T00:00:00"/>
    <d v="2016-11-04T00:00:00"/>
    <d v="2016-10-28T00:00:00"/>
    <m/>
    <n v="2"/>
    <n v="2"/>
    <n v="216"/>
    <n v="216"/>
    <s v="N260"/>
    <s v="NWK ACCESS TECH"/>
    <s v="HEO"/>
    <s v="TRANSMITTERS AURORA"/>
    <s v="HDTX"/>
    <s v="AS-STANDARD ORDER MIXED"/>
    <s v="A-SURFACE"/>
    <s v="OP"/>
    <n v="1250456"/>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16P07L2B02"/>
    <s v="SJ2_STAG"/>
    <s v="COMCAST CABLE"/>
    <s v="23525 Clawiter Rd"/>
    <s v="CA"/>
    <s v="Hayward"/>
    <s v="94545-1328"/>
    <s v="DR3450N-50-00"/>
    <s v="DIGITAL RECEIVER Q-RX 2.125GBP"/>
    <s v="20118810"/>
    <s v="15.1"/>
    <x v="174"/>
    <n v="1961642"/>
    <d v="2016-10-26T10:13:25"/>
    <m/>
    <d v="2016-10-26T00:00:00"/>
    <d v="2016-11-04T00:00:00"/>
    <d v="2016-10-28T00:00:00"/>
    <m/>
    <n v="2"/>
    <m/>
    <n v="2400"/>
    <m/>
    <s v="N275"/>
    <s v="NWK ACCESS TECH"/>
    <s v="HEO"/>
    <s v="RECEIVERS AURORA"/>
    <s v="N275"/>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2P79L3"/>
    <s v="SJ2_STAG"/>
    <s v="COMCAST CABLE"/>
    <s v="23525 Clawiter Rd"/>
    <s v="CA"/>
    <s v="Hayward"/>
    <s v="94545-1328"/>
    <s v="RR4000-00-PI"/>
    <s v="RCVR DUAL PLUGGABLE SFP 3 GBPS"/>
    <s v="20118810"/>
    <s v="16.1"/>
    <x v="174"/>
    <n v="1961647"/>
    <d v="2016-10-26T10:13:25"/>
    <m/>
    <d v="2016-10-26T00:00:00"/>
    <d v="2016-11-04T00:00:00"/>
    <d v="2016-10-28T00:00:00"/>
    <m/>
    <n v="2"/>
    <m/>
    <n v="360"/>
    <m/>
    <s v="N224"/>
    <s v="NWK ACCESS TECH"/>
    <s v="ACCESS OTHER"/>
    <s v="OTHER AURORA"/>
    <s v="N22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55L2"/>
    <s v="SJ2_STAG"/>
    <s v="COMCAST CABLE"/>
    <s v="23525 Clawiter Rd"/>
    <s v="CA"/>
    <s v="Hayward"/>
    <s v="94545-1328"/>
    <s v="OP34F1D-1590-0-00-AS"/>
    <s v="CWDM FLTR DUAL 1590NM SC/APC 3"/>
    <s v="20118810"/>
    <s v="17.1"/>
    <x v="174"/>
    <n v="1961647"/>
    <d v="2016-10-26T10:13:25"/>
    <m/>
    <d v="2016-10-26T00:00:00"/>
    <d v="2016-11-04T00:00:00"/>
    <d v="2016-10-28T00:00:00"/>
    <m/>
    <n v="1"/>
    <m/>
    <n v="291"/>
    <m/>
    <s v="N156"/>
    <s v="NWK ACCESS TECH"/>
    <s v="ACCESS OTHER"/>
    <s v="OTHER AURORA"/>
    <s v="N156"/>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10L6"/>
    <s v="SJ2_STAG"/>
    <s v="COMCAST CABLE"/>
    <s v="23525 Clawiter Rd"/>
    <s v="CA"/>
    <s v="Hayward"/>
    <s v="94545-1328"/>
    <s v="OP34F1D-1590-0-00-AS"/>
    <s v="CWDM FLTR DUAL 1590NM SC/APC 3"/>
    <s v="20118810"/>
    <s v="17.1"/>
    <x v="174"/>
    <n v="1961642"/>
    <d v="2016-10-26T10:13:25"/>
    <m/>
    <d v="2016-10-26T00:00:00"/>
    <d v="2016-11-04T00:00:00"/>
    <d v="2016-10-28T00:00:00"/>
    <m/>
    <n v="1"/>
    <m/>
    <n v="291"/>
    <m/>
    <s v="N156"/>
    <s v="NWK ACCESS TECH"/>
    <s v="ACCESS OTHER"/>
    <s v="OTHER AURORA"/>
    <s v="N156"/>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79L4"/>
    <s v="SJ2_STAG"/>
    <s v="COMCAST CABLE"/>
    <s v="23525 Clawiter Rd"/>
    <s v="CA"/>
    <s v="Hayward"/>
    <s v="94545-1328"/>
    <s v="OP95D4-CF1-103-R1-00"/>
    <s v="DEMUX DWDM 100GHZ 4 CH 03 F-CA"/>
    <s v="20118810"/>
    <s v="18.1"/>
    <x v="174"/>
    <n v="1961642"/>
    <d v="2016-10-26T10:13:25"/>
    <m/>
    <d v="2016-10-26T00:00:00"/>
    <d v="2016-11-04T00:00:00"/>
    <d v="2016-10-28T00:00:00"/>
    <m/>
    <n v="2"/>
    <m/>
    <n v="1396"/>
    <m/>
    <s v="N160"/>
    <s v="NWK ACCESS TECH"/>
    <s v="OPTICAL PASSIVES"/>
    <s v="OUTDOOR PASSIVES AURORA"/>
    <s v="N160"/>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4P13L5B01"/>
    <s v="SJ2_STAG"/>
    <s v="COMCAST CABLE"/>
    <s v="23525 Clawiter Rd"/>
    <s v="CA"/>
    <s v="Hayward"/>
    <s v="94545-1328"/>
    <s v="CH3000C"/>
    <s v="CHASSIS WITH COVERS 3RU"/>
    <s v="20118810"/>
    <s v="2.1"/>
    <x v="174"/>
    <n v="1961642"/>
    <d v="2016-10-26T10:13:25"/>
    <m/>
    <d v="2016-10-26T00:00:00"/>
    <d v="2016-11-04T00:00:00"/>
    <d v="2016-10-28T00:00:00"/>
    <m/>
    <n v="3"/>
    <m/>
    <n v="792"/>
    <m/>
    <s v="N199"/>
    <s v="NWK ACCESS TECH"/>
    <s v="HEO"/>
    <s v="HEO MISC AURORA"/>
    <s v="N199"/>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16P17L1B01"/>
    <s v="SJ2_STAG"/>
    <s v="COMCAST CABLE"/>
    <s v="23525 Clawiter Rd"/>
    <s v="CA"/>
    <s v="Hayward"/>
    <s v="94545-1328"/>
    <s v="CH3000U-FM-00"/>
    <s v="ADAPTER FIBER MGT FOR CH3000 C"/>
    <s v="20118810"/>
    <s v="3.1"/>
    <x v="174"/>
    <n v="1961642"/>
    <d v="2016-10-26T10:13:25"/>
    <m/>
    <d v="2016-10-26T00:00:00"/>
    <d v="2016-11-04T00:00:00"/>
    <d v="2016-10-28T00:00:00"/>
    <m/>
    <n v="3"/>
    <m/>
    <n v="165"/>
    <m/>
    <s v="N199"/>
    <s v="NWK ACCESS TECH"/>
    <s v="HEO"/>
    <s v="HEO MISC AURORA"/>
    <s v="N199"/>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m/>
    <s v="SJ2_STAG"/>
    <s v="COMCAST CABLE"/>
    <s v="23525 Clawiter Rd"/>
    <s v="CA"/>
    <s v="Hayward"/>
    <s v="94545-1328"/>
    <s v="PS3148D"/>
    <s v="POWER SUPPLY W/DISPLAY -48VDC"/>
    <s v="20118810"/>
    <s v="4.1"/>
    <x v="174"/>
    <n v="1961645"/>
    <d v="2016-10-26T10:13:25"/>
    <m/>
    <d v="2016-10-26T00:00:00"/>
    <d v="2016-11-04T00:00:00"/>
    <d v="2016-10-28T00:00:00"/>
    <m/>
    <n v="3"/>
    <m/>
    <n v="1842"/>
    <m/>
    <s v="N204"/>
    <s v="NWK ACCESS TECH"/>
    <s v="ACCESS OTHER"/>
    <s v="OTHER AURORA"/>
    <s v="N20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15P65L2"/>
    <s v="SJ2_STAG"/>
    <s v="COMCAST CABLE"/>
    <s v="23525 Clawiter Rd"/>
    <s v="CA"/>
    <s v="Hayward"/>
    <s v="94545-1328"/>
    <s v="PS3148N"/>
    <s v="POWER SUPPLY NO DISPLAY -48VDC"/>
    <s v="20118810"/>
    <s v="5.1"/>
    <x v="174"/>
    <n v="1961642"/>
    <d v="2016-10-26T10:13:25"/>
    <m/>
    <d v="2016-10-26T00:00:00"/>
    <d v="2016-11-04T00:00:00"/>
    <d v="2016-10-28T00:00:00"/>
    <m/>
    <n v="3"/>
    <m/>
    <n v="1584"/>
    <m/>
    <s v="N204"/>
    <s v="NWK ACCESS TECH"/>
    <s v="ACCESS OTHER"/>
    <s v="OTHER AURORA"/>
    <s v="N20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15P61L2"/>
    <s v="SJ2_STAG"/>
    <s v="COMCAST CABLE"/>
    <s v="23525 Clawiter Rd"/>
    <s v="CA"/>
    <s v="Hayward"/>
    <s v="94545-1328"/>
    <s v="BP3400C-00"/>
    <s v="BACKPLATE 4.25 GB/S 1-FER/2-FE"/>
    <s v="20118810"/>
    <s v="6.1"/>
    <x v="174"/>
    <n v="1961642"/>
    <d v="2016-10-26T10:13:25"/>
    <m/>
    <d v="2016-10-26T00:00:00"/>
    <d v="2016-11-04T00:00:00"/>
    <d v="2016-10-28T00:00:00"/>
    <m/>
    <n v="2"/>
    <m/>
    <n v="784"/>
    <m/>
    <s v="N076"/>
    <s v="NWK ACCESS TECH"/>
    <s v="HEO"/>
    <s v="HEO MISC AURORA"/>
    <s v="N076"/>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73L6"/>
    <s v="SJ2_STAG"/>
    <s v="COMCAST CABLE"/>
    <s v="23525 Clawiter Rd"/>
    <s v="CA"/>
    <s v="Hayward"/>
    <s v="94545-1328"/>
    <s v="CX3002"/>
    <s v="COMMUNICATIONS MODULE"/>
    <s v="20118810"/>
    <s v="7.1"/>
    <x v="174"/>
    <n v="1961647"/>
    <d v="2016-10-26T10:13:25"/>
    <m/>
    <d v="2016-10-26T00:00:00"/>
    <d v="2016-11-04T00:00:00"/>
    <d v="2016-10-28T00:00:00"/>
    <m/>
    <n v="3"/>
    <m/>
    <n v="858"/>
    <m/>
    <s v="N080"/>
    <s v="NWK ACCESS TECH"/>
    <s v="HEO"/>
    <s v="HEO MISC AURORA"/>
    <s v="N080"/>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2P17L5"/>
    <s v="SJ2_STAG"/>
    <s v="COMCAST CABLE"/>
    <s v="23525 Clawiter Rd"/>
    <s v="CA"/>
    <s v="Hayward"/>
    <s v="94545-1328"/>
    <s v="TR4440B-1590-PI"/>
    <s v="TRANSCEIVER SFP 60KM CWDM 1590"/>
    <s v="20118810"/>
    <s v="8.1"/>
    <x v="174"/>
    <n v="1961642"/>
    <d v="2016-10-26T10:13:25"/>
    <m/>
    <d v="2016-10-26T00:00:00"/>
    <d v="2016-11-04T00:00:00"/>
    <d v="2016-10-28T00:00:00"/>
    <m/>
    <n v="2"/>
    <m/>
    <n v="600"/>
    <m/>
    <s v="N252"/>
    <s v="NWK ACCESS TECH"/>
    <s v="NODE"/>
    <s v="NODE MISC AURORA"/>
    <s v="N252"/>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HAYWARD - BERG"/>
    <s v="R023P03L2"/>
    <s v="SJ2_STAG"/>
    <s v="COMCAST CABLE"/>
    <s v="23525 Clawiter Rd"/>
    <s v="CA"/>
    <s v="Hayward"/>
    <s v="94545-1328"/>
    <s v="HT3541H-D-A200-2-AS"/>
    <s v="XMTR DD 1.2GHZ FULL SPECTRUM 3"/>
    <s v="20118810"/>
    <s v="9.1"/>
    <x v="174"/>
    <n v="1961642"/>
    <d v="2016-10-26T10:13:25"/>
    <m/>
    <d v="2016-10-26T00:00:00"/>
    <d v="2016-11-04T00:00:00"/>
    <d v="2016-10-28T00:00:00"/>
    <m/>
    <n v="2"/>
    <m/>
    <n v="2794"/>
    <m/>
    <s v="HE64"/>
    <s v="NWK ACCESS TECH"/>
    <s v="HEO"/>
    <s v="TRANSMITTER"/>
    <s v="HT"/>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53L7"/>
    <s v="SJ2_STAG"/>
    <s v="COMCAST CABLE COMMUNICATIONS"/>
    <s v="49800 Martin Dr"/>
    <s v="MI"/>
    <s v="Wixom"/>
    <s v="48393-2404"/>
    <s v="BD31A4-100-H12F-0-AS"/>
    <s v="OPT PASSTHRU BD 4 XMTR 4 BC 4"/>
    <s v="20118837"/>
    <s v="1.1"/>
    <x v="176"/>
    <n v="1961648"/>
    <d v="2016-10-26T11:05:22"/>
    <m/>
    <d v="2016-10-26T00:00:00"/>
    <d v="2016-11-04T00:00:00"/>
    <d v="2016-10-28T00:00:00"/>
    <m/>
    <n v="2"/>
    <m/>
    <n v="1176"/>
    <m/>
    <s v="N258"/>
    <s v="NWK ACCESS TECH"/>
    <s v="HEO"/>
    <s v="TRANSMITTERS AURORA"/>
    <s v="HDTX"/>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73L6"/>
    <s v="SJ2_STAG"/>
    <s v="COMCAST CABLE COMMUNICATIONS"/>
    <s v="49800 Martin Dr"/>
    <s v="MI"/>
    <s v="Wixom"/>
    <s v="48393-2404"/>
    <s v="CX3002"/>
    <s v="COMMUNICATIONS MODULE"/>
    <s v="20118837"/>
    <s v="2.1"/>
    <x v="176"/>
    <n v="1961648"/>
    <d v="2016-10-26T11:05:22"/>
    <m/>
    <d v="2016-10-26T00:00:00"/>
    <d v="2016-11-04T00:00:00"/>
    <d v="2016-10-28T00:00:00"/>
    <m/>
    <n v="2"/>
    <m/>
    <n v="572"/>
    <m/>
    <s v="N080"/>
    <s v="NWK ACCESS TECH"/>
    <s v="HEO"/>
    <s v="HEO MISC AURORA"/>
    <s v="N080"/>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16P07L2B02"/>
    <s v="SJ2_STAG"/>
    <s v="COMCAST CABLE COMMUNICATIONS"/>
    <s v="49800 Martin Dr"/>
    <s v="MI"/>
    <s v="Wixom"/>
    <s v="48393-2404"/>
    <s v="DR3450N-50-00"/>
    <s v="DIGITAL RECEIVER Q-RX 2.125GBP"/>
    <s v="20118837"/>
    <s v="3.1"/>
    <x v="176"/>
    <n v="1961643"/>
    <d v="2016-10-26T11:05:22"/>
    <m/>
    <d v="2016-10-26T00:00:00"/>
    <d v="2016-11-04T00:00:00"/>
    <d v="2016-10-28T00:00:00"/>
    <m/>
    <n v="3"/>
    <m/>
    <n v="3600"/>
    <m/>
    <s v="N275"/>
    <s v="NWK ACCESS TECH"/>
    <s v="HEO"/>
    <s v="RECEIVERS AURORA"/>
    <s v="N275"/>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3L2"/>
    <s v="SJ2_STAG"/>
    <s v="COMCAST CABLE COMMUNICATIONS"/>
    <s v="49800 Martin Dr"/>
    <s v="MI"/>
    <s v="Wixom"/>
    <s v="48393-2404"/>
    <s v="HT3541H-D-A200-2-AS"/>
    <s v="XMTR DD 1.2GHZ FULL SPECTRUM 3"/>
    <s v="20118837"/>
    <s v="4.1"/>
    <x v="176"/>
    <n v="1961643"/>
    <d v="2016-10-26T11:05:22"/>
    <m/>
    <d v="2016-10-26T00:00:00"/>
    <d v="2016-11-04T00:00:00"/>
    <d v="2016-10-28T00:00:00"/>
    <m/>
    <n v="2"/>
    <m/>
    <n v="2794"/>
    <m/>
    <s v="HE64"/>
    <s v="NWK ACCESS TECH"/>
    <s v="HEO"/>
    <s v="TRANSMITTER"/>
    <s v="HT"/>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3P07L2"/>
    <s v="SJ2_STAG"/>
    <s v="COMCAST CABLE COMMUNICATIONS"/>
    <s v="49800 Martin Dr"/>
    <s v="MI"/>
    <s v="Wixom"/>
    <s v="48393-2404"/>
    <s v="HT3541H-D-A200-2-AS"/>
    <s v="XMTR DD 1.2GHZ FULL SPECTRUM 3"/>
    <s v="20118837"/>
    <s v="4.1"/>
    <x v="176"/>
    <n v="1961643"/>
    <d v="2016-10-26T11:05:22"/>
    <m/>
    <d v="2016-10-26T00:00:00"/>
    <d v="2016-11-04T00:00:00"/>
    <d v="2016-10-28T00:00:00"/>
    <m/>
    <n v="1"/>
    <m/>
    <n v="1397"/>
    <m/>
    <s v="HE64"/>
    <s v="NWK ACCESS TECH"/>
    <s v="HEO"/>
    <s v="TRANSMITTER"/>
    <s v="HT"/>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m/>
    <s v="SJ2_STAG"/>
    <s v="COMCAST CABLE COMMUNICATIONS"/>
    <s v="49800 Martin Dr"/>
    <s v="MI"/>
    <s v="Wixom"/>
    <s v="48393-2404"/>
    <s v="PS3148D"/>
    <s v="POWER SUPPLY W/DISPLAY -48VDC"/>
    <s v="20118837"/>
    <s v="7.1"/>
    <x v="176"/>
    <n v="1961646"/>
    <d v="2016-10-26T11:05:22"/>
    <m/>
    <d v="2016-10-26T00:00:00"/>
    <d v="2016-11-04T00:00:00"/>
    <d v="2016-10-28T00:00:00"/>
    <m/>
    <n v="3"/>
    <m/>
    <n v="1842"/>
    <m/>
    <s v="N204"/>
    <s v="NWK ACCESS TECH"/>
    <s v="ACCESS OTHER"/>
    <s v="OTHER AURORA"/>
    <s v="N20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IXOM (BERRY)"/>
    <s v="R022P79L3"/>
    <s v="SJ2_STAG"/>
    <s v="COMCAST CABLE COMMUNICATIONS"/>
    <s v="49800 Martin Dr"/>
    <s v="MI"/>
    <s v="Wixom"/>
    <s v="48393-2404"/>
    <s v="RR4000-00-PI"/>
    <s v="RCVR DUAL PLUGGABLE SFP 3 GBPS"/>
    <s v="20118837"/>
    <s v="8.1"/>
    <x v="176"/>
    <n v="1961648"/>
    <d v="2016-10-26T11:05:22"/>
    <m/>
    <d v="2016-10-26T00:00:00"/>
    <d v="2016-11-04T00:00:00"/>
    <d v="2016-10-28T00:00:00"/>
    <m/>
    <n v="3"/>
    <m/>
    <n v="540"/>
    <m/>
    <s v="N224"/>
    <s v="NWK ACCESS TECH"/>
    <s v="ACCESS OTHER"/>
    <s v="OTHER AURORA"/>
    <s v="N224"/>
    <s v="AS-STANDARD ORDER MIXED"/>
    <s v="A-SURFACE"/>
    <s v="OP"/>
    <n v="125020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1L1"/>
    <s v="SJ2_STAG"/>
    <s v="COMCAST CABLE C/O XPO LOGISTICS"/>
    <s v="2179 S COMMERCE CENTER DR"/>
    <s v="UT"/>
    <s v="West Valley City"/>
    <s v="84120-6426"/>
    <s v="OP35F1S-59-0-00-AS"/>
    <s v="DWDM FILTER SINGLE ITU CH 59 S"/>
    <s v="20119180"/>
    <s v="2.1"/>
    <x v="177"/>
    <n v="1962700"/>
    <d v="2016-10-27T15:03:45"/>
    <m/>
    <d v="2016-10-27T00:00:00"/>
    <d v="2016-10-27T00:00:00"/>
    <d v="2016-10-27T00:00:00"/>
    <m/>
    <n v="1"/>
    <m/>
    <n v="213"/>
    <m/>
    <s v="N156"/>
    <s v="NWK ACCESS TECH"/>
    <s v="ACCESS OTHER"/>
    <s v="OTHER AURORA"/>
    <s v="N156"/>
    <s v="AS-STANDARD ORDER MIXED"/>
    <s v="A-SURFACE"/>
    <s v="OP"/>
    <n v="125077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2L2"/>
    <s v="SJ2_STAG"/>
    <s v="COMCAST CABLE C/O XPO LOGISTICS"/>
    <s v="2179 S COMMERCE CENTER DR"/>
    <s v="UT"/>
    <s v="West Valley City"/>
    <s v="84120-6426"/>
    <s v="VH4000-COM-01"/>
    <s v="VHUB CUSTOM COMCAST 2X4 2XFA45"/>
    <s v="20119180"/>
    <s v="3.1"/>
    <x v="178"/>
    <n v="1963197"/>
    <d v="2016-10-27T15:03:45"/>
    <m/>
    <d v="2016-10-28T00:00:00"/>
    <d v="2016-10-27T00:00:00"/>
    <d v="2016-10-28T00:00:00"/>
    <m/>
    <n v="1"/>
    <m/>
    <n v="14297"/>
    <m/>
    <s v="N055"/>
    <s v="NWK ACCESS TECH"/>
    <s v="HPON"/>
    <s v="VHUB AURORA"/>
    <s v="N055"/>
    <s v="AS-STANDARD ORDER MIXED"/>
    <s v="A-SURFACE"/>
    <s v="OP"/>
    <n v="1251073"/>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4P16L3B01"/>
    <s v="SJ2_STAG"/>
    <s v="COMCAST CABLE C/O XPO LOGISTICS"/>
    <s v="2179 S COMMERCE CENTER DR"/>
    <s v="UT"/>
    <s v="West Valley City"/>
    <s v="84120-6426"/>
    <s v="OP95D4-CF1-103-R2-AS"/>
    <s v="DEMUX DWDM 100GHZ 4 CH 03 F-CA"/>
    <s v="20119180"/>
    <s v="4.1"/>
    <x v="177"/>
    <n v="1962700"/>
    <d v="2016-10-27T15:03:45"/>
    <m/>
    <d v="2016-10-27T00:00:00"/>
    <d v="2016-10-27T00:00:00"/>
    <d v="2016-10-27T00:00:00"/>
    <m/>
    <n v="1"/>
    <m/>
    <n v="757"/>
    <m/>
    <s v="N160"/>
    <s v="NWK ACCESS TECH"/>
    <s v="OPTICAL PASSIVES"/>
    <s v="OUTDOOR PASSIVES AURORA"/>
    <s v="N160"/>
    <s v="AS-STANDARD ORDER MIXED"/>
    <s v="A-SURFACE"/>
    <s v="OP"/>
    <n v="1250771"/>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06L2"/>
    <s v="SJ2_STAG"/>
    <s v="COMCAST CABLE C/O XPO LOGISTICS"/>
    <s v="2179 S COMMERCE CENTER DR"/>
    <s v="UT"/>
    <s v="West Valley City"/>
    <s v="84120-6426"/>
    <s v="OP95D4-CF2-103-R2-AS"/>
    <s v="DEMUX DWDM 100GHZ 4 CH 03 F-CA"/>
    <s v="20119240"/>
    <s v="10.1"/>
    <x v="179"/>
    <n v="1962775"/>
    <d v="2016-10-27T16:48:15"/>
    <m/>
    <d v="2016-10-27T00:00:00"/>
    <d v="2016-10-28T00:00:00"/>
    <d v="2016-10-27T00:00:00"/>
    <m/>
    <n v="1"/>
    <m/>
    <n v="757"/>
    <m/>
    <s v="N160"/>
    <s v="NWK ACCESS TECH"/>
    <s v="OPTICAL PASSIVES"/>
    <s v="OUTDOOR PASSIVES AURORA"/>
    <s v="N160"/>
    <s v="AS-STANDARD ORDER MIXED"/>
    <s v="A-SURFACE"/>
    <s v="OP"/>
    <n v="12508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2P55L4"/>
    <s v="SJ2_STAG"/>
    <s v="COMCAST CABLE C/O XPO LOGISTICS"/>
    <s v="2179 S COMMERCE CENTER DR"/>
    <s v="UT"/>
    <s v="West Valley City"/>
    <s v="84120-6426"/>
    <s v="OP91S8S-EQ-R1-00"/>
    <s v="FIELD COUPLER 1X8 BAL F-CASE 0"/>
    <s v="20119240"/>
    <s v="11.1"/>
    <x v="179"/>
    <n v="1962766"/>
    <d v="2016-10-27T16:48:15"/>
    <m/>
    <d v="2016-10-27T00:00:00"/>
    <d v="2016-10-28T00:00:00"/>
    <d v="2016-10-27T00:00:00"/>
    <m/>
    <n v="1"/>
    <m/>
    <n v="227"/>
    <m/>
    <s v="N156"/>
    <s v="NWK ACCESS TECH"/>
    <s v="ACCESS OTHER"/>
    <s v="OTHER AURORA"/>
    <s v="N156"/>
    <s v="AS-STANDARD ORDER MIXED"/>
    <s v="A-SURFACE"/>
    <s v="OP"/>
    <n v="12508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3L4"/>
    <s v="SJ2_STAG"/>
    <s v="COMCAST CABLE C/O XPO LOGISTICS"/>
    <s v="2179 S COMMERCE CENTER DR"/>
    <s v="UT"/>
    <s v="West Valley City"/>
    <s v="84120-6426"/>
    <s v="BC1000-AS"/>
    <s v="BULKHEAD ADAPTER SC/APC-SC/APC"/>
    <s v="20119240"/>
    <s v="12.1"/>
    <x v="179"/>
    <n v="1962775"/>
    <d v="2016-10-27T16:48:15"/>
    <m/>
    <d v="2016-10-27T00:00:00"/>
    <d v="2016-10-28T00:00:00"/>
    <d v="2016-10-27T00:00:00"/>
    <m/>
    <n v="2"/>
    <m/>
    <n v="6"/>
    <m/>
    <s v="N224"/>
    <s v="NWK ACCESS TECH"/>
    <s v="ACCESS OTHER"/>
    <s v="OTHER AURORA"/>
    <s v="N224"/>
    <s v="AS-STANDARD ORDER MIXED"/>
    <s v="A-SURFACE"/>
    <s v="OP"/>
    <n v="1250840"/>
    <s v="A-SURFACE"/>
    <m/>
    <m/>
    <m/>
    <s v="A-SURFACE"/>
    <s v="LTL"/>
    <s v="EXW"/>
    <s v="Collect"/>
    <m/>
    <m/>
    <s v="UNDER 200LBS UNPALLETIZED OR SINGLE BOX UNDER 150LBS USE FEDEX #128153870 OVER 200LBS USE OMNI LOGISTICS ACCT COMCASTLSS-COMCASTLSS@OMNILOGISTICS.COM 866-247-6664"/>
    <m/>
    <m/>
    <m/>
    <m/>
    <s v="0"/>
    <s v="0"/>
  </r>
  <r>
    <s v="SJ2"/>
    <s v="5000445"/>
    <s v="COMCAST"/>
    <s v="WEST VALLEY CITY"/>
    <s v="R023P71L1"/>
    <s v="SJ2_STAG"/>
    <s v="COMCAST CABLE C/O XPO LOGISTICS"/>
    <s v="2179 S COMMERCE CENTER DR"/>
    <s v="UT"/>
    <s v="West Valley City"/>
    <s v="84120-6426"/>
    <s v="OP35F1S-59-0-00-AS"/>
    <s v="DWDM FILTER SINGLE ITU CH 59 S"/>
    <s v="20119240"/>
    <s v="8.1"/>
    <x v="179"/>
    <n v="1962766"/>
    <d v="2016-10-27T16:48:15"/>
    <m/>
    <d v="2016-10-27T00:00:00"/>
    <d v="2016-10-28T00:00:00"/>
    <d v="2016-10-27T00:00:00"/>
    <m/>
    <n v="1"/>
    <m/>
    <n v="213"/>
    <m/>
    <s v="N156"/>
    <s v="NWK ACCESS TECH"/>
    <s v="ACCESS OTHER"/>
    <s v="OTHER AURORA"/>
    <s v="N156"/>
    <s v="AS-STANDARD ORDER MIXED"/>
    <s v="A-SURFACE"/>
    <s v="OP"/>
    <n v="1250840"/>
    <s v="A-SURFACE"/>
    <m/>
    <m/>
    <m/>
    <s v="A-SURFACE"/>
    <s v="LTL"/>
    <s v="EXW"/>
    <s v="Collect"/>
    <m/>
    <m/>
    <s v="UNDER 200LBS UNPALLETIZED OR SINGLE BOX UNDER 150LBS USE FEDEX #128153870 OVER 200LBS USE OMNI LOGISTICS ACCT COMCASTLSS-COMCASTLSS@OMNILOGISTICS.COM 866-247-6664"/>
    <m/>
    <m/>
    <m/>
    <m/>
    <s v="0"/>
    <s v="0"/>
  </r>
  <r>
    <s v="SJ2"/>
    <s v="5000445"/>
    <s v="COMCAST"/>
    <s v="166792"/>
    <s v="R024P06L1B01"/>
    <s v="SJ2_STAG"/>
    <s v="COMCAST CABLE COMMUNICATIONS"/>
    <s v="2179 S Commerce Center Dr"/>
    <s v="UT"/>
    <s v="West Valley City"/>
    <s v="84120-6426"/>
    <s v="OP93D4N-1-00-R2-AS"/>
    <s v="LCWDM DEMUX 4 CH F-CASE 2MM SC"/>
    <s v="6900015"/>
    <s v="3.2"/>
    <x v="180"/>
    <n v="1960932"/>
    <d v="2016-04-01T00:00:00"/>
    <m/>
    <d v="2016-10-26T00:00:00"/>
    <d v="2016-06-03T00:00:00"/>
    <d v="2016-10-28T00:00:00"/>
    <m/>
    <n v="17"/>
    <n v="17"/>
    <n v="17017"/>
    <n v="17017"/>
    <s v="N164"/>
    <s v="NWK ACCESS TECH"/>
    <s v="OPTICAL PASSIVES"/>
    <s v="INDOOR PASSIVES AURORA"/>
    <s v="N164"/>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4P01L1B01"/>
    <s v="SJ2_STAG"/>
    <s v="COMCAST CABLE COMMUNICATIONS"/>
    <s v="5330 E 65th St"/>
    <s v="IN"/>
    <s v="Indianapolis"/>
    <s v="46220-4821"/>
    <s v="OP95D4-CF1-100-R2-AS"/>
    <s v="DEMUX DWDM 100GHZ 4 CH F-CASE"/>
    <s v="6900785"/>
    <s v="13.1"/>
    <x v="181"/>
    <n v="1960981"/>
    <d v="2016-08-03T00:00:00"/>
    <m/>
    <d v="2016-10-26T00:00:00"/>
    <d v="2016-08-08T00:00:00"/>
    <d v="2016-10-28T00:00:00"/>
    <m/>
    <n v="1"/>
    <n v="1"/>
    <n v="757"/>
    <n v="757"/>
    <s v="N160"/>
    <s v="NWK ACCESS TECH"/>
    <s v="OPTICAL PASSIVES"/>
    <s v="OUTDOOR PASSIVES AURORA"/>
    <s v="N16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4P29L1B01"/>
    <s v="SJ2_STAG"/>
    <s v="COMCAST CABLE COMMUNICATIONS"/>
    <s v="2601 SW 145th Ave Ste 100"/>
    <s v="FL"/>
    <s v="Miramar"/>
    <s v="33027-4139"/>
    <s v="HLN3142C-4201-COM158"/>
    <s v="Configured node BOM for HLN314"/>
    <s v="6900829"/>
    <s v="2.1"/>
    <x v="182"/>
    <n v="1961987"/>
    <d v="2016-07-19T00:00:00"/>
    <m/>
    <d v="2016-10-27T00:00:00"/>
    <d v="2016-09-01T00:00:00"/>
    <d v="2016-10-27T00:00:00"/>
    <m/>
    <n v="4"/>
    <n v="4"/>
    <n v="6636"/>
    <n v="6636"/>
    <s v="N116"/>
    <s v="NWK ACCESS TECH"/>
    <s v="NODE"/>
    <s v="HLN3142 AURORA"/>
    <s v="N116"/>
    <s v="AUR-STANDARD ORDER MIXED"/>
    <s v="A-SURFACE"/>
    <s v="OP"/>
    <n v="1250456"/>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56L7"/>
    <s v="SJ2_STAG"/>
    <s v="COMCAST CABLE COMMUNICATIONS"/>
    <s v="2601 SW 145th Ave Ste 100"/>
    <s v="FL"/>
    <s v="Miramar"/>
    <s v="33027-4139"/>
    <s v="HLN3142C-4201-COM158"/>
    <s v="Configured node BOM for HLN314"/>
    <s v="6900829"/>
    <s v="3.1"/>
    <x v="182"/>
    <n v="1962003"/>
    <d v="2016-07-19T00:00:00"/>
    <m/>
    <d v="2016-10-27T00:00:00"/>
    <d v="2016-08-01T00:00:00"/>
    <d v="2016-10-27T00:00:00"/>
    <m/>
    <n v="2"/>
    <n v="2"/>
    <n v="3318"/>
    <n v="3318"/>
    <s v="N116"/>
    <s v="NWK ACCESS TECH"/>
    <s v="NODE"/>
    <s v="HLN3142 AURORA"/>
    <s v="N116"/>
    <s v="AUR-STANDARD ORDER MIXED"/>
    <s v="A-SURFACE"/>
    <s v="OP"/>
    <n v="1250456"/>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4P29L1B01"/>
    <s v="SJ2_STAG"/>
    <s v="COMCAST CABLE COMMUNICATIONS"/>
    <s v="2601 SW 145th Ave Ste 100"/>
    <s v="FL"/>
    <s v="Miramar"/>
    <s v="33027-4139"/>
    <s v="HLN3142C-4201-COM158"/>
    <s v="Configured node BOM for HLN314"/>
    <s v="6900829"/>
    <s v="3.1"/>
    <x v="182"/>
    <n v="1961987"/>
    <d v="2016-07-19T00:00:00"/>
    <m/>
    <d v="2016-10-27T00:00:00"/>
    <d v="2016-08-01T00:00:00"/>
    <d v="2016-10-27T00:00:00"/>
    <m/>
    <n v="2"/>
    <n v="2"/>
    <n v="3318"/>
    <n v="3318"/>
    <s v="N116"/>
    <s v="NWK ACCESS TECH"/>
    <s v="NODE"/>
    <s v="HLN3142 AURORA"/>
    <s v="N116"/>
    <s v="AUR-STANDARD ORDER MIXED"/>
    <s v="A-SURFACE"/>
    <s v="OP"/>
    <n v="1250456"/>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04L2B02"/>
    <s v="SJ2_STAG"/>
    <s v="COMCAST CABLE COMMUNICATIONS"/>
    <s v="2179 S Commerce Center Dr"/>
    <s v="UT"/>
    <s v="West Valley City"/>
    <s v="84120-6426"/>
    <s v="NH4000-RFP2"/>
    <s v="HOUSING VHUB-RFPON DUAL PWR SP"/>
    <s v="6900834"/>
    <s v="9.1"/>
    <x v="183"/>
    <n v="1956284"/>
    <d v="2016-08-02T00:00:00"/>
    <m/>
    <d v="2016-10-20T00:00:00"/>
    <d v="2016-08-25T00:00:00"/>
    <d v="2016-10-20T00:00:00"/>
    <m/>
    <n v="8"/>
    <m/>
    <n v="7480"/>
    <m/>
    <s v="N224"/>
    <s v="NWK ACCESS TECH"/>
    <s v="ACCESS OTHER"/>
    <s v="OTHER AURORA"/>
    <s v="N224"/>
    <s v="AUR-STANDARD ORDER MIXED"/>
    <s v="A-SURFACE"/>
    <s v="OP"/>
    <n v="1246243"/>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53L7"/>
    <s v="SJ2_STAG"/>
    <s v="COMCAST CABLE COMMUNICATIONS"/>
    <s v="2179 S Commerce Center Dr"/>
    <s v="UT"/>
    <s v="West Valley City"/>
    <s v="84120-6426"/>
    <s v="NH4000-RFP2"/>
    <s v="HOUSING VHUB-RFPON DUAL PWR SP"/>
    <s v="6900834"/>
    <s v="9.1"/>
    <x v="183"/>
    <n v="1956285"/>
    <d v="2016-08-02T00:00:00"/>
    <m/>
    <d v="2016-10-20T00:00:00"/>
    <d v="2016-08-25T00:00:00"/>
    <d v="2016-10-20T00:00:00"/>
    <m/>
    <n v="2"/>
    <m/>
    <n v="1870"/>
    <m/>
    <s v="N224"/>
    <s v="NWK ACCESS TECH"/>
    <s v="ACCESS OTHER"/>
    <s v="OTHER AURORA"/>
    <s v="N224"/>
    <s v="AUR-STANDARD ORDER MIXED"/>
    <s v="A-SURFACE"/>
    <s v="OP"/>
    <n v="1246243"/>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0837"/>
    <s v="22.1"/>
    <x v="184"/>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7871"/>
    <m/>
    <s v="SJ2_STAG"/>
    <s v="COMCAST CABLE COMMUNICATIONS"/>
    <s v="1707 Imperial Way"/>
    <s v="NJ"/>
    <s v="West Deptford"/>
    <s v="08066-1818"/>
    <s v="FA4524S-01-AS"/>
    <s v="EDFA 24DBM FOR VH4000/NC4000 S"/>
    <s v="6900890"/>
    <s v="14.5"/>
    <x v="185"/>
    <n v="1958340"/>
    <d v="2016-07-18T00:00:00"/>
    <m/>
    <d v="2016-10-21T00:00:00"/>
    <d v="2016-07-20T00:00:00"/>
    <d v="2016-10-21T00:00:00"/>
    <m/>
    <n v="1"/>
    <m/>
    <n v="4755"/>
    <m/>
    <s v="N127"/>
    <s v="NWK ACCESS TECH"/>
    <s v="HPON"/>
    <s v="VHUB AURORA"/>
    <s v="N127"/>
    <s v="AUR-STANDARD ORDER MIXED"/>
    <s v="A-SURFACE"/>
    <s v="OP"/>
    <n v="124737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3"/>
    <s v="R024P20L2B01"/>
    <s v="SJ2_STAG"/>
    <s v="COMCAST CABLE COMMUNICATIONS"/>
    <s v="49800 Martin Dr"/>
    <s v="MI"/>
    <s v="Wixom"/>
    <s v="48393-2404"/>
    <s v="OP91S2Q-EQ-R2-MP"/>
    <s v="SPLITTER QUAD 1X2 F-CASE MPO 4"/>
    <s v="6900907"/>
    <s v="22.1"/>
    <x v="186"/>
    <n v="1962857"/>
    <d v="2016-08-03T00:00:00"/>
    <m/>
    <d v="2016-10-27T00:00:00"/>
    <d v="2016-08-29T00:00:00"/>
    <d v="2016-10-28T00:00:00"/>
    <m/>
    <n v="5"/>
    <m/>
    <n v="2035"/>
    <m/>
    <s v="N156"/>
    <s v="NWK ACCESS TECH"/>
    <s v="ACCESS OTHER"/>
    <s v="OTHER AURORA"/>
    <s v="N156"/>
    <s v="AUR-STANDARD ORDER MIXED"/>
    <s v="A-SURFACE"/>
    <s v="OP"/>
    <n v="125089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3"/>
    <s v="R022P02L6"/>
    <s v="SJ2_STAG"/>
    <s v="COMCAST CABLE COMMUNICATIONS"/>
    <s v="860 Stanton Rd"/>
    <s v="CA"/>
    <s v="Burlingame"/>
    <s v="94010-1404"/>
    <s v="OP91S32S-EQ-R2-AS"/>
    <s v="FIELD COUPLER 1X32 BAL F-CASE"/>
    <s v="6900958"/>
    <s v="13.1"/>
    <x v="187"/>
    <n v="1961991"/>
    <d v="2016-08-01T00:00:00"/>
    <m/>
    <d v="2016-10-27T00:00:00"/>
    <d v="2016-08-05T00:00:00"/>
    <d v="2016-10-27T00:00:00"/>
    <m/>
    <n v="5"/>
    <n v="5"/>
    <n v="3200"/>
    <n v="3200"/>
    <s v="N156"/>
    <s v="NWK ACCESS TECH"/>
    <s v="ACCESS OTHER"/>
    <s v="OTHER AURORA"/>
    <s v="N156"/>
    <s v="AUR-STANDARD ORDER MIXED"/>
    <s v="A-SURFACE"/>
    <s v="OP"/>
    <n v="1250456"/>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14L6"/>
    <s v="SJ2_STAG"/>
    <s v="COMCAST CABLE COMMUNICATIONS"/>
    <s v="2179 S Commerce Center Dr"/>
    <s v="UT"/>
    <s v="West Valley City"/>
    <s v="84120-6426"/>
    <s v="FA3521J-00-AS"/>
    <s v="FBROPT AMPL SGL 21DBM GAIN FLA"/>
    <s v="6900967"/>
    <s v="40.1"/>
    <x v="188"/>
    <n v="1960208"/>
    <d v="2016-07-20T00:00:00"/>
    <m/>
    <d v="2016-10-25T00:00:00"/>
    <d v="2016-08-05T00:00:00"/>
    <d v="2016-10-25T00:00:00"/>
    <m/>
    <n v="2"/>
    <m/>
    <n v="7858"/>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0L4"/>
    <s v="SJ2_STAG"/>
    <s v="COMCAST CABLE COMMUNICATIONS"/>
    <s v="2179 S Commerce Center Dr"/>
    <s v="UT"/>
    <s v="West Valley City"/>
    <s v="84120-6426"/>
    <s v="FA3521J-00-AS"/>
    <s v="FBROPT AMPL SGL 21DBM GAIN FLA"/>
    <s v="6900967"/>
    <s v="40.1"/>
    <x v="188"/>
    <n v="1960208"/>
    <d v="2016-07-20T00:00:00"/>
    <m/>
    <d v="2016-10-25T00:00:00"/>
    <d v="2016-08-05T00:00:00"/>
    <d v="2016-10-25T00:00:00"/>
    <m/>
    <n v="8"/>
    <m/>
    <n v="31432"/>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2P70L4"/>
    <s v="SJ2_STAG"/>
    <s v="COMCAST CABLE COMMUNICATIONS"/>
    <s v="2179 S Commerce Center Dr"/>
    <s v="UT"/>
    <s v="West Valley City"/>
    <s v="84120-6426"/>
    <s v="FA3521J-00-AS"/>
    <s v="FBROPT AMPL SGL 21DBM GAIN FLA"/>
    <m/>
    <s v="40.2"/>
    <x v="188"/>
    <n v="1960208"/>
    <d v="2016-07-20T00:00:00"/>
    <m/>
    <d v="2016-10-25T00:00:00"/>
    <d v="2016-08-05T00:00:00"/>
    <d v="2016-10-25T00:00:00"/>
    <m/>
    <n v="2"/>
    <m/>
    <n v="7858"/>
    <m/>
    <s v="N125"/>
    <s v="NWK ACCESS TECH"/>
    <s v="HEO"/>
    <s v="HEO MISC AURORA"/>
    <s v="EDFA"/>
    <s v="AUR-STANDARD ORDER MIXED"/>
    <s v="A-SURFACE"/>
    <s v="OP"/>
    <n v="1249240"/>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09"/>
    <s v="25.1"/>
    <x v="189"/>
    <n v="1960856"/>
    <d v="2016-07-14T00:00:00"/>
    <m/>
    <d v="2016-10-26T00:00:00"/>
    <d v="2016-07-22T00:00:00"/>
    <d v="2016-10-27T00:00:00"/>
    <m/>
    <n v="1"/>
    <n v="1"/>
    <n v="2451"/>
    <n v="2451"/>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79"/>
    <s v="R022P54L4"/>
    <s v="SJ2_STAG"/>
    <s v="COMCAST CABLE COMMUNICATIONS"/>
    <s v="5330 E 65th St"/>
    <s v="IN"/>
    <s v="Indianapolis"/>
    <s v="46220-4821"/>
    <s v="OR4148H-42-2-MP"/>
    <s v="DIPLXR/RTN RX 1530-65DN 1610+/"/>
    <s v="6901028"/>
    <s v="21.1"/>
    <x v="190"/>
    <n v="1960856"/>
    <d v="2016-07-20T00:00:00"/>
    <m/>
    <d v="2016-10-26T00:00:00"/>
    <d v="2016-07-20T00:00:00"/>
    <d v="2016-10-27T00:00:00"/>
    <m/>
    <n v="2"/>
    <n v="2"/>
    <n v="4902"/>
    <n v="4902"/>
    <s v="N170"/>
    <s v="NWK ACCESS TECH"/>
    <s v="HPON"/>
    <s v="VHUB AURORA"/>
    <s v="N170"/>
    <s v="AUR-STANDARD ORDER MIXED"/>
    <s v="A-SURFACE"/>
    <s v="OP"/>
    <n v="1249765"/>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00"/>
    <s v="R023P65L6"/>
    <s v="SJ2_STAG"/>
    <s v="COMCAST CABLE COMMUNICATIONS"/>
    <s v="2441 N Grove Industrial Dr"/>
    <s v="CA"/>
    <s v="Fresno"/>
    <s v="93727-1535"/>
    <s v="FA4521S-02-AS"/>
    <s v="EDFA 21dBm FOR NC4000/NC2000 A"/>
    <s v="6901074"/>
    <s v="19.1"/>
    <x v="191"/>
    <n v="1951509"/>
    <d v="2016-08-01T00:00:00"/>
    <m/>
    <d v="2016-10-15T00:00:00"/>
    <d v="2016-08-08T00:00:00"/>
    <d v="2016-10-17T00:00:00"/>
    <m/>
    <n v="1"/>
    <m/>
    <n v="3096"/>
    <m/>
    <s v="N127"/>
    <s v="NWK ACCESS TECH"/>
    <s v="HPON"/>
    <s v="VHUB AURORA"/>
    <s v="N127"/>
    <s v="AUR-STANDARD ORDER MIXED"/>
    <s v="A-SURFACE"/>
    <s v="OP"/>
    <n v="1243259"/>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34"/>
    <s v="R023P09L2"/>
    <s v="SJ2_STAG"/>
    <s v="COMCAST CABLE COMMUNICATIONS"/>
    <s v="6065 Wall St"/>
    <s v="MI"/>
    <s v="Sterling Heights"/>
    <s v="48312-1075"/>
    <s v="OP35D8-CF4-1-99-AS"/>
    <s v="OPT DEMUX 100GHZ 8 CH EXP PORT"/>
    <s v="6901117"/>
    <s v="32.2"/>
    <x v="192"/>
    <n v="1962595"/>
    <d v="2016-08-09T00:00:00"/>
    <m/>
    <d v="2016-10-27T00:00:00"/>
    <d v="2016-08-09T00:00:00"/>
    <d v="2016-10-28T00:00:00"/>
    <m/>
    <n v="1"/>
    <n v="1"/>
    <n v="1795"/>
    <n v="1795"/>
    <s v="N160"/>
    <s v="NWK ACCESS TECH"/>
    <s v="OPTICAL PASSIVES"/>
    <s v="OUTDOOR PASSIVES AURORA"/>
    <s v="N160"/>
    <s v="AUR-STANDARD ORDER MIXED"/>
    <s v="A-SURFACE"/>
    <s v="OP"/>
    <n v="125072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09L2"/>
    <s v="SJ2_STAG"/>
    <s v="COMCAST CABLE COMMUNICATIONS"/>
    <s v="2179 S Commerce Center Dr"/>
    <s v="UT"/>
    <s v="West Valley City"/>
    <s v="84120-6426"/>
    <s v="OP35D8-CF4-1-99-AS"/>
    <s v="OPT DEMUX 100GHZ 8 CH EXP PORT"/>
    <s v="6901130"/>
    <s v="30.2"/>
    <x v="193"/>
    <n v="1962574"/>
    <d v="2016-07-15T00:00:00"/>
    <m/>
    <d v="2016-10-27T00:00:00"/>
    <d v="2016-07-15T00:00:00"/>
    <d v="2016-10-28T00:00:00"/>
    <m/>
    <n v="3"/>
    <m/>
    <n v="5385"/>
    <m/>
    <s v="N160"/>
    <s v="NWK ACCESS TECH"/>
    <s v="OPTICAL PASSIVES"/>
    <s v="OUTDOOR PASSIVES AURORA"/>
    <s v="N160"/>
    <s v="AUR-STANDARD ORDER MIXED"/>
    <s v="A-SURFACE"/>
    <s v="OP"/>
    <n v="125072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2649"/>
    <s v="R022P54L4"/>
    <s v="SJ2_STAG"/>
    <s v="COMCAST CABLE COMMUNICATIONS"/>
    <s v="2601 SW 145th Ave Ste 100"/>
    <s v="FL"/>
    <s v="Miramar"/>
    <s v="33027-4139"/>
    <s v="OR4148H-42-2-MP"/>
    <s v="DIPLXR/RTN RX 1530-65DN 1610+/"/>
    <s v="6901166"/>
    <s v="21.1"/>
    <x v="194"/>
    <n v="1960944"/>
    <d v="2016-07-27T00:00:00"/>
    <m/>
    <d v="2016-10-26T00:00:00"/>
    <d v="2016-07-27T00:00:00"/>
    <d v="2016-10-28T00:00:00"/>
    <m/>
    <n v="2"/>
    <n v="2"/>
    <n v="4902"/>
    <n v="4902"/>
    <s v="N170"/>
    <s v="NWK ACCESS TECH"/>
    <s v="HPON"/>
    <s v="VHUB AURORA"/>
    <s v="N170"/>
    <s v="AUR-STANDARD ORDER MIXED"/>
    <s v="A-SURFACE"/>
    <s v="OP"/>
    <n v="1249787"/>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4836"/>
    <s v="R022P23L6"/>
    <s v="SJ2_STAG"/>
    <s v="COMCAST CABLE COMMUNICATIONS"/>
    <s v="410 Valley Ave NW"/>
    <s v="WA"/>
    <s v="Puyallup"/>
    <s v="98371-3317"/>
    <s v="OP35F1D-20-0-00-AS"/>
    <s v="DWDM FILTER DUAL ITU CH 20 SC/"/>
    <s v="6901253"/>
    <s v="1.2"/>
    <x v="195"/>
    <n v="1962594"/>
    <d v="2016-08-11T00:00:00"/>
    <m/>
    <d v="2016-10-27T00:00:00"/>
    <d v="2016-09-06T00:00:00"/>
    <d v="2016-10-28T00:00:00"/>
    <m/>
    <n v="2"/>
    <n v="2"/>
    <n v="756"/>
    <n v="756"/>
    <s v="N156"/>
    <s v="NWK ACCESS TECH"/>
    <s v="ACCESS OTHER"/>
    <s v="OTHER AURORA"/>
    <s v="N156"/>
    <s v="AUR-STANDARD ORDER MIXED"/>
    <s v="A-SURFACE"/>
    <s v="OP"/>
    <n v="125072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3P47L4"/>
    <s v="SJ2_STAG"/>
    <s v="COMCAST CABLE COMMUNICATIONS"/>
    <s v="2179 S Commerce Center Dr"/>
    <s v="UT"/>
    <s v="West Valley City"/>
    <s v="84120-6426"/>
    <s v="OP35F1S-CF-1-4-00-AS"/>
    <s v="FILTER DWDM-CWDM SC/APC"/>
    <s v="6901255"/>
    <s v="14.2"/>
    <x v="196"/>
    <n v="1962574"/>
    <d v="2016-08-11T00:00:00"/>
    <m/>
    <d v="2016-10-27T00:00:00"/>
    <d v="2016-09-16T00:00:00"/>
    <d v="2016-10-28T00:00:00"/>
    <m/>
    <n v="1"/>
    <n v="1"/>
    <n v="524"/>
    <n v="524"/>
    <s v="N156"/>
    <s v="NWK ACCESS TECH"/>
    <s v="ACCESS OTHER"/>
    <s v="OTHER AURORA"/>
    <s v="N156"/>
    <s v="AUR-STANDARD ORDER MIXED"/>
    <s v="A-SURFACE"/>
    <s v="OP"/>
    <n v="1250721"/>
    <s v="A-SURFACE"/>
    <m/>
    <m/>
    <m/>
    <s v="A-SURFACE"/>
    <s v="LTL"/>
    <s v="EXW"/>
    <s v="Collect"/>
    <m/>
    <m/>
    <s v="Shipments under 200 lbs. FedEx 128153870 over 200# Omni Acct# Comcast212 Comcast@omnilogistics.com 866-247-6664, cc omnisfoops@omnilogistics.com on all OMNI pickup requests"/>
    <m/>
    <m/>
    <m/>
    <m/>
    <s v="0"/>
    <s v="0"/>
  </r>
  <r>
    <s v="SJ2"/>
    <s v="5000445"/>
    <s v="COMCAST"/>
    <s v="166792"/>
    <s v="R024P20L2B01"/>
    <s v="SJ2_STAG"/>
    <s v="COMCAST CABLE COMMUNICATIONS"/>
    <s v="2179 S Commerce Center Dr"/>
    <s v="UT"/>
    <s v="West Valley City"/>
    <s v="84120-6426"/>
    <s v="OP91S4D-EQ-R2-MP"/>
    <s v="SPLITTER DUAL 1X4 F-CASE MPO 2"/>
    <s v="6901289"/>
    <s v="2.1"/>
    <x v="197"/>
    <n v="1963263"/>
    <d v="2016-08-11T00:00:00"/>
    <m/>
    <d v="2016-10-28T00:00:00"/>
    <d v="2016-08-18T00:00:00"/>
    <d v="2016-10-28T00:00:00"/>
    <m/>
    <n v="43"/>
    <m/>
    <n v="15996"/>
    <m/>
    <s v="N156"/>
    <s v="NWK ACCESS TECH"/>
    <s v="ACCESS OTHER"/>
    <s v="OTHER AURORA"/>
    <s v="N156"/>
    <s v="AUR-STANDARD ORDER MIXED"/>
    <s v="A-SURFACE"/>
    <s v="OP"/>
    <n v="1251073"/>
    <s v="A-SURFACE"/>
    <m/>
    <m/>
    <m/>
    <s v="A-SURFACE"/>
    <s v="LTL"/>
    <s v="EXW"/>
    <s v="Collect"/>
    <m/>
    <m/>
    <s v="Shipments under 200 lbs. FedEx 128153870 over 200# Omni Acct# Comcast212 Comcast@omnilogistics.com 866-247-6664, cc omnisfoops@omnilogistics.com on all OMNI pickup requests"/>
    <m/>
    <m/>
    <m/>
    <m/>
    <s v="0"/>
    <s v="0"/>
  </r>
  <r>
    <s v="SJ2"/>
    <s v="5000515"/>
    <s v="COX COMMUNICATIONS"/>
    <s v="TOLLESON"/>
    <s v="R016P47L3B01"/>
    <s v="SJ2_STAG"/>
    <s v="COX COMMUNICATIONS"/>
    <s v="8602 W Buckeye Rd"/>
    <s v="AZ"/>
    <s v="Tolleson"/>
    <s v="85353-9264"/>
    <s v="NCM3202-1"/>
    <s v="RETURN COMB/SPLITTER NCM3202"/>
    <s v="20113061"/>
    <s v="1.1"/>
    <x v="198"/>
    <n v="1960913"/>
    <d v="2016-09-23T15:14:04"/>
    <m/>
    <d v="2016-10-26T00:00:00"/>
    <d v="2016-11-02T00:00:00"/>
    <d v="2016-10-28T00:00:00"/>
    <m/>
    <n v="3"/>
    <m/>
    <n v="63"/>
    <m/>
    <s v="CT30"/>
    <s v="NWK ACCESS TECH"/>
    <s v="ACCESS OTHER"/>
    <s v="OTHER AURORA"/>
    <s v="CT30"/>
    <s v="AS-STANDARD ORDER MIXED"/>
    <s v="CR-CH ROBINSON-LTL-Surface"/>
    <s v="OP"/>
    <n v="1249787"/>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TOLLESON"/>
    <s v="R016P51L1B01"/>
    <s v="SJ2_STAG"/>
    <s v="COX COMMUNICATIONS"/>
    <s v="8602 W Buckeye Rd"/>
    <s v="AZ"/>
    <s v="Tolleson"/>
    <s v="85353-9264"/>
    <s v="NRH3840-2L"/>
    <s v="POWERBLAZER II/LESS FT HOUSING"/>
    <s v="20113661"/>
    <s v="1.1"/>
    <x v="199"/>
    <n v="1952096"/>
    <d v="2016-09-27T15:19:51"/>
    <m/>
    <d v="2016-10-17T00:00:00"/>
    <d v="2016-10-24T00:00:00"/>
    <d v="2016-10-19T00:00:00"/>
    <m/>
    <n v="5"/>
    <m/>
    <n v="560"/>
    <m/>
    <s v="N224"/>
    <s v="NWK ACCESS TECH"/>
    <s v="ACCESS OTHER"/>
    <s v="OTHER AURORA"/>
    <s v="N224"/>
    <s v="AS-STANDARD ORDER MIXED"/>
    <s v="CR-CH ROBINSON-LTL-Surface"/>
    <s v="OP"/>
    <n v="1244366"/>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TOLLESON"/>
    <s v="R016P41L1B01"/>
    <s v="SJ2_STAG"/>
    <s v="COX COMMUNICATIONS"/>
    <s v="8602 W Buckeye Rd"/>
    <s v="AZ"/>
    <s v="Tolleson"/>
    <s v="85353-9264"/>
    <s v="NCM3800-1L"/>
    <s v="FW JUMPER NCM3800 NODE"/>
    <s v="20115204"/>
    <s v="1.1"/>
    <x v="198"/>
    <n v="1960953"/>
    <d v="2016-10-05T11:04:54"/>
    <m/>
    <d v="2016-10-26T00:00:00"/>
    <d v="2016-11-02T00:00:00"/>
    <d v="2016-10-28T00:00:00"/>
    <m/>
    <n v="1"/>
    <m/>
    <n v="14"/>
    <m/>
    <s v="N050"/>
    <s v="NWK ACCESS TECH"/>
    <s v="NODE"/>
    <s v="HL NODE MISC AURORA"/>
    <s v="N050"/>
    <s v="AS-STANDARD ORDER MIXED"/>
    <s v="CR-CH ROBINSON-LTL-Surface"/>
    <s v="OP"/>
    <n v="1249787"/>
    <s v="CH ROBINSON"/>
    <m/>
    <m/>
    <m/>
    <s v="CR-CH ROBINSON"/>
    <s v="SUR"/>
    <s v="EXW"/>
    <s v="Third Party Billing"/>
    <m/>
    <m/>
    <s v="ALL SHIPMENTS OVER 100LBS SHIP VIA CH ROBINSON (WWW.CHRONLINE.COM). UNDER 100LBS, SHIP BEST WAY PREPAY AND ADD - PARTIAL PALLET LABEL REQUIRED"/>
    <m/>
    <m/>
    <m/>
    <m/>
    <s v="0"/>
    <s v="0"/>
  </r>
  <r>
    <s v="SJ2"/>
    <s v="5000515"/>
    <s v="COX COMMUNICATIONS"/>
    <s v="162449"/>
    <s v="R024P33L1B02"/>
    <s v="SJ2_STAG"/>
    <s v="COX COMMUNICATIONS"/>
    <s v="8602 W Buckeye Rd"/>
    <s v="AZ"/>
    <s v="Tolleson"/>
    <s v="85353-9264"/>
    <s v="NRP3203-4L"/>
    <s v="AMP/SWITCH LPF NRP3203 NODE"/>
    <s v="6900163"/>
    <s v="1.1"/>
    <x v="200"/>
    <n v="1962368"/>
    <d v="2016-07-06T00:00:00"/>
    <m/>
    <d v="2016-10-27T00:00:00"/>
    <d v="2016-10-06T00:00:00"/>
    <d v="2016-10-27T00:00:00"/>
    <m/>
    <n v="10"/>
    <m/>
    <n v="390"/>
    <m/>
    <s v="N054"/>
    <s v="NWK ACCESS TECH"/>
    <s v="NODE"/>
    <s v="HL NODE MISC AURORA"/>
    <s v="N054"/>
    <s v="AUR-STANDARD ORDER MIXED"/>
    <s v="CR-CH ROBINSON-LTL-Surface"/>
    <s v="OP"/>
    <n v="1250622"/>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2P04L2"/>
    <s v="SJ2_STAG"/>
    <s v="COX COMMUNICATIONS"/>
    <s v="8602 W Buckeye Rd"/>
    <s v="AZ"/>
    <s v="Tolleson"/>
    <s v="85353-9264"/>
    <s v="NTM3249T-C41-AS-4L"/>
    <s v="OXT CDFB NTM3249T-C41 DWDM AS"/>
    <s v="6901013"/>
    <s v="3.1"/>
    <x v="200"/>
    <n v="1962369"/>
    <d v="2016-08-01T00:00:00"/>
    <m/>
    <d v="2016-10-27T00:00:00"/>
    <d v="2016-10-07T00:00:00"/>
    <d v="2016-10-27T00:00:00"/>
    <m/>
    <n v="1"/>
    <m/>
    <n v="1165"/>
    <m/>
    <s v="N155"/>
    <s v="NWK ACCESS TECH"/>
    <s v="NODE"/>
    <s v="HL NODE MISC AURORA"/>
    <s v="N155"/>
    <s v="AUR-STANDARD ORDER MIXED"/>
    <s v="CR-CH ROBINSON-LTL-Surface"/>
    <s v="OP"/>
    <n v="1250622"/>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515"/>
    <s v="COX COMMUNICATIONS"/>
    <s v="162449"/>
    <s v="R024P33L1B02"/>
    <s v="SJ2_STAG"/>
    <s v="COX COMMUNICATIONS"/>
    <s v="8602 W Buckeye Rd"/>
    <s v="AZ"/>
    <s v="Tolleson"/>
    <s v="85353-9264"/>
    <s v="NRP3203-4L"/>
    <s v="AMP/SWITCH LPF NRP3203 NODE"/>
    <s v="6901376"/>
    <s v="2.1"/>
    <x v="200"/>
    <n v="1962368"/>
    <d v="2016-08-01T00:00:00"/>
    <m/>
    <d v="2016-10-27T00:00:00"/>
    <d v="2016-10-05T00:00:00"/>
    <d v="2016-10-27T00:00:00"/>
    <m/>
    <n v="7"/>
    <m/>
    <n v="273"/>
    <m/>
    <s v="N054"/>
    <s v="NWK ACCESS TECH"/>
    <s v="NODE"/>
    <s v="HL NODE MISC AURORA"/>
    <s v="N054"/>
    <s v="AUR-STANDARD ORDER MIXED"/>
    <s v="CR-CH ROBINSON-LTL-Surface"/>
    <s v="OP"/>
    <n v="1250622"/>
    <s v="CH ROBINSON"/>
    <m/>
    <m/>
    <m/>
    <s v="CR-CH ROBINSON"/>
    <s v="SUR"/>
    <s v="EXW"/>
    <s v="Third Party Billing"/>
    <m/>
    <m/>
    <s v="Up to 100 lbs BW-PPD &amp; ADD. Over 100 lbs route through CH Robinson World Wide (www.chrwonline.com). Freight terms prepaid, 3rd party to Cox Communications c/o CHRLTLL, 1400 Charlson Rd, Ste 2100, Eden Prairie,MN 55347"/>
    <m/>
    <m/>
    <m/>
    <m/>
    <s v="0"/>
    <s v="0"/>
  </r>
  <r>
    <s v="SJ2"/>
    <s v="5000602"/>
    <s v="CABLEMAS, S.A. DE C.V."/>
    <s v="TULTITLAN"/>
    <s v="R024P13L1B01"/>
    <s v="SJ2_STAG"/>
    <s v="CEDIS CENTRO-SUR"/>
    <s v="CALLE BENITO JUAREZ NO 20"/>
    <s v="MEXICO"/>
    <s v="TULTITLAN"/>
    <s v="54948"/>
    <s v="SC-PS-10F"/>
    <s v="CABLE DB9F-3.5MM RTANG 10FT RO"/>
    <s v="20109958"/>
    <s v="1.1"/>
    <x v="201"/>
    <n v="1963666"/>
    <d v="2016-09-08T13:53:31"/>
    <m/>
    <d v="2016-10-28T00:00:00"/>
    <d v="2016-10-03T00:00:00"/>
    <d v="2016-10-28T00:00:00"/>
    <m/>
    <n v="100"/>
    <m/>
    <n v="1300"/>
    <m/>
    <s v="N224"/>
    <s v="NWK ACCESS TECH"/>
    <s v="ACCESS OTHER"/>
    <s v="OTHER AURORA"/>
    <s v="N224"/>
    <s v="AS-STANDARD ORDER MIXED"/>
    <s v="A-CUST P/U"/>
    <s v="OP"/>
    <n v="1251428"/>
    <s v="A-CUST P/U"/>
    <m/>
    <m/>
    <m/>
    <s v="A-CUST P/U"/>
    <s v="LTL"/>
    <s v="EXW"/>
    <s v="Collect"/>
    <m/>
    <m/>
    <s v="FOR EXW SEND W&amp;D TO CSR."/>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50L3B01"/>
    <s v="SJ2_STAG"/>
    <s v="CABLEMAS TELECOMUNICACIONES SA DE CV"/>
    <s v="AV.BENITO JUAREZ NO 20."/>
    <m/>
    <s v="CUAUTEPEC"/>
    <s v="54948"/>
    <s v="BP3400C-00"/>
    <s v="BACKPLATE 4.25 GB/S 1-FER/2-FE"/>
    <s v="20110004"/>
    <s v="1.1"/>
    <x v="202"/>
    <n v="1955471"/>
    <d v="2016-09-08T15:44:15"/>
    <m/>
    <d v="2016-10-19T00:00:00"/>
    <d v="2016-10-03T00:00:00"/>
    <d v="2016-10-19T00:00:00"/>
    <m/>
    <n v="8"/>
    <n v="8"/>
    <n v="4992"/>
    <n v="4992"/>
    <s v="N076"/>
    <s v="NWK ACCESS TECH"/>
    <s v="HEO"/>
    <s v="HEO MISC AURORA"/>
    <s v="N076"/>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3"/>
    <s v="SJ2_STAG"/>
    <s v="CABLEMAS TELECOMUNICACIONES SA DE CV"/>
    <s v="AV.BENITO JUAREZ NO 20."/>
    <m/>
    <s v="CUAUTEPEC"/>
    <s v="54948"/>
    <s v="BP3400C-00"/>
    <s v="BACKPLATE 4.25 GB/S 1-FER/2-FE"/>
    <s v="20110004"/>
    <s v="1.1"/>
    <x v="202"/>
    <n v="1955471"/>
    <d v="2016-09-08T15:44:15"/>
    <m/>
    <d v="2016-10-19T00:00:00"/>
    <d v="2016-10-03T00:00:00"/>
    <d v="2016-10-19T00:00:00"/>
    <m/>
    <n v="6"/>
    <n v="6"/>
    <n v="3744"/>
    <n v="3744"/>
    <s v="N076"/>
    <s v="NWK ACCESS TECH"/>
    <s v="HEO"/>
    <s v="HEO MISC AURORA"/>
    <s v="N076"/>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6P06L4B01"/>
    <s v="SJ2_STAG"/>
    <s v="CABLEMAS TELECOMUNICACIONES SA DE CV"/>
    <s v="AV.BENITO JUAREZ NO 20."/>
    <m/>
    <s v="CUAUTEPEC"/>
    <s v="54948"/>
    <s v="DR3450N-50-00"/>
    <s v="DIGITAL RECEIVER Q-RX 2.125GBP"/>
    <s v="20110004"/>
    <s v="23.1"/>
    <x v="202"/>
    <n v="1955471"/>
    <d v="2016-09-08T15:44:15"/>
    <m/>
    <d v="2016-10-19T00:00:00"/>
    <d v="2016-10-14T00:00:00"/>
    <d v="2016-10-19T00:00:00"/>
    <m/>
    <n v="13"/>
    <n v="13"/>
    <n v="20904"/>
    <n v="20904"/>
    <s v="N275"/>
    <s v="NWK ACCESS TECH"/>
    <s v="HEO"/>
    <s v="RECEIVERS AURORA"/>
    <s v="N275"/>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44L2"/>
    <s v="SJ2_STAG"/>
    <s v="CABLEMAS TELECOMUNICACIONES SA DE CV"/>
    <s v="AV.BENITO JUAREZ NO 20."/>
    <m/>
    <s v="CUAUTEPEC"/>
    <s v="54948"/>
    <s v="DR3450N-50-00"/>
    <s v="DIGITAL RECEIVER Q-RX 2.125GBP"/>
    <s v="20110004"/>
    <s v="23.1"/>
    <x v="202"/>
    <n v="1955471"/>
    <d v="2016-09-08T15:44:15"/>
    <m/>
    <d v="2016-10-19T00:00:00"/>
    <d v="2016-10-14T00:00:00"/>
    <d v="2016-10-19T00:00:00"/>
    <m/>
    <n v="20"/>
    <n v="20"/>
    <n v="32160"/>
    <n v="32160"/>
    <s v="N275"/>
    <s v="NWK ACCESS TECH"/>
    <s v="HEO"/>
    <s v="RECEIVERS AURORA"/>
    <s v="N275"/>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13L3B02"/>
    <s v="SJ2_STAG"/>
    <s v="CABLEMAS TELECOMUNICACIONES SA DE CV"/>
    <s v="AV.BENITO JUAREZ NO 20."/>
    <m/>
    <s v="CUAUTEPEC"/>
    <s v="54948"/>
    <s v="CA3008"/>
    <s v="CARRIER MODULE HIGH DENSITY"/>
    <s v="20110004"/>
    <s v="3.1"/>
    <x v="202"/>
    <n v="1955471"/>
    <d v="2016-09-08T15:44:15"/>
    <m/>
    <d v="2016-10-19T00:00:00"/>
    <d v="2016-10-03T00:00:00"/>
    <d v="2016-10-19T00:00:00"/>
    <m/>
    <n v="2"/>
    <n v="2"/>
    <n v="564"/>
    <n v="564"/>
    <s v="N259"/>
    <s v="NWK ACCESS TECH"/>
    <s v="HEO"/>
    <s v="TRANSMITTERS AURORA"/>
    <s v="HDTX"/>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70L2"/>
    <s v="SJ2_STAG"/>
    <s v="CABLEMAS TELECOMUNICACIONES SA DE CV"/>
    <s v="AV.BENITO JUAREZ NO 20."/>
    <m/>
    <s v="CUAUTEPEC"/>
    <s v="54948"/>
    <s v="HT3541H-D-A230-2-AS"/>
    <s v="XMTR DD 1.2GHZ FULL SPECTRUM 3"/>
    <s v="20110004"/>
    <s v="4.1"/>
    <x v="202"/>
    <n v="1955470"/>
    <d v="2016-09-08T15:44:15"/>
    <m/>
    <d v="2016-10-19T00:00:00"/>
    <d v="2016-10-03T00:00:00"/>
    <d v="2016-10-19T00:00:00"/>
    <m/>
    <n v="2"/>
    <n v="2"/>
    <n v="4150"/>
    <n v="4150"/>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67L4"/>
    <s v="SJ2_STAG"/>
    <s v="CABLEMAS TELECOMUNICACIONES SA DE CV"/>
    <s v="AV.BENITO JUAREZ NO 20."/>
    <m/>
    <s v="CUAUTEPEC"/>
    <s v="54948"/>
    <s v="HT3541H-D-A330-2-AS"/>
    <s v="XMTR DD 1.2GHZ FULL SPECTRUM 3"/>
    <s v="20110004"/>
    <s v="5.1"/>
    <x v="202"/>
    <n v="1955471"/>
    <d v="2016-09-08T15:44:15"/>
    <m/>
    <d v="2016-10-19T00:00:00"/>
    <d v="2016-10-03T00:00:00"/>
    <d v="2016-10-19T00:00:00"/>
    <m/>
    <n v="2"/>
    <n v="2"/>
    <n v="4150"/>
    <n v="4150"/>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06L4"/>
    <s v="SJ2_STAG"/>
    <s v="CABLEMAS TELECOMUNICACIONES SA DE CV"/>
    <s v="AV.BENITO JUAREZ NO 20."/>
    <m/>
    <s v="CUAUTEPEC"/>
    <s v="54948"/>
    <s v="HT3541H-D-A440-2-AS"/>
    <s v="XMTR DD 1.2GHZ FULL SPECTRUM 3"/>
    <s v="20110004"/>
    <s v="6.1"/>
    <x v="202"/>
    <n v="1955471"/>
    <d v="2016-09-08T15:44:15"/>
    <m/>
    <d v="2016-10-19T00:00:00"/>
    <d v="2016-10-03T00:00:00"/>
    <d v="2016-10-19T00:00:00"/>
    <m/>
    <n v="2"/>
    <n v="2"/>
    <n v="4150"/>
    <n v="4150"/>
    <s v="HE64"/>
    <s v="NWK ACCESS TECH"/>
    <s v="HEO"/>
    <s v="TRANSMITTER"/>
    <s v="HT"/>
    <s v="AS-STANDARD ORDER MIXED"/>
    <s v="A-SURFACE"/>
    <s v="OP"/>
    <n v="1245937"/>
    <s v="A-SURFACE"/>
    <m/>
    <m/>
    <m/>
    <s v="A-SURFACE"/>
    <s v="LTL"/>
    <s v="EXW"/>
    <s v="Collect"/>
    <m/>
    <m/>
    <s v="Please contact Herlinda Marquez Cedillo &lt;hmarquez@izzi.mx&gt; for pickup."/>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TULTITLAN8167"/>
    <s v="R024P02L1B01"/>
    <s v="SJ2_STAG"/>
    <s v="CABLEMAS TELECOMUNICACIONES SA DE CV"/>
    <s v="CEDIS CENTRO-SUR CALLE BENITO"/>
    <s v="EMEX"/>
    <s v="TULTITLAN"/>
    <s v="CP54948"/>
    <s v="BD35M4-AC3-H02F-1-AS"/>
    <s v="OPT MUX BD 100GHZ A1 ITU CH 23"/>
    <s v="20111098"/>
    <s v="13.1"/>
    <x v="203"/>
    <n v="1962037"/>
    <d v="2016-09-14T14:15:11"/>
    <m/>
    <d v="2016-10-27T00:00:00"/>
    <d v="2016-10-03T00:00:00"/>
    <d v="2016-10-27T00:00:00"/>
    <m/>
    <n v="11"/>
    <n v="11"/>
    <n v="29183"/>
    <n v="29183"/>
    <s v="N258"/>
    <s v="NWK ACCESS TECH"/>
    <s v="HEO"/>
    <s v="TRANSMITTERS AURORA"/>
    <s v="HDTX"/>
    <s v="AS-STANDARD ORDER MIXED"/>
    <s v="A-SURFACE"/>
    <s v="OP"/>
    <n v="1250456"/>
    <s v="A-SURFACE"/>
    <m/>
    <m/>
    <m/>
    <s v="A-SURFACE"/>
    <s v="LTL"/>
    <s v="EXW"/>
    <s v="Collect"/>
    <m/>
    <m/>
    <s v="FOR EXW SEND W&amp;D TO CSR. MARITA.FERNANDEZ@ARRIS.COM. FOR FCA CONTACT FF."/>
    <s v="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4P04L5B02"/>
    <s v="SJ2_STAG"/>
    <s v="CABLEMAS TELECOMUNICACIONES SA DE CV"/>
    <s v="AV.BENITO JUAREZ NO 20."/>
    <m/>
    <s v="CUAUTEPEC"/>
    <s v="54948"/>
    <s v="CH3000N"/>
    <s v="CHASSIS NO COVERS 3RU"/>
    <s v="20111227"/>
    <s v="1.1"/>
    <x v="204"/>
    <n v="1954659"/>
    <d v="2016-09-15T09:18:17"/>
    <m/>
    <d v="2016-10-19T00:00:00"/>
    <d v="2016-10-03T00:00:00"/>
    <d v="2016-10-19T00:00:00"/>
    <m/>
    <n v="4"/>
    <n v="4"/>
    <n v="1040"/>
    <n v="1040"/>
    <s v="N199"/>
    <s v="NWK ACCESS TECH"/>
    <s v="HEO"/>
    <s v="HEO MISC AURORA"/>
    <s v="N199"/>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6.1"/>
    <x v="204"/>
    <n v="1954659"/>
    <d v="2016-09-15T09:18:17"/>
    <m/>
    <d v="2016-10-19T00:00:00"/>
    <d v="2016-10-03T00:00:00"/>
    <d v="2016-10-19T00:00:00"/>
    <m/>
    <n v="4"/>
    <n v="4"/>
    <n v="2700"/>
    <n v="2700"/>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7.1"/>
    <x v="204"/>
    <n v="1954659"/>
    <d v="2016-09-15T09:18:17"/>
    <m/>
    <d v="2016-10-19T00:00:00"/>
    <d v="2016-10-03T00:00:00"/>
    <d v="2016-10-19T00:00:00"/>
    <m/>
    <n v="2"/>
    <n v="2"/>
    <n v="1350"/>
    <n v="1350"/>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16L4"/>
    <s v="SJ2_STAG"/>
    <s v="CABLEMAS TELECOMUNICACIONES SA DE CV"/>
    <s v="AV.BENITO JUAREZ NO 20."/>
    <m/>
    <s v="CUAUTEPEC"/>
    <s v="54948"/>
    <s v="PS3148N"/>
    <s v="POWER SUPPLY NO DISPLAY -48VDC"/>
    <s v="20111227"/>
    <s v="17.1"/>
    <x v="204"/>
    <n v="1954659"/>
    <d v="2016-09-15T09:18:17"/>
    <m/>
    <d v="2016-10-19T00:00:00"/>
    <d v="2016-10-03T00:00:00"/>
    <d v="2016-10-19T00:00:00"/>
    <m/>
    <n v="12"/>
    <n v="12"/>
    <n v="8100"/>
    <n v="8100"/>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s v="20111227"/>
    <s v="18.1"/>
    <x v="204"/>
    <n v="1954659"/>
    <d v="2016-09-15T09:18:17"/>
    <m/>
    <d v="2016-10-19T00:00:00"/>
    <d v="2016-10-03T00:00:00"/>
    <d v="2016-10-19T00:00:00"/>
    <m/>
    <n v="24"/>
    <n v="24"/>
    <n v="16200"/>
    <n v="16200"/>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m/>
    <s v="73.1"/>
    <x v="204"/>
    <n v="1954659"/>
    <d v="2016-09-15T09:18:17"/>
    <m/>
    <d v="2016-10-19T00:00:00"/>
    <d v="2016-10-14T00:00:00"/>
    <d v="2016-10-19T00:00:00"/>
    <m/>
    <n v="4"/>
    <n v="4"/>
    <n v="2700"/>
    <n v="2700"/>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15P56L4"/>
    <s v="SJ2_STAG"/>
    <s v="CABLEMAS TELECOMUNICACIONES SA DE CV"/>
    <s v="AV.BENITO JUAREZ NO 20."/>
    <m/>
    <s v="CUAUTEPEC"/>
    <s v="54948"/>
    <s v="PS3148N"/>
    <s v="POWER SUPPLY NO DISPLAY -48VDC"/>
    <m/>
    <s v="74.1"/>
    <x v="204"/>
    <n v="1954659"/>
    <d v="2016-09-15T09:18:17"/>
    <m/>
    <d v="2016-10-19T00:00:00"/>
    <d v="2016-10-14T00:00:00"/>
    <d v="2016-10-19T00:00:00"/>
    <m/>
    <n v="9"/>
    <n v="9"/>
    <n v="6075"/>
    <n v="6075"/>
    <s v="N204"/>
    <s v="NWK ACCESS TECH"/>
    <s v="ACCESS OTHER"/>
    <s v="OTHER AURORA"/>
    <s v="N204"/>
    <s v="AS-STANDARD ORDER MIXED"/>
    <s v="A-SURFACE"/>
    <s v="OP"/>
    <n v="1245645"/>
    <s v="A-SURFACE"/>
    <m/>
    <m/>
    <m/>
    <s v="A-SURFACE"/>
    <s v="LTL"/>
    <s v="EXW"/>
    <s v="Collect"/>
    <m/>
    <m/>
    <s v="FOR EXW SEND W&amp;D TO: MARITA.FERNANDEZ@ARRIS.COM and / hmarquez@izzi.mx.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2P03L3"/>
    <s v="SJ2_STAG"/>
    <s v="CABLEMAS TELECOMUNICACIONES SA DE CV"/>
    <s v="AV.BENITO JUAREZ NO 20."/>
    <m/>
    <s v="CUAUTEPEC"/>
    <s v="54948"/>
    <s v="NI3030E-0-00"/>
    <s v="NETWORK INTERFACE 16 RJ-45 1 S"/>
    <s v="20115710"/>
    <s v="1.1"/>
    <x v="205"/>
    <n v="1953551"/>
    <d v="2016-10-07T13:38:33"/>
    <m/>
    <d v="2016-10-18T00:00:00"/>
    <d v="2016-10-07T00:00:00"/>
    <d v="2016-10-18T00:00:00"/>
    <m/>
    <n v="4"/>
    <n v="4"/>
    <n v="7476"/>
    <n v="7476"/>
    <s v="N091"/>
    <s v="NWK ACCESS TECH"/>
    <s v="HEO"/>
    <s v="HEO MISC AURORA"/>
    <s v="N091"/>
    <s v="AS-STANDARD ORDER MIXED"/>
    <s v="A-SURFACE"/>
    <s v="OP"/>
    <n v="1245221"/>
    <s v="A-SURFACE"/>
    <m/>
    <m/>
    <m/>
    <s v="A-SURFACE"/>
    <s v="LTL"/>
    <s v="EXW"/>
    <s v="Collect"/>
    <m/>
    <m/>
    <s v="FOR EXW SEND W&amp;D TO MARITA.FERNANDEZ@ARRIS.COM/ CC: hmarquez@izzi.mx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17L1B01"/>
    <s v="SJ2_STAG"/>
    <s v="CABLEMAS TELECOMUNICACIONES SA DE CV"/>
    <s v="CEDI MERIDA CALLE 60 MODULO 5 NO.477"/>
    <s v="CHABLEKAL"/>
    <s v="YUCATAN"/>
    <m/>
    <s v="CH3000U-FM-00"/>
    <s v="ADAPTER FIBER MGT FOR CH3000 C"/>
    <s v="20115712"/>
    <s v="1.1"/>
    <x v="206"/>
    <n v="1957046"/>
    <d v="2016-10-07T13:50:52"/>
    <m/>
    <d v="2016-10-20T00:00:00"/>
    <d v="2016-10-07T00:00:00"/>
    <d v="2016-10-20T00:00:00"/>
    <m/>
    <n v="6"/>
    <n v="6"/>
    <n v="468"/>
    <n v="468"/>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34L2B02"/>
    <s v="SJ2_STAG"/>
    <s v="CABLEMAS TELECOMUNICACIONES SA DE CV"/>
    <s v="CEDI MERIDA CALLE 60 MODULO 5 NO.477"/>
    <s v="CHABLEKAL"/>
    <s v="YUCATAN"/>
    <m/>
    <s v="CH3000U-FM-00"/>
    <s v="ADAPTER FIBER MGT FOR CH3000 C"/>
    <s v="20115712"/>
    <s v="1.1"/>
    <x v="206"/>
    <n v="1957046"/>
    <d v="2016-10-07T13:50:52"/>
    <m/>
    <d v="2016-10-20T00:00:00"/>
    <d v="2016-10-07T00:00:00"/>
    <d v="2016-10-20T00:00:00"/>
    <m/>
    <n v="1"/>
    <n v="1"/>
    <n v="78"/>
    <n v="78"/>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68L5"/>
    <s v="SJ2_STAG"/>
    <s v="CABLEMAS TELECOMUNICACIONES SA DE CV"/>
    <s v="CEDI MERIDA CALLE 60 MODULO 5 NO.477"/>
    <s v="CHABLEKAL"/>
    <s v="YUCATAN"/>
    <m/>
    <s v="TR4440B-1530-PI"/>
    <s v="TRANSCEIVER SFP 60KM CWDM 1530"/>
    <s v="20115712"/>
    <s v="15.1"/>
    <x v="206"/>
    <n v="1957046"/>
    <d v="2016-10-07T13:50:52"/>
    <m/>
    <d v="2016-10-20T00:00:00"/>
    <d v="2016-10-07T00:00:00"/>
    <d v="2016-10-20T00:00:00"/>
    <m/>
    <n v="6"/>
    <n v="6"/>
    <n v="2460"/>
    <n v="2460"/>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5P15L1"/>
    <s v="SJ2_STAG"/>
    <s v="CABLEMAS TELECOMUNICACIONES SA DE CV"/>
    <s v="CEDI MERIDA CALLE 60 MODULO 5 NO.477"/>
    <s v="CHABLEKAL"/>
    <s v="YUCATAN"/>
    <m/>
    <s v="CH3000N"/>
    <s v="CHASSIS NO COVERS 3RU"/>
    <s v="20115712"/>
    <s v="2.1"/>
    <x v="206"/>
    <n v="1957046"/>
    <d v="2016-10-07T13:50:52"/>
    <m/>
    <d v="2016-10-20T00:00:00"/>
    <d v="2016-10-07T00:00:00"/>
    <d v="2016-10-20T00:00:00"/>
    <m/>
    <n v="7"/>
    <n v="7"/>
    <n v="1820"/>
    <n v="1820"/>
    <s v="N199"/>
    <s v="NWK ACCESS TECH"/>
    <s v="HEO"/>
    <s v="HEO MISC AURORA"/>
    <s v="N199"/>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6P16L2B01"/>
    <s v="SJ2_STAG"/>
    <s v="CABLEMAS TELECOMUNICACIONES SA DE CV"/>
    <s v="CEDI MERIDA CALLE 60 MODULO 5 NO.477"/>
    <s v="CHABLEKAL"/>
    <s v="YUCATAN"/>
    <m/>
    <s v="AR4203G-AS"/>
    <s v="OPTICAL RECEIVER 51-1002MHz FW"/>
    <s v="20115712"/>
    <s v="3.1"/>
    <x v="206"/>
    <n v="1957045"/>
    <d v="2016-10-07T13:50:52"/>
    <m/>
    <d v="2016-10-20T00:00:00"/>
    <d v="2016-10-07T00:00:00"/>
    <d v="2016-10-20T00:00:00"/>
    <m/>
    <n v="24"/>
    <n v="24"/>
    <n v="8928"/>
    <n v="8928"/>
    <s v="N222"/>
    <s v="NWK ACCESS TECH"/>
    <s v="HPON"/>
    <s v="VHUB AURORA"/>
    <s v="N22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15P52L2"/>
    <s v="SJ2_STAG"/>
    <s v="CABLEMAS TELECOMUNICACIONES SA DE CV"/>
    <s v="CEDI MERIDA CALLE 60 MODULO 5 NO.477"/>
    <s v="CHABLEKAL"/>
    <s v="YUCATAN"/>
    <m/>
    <s v="DT4250N-50-00"/>
    <s v="DGTL XCVR ENH MULTI-MODES OF O"/>
    <s v="20115712"/>
    <s v="4.1"/>
    <x v="206"/>
    <n v="1957046"/>
    <d v="2016-10-07T13:50:52"/>
    <m/>
    <d v="2016-10-20T00:00:00"/>
    <d v="2016-10-07T00:00:00"/>
    <d v="2016-10-20T00:00:00"/>
    <m/>
    <n v="30"/>
    <n v="30"/>
    <n v="9360"/>
    <n v="9360"/>
    <s v="N065"/>
    <s v="NWK ACCESS TECH"/>
    <s v="NODE"/>
    <s v="NODE MISC AURORA"/>
    <s v="N0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80L4"/>
    <s v="SJ2_STAG"/>
    <s v="CABLEMAS TELECOMUNICACIONES SA DE CV"/>
    <s v="CEDI MERIDA CALLE 60 MODULO 5 NO.477"/>
    <s v="CHABLEKAL"/>
    <s v="YUCATAN"/>
    <m/>
    <s v="TR4440B-1470-PI"/>
    <s v="TRANSCEIVER SFP 60KM CWDM 1470"/>
    <s v="20115712"/>
    <s v="5.1"/>
    <x v="206"/>
    <n v="1957045"/>
    <d v="2016-10-07T13:50:52"/>
    <m/>
    <d v="2016-10-20T00:00:00"/>
    <d v="2016-10-07T00:00:00"/>
    <d v="2016-10-20T00:00:00"/>
    <m/>
    <n v="7"/>
    <n v="7"/>
    <n v="2870"/>
    <n v="2870"/>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80L4"/>
    <s v="SJ2_STAG"/>
    <s v="CABLEMAS TELECOMUNICACIONES SA DE CV"/>
    <s v="CEDI MERIDA CALLE 60 MODULO 5 NO.477"/>
    <s v="CHABLEKAL"/>
    <s v="YUCATAN"/>
    <m/>
    <s v="TR4440B-1510-PI"/>
    <s v="TRANSCEIVER SFP 60KM CWDM 1510"/>
    <s v="20115712"/>
    <s v="6.1"/>
    <x v="206"/>
    <n v="1957046"/>
    <d v="2016-10-07T13:50:52"/>
    <m/>
    <d v="2016-10-20T00:00:00"/>
    <d v="2016-10-07T00:00:00"/>
    <d v="2016-10-20T00:00:00"/>
    <m/>
    <n v="7"/>
    <n v="7"/>
    <n v="2870"/>
    <n v="2870"/>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78L3"/>
    <s v="SJ2_STAG"/>
    <s v="CABLEMAS TELECOMUNICACIONES SA DE CV"/>
    <s v="CEDI MERIDA CALLE 60 MODULO 5 NO.477"/>
    <s v="CHABLEKAL"/>
    <s v="YUCATAN"/>
    <m/>
    <s v="TR4440B-1550-PI"/>
    <s v="TRANSCEIVER SFP 60KM CWDM 1550"/>
    <s v="20115712"/>
    <s v="7.1"/>
    <x v="206"/>
    <n v="1957045"/>
    <d v="2016-10-07T13:50:52"/>
    <m/>
    <d v="2016-10-20T00:00:00"/>
    <d v="2016-10-07T00:00:00"/>
    <d v="2016-10-20T00:00:00"/>
    <m/>
    <n v="7"/>
    <n v="7"/>
    <n v="2870"/>
    <n v="2870"/>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09L4"/>
    <s v="SJ2_STAG"/>
    <s v="CABLEMAS TELECOMUNICACIONES SA DE CV"/>
    <s v="CEDI MERIDA CALLE 60 MODULO 5 NO.477"/>
    <s v="CHABLEKAL"/>
    <s v="YUCATAN"/>
    <m/>
    <s v="TR4440B-1570-PI"/>
    <s v="TRANSCEIVER SFP 60KM CWDM 1570"/>
    <s v="20115712"/>
    <s v="8.1"/>
    <x v="206"/>
    <n v="1957046"/>
    <d v="2016-10-07T13:50:52"/>
    <m/>
    <d v="2016-10-20T00:00:00"/>
    <d v="2016-10-07T00:00:00"/>
    <d v="2016-10-20T00:00:00"/>
    <m/>
    <n v="7"/>
    <n v="7"/>
    <n v="2870"/>
    <n v="2870"/>
    <s v="N252"/>
    <s v="NWK ACCESS TECH"/>
    <s v="NODE"/>
    <s v="NODE MISC AURORA"/>
    <s v="N252"/>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3P50L3"/>
    <s v="SJ2_STAG"/>
    <s v="CABLEMAS TELECOMUNICACIONES SA DE CV"/>
    <s v="CEDI MERIDA CALLE 60 MODULO 5 NO.477"/>
    <s v="CHABLEKAL"/>
    <s v="YUCATAN"/>
    <m/>
    <s v="OP34D10S-0-00-AS"/>
    <s v="DEMUX CWDM 10CH SC/APC"/>
    <s v="20115712"/>
    <s v="9.1"/>
    <x v="206"/>
    <n v="1957046"/>
    <d v="2016-10-07T13:50:52"/>
    <m/>
    <d v="2016-10-20T00:00:00"/>
    <d v="2016-10-07T00:00:00"/>
    <d v="2016-10-20T00:00:00"/>
    <m/>
    <n v="2"/>
    <n v="2"/>
    <n v="3116"/>
    <n v="3116"/>
    <s v="N165"/>
    <s v="NWK ACCESS TECH"/>
    <s v="OPTICAL PASSIVES"/>
    <s v="INDOOR PASSIVES AURORA"/>
    <s v="N1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MERIDA YUCATAN"/>
    <s v="R022P17L6"/>
    <s v="SJ2_STAG"/>
    <s v="CABLEMAS TELECOMUNICACIONES SA DE CV"/>
    <s v="CEDI MERIDA CALLE 60 MODULO 5 NO.477"/>
    <s v="CHABLEKAL"/>
    <s v="YUCATAN"/>
    <m/>
    <s v="OP34D10S-0-00-AS"/>
    <s v="DEMUX CWDM 10CH SC/APC"/>
    <s v="20115712"/>
    <s v="9.1"/>
    <x v="206"/>
    <n v="1957046"/>
    <d v="2016-10-07T13:50:52"/>
    <m/>
    <d v="2016-10-20T00:00:00"/>
    <d v="2016-10-07T00:00:00"/>
    <d v="2016-10-20T00:00:00"/>
    <m/>
    <n v="5"/>
    <n v="5"/>
    <n v="7790"/>
    <n v="7790"/>
    <s v="N165"/>
    <s v="NWK ACCESS TECH"/>
    <s v="OPTICAL PASSIVES"/>
    <s v="INDOOR PASSIVES AURORA"/>
    <s v="N165"/>
    <s v="AS-STANDARD ORDER MIXED"/>
    <s v="A-SURFACE"/>
    <s v="OP"/>
    <n v="1246579"/>
    <s v="A-SURFACE"/>
    <m/>
    <m/>
    <m/>
    <s v="A-SURFACE"/>
    <s v="LTL"/>
    <s v="EXW"/>
    <s v="Collect"/>
    <m/>
    <m/>
    <s v="FOR EXW SEND W&amp;D TO marita.fernandez@arris.com/FOR FCA CONTACT FF. "/>
    <s v="IF WOOD PALLET INCLUDE STAMP FOR CERT OF FUMIGATION.NET &amp; GROSS WEIGHT PER SHIPMENT MUST BE ON CI DOCS.PALLETS MUST BE 48x40 @HT MIN. 59MAX 75 W/7 LAYERS OF BOXES FOR TG862A/NA.REMAINING BOXES CAN BE IN A NEW PALLET P/ DIMS ABOVE "/>
    <m/>
    <m/>
    <m/>
    <s v="0"/>
    <s v="0"/>
  </r>
  <r>
    <s v="SJ2"/>
    <s v="5000602"/>
    <s v="CABLEMAS, S.A. DE C.V."/>
    <s v="CUATEPEC"/>
    <m/>
    <s v="SJ2_STAG"/>
    <s v="CABLEMAS TELECOMUNICACIONES SA DE CV"/>
    <s v="AV.BENITO JUAREZ NO 20."/>
    <m/>
    <s v="CUAUTEPEC"/>
    <s v="54948"/>
    <s v="PS3148D"/>
    <s v="POWER SUPPLY W/DISPLAY -48VDC"/>
    <s v="20116020"/>
    <s v="4.1"/>
    <x v="207"/>
    <n v="1962647"/>
    <d v="2016-10-10T10:39:35"/>
    <m/>
    <d v="2016-10-27T00:00:00"/>
    <d v="2016-10-10T00:00:00"/>
    <d v="2016-10-27T00:00:00"/>
    <m/>
    <n v="14"/>
    <m/>
    <n v="11648"/>
    <m/>
    <s v="N204"/>
    <s v="NWK ACCESS TECH"/>
    <s v="ACCESS OTHER"/>
    <s v="OTHER AURORA"/>
    <s v="N204"/>
    <s v="AS-STANDARD ORDER MIXED"/>
    <s v="A-SURFACE"/>
    <s v="OP"/>
    <n v="1250743"/>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CUATEPEC"/>
    <s v="R023P10L4"/>
    <s v="SJ2_STAG"/>
    <s v="CABLEMAS TELECOMUNICACIONES SA DE CV"/>
    <s v="AV.BENITO JUAREZ NO 20."/>
    <m/>
    <s v="CUAUTEPEC"/>
    <s v="54948"/>
    <s v="TR4440B-1610-PI"/>
    <s v="TRANSCEIVER SFP 60KM CWDM 1610"/>
    <s v="20116020"/>
    <s v="5.1"/>
    <x v="207"/>
    <n v="1962648"/>
    <d v="2016-10-10T10:39:35"/>
    <m/>
    <d v="2016-10-27T00:00:00"/>
    <d v="2016-10-10T00:00:00"/>
    <d v="2016-10-27T00:00:00"/>
    <m/>
    <n v="26"/>
    <m/>
    <n v="10660"/>
    <m/>
    <s v="N252"/>
    <s v="NWK ACCESS TECH"/>
    <s v="NODE"/>
    <s v="NODE MISC AURORA"/>
    <s v="N252"/>
    <s v="AS-STANDARD ORDER MIXED"/>
    <s v="A-SURFACE"/>
    <s v="OP"/>
    <n v="1250743"/>
    <s v="A-SURFACE"/>
    <m/>
    <m/>
    <m/>
    <s v="A-SURFACE"/>
    <s v="LTL"/>
    <s v="EXW"/>
    <s v="Collect"/>
    <m/>
    <m/>
    <s v="FOR EXW SEND W&amp;D TO marita.fernandez@arris.com/FOR FCA CONTACT FF."/>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s v="SJ2"/>
    <s v="5000602"/>
    <s v="CABLEMAS, S.A. DE C.V."/>
    <s v="164324"/>
    <s v="R016P18L2B01"/>
    <s v="SJ2_STAG"/>
    <s v="Cablemas Telecomunicaciones"/>
    <s v="Almacen Regional Norte 1 Calle 1 113"/>
    <m/>
    <s v="Tijuana"/>
    <s v="CP: 22435"/>
    <s v="AR4003G-AS"/>
    <s v="OPTICAL RECEIVER 54-1002MHz FW"/>
    <s v="6901031"/>
    <s v="2.1"/>
    <x v="208"/>
    <n v="1947856"/>
    <d v="2016-08-02T00:00:00"/>
    <m/>
    <d v="2016-10-11T00:00:00"/>
    <d v="2016-10-03T00:00:00"/>
    <d v="2016-10-11T00:00:00"/>
    <m/>
    <n v="150"/>
    <m/>
    <n v="55800"/>
    <m/>
    <s v="N222"/>
    <s v="NWK ACCESS TECH"/>
    <s v="HPON"/>
    <s v="VHUB AURORA"/>
    <s v="N222"/>
    <s v="AUR-STANDARD ORDER MIXED"/>
    <s v="See Shipping Instructions"/>
    <s v="OP"/>
    <n v="1241025"/>
    <s v="SSI"/>
    <m/>
    <m/>
    <m/>
    <s v="See Shipping Instructions"/>
    <s v="LTL"/>
    <s v="EXW"/>
    <s v="Collect"/>
    <m/>
    <m/>
    <s v="Call for Pick Up: Herlinda Marquez Cedillo - hmarquez@izzi.mx - Andres Del Rosario Perez - adelrosario@cablemas.com.mx - Tel#: 011 52 55 4122 8870 - WOOD PALLETS ONLY"/>
    <m/>
    <m/>
    <m/>
    <m/>
    <s v="0"/>
    <s v="0"/>
  </r>
  <r>
    <s v="SJ2"/>
    <s v="5000722"/>
    <s v="ADVANCED MEDIA TECHNOLOGIES INC. (PRIOR DX COMMS)"/>
    <s v="DEERFIELD BEACH003"/>
    <s v="R015P62L5"/>
    <s v="SJ2_STAG"/>
    <s v="ADVANCED MEDIA TECHNOLOGIES, INC."/>
    <s v="3150 SW 15th St"/>
    <s v="FL"/>
    <s v="Deerfield Beach"/>
    <s v="33442-8188"/>
    <s v="CH3000N"/>
    <s v="CHASSIS NO COVERS 3RU"/>
    <s v="20117259"/>
    <s v="1.1"/>
    <x v="209"/>
    <n v="1960720"/>
    <d v="2016-10-25T17:01:20"/>
    <m/>
    <d v="2016-10-25T00:00:00"/>
    <d v="2016-10-25T00:00:00"/>
    <d v="2016-10-25T00:00:00"/>
    <m/>
    <n v="2"/>
    <m/>
    <n v="482"/>
    <m/>
    <s v="N199"/>
    <s v="NWK ACCESS TECH"/>
    <s v="HEO"/>
    <s v="HEO MISC AURORA"/>
    <s v="N199"/>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53L7"/>
    <s v="SJ2_STAG"/>
    <s v="ADVANCED MEDIA TECHNOLOGIES, INC."/>
    <s v="3150 SW 15th St"/>
    <s v="FL"/>
    <s v="Deerfield Beach"/>
    <s v="33442-8188"/>
    <s v="BD31A4-100-H12F-0-AS"/>
    <s v="OPT PASSTHRU BD 4 XMTR 4 BC 4"/>
    <s v="20117259"/>
    <s v="11.1"/>
    <x v="209"/>
    <n v="1960721"/>
    <d v="2016-10-25T17:01:20"/>
    <m/>
    <d v="2016-10-25T00:00:00"/>
    <d v="2016-10-25T00:00:00"/>
    <d v="2016-10-25T00:00:00"/>
    <m/>
    <n v="2"/>
    <m/>
    <n v="1206"/>
    <m/>
    <s v="N258"/>
    <s v="NWK ACCESS TECH"/>
    <s v="HEO"/>
    <s v="TRANSMITTERS AURORA"/>
    <s v="HDTX"/>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16L2"/>
    <s v="SJ2_STAG"/>
    <s v="ADVANCED MEDIA TECHNOLOGIES, INC."/>
    <s v="3150 SW 15th St"/>
    <s v="FL"/>
    <s v="Deerfield Beach"/>
    <s v="33442-8188"/>
    <s v="PS3005D"/>
    <s v="POWER SUPPLY 250W CE TUV W/DIS"/>
    <s v="20117259"/>
    <s v="13.1"/>
    <x v="209"/>
    <n v="1960720"/>
    <d v="2016-10-25T17:01:20"/>
    <m/>
    <d v="2016-10-25T00:00:00"/>
    <d v="2016-10-25T00:00:00"/>
    <d v="2016-10-25T00:00:00"/>
    <m/>
    <n v="2"/>
    <m/>
    <n v="1206"/>
    <m/>
    <s v="N204"/>
    <s v="NWK ACCESS TECH"/>
    <s v="ACCESS OTHER"/>
    <s v="OTHER AURORA"/>
    <s v="N204"/>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39L2"/>
    <s v="SJ2_STAG"/>
    <s v="ADVANCED MEDIA TECHNOLOGIES, INC."/>
    <s v="3150 SW 15th St"/>
    <s v="FL"/>
    <s v="Deerfield Beach"/>
    <s v="33442-8188"/>
    <s v="PS3005N"/>
    <s v="POWER SUPPLY 250W CE TUV W/O D"/>
    <s v="20117259"/>
    <s v="14.1"/>
    <x v="209"/>
    <n v="1960720"/>
    <d v="2016-10-25T17:01:20"/>
    <m/>
    <d v="2016-10-25T00:00:00"/>
    <d v="2016-10-25T00:00:00"/>
    <d v="2016-10-25T00:00:00"/>
    <m/>
    <n v="2"/>
    <m/>
    <n v="1012"/>
    <m/>
    <s v="N204"/>
    <s v="NWK ACCESS TECH"/>
    <s v="ACCESS OTHER"/>
    <s v="OTHER AURORA"/>
    <s v="N204"/>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6P17L1B01"/>
    <s v="SJ2_STAG"/>
    <s v="ADVANCED MEDIA TECHNOLOGIES, INC."/>
    <s v="3150 SW 15th St"/>
    <s v="FL"/>
    <s v="Deerfield Beach"/>
    <s v="33442-8188"/>
    <s v="CH3000U-FM-00"/>
    <s v="ADAPTER FIBER MGT FOR CH3000 C"/>
    <s v="20117259"/>
    <s v="2.1"/>
    <x v="209"/>
    <n v="1960720"/>
    <d v="2016-10-25T17:01:20"/>
    <m/>
    <d v="2016-10-25T00:00:00"/>
    <d v="2016-10-25T00:00:00"/>
    <d v="2016-10-25T00:00:00"/>
    <m/>
    <n v="2"/>
    <m/>
    <n v="120"/>
    <m/>
    <s v="N199"/>
    <s v="NWK ACCESS TECH"/>
    <s v="HEO"/>
    <s v="HEO MISC AURORA"/>
    <s v="N199"/>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3P73L6"/>
    <s v="SJ2_STAG"/>
    <s v="ADVANCED MEDIA TECHNOLOGIES, INC."/>
    <s v="3150 SW 15th St"/>
    <s v="FL"/>
    <s v="Deerfield Beach"/>
    <s v="33442-8188"/>
    <s v="CX3002"/>
    <s v="COMMUNICATIONS MODULE"/>
    <s v="20117259"/>
    <s v="3.1"/>
    <x v="209"/>
    <n v="1960721"/>
    <d v="2016-10-25T17:01:20"/>
    <m/>
    <d v="2016-10-25T00:00:00"/>
    <d v="2016-10-25T00:00:00"/>
    <d v="2016-10-25T00:00:00"/>
    <m/>
    <n v="2"/>
    <m/>
    <n v="820"/>
    <m/>
    <s v="N080"/>
    <s v="NWK ACCESS TECH"/>
    <s v="HEO"/>
    <s v="HEO MISC AURORA"/>
    <s v="N080"/>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31L2"/>
    <s v="SJ2_STAG"/>
    <s v="ADVANCED MEDIA TECHNOLOGIES, INC."/>
    <s v="3150 SW 15th St"/>
    <s v="FL"/>
    <s v="Deerfield Beach"/>
    <s v="33442-8188"/>
    <s v="HT3542H-D-A200-2-AS"/>
    <s v="XMTR DD 1.2GHZ FULL SPECTRUM 7"/>
    <s v="20117259"/>
    <s v="4.1"/>
    <x v="209"/>
    <n v="1960720"/>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72L2"/>
    <s v="SJ2_STAG"/>
    <s v="ADVANCED MEDIA TECHNOLOGIES, INC."/>
    <s v="3150 SW 15th St"/>
    <s v="FL"/>
    <s v="Deerfield Beach"/>
    <s v="33442-8188"/>
    <s v="HT3542H-D-A210-2-AS"/>
    <s v="XMTR DD 1.2GHZ FULL SPECTRUM 7"/>
    <s v="20117259"/>
    <s v="5.1"/>
    <x v="209"/>
    <n v="1960720"/>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54L3"/>
    <s v="SJ2_STAG"/>
    <s v="ADVANCED MEDIA TECHNOLOGIES, INC."/>
    <s v="3150 SW 15th St"/>
    <s v="FL"/>
    <s v="Deerfield Beach"/>
    <s v="33442-8188"/>
    <s v="HT3542H-D-A240-2-AS"/>
    <s v="XMTR DD 1.2GHZ FULL SPECTRUM 7"/>
    <s v="20117259"/>
    <s v="6.1"/>
    <x v="209"/>
    <n v="1960721"/>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54L2"/>
    <s v="SJ2_STAG"/>
    <s v="ADVANCED MEDIA TECHNOLOGIES, INC."/>
    <s v="3150 SW 15th St"/>
    <s v="FL"/>
    <s v="Deerfield Beach"/>
    <s v="33442-8188"/>
    <s v="HT3542H-D-A290-2-AS"/>
    <s v="XMTR DD 1.2GHZ FULL SPECTRUM 7"/>
    <s v="20117259"/>
    <s v="7.1"/>
    <x v="209"/>
    <n v="1960721"/>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22L3"/>
    <s v="SJ2_STAG"/>
    <s v="ADVANCED MEDIA TECHNOLOGIES, INC."/>
    <s v="3150 SW 15th St"/>
    <s v="FL"/>
    <s v="Deerfield Beach"/>
    <s v="33442-8188"/>
    <s v="HT3542H-D-A350-2-AS"/>
    <s v="XMTR DD 1.2GHZ FULL SPECTRUM 7"/>
    <s v="20117259"/>
    <s v="8.1"/>
    <x v="209"/>
    <n v="1960720"/>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EC1"/>
    <s v="SJ2_STAG"/>
    <s v="ADVANCED MEDIA TECHNOLOGIES, INC."/>
    <s v="3150 SW 15th St"/>
    <s v="FL"/>
    <s v="Deerfield Beach"/>
    <s v="33442-8188"/>
    <s v="HT3542H-D-A420-2-AS"/>
    <s v="XMTR DD 1.2GHZ FULL SPECTRUM 7"/>
    <s v="20117259"/>
    <s v="9.1"/>
    <x v="209"/>
    <n v="1960720"/>
    <d v="2016-10-25T17:01:20"/>
    <m/>
    <d v="2016-10-25T00:00:00"/>
    <d v="2016-10-25T00:00:00"/>
    <d v="2016-10-25T00:00:00"/>
    <m/>
    <n v="1"/>
    <m/>
    <n v="2107"/>
    <m/>
    <s v="HE64"/>
    <s v="NWK ACCESS TECH"/>
    <s v="HEO"/>
    <s v="TRANSMITTER"/>
    <s v="HT"/>
    <s v="AS-STANDARD ORDER MIXED"/>
    <s v="A-SURFACE"/>
    <s v="OP"/>
    <n v="1249585"/>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5P59L1"/>
    <s v="SJ2_STAG"/>
    <s v="ADVANCED MEDIA TECHNOLOGIES, INC."/>
    <s v="3150 SW 15th St"/>
    <s v="FL"/>
    <s v="Deerfield Beach"/>
    <s v="33442-8188"/>
    <s v="PF3000C-FM-00"/>
    <s v="PASSIVE FRAME 4RU FBR MGT COVE"/>
    <s v="20118027"/>
    <s v="1.1"/>
    <x v="210"/>
    <n v="1957873"/>
    <d v="2016-10-21T11:05:17"/>
    <m/>
    <d v="2016-10-21T00:00:00"/>
    <d v="2016-10-21T00:00:00"/>
    <d v="2016-10-21T00:00:00"/>
    <m/>
    <n v="1"/>
    <m/>
    <n v="216"/>
    <m/>
    <s v="N224"/>
    <s v="NWK ACCESS TECH"/>
    <s v="ACCESS OTHER"/>
    <s v="OTHER AURORA"/>
    <s v="N224"/>
    <s v="AS-STANDARD ORDER MIXED"/>
    <s v="A-SURFACE"/>
    <s v="OP"/>
    <n v="124706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16P33L1B01"/>
    <s v="SJ2_STAG"/>
    <s v="ADVANCED MEDIA TECHNOLOGIES, INC."/>
    <s v="3150 SW 15th St"/>
    <s v="FL"/>
    <s v="Deerfield Beach"/>
    <s v="33442-8188"/>
    <s v="PF3000C-FM-00"/>
    <s v="PASSIVE FRAME 4RU FBR MGT COVE"/>
    <s v="20118027"/>
    <s v="1.1"/>
    <x v="210"/>
    <n v="1957873"/>
    <d v="2016-10-21T11:05:17"/>
    <m/>
    <d v="2016-10-21T00:00:00"/>
    <d v="2016-10-21T00:00:00"/>
    <d v="2016-10-21T00:00:00"/>
    <m/>
    <n v="7"/>
    <m/>
    <n v="1512"/>
    <m/>
    <s v="N224"/>
    <s v="NWK ACCESS TECH"/>
    <s v="ACCESS OTHER"/>
    <s v="OTHER AURORA"/>
    <s v="N224"/>
    <s v="AS-STANDARD ORDER MIXED"/>
    <s v="A-SURFACE"/>
    <s v="OP"/>
    <n v="1247069"/>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3P14L4"/>
    <s v="SJ2_STAG"/>
    <s v="ADVANCED MEDIA TECHNOLOGIES, INC."/>
    <s v="3150 SW 15th St"/>
    <s v="FL"/>
    <s v="Deerfield Beach"/>
    <s v="33442-8188"/>
    <s v="BP-35M4L-1-00-AS"/>
    <s v="OPTICAL MUX BP 100GHZ ITU CH 2"/>
    <s v="20119175"/>
    <s v="1.1"/>
    <x v="211"/>
    <n v="1962701"/>
    <d v="2016-10-27T14:43:52"/>
    <m/>
    <d v="2016-10-27T00:00:00"/>
    <d v="2016-10-27T00:00:00"/>
    <d v="2016-10-27T00:00:00"/>
    <m/>
    <n v="1"/>
    <m/>
    <n v="891"/>
    <m/>
    <s v="N133"/>
    <s v="NWK ACCESS TECH"/>
    <s v="HEO"/>
    <s v="HEO MISC AURORA"/>
    <s v="N133"/>
    <s v="AS-STANDARD ORDER MIXED"/>
    <s v="A-SURFACE"/>
    <s v="OP"/>
    <n v="1250771"/>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722"/>
    <s v="ADVANCED MEDIA TECHNOLOGIES INC. (PRIOR DX COMMS)"/>
    <s v="DEERFIELD BEACH003"/>
    <s v="R022P13L2"/>
    <s v="SJ2_STAG"/>
    <s v="ADVANCED MEDIA TECHNOLOGIES, INC."/>
    <s v="3150 SW 15th St"/>
    <s v="FL"/>
    <s v="Deerfield Beach"/>
    <s v="33442-8188"/>
    <s v="BP-35M4M-1-00-AS"/>
    <s v="OPTICAL MUX BP 100GHZ ITU CH 3"/>
    <s v="20119175"/>
    <s v="3.1"/>
    <x v="211"/>
    <n v="1962701"/>
    <d v="2016-10-27T14:43:52"/>
    <m/>
    <d v="2016-10-27T00:00:00"/>
    <d v="2016-10-27T00:00:00"/>
    <d v="2016-10-27T00:00:00"/>
    <m/>
    <n v="1"/>
    <m/>
    <n v="891"/>
    <m/>
    <s v="N133"/>
    <s v="NWK ACCESS TECH"/>
    <s v="HEO"/>
    <s v="HEO MISC AURORA"/>
    <s v="N133"/>
    <s v="AS-STANDARD ORDER MIXED"/>
    <s v="A-SURFACE"/>
    <s v="OP"/>
    <n v="1250771"/>
    <s v="A-SURFACE"/>
    <m/>
    <m/>
    <m/>
    <s v="A-SURFACE"/>
    <s v="LTL"/>
    <s v="EXW"/>
    <s v="Third Party Billing"/>
    <m/>
    <m/>
    <s v="If &lt;150 lbs ship FEDX GRD acct 293827516 if &gt; 150 lbs or 10 pallets ship ABF acct 536039-001 ? EMAIL AMT@ABF.com Phone -800-435-2213 No insure &gt; $1000 - bill to AMT, Deerfield Beach, FL.- MODEMS - breakdown pallets 4 cartons high"/>
    <m/>
    <m/>
    <m/>
    <m/>
    <s v="0"/>
    <s v="0"/>
  </r>
  <r>
    <s v="SJ2"/>
    <s v="5000924"/>
    <s v="GCI CABLE"/>
    <s v="ANCHORAGE(5151)"/>
    <s v="R022P01L4"/>
    <s v="SJ2_FOB"/>
    <s v="GCI"/>
    <s v="5151 Fairbanks St"/>
    <s v="AK"/>
    <s v="Anchorage"/>
    <s v="99503-7443"/>
    <s v="OR3144H-85-01-01-AL"/>
    <s v="DIPLXR/RTN RCVR 1550/1590 RFOG"/>
    <s v="20111077"/>
    <s v="1.1"/>
    <x v="212"/>
    <n v="1961694"/>
    <d v="2016-09-14T13:19:58"/>
    <m/>
    <d v="2016-10-26T00:00:00"/>
    <d v="2016-09-14T00:00:00"/>
    <d v="2016-10-28T00:00:00"/>
    <m/>
    <n v="3"/>
    <m/>
    <n v="3900"/>
    <m/>
    <s v="N169"/>
    <s v="NWK ACCESS TECH"/>
    <s v="HPON"/>
    <s v="HEADEND RECEIVERS AURORA"/>
    <s v="N169"/>
    <s v="AS-DEFECTIVE MIXED"/>
    <s v="A-SURFACE"/>
    <s v="OP"/>
    <n v="1250253"/>
    <s v="A-SURFACE"/>
    <m/>
    <m/>
    <m/>
    <s v="A-SURFACE"/>
    <s v="LTL"/>
    <s v="DAP"/>
    <s v="Prepaid"/>
    <m/>
    <m/>
    <s v="REPLACEMENT CASE # 1401673 ATTN. PHIL WEEKKS PHONE: 907-775-6881"/>
    <m/>
    <m/>
    <m/>
    <m/>
    <s v="0"/>
    <s v="0"/>
  </r>
  <r>
    <s v="SJ2"/>
    <s v="5000924"/>
    <s v="GCI CABLE"/>
    <s v="ANCHORAGE(5151)"/>
    <s v="R024P06L1B01"/>
    <s v="SJ2_FOB"/>
    <s v="GCI"/>
    <s v="5151 Fairbanks St"/>
    <s v="AK"/>
    <s v="Anchorage"/>
    <s v="99503-7443"/>
    <s v="OR3144H-85-01-01-AL"/>
    <s v="DIPLXR/RTN RCVR 1550/1590 RFOG"/>
    <s v="20111077"/>
    <s v="1.1"/>
    <x v="213"/>
    <n v="1960977"/>
    <d v="2016-09-14T13:19:58"/>
    <m/>
    <d v="2016-10-26T00:00:00"/>
    <d v="2016-09-14T00:00:00"/>
    <d v="2016-10-28T00:00:00"/>
    <m/>
    <n v="21"/>
    <m/>
    <n v="27300"/>
    <m/>
    <s v="N169"/>
    <s v="NWK ACCESS TECH"/>
    <s v="HPON"/>
    <s v="HEADEND RECEIVERS AURORA"/>
    <s v="N169"/>
    <s v="AS-DEFECTIVE MIXED"/>
    <s v="A-SURFACE"/>
    <s v="OP"/>
    <n v="1249787"/>
    <s v="A-SURFACE"/>
    <m/>
    <m/>
    <m/>
    <s v="A-SURFACE"/>
    <s v="LTL"/>
    <s v="DAP"/>
    <s v="Prepaid"/>
    <m/>
    <m/>
    <s v="REPLACEMENT CASE # 1401673 ATTN. PHIL WEEKKS PHONE: 907-775-6881"/>
    <m/>
    <m/>
    <m/>
    <m/>
    <s v="0"/>
    <s v="0"/>
  </r>
  <r>
    <s v="SJ2"/>
    <s v="5000924"/>
    <s v="GCI CABLE"/>
    <s v="ANCHORAGE(5151)"/>
    <s v="R022P01L5"/>
    <s v="SJ2_FOB"/>
    <s v="GCI"/>
    <s v="5151 Fairbanks St"/>
    <s v="AK"/>
    <s v="Anchorage"/>
    <s v="99503-7443"/>
    <s v="OR3144H-85-01-01-AL"/>
    <s v="DIPLXR/RTN RCVR 1550/1590 RFOG"/>
    <s v="20111077"/>
    <s v="1.1"/>
    <x v="213"/>
    <n v="1960976"/>
    <d v="2016-09-14T13:19:58"/>
    <m/>
    <d v="2016-10-26T00:00:00"/>
    <d v="2016-09-14T00:00:00"/>
    <d v="2016-10-28T00:00:00"/>
    <m/>
    <n v="18"/>
    <m/>
    <n v="23400"/>
    <m/>
    <s v="N169"/>
    <s v="NWK ACCESS TECH"/>
    <s v="HPON"/>
    <s v="HEADEND RECEIVERS AURORA"/>
    <s v="N169"/>
    <s v="AS-DEFECTIVE MIXED"/>
    <s v="A-SURFACE"/>
    <s v="OP"/>
    <n v="1249787"/>
    <s v="A-SURFACE"/>
    <m/>
    <m/>
    <m/>
    <s v="A-SURFACE"/>
    <s v="LTL"/>
    <s v="DAP"/>
    <s v="Prepaid"/>
    <m/>
    <m/>
    <s v="REPLACEMENT CASE # 1401673 ATTN. PHIL WEEKKS PHONE: 907-775-6881"/>
    <m/>
    <m/>
    <m/>
    <m/>
    <s v="0"/>
    <s v="0"/>
  </r>
  <r>
    <s v="SJ2"/>
    <s v="5000924"/>
    <s v="GCI CABLE"/>
    <s v="ANCHORAGE 4901"/>
    <s v="R016P15L2B01"/>
    <s v="SJ2_STAG"/>
    <s v="GCI"/>
    <s v="4901 Fairbanks St"/>
    <s v="AK"/>
    <s v="Anchorage"/>
    <s v="99503-7439"/>
    <s v="HLP4800-6F"/>
    <s v="PLATFORM HLP4800"/>
    <s v="20119207"/>
    <s v="1.1"/>
    <x v="214"/>
    <n v="1963053"/>
    <d v="2016-10-27T15:51:54"/>
    <m/>
    <d v="2016-10-28T00:00:00"/>
    <d v="2016-11-01T00:00:00"/>
    <d v="2016-11-01T00:00:00"/>
    <m/>
    <n v="16"/>
    <m/>
    <n v="5216"/>
    <m/>
    <s v="N140"/>
    <s v="NWK ACCESS TECH"/>
    <s v="HEO"/>
    <s v="HEO MISC AURORA"/>
    <s v="N140"/>
    <s v="AS-STANDARD ORDER MIXED"/>
    <s v="A-SURFACE"/>
    <s v="OP"/>
    <n v="1251017"/>
    <s v="A-SURFACE"/>
    <m/>
    <m/>
    <m/>
    <s v="A-SURFACE"/>
    <s v="LTL"/>
    <s v="EXW"/>
    <s v="Prepay &amp; Add"/>
    <m/>
    <m/>
    <m/>
    <m/>
    <m/>
    <m/>
    <m/>
    <s v="0"/>
    <s v="0"/>
  </r>
  <r>
    <s v="SJ2"/>
    <s v="5000924"/>
    <s v="GCI CABLE"/>
    <s v="ANCHORAGE 4901"/>
    <s v="R016P37L3B02"/>
    <s v="SJ2_STAG"/>
    <s v="GCI"/>
    <s v="4901 Fairbanks St"/>
    <s v="AK"/>
    <s v="Anchorage"/>
    <s v="99503-7439"/>
    <s v="HLP4800-6F"/>
    <s v="PLATFORM HLP4800"/>
    <s v="20119207"/>
    <s v="1.1"/>
    <x v="214"/>
    <n v="1963053"/>
    <d v="2016-10-27T15:51:54"/>
    <m/>
    <d v="2016-10-28T00:00:00"/>
    <d v="2016-11-01T00:00:00"/>
    <d v="2016-11-01T00:00:00"/>
    <m/>
    <n v="1"/>
    <m/>
    <n v="326"/>
    <m/>
    <s v="N140"/>
    <s v="NWK ACCESS TECH"/>
    <s v="HEO"/>
    <s v="HEO MISC AURORA"/>
    <s v="N140"/>
    <s v="AS-STANDARD ORDER MIXED"/>
    <s v="A-SURFACE"/>
    <s v="OP"/>
    <n v="1251017"/>
    <s v="A-SURFACE"/>
    <m/>
    <m/>
    <m/>
    <s v="A-SURFACE"/>
    <s v="LTL"/>
    <s v="EXW"/>
    <s v="Prepay &amp; Add"/>
    <m/>
    <m/>
    <m/>
    <m/>
    <m/>
    <m/>
    <m/>
    <s v="0"/>
    <s v="0"/>
  </r>
  <r>
    <s v="SJ2"/>
    <s v="5000924"/>
    <s v="GCI CABLE"/>
    <s v="ANCHORAGE 4901"/>
    <s v="R016P01L2B01"/>
    <s v="SJ2_STAG"/>
    <s v="GCI"/>
    <s v="4901 Fairbanks St"/>
    <s v="AK"/>
    <s v="Anchorage"/>
    <s v="99503-7439"/>
    <s v="HLP4800-6F"/>
    <s v="PLATFORM HLP4800"/>
    <s v="20119207"/>
    <s v="1.1"/>
    <x v="214"/>
    <n v="1963053"/>
    <d v="2016-10-27T15:51:54"/>
    <m/>
    <d v="2016-10-28T00:00:00"/>
    <d v="2016-11-01T00:00:00"/>
    <d v="2016-11-01T00:00:00"/>
    <m/>
    <n v="10"/>
    <m/>
    <n v="3260"/>
    <m/>
    <s v="N140"/>
    <s v="NWK ACCESS TECH"/>
    <s v="HEO"/>
    <s v="HEO MISC AURORA"/>
    <s v="N140"/>
    <s v="AS-STANDARD ORDER MIXED"/>
    <s v="A-SURFACE"/>
    <s v="OP"/>
    <n v="1251017"/>
    <s v="A-SURFACE"/>
    <m/>
    <m/>
    <m/>
    <s v="A-SURFACE"/>
    <s v="LTL"/>
    <s v="EXW"/>
    <s v="Prepay &amp; Add"/>
    <m/>
    <m/>
    <m/>
    <m/>
    <m/>
    <m/>
    <m/>
    <s v="0"/>
    <s v="0"/>
  </r>
  <r>
    <s v="SJ2"/>
    <s v="5000924"/>
    <s v="GCI CABLE"/>
    <s v="ANCHORAGE 4901"/>
    <s v="R016P42L3B01"/>
    <s v="SJ2_STAG"/>
    <s v="GCI"/>
    <s v="4901 Fairbanks St"/>
    <s v="AK"/>
    <s v="Anchorage"/>
    <s v="99503-7439"/>
    <s v="HLP4800-6F"/>
    <s v="PLATFORM HLP4800"/>
    <s v="20119207"/>
    <s v="1.1"/>
    <x v="214"/>
    <n v="1963053"/>
    <d v="2016-10-27T15:51:54"/>
    <m/>
    <d v="2016-10-28T00:00:00"/>
    <d v="2016-11-01T00:00:00"/>
    <d v="2016-11-01T00:00:00"/>
    <m/>
    <n v="16"/>
    <m/>
    <n v="5216"/>
    <m/>
    <s v="N140"/>
    <s v="NWK ACCESS TECH"/>
    <s v="HEO"/>
    <s v="HEO MISC AURORA"/>
    <s v="N140"/>
    <s v="AS-STANDARD ORDER MIXED"/>
    <s v="A-SURFACE"/>
    <s v="OP"/>
    <n v="1251017"/>
    <s v="A-SURFACE"/>
    <m/>
    <m/>
    <m/>
    <s v="A-SURFACE"/>
    <s v="LTL"/>
    <s v="EXW"/>
    <s v="Prepay &amp; Add"/>
    <m/>
    <m/>
    <m/>
    <m/>
    <m/>
    <m/>
    <m/>
    <s v="0"/>
    <s v="0"/>
  </r>
  <r>
    <s v="SJ2"/>
    <s v="5000924"/>
    <s v="GCI CABLE"/>
    <s v="ANCHORAGE 4901"/>
    <s v="R015P58L1"/>
    <s v="SJ2_STAG"/>
    <s v="GCI"/>
    <s v="4901 Fairbanks St"/>
    <s v="AK"/>
    <s v="Anchorage"/>
    <s v="99503-7439"/>
    <s v="HLP4800-6F"/>
    <s v="PLATFORM HLP4800"/>
    <s v="20119207"/>
    <s v="1.1"/>
    <x v="214"/>
    <n v="1963053"/>
    <d v="2016-10-27T15:51:54"/>
    <m/>
    <d v="2016-10-28T00:00:00"/>
    <d v="2016-11-01T00:00:00"/>
    <d v="2016-11-01T00:00:00"/>
    <m/>
    <n v="3"/>
    <m/>
    <n v="978"/>
    <m/>
    <s v="N140"/>
    <s v="NWK ACCESS TECH"/>
    <s v="HEO"/>
    <s v="HEO MISC AURORA"/>
    <s v="N140"/>
    <s v="AS-STANDARD ORDER MIXED"/>
    <s v="A-SURFACE"/>
    <s v="OP"/>
    <n v="1251017"/>
    <s v="A-SURFACE"/>
    <m/>
    <m/>
    <m/>
    <s v="A-SURFACE"/>
    <s v="LTL"/>
    <s v="EXW"/>
    <s v="Prepay &amp; Add"/>
    <m/>
    <m/>
    <m/>
    <m/>
    <m/>
    <m/>
    <m/>
    <s v="0"/>
    <s v="0"/>
  </r>
  <r>
    <s v="SJ2"/>
    <s v="5000924"/>
    <s v="GCI CABLE"/>
    <s v="ANCHORAGE 4901"/>
    <s v="R015P41L3"/>
    <s v="SJ2_STAG"/>
    <s v="GCI"/>
    <s v="4901 Fairbanks St"/>
    <s v="AK"/>
    <s v="Anchorage"/>
    <s v="99503-7439"/>
    <s v="CPS4801-DC-01F"/>
    <s v="MOD POWER SUPPLY CPS4801-DC"/>
    <s v="20119207"/>
    <s v="2.1"/>
    <x v="214"/>
    <n v="1963053"/>
    <d v="2016-10-27T15:51:54"/>
    <m/>
    <d v="2016-10-28T00:00:00"/>
    <d v="2016-11-01T00:00:00"/>
    <d v="2016-11-01T00:00:00"/>
    <m/>
    <n v="4"/>
    <m/>
    <n v="1548"/>
    <m/>
    <s v="N224"/>
    <s v="NWK ACCESS TECH"/>
    <s v="ACCESS OTHER"/>
    <s v="OTHER AURORA"/>
    <s v="N224"/>
    <s v="AS-STANDARD ORDER MIXED"/>
    <s v="A-SURFACE"/>
    <s v="OP"/>
    <n v="1251017"/>
    <s v="A-SURFACE"/>
    <m/>
    <m/>
    <m/>
    <s v="A-SURFACE"/>
    <s v="LTL"/>
    <s v="EXW"/>
    <s v="Prepay &amp; Add"/>
    <m/>
    <m/>
    <m/>
    <m/>
    <m/>
    <m/>
    <m/>
    <s v="0"/>
    <s v="0"/>
  </r>
  <r>
    <s v="SJ2"/>
    <s v="5000924"/>
    <s v="GCI CABLE"/>
    <s v="ANCHORAGE 4901"/>
    <s v="R015P44L2"/>
    <s v="SJ2_STAG"/>
    <s v="GCI"/>
    <s v="4901 Fairbanks St"/>
    <s v="AK"/>
    <s v="Anchorage"/>
    <s v="99503-7439"/>
    <s v="CPS4801-DC-01F"/>
    <s v="MOD POWER SUPPLY CPS4801-DC"/>
    <s v="20119207"/>
    <s v="2.1"/>
    <x v="214"/>
    <n v="1963052"/>
    <d v="2016-10-27T15:51:54"/>
    <m/>
    <d v="2016-10-28T00:00:00"/>
    <d v="2016-11-01T00:00:00"/>
    <d v="2016-11-01T00:00:00"/>
    <m/>
    <n v="88"/>
    <m/>
    <n v="34056"/>
    <m/>
    <s v="N224"/>
    <s v="NWK ACCESS TECH"/>
    <s v="ACCESS OTHER"/>
    <s v="OTHER AURORA"/>
    <s v="N224"/>
    <s v="AS-STANDARD ORDER MIXED"/>
    <s v="A-SURFACE"/>
    <s v="OP"/>
    <n v="1251017"/>
    <s v="A-SURFACE"/>
    <m/>
    <m/>
    <m/>
    <s v="A-SURFACE"/>
    <s v="LTL"/>
    <s v="EXW"/>
    <s v="Prepay &amp; Add"/>
    <m/>
    <m/>
    <m/>
    <m/>
    <m/>
    <m/>
    <m/>
    <s v="0"/>
    <s v="0"/>
  </r>
  <r>
    <s v="SJ2"/>
    <s v="5000924"/>
    <s v="GCI CABLE"/>
    <s v="ANCHORAGE 4901"/>
    <s v="R015P16L1"/>
    <s v="SJ2_STAG"/>
    <s v="GCI"/>
    <s v="4901 Fairbanks St"/>
    <s v="AK"/>
    <s v="Anchorage"/>
    <s v="99503-7439"/>
    <s v="HNC4801-WEB/SNMP-1F"/>
    <s v="HNC4801+FIRMWARE LICENSE"/>
    <s v="20119207"/>
    <s v="3.1"/>
    <x v="214"/>
    <n v="1963052"/>
    <d v="2016-10-27T15:51:54"/>
    <m/>
    <d v="2016-10-28T00:00:00"/>
    <d v="2016-11-01T00:00:00"/>
    <d v="2016-11-01T00:00:00"/>
    <m/>
    <n v="46"/>
    <m/>
    <n v="17204"/>
    <m/>
    <s v="N141"/>
    <s v="NWK ACCESS TECH"/>
    <s v="HEO"/>
    <s v="HEO MISC AURORA"/>
    <s v="N141"/>
    <s v="AS-STANDARD ORDER MIXED"/>
    <s v="A-SURFACE"/>
    <s v="OP"/>
    <n v="1251017"/>
    <s v="A-SURFACE"/>
    <m/>
    <m/>
    <m/>
    <s v="A-SURFACE"/>
    <s v="LTL"/>
    <s v="EXW"/>
    <s v="Prepay &amp; Add"/>
    <m/>
    <m/>
    <m/>
    <m/>
    <m/>
    <m/>
    <m/>
    <s v="0"/>
    <s v="0"/>
  </r>
  <r>
    <s v="SJ2"/>
    <s v="5001170"/>
    <s v="TELMEX COLOMBIA S.A."/>
    <s v="CRA 7"/>
    <s v="R023P09L1"/>
    <s v="SJ2_STAG"/>
    <s v="TELMEX COLOMBIA S.A."/>
    <s v="CRA. 7 NO.63-44"/>
    <m/>
    <s v="BOGOTA"/>
    <s v="6500300"/>
    <s v="OP95M8S-1-00-R2-00"/>
    <s v="MUX DWDM 100GHZ CH 44-51 F-CAS"/>
    <s v="20106954"/>
    <s v="9.1"/>
    <x v="215"/>
    <n v="1960410"/>
    <d v="2016-08-24T10:30:24"/>
    <m/>
    <d v="2016-10-25T00:00:00"/>
    <d v="2016-08-25T00:00:00"/>
    <d v="2016-10-25T00:00:00"/>
    <m/>
    <n v="1"/>
    <n v="1"/>
    <n v="2296"/>
    <n v="2296"/>
    <s v="N165"/>
    <s v="NWK ACCESS TECH"/>
    <s v="OPTICAL PASSIVES"/>
    <s v="INDOOR PASSIVES AURORA"/>
    <s v="N165"/>
    <s v="AS-STANDARD ORDER MIXED"/>
    <s v="A-CUST P/U"/>
    <s v="OP"/>
    <n v="1249378"/>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30L5"/>
    <s v="SJ2_STAG"/>
    <s v="TELMEX COLOMBIA S.A."/>
    <s v="CRA. 7 NO.63-44"/>
    <m/>
    <s v="BOGOTA"/>
    <s v="6500300"/>
    <s v="EQ2105G"/>
    <s v="LINEAR EQL NC2000 5DB 45-1GHZ"/>
    <s v="20107725"/>
    <s v="1.1"/>
    <x v="216"/>
    <n v="1959960"/>
    <d v="2016-08-29T08:07:09"/>
    <m/>
    <d v="2016-10-24T00:00:00"/>
    <d v="2016-10-06T00:00:00"/>
    <d v="2016-10-24T00:00:00"/>
    <m/>
    <n v="50"/>
    <n v="50"/>
    <n v="300"/>
    <n v="300"/>
    <s v="HE64"/>
    <s v="NWK ACCESS TECH"/>
    <s v="HEO"/>
    <s v="TRANSMITTER"/>
    <s v="HT"/>
    <s v="AS-STANDARD ORDER MIXED"/>
    <s v="A-CUST P/U"/>
    <s v="OP"/>
    <n v="1249086"/>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CRA 7"/>
    <s v="R022P51L4"/>
    <s v="SJ2_STAG"/>
    <s v="TELMEX COLOMBIA S.A."/>
    <s v="CRA. 7 NO.63-44"/>
    <m/>
    <s v="BOGOTA"/>
    <s v="6500300"/>
    <s v="OP35M4R-1-99-AS"/>
    <s v="OPT MUX 100GHZ CH 44-47 EXP PO"/>
    <s v="20108289"/>
    <s v="1.1"/>
    <x v="217"/>
    <n v="1960650"/>
    <d v="2016-08-30T15:59:39"/>
    <m/>
    <d v="2016-10-25T00:00:00"/>
    <d v="2016-10-25T00:00:00"/>
    <d v="2016-10-25T00:00:00"/>
    <m/>
    <n v="1"/>
    <n v="1"/>
    <n v="1148"/>
    <n v="1148"/>
    <s v="N165"/>
    <s v="NWK ACCESS TECH"/>
    <s v="OPTICAL PASSIVES"/>
    <s v="INDOOR PASSIVES AURORA"/>
    <s v="N165"/>
    <s v="AS-STANDARD ORDER MIXED"/>
    <s v="A-CUST P/U"/>
    <s v="OP"/>
    <n v="1249563"/>
    <s v="A-CUST P/U"/>
    <m/>
    <m/>
    <m/>
    <s v="A-CUST P/U"/>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6L3"/>
    <s v="SJ2_STAG"/>
    <s v="TELMEX COLOMBIA S.A."/>
    <s v="NIT 830.053.800-4 Sede Administrativa"/>
    <m/>
    <s v="Bogota"/>
    <s v="110921"/>
    <s v="OP35D4P-1-99-AS"/>
    <s v="OPT DEMUX 100GHZ CH 40-43 EXP"/>
    <s v="6901160"/>
    <s v="4.1"/>
    <x v="218"/>
    <n v="1963224"/>
    <d v="2016-08-08T00:00:00"/>
    <m/>
    <d v="2016-10-28T00:00:00"/>
    <d v="2016-08-08T00:00:00"/>
    <d v="2016-10-28T00:00:00"/>
    <m/>
    <n v="1"/>
    <m/>
    <n v="1148"/>
    <m/>
    <s v="N165"/>
    <s v="NWK ACCESS TECH"/>
    <s v="OPTICAL PASSIVES"/>
    <s v="INDOOR PASSIVES AURORA"/>
    <s v="N165"/>
    <s v="AUR-STANDARD ORDER MIXED"/>
    <s v="See Shipping Instructions"/>
    <s v="OP"/>
    <n v="1251073"/>
    <s v="SSI"/>
    <m/>
    <m/>
    <m/>
    <s v="See Shipping Instructions"/>
    <s v="LTL"/>
    <s v="EXW"/>
    <s v="Collect"/>
    <m/>
    <m/>
    <s v="PROVIDE SHIPPING DOCS TO MILDALIZA ALVAREZ EMAIL/Mildaliza.Alvarez@arris.com"/>
    <m/>
    <m/>
    <m/>
    <m/>
    <s v="0"/>
    <s v="0"/>
  </r>
  <r>
    <s v="SJ2"/>
    <s v="5001170"/>
    <s v="TELMEX COLOMBIA S.A."/>
    <s v="161502"/>
    <s v="R022P72L3"/>
    <s v="SJ2_STAG"/>
    <s v="TELMEX COLOMBIA S.A."/>
    <s v="NIT 830.053.800-4 Sede Administrativa"/>
    <m/>
    <s v="Bogota"/>
    <s v="110921"/>
    <s v="FA3514S-00-AS"/>
    <s v="FIBEROPTIC AMPLIFIER SINGLE 14"/>
    <s v="6901454"/>
    <s v="1.1"/>
    <x v="219"/>
    <n v="1963418"/>
    <d v="2016-08-29T08:30:03"/>
    <m/>
    <d v="2016-10-28T00:00:00"/>
    <d v="2016-08-29T00:00:00"/>
    <d v="2016-10-28T00:00:00"/>
    <m/>
    <n v="2"/>
    <m/>
    <n v="1033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6L3"/>
    <s v="SJ2_STAG"/>
    <s v="TELMEX COLOMBIA S.A."/>
    <s v="NIT 830.053.800-4 Sede Administrativa"/>
    <m/>
    <s v="Bogota"/>
    <s v="110921"/>
    <s v="FA3514S-00-AS"/>
    <s v="FIBEROPTIC AMPLIFIER SINGLE 14"/>
    <s v="6901454"/>
    <s v="1.1"/>
    <x v="219"/>
    <n v="1963418"/>
    <d v="2016-08-29T08:30:03"/>
    <m/>
    <d v="2016-10-28T00:00:00"/>
    <d v="2016-08-29T00:00:00"/>
    <d v="2016-10-28T00:00:00"/>
    <m/>
    <n v="1"/>
    <m/>
    <n v="5166"/>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9L2"/>
    <s v="SJ2_STAG"/>
    <s v="TELMEX COLOMBIA S.A."/>
    <s v="NIT 830.053.800-4 Sede Administrativa"/>
    <m/>
    <s v="Bogota"/>
    <s v="110921"/>
    <s v="OA-03-00-LC"/>
    <s v="ATTENUATOR STD OPT LC/UPC 3DB"/>
    <s v="6901454"/>
    <s v="12.2"/>
    <x v="219"/>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s v="6901454"/>
    <s v="13.1"/>
    <x v="219"/>
    <n v="1963418"/>
    <d v="2016-08-29T08:30:03"/>
    <m/>
    <d v="2016-10-28T00:00:00"/>
    <d v="2016-08-29T00:00:00"/>
    <d v="2016-10-28T00:00:00"/>
    <m/>
    <n v="1"/>
    <m/>
    <n v="3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48L3"/>
    <s v="SJ2_STAG"/>
    <s v="TELMEX COLOMBIA S.A."/>
    <s v="NIT 830.053.800-4 Sede Administrativa"/>
    <m/>
    <s v="Bogota"/>
    <s v="110921"/>
    <s v="OA-04-00-AS"/>
    <s v="ATTENUATOR STD OPT SC/APC-SC/A"/>
    <m/>
    <s v="14.1"/>
    <x v="219"/>
    <n v="1963418"/>
    <d v="2016-08-29T08:30:03"/>
    <m/>
    <d v="2016-10-28T00:00:00"/>
    <d v="2016-08-29T00:00:00"/>
    <d v="2016-10-28T00:00:00"/>
    <m/>
    <n v="6"/>
    <m/>
    <n v="228"/>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72L3"/>
    <s v="SJ2_STAG"/>
    <s v="TELMEX COLOMBIA S.A."/>
    <s v="NIT 830.053.800-4 Sede Administrativa"/>
    <m/>
    <s v="Bogota"/>
    <s v="110921"/>
    <s v="FA3514S-00-AS"/>
    <s v="FIBEROPTIC AMPLIFIER SINGLE 14"/>
    <s v="6901454"/>
    <s v="2.1"/>
    <x v="219"/>
    <n v="1963418"/>
    <d v="2016-08-29T08:30:03"/>
    <m/>
    <d v="2016-10-28T00:00:00"/>
    <d v="2016-08-29T00:00:00"/>
    <d v="2016-10-28T00:00:00"/>
    <m/>
    <n v="7"/>
    <m/>
    <n v="36162"/>
    <m/>
    <s v="N125"/>
    <s v="NWK ACCESS TECH"/>
    <s v="HEO"/>
    <s v="HEO MISC AURORA"/>
    <s v="EDFA"/>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s v="6901454"/>
    <s v="21.1"/>
    <x v="219"/>
    <n v="1963416"/>
    <d v="2016-08-29T08:30:03"/>
    <m/>
    <d v="2016-10-28T00:00:00"/>
    <d v="2016-08-29T00:00:00"/>
    <d v="2016-10-28T00:00:00"/>
    <m/>
    <n v="9"/>
    <m/>
    <n v="227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9L5B01"/>
    <s v="SJ2_STAG"/>
    <s v="TELMEX COLOMBIA S.A."/>
    <s v="NIT 830.053.800-4 Sede Administrativa"/>
    <m/>
    <s v="Bogota"/>
    <s v="110921"/>
    <s v="JC1512-MP-AS4-050"/>
    <s v="CABLE SERVICE (M)MPO/APC 4 SC/"/>
    <m/>
    <s v="22.1"/>
    <x v="219"/>
    <n v="1963416"/>
    <d v="2016-08-29T08:30:03"/>
    <m/>
    <d v="2016-10-28T00:00:00"/>
    <d v="2016-08-29T00:00:00"/>
    <d v="2016-10-28T00:00:00"/>
    <m/>
    <n v="1"/>
    <m/>
    <n v="25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9L2"/>
    <s v="SJ2_STAG"/>
    <s v="TELMEX COLOMBIA S.A."/>
    <s v="NIT 830.053.800-4 Sede Administrativa"/>
    <m/>
    <s v="Bogota"/>
    <s v="110921"/>
    <s v="FA4522S-01-AS"/>
    <s v="EDFA 22DBM FOR VH4000/NC4000 S"/>
    <s v="6901454"/>
    <s v="3.1"/>
    <x v="219"/>
    <n v="1963418"/>
    <d v="2016-08-29T08:30:03"/>
    <m/>
    <d v="2016-10-28T00:00:00"/>
    <d v="2016-08-29T00:00:00"/>
    <d v="2016-10-28T00:00:00"/>
    <m/>
    <n v="1"/>
    <m/>
    <n v="8004"/>
    <m/>
    <s v="N127"/>
    <s v="NWK ACCESS TECH"/>
    <s v="HPON"/>
    <s v="VHUB AURORA"/>
    <s v="N127"/>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7L3"/>
    <s v="SJ2_STAG"/>
    <s v="TELMEX COLOMBIA S.A."/>
    <s v="NIT 830.053.800-4 Sede Administrativa"/>
    <m/>
    <s v="Bogota"/>
    <s v="110921"/>
    <s v="BP-A4"/>
    <s v="BACKPLATE RF INP OPTICAL OUT M"/>
    <s v="6901454"/>
    <s v="35.1"/>
    <x v="219"/>
    <n v="1963420"/>
    <d v="2016-08-29T08:30:03"/>
    <m/>
    <d v="2016-10-28T00:00:00"/>
    <d v="2016-08-29T00:00:00"/>
    <d v="2016-10-28T00:00:00"/>
    <m/>
    <n v="17"/>
    <m/>
    <n v="137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4"/>
    <s v="36.1"/>
    <x v="219"/>
    <n v="1963418"/>
    <d v="2016-08-29T08:30:03"/>
    <m/>
    <d v="2016-10-28T00:00:00"/>
    <d v="2016-08-29T00:00:00"/>
    <d v="2016-10-28T00:00:00"/>
    <m/>
    <n v="4"/>
    <m/>
    <n v="10800"/>
    <m/>
    <s v="N091"/>
    <s v="NWK ACCESS TECH"/>
    <s v="HEO"/>
    <s v="HEO MISC AURORA"/>
    <s v="N091"/>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35M4K-1-99-AS"/>
    <s v="OPT MUX 100GHZ CH 24-27 EXP PO"/>
    <s v="6901454"/>
    <s v="37.1"/>
    <x v="219"/>
    <n v="1963417"/>
    <d v="2016-08-29T08:30:03"/>
    <m/>
    <d v="2016-10-28T00:00:00"/>
    <d v="2016-08-29T00:00:00"/>
    <d v="2016-10-28T00:00:00"/>
    <m/>
    <n v="2"/>
    <m/>
    <n v="2296"/>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51L4"/>
    <s v="SJ2_STAG"/>
    <s v="TELMEX COLOMBIA S.A."/>
    <s v="NIT 830.053.800-4 Sede Administrativa"/>
    <m/>
    <s v="Bogota"/>
    <s v="110921"/>
    <s v="OP35M4R-1-99-AS"/>
    <s v="OPT MUX 100GHZ CH 44-47 EXP PO"/>
    <s v="6901454"/>
    <s v="39.1"/>
    <x v="219"/>
    <n v="1963417"/>
    <d v="2016-08-29T08:30:03"/>
    <m/>
    <d v="2016-10-28T00:00:00"/>
    <d v="2016-08-29T00:00:00"/>
    <d v="2016-10-28T00:00:00"/>
    <m/>
    <n v="1"/>
    <m/>
    <n v="114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s v="6901454"/>
    <s v="40.1"/>
    <x v="219"/>
    <n v="1963417"/>
    <d v="2016-08-29T08:30:03"/>
    <m/>
    <d v="2016-10-28T00:00:00"/>
    <d v="2016-08-29T00:00:00"/>
    <d v="2016-10-28T00:00:00"/>
    <m/>
    <n v="4"/>
    <m/>
    <n v="8728"/>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1L1"/>
    <s v="SJ2_STAG"/>
    <s v="TELMEX COLOMBIA S.A."/>
    <s v="NIT 830.053.800-4 Sede Administrativa"/>
    <m/>
    <s v="Bogota"/>
    <s v="110921"/>
    <s v="OP95M8K-1-00-R1-00"/>
    <s v="MUX DWDM 100GHZ CH 20-27 F-CAS"/>
    <m/>
    <s v="41.1"/>
    <x v="219"/>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s v="6901454"/>
    <s v="42.1"/>
    <x v="219"/>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0L1"/>
    <s v="SJ2_STAG"/>
    <s v="TELMEX COLOMBIA S.A."/>
    <s v="NIT 830.053.800-4 Sede Administrativa"/>
    <m/>
    <s v="Bogota"/>
    <s v="110921"/>
    <s v="OP95M8M-1-00-R1-00"/>
    <s v="MUX DWDM 100GHZ CH 28-35 F-CAS"/>
    <m/>
    <s v="43.1"/>
    <x v="219"/>
    <n v="1963417"/>
    <d v="2016-08-29T08:30:03"/>
    <m/>
    <d v="2016-10-28T00:00:00"/>
    <d v="2016-08-29T00:00:00"/>
    <d v="2016-10-28T00:00:00"/>
    <m/>
    <n v="6"/>
    <m/>
    <n v="13092"/>
    <m/>
    <s v="N165"/>
    <s v="NWK ACCESS TECH"/>
    <s v="OPTICAL PASSIVES"/>
    <s v="INDOOR PASSIVES AURORA"/>
    <s v="N165"/>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s v="6901454"/>
    <s v="47.1"/>
    <x v="219"/>
    <n v="1963416"/>
    <d v="2016-08-29T08:30:03"/>
    <m/>
    <d v="2016-10-28T00:00:00"/>
    <d v="2016-08-29T00:00:00"/>
    <d v="2016-10-28T00:00:00"/>
    <m/>
    <n v="9"/>
    <m/>
    <n v="243"/>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17L2B01"/>
    <s v="SJ2_STAG"/>
    <s v="TELMEX COLOMBIA S.A."/>
    <s v="NIT 830.053.800-4 Sede Administrativa"/>
    <m/>
    <s v="Bogota"/>
    <s v="110921"/>
    <s v="JC1123"/>
    <s v="PATCH CORD SC/APC-LC/UPC 2MM J"/>
    <m/>
    <s v="48.1"/>
    <x v="219"/>
    <n v="1963416"/>
    <d v="2016-08-29T08:30:03"/>
    <m/>
    <d v="2016-10-28T00:00:00"/>
    <d v="2016-08-29T00:00:00"/>
    <d v="2016-10-28T00:00:00"/>
    <m/>
    <n v="11"/>
    <m/>
    <n v="297"/>
    <m/>
    <s v="N223"/>
    <s v="NWK ACCESS TECH"/>
    <s v="OPTICAL PASSIVES"/>
    <s v="INDOOR PASSIVES AURORA"/>
    <s v="N223"/>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s v="6901454"/>
    <s v="54.1"/>
    <x v="219"/>
    <n v="1963417"/>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69L5"/>
    <s v="SJ2_STAG"/>
    <s v="TELMEX COLOMBIA S.A."/>
    <s v="NIT 830.053.800-4 Sede Administrativa"/>
    <m/>
    <s v="Bogota"/>
    <s v="110921"/>
    <s v="TR4580-20-PI"/>
    <s v="XCVR PLUGGABLE DWDM ITU CH 20"/>
    <m/>
    <s v="55.2"/>
    <x v="219"/>
    <n v="1963417"/>
    <d v="2016-08-29T08:30:03"/>
    <m/>
    <d v="2016-10-28T00:00:00"/>
    <d v="2016-08-29T00:00:00"/>
    <d v="2016-10-28T00:00:00"/>
    <m/>
    <n v="2"/>
    <m/>
    <n v="3024"/>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s v="6901454"/>
    <s v="58.1"/>
    <x v="219"/>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8L5"/>
    <s v="SJ2_STAG"/>
    <s v="TELMEX COLOMBIA S.A."/>
    <s v="NIT 830.053.800-4 Sede Administrativa"/>
    <m/>
    <s v="Bogota"/>
    <s v="110921"/>
    <s v="TR4580-22-PI"/>
    <s v="XCVR PLUGGABLE DWDM ITU CH 22"/>
    <m/>
    <s v="59.1"/>
    <x v="219"/>
    <n v="1963418"/>
    <d v="2016-08-29T08:30:03"/>
    <m/>
    <d v="2016-10-28T00:00:00"/>
    <d v="2016-08-29T00:00:00"/>
    <d v="2016-10-28T00:00:00"/>
    <m/>
    <n v="4"/>
    <m/>
    <n v="6048"/>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6"/>
    <s v="SJ2_STAG"/>
    <s v="TELMEX COLOMBIA S.A."/>
    <s v="NIT 830.053.800-4 Sede Administrativa"/>
    <m/>
    <s v="Bogota"/>
    <s v="110921"/>
    <s v="TR4580-24-PI"/>
    <s v="XCVR PLUGGABLE DWDM ITU CH 24"/>
    <s v="6901454"/>
    <s v="60.1"/>
    <x v="219"/>
    <n v="1963417"/>
    <d v="2016-08-29T08:30:03"/>
    <m/>
    <d v="2016-10-28T00:00:00"/>
    <d v="2016-08-29T00:00:00"/>
    <d v="2016-10-28T00:00:00"/>
    <m/>
    <n v="1"/>
    <m/>
    <n v="1512"/>
    <m/>
    <s v="N252"/>
    <s v="NWK ACCESS TECH"/>
    <s v="NODE"/>
    <s v="NODE MISC AURORA"/>
    <s v="N252"/>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1L3"/>
    <s v="SJ2_STAG"/>
    <s v="TELMEX COLOMBIA S.A."/>
    <s v="NIT 830.053.800-4 Sede Administrativa"/>
    <m/>
    <s v="Bogota"/>
    <s v="110921"/>
    <s v="AP4006-L"/>
    <s v="ATTENUATOR NC4000 NODE 6DB PKG"/>
    <s v="6901454"/>
    <s v="7.1"/>
    <x v="219"/>
    <n v="1963418"/>
    <d v="2016-08-29T08:30:03"/>
    <m/>
    <d v="2016-10-28T00:00:00"/>
    <d v="2016-08-29T00:00:00"/>
    <d v="2016-10-28T00:00:00"/>
    <m/>
    <n v="153"/>
    <m/>
    <n v="4437"/>
    <m/>
    <s v="N224"/>
    <s v="NWK ACCESS TECH"/>
    <s v="ACCESS OTHER"/>
    <s v="OTHER AURORA"/>
    <s v="N22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25-1-AS"/>
    <s v="TRANSMITTER 1GHZ 80 QAM CHAN 2"/>
    <s v="6901454"/>
    <s v="83.1"/>
    <x v="219"/>
    <n v="1963419"/>
    <d v="2016-08-29T08:30:03"/>
    <m/>
    <d v="2016-10-28T00:00:00"/>
    <d v="2016-08-29T00:00:00"/>
    <d v="2016-10-28T00:00:00"/>
    <m/>
    <n v="3"/>
    <m/>
    <n v="7452"/>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51L5"/>
    <s v="SJ2_STAG"/>
    <s v="TELMEX COLOMBIA S.A."/>
    <s v="NIT 830.053.800-4 Sede Administrativa"/>
    <m/>
    <s v="Bogota"/>
    <s v="110921"/>
    <s v="AT3535G-25-1-AS"/>
    <s v="TRANSMITTER 1GHZ 80 QAM CHAN 2"/>
    <s v="6901454"/>
    <s v="83.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47L3"/>
    <s v="SJ2_STAG"/>
    <s v="TELMEX COLOMBIA S.A."/>
    <s v="NIT 830.053.800-4 Sede Administrativa"/>
    <m/>
    <s v="Bogota"/>
    <s v="110921"/>
    <s v="AT3535G-25-1-AS"/>
    <s v="TRANSMITTER 1GHZ 80 QAM CHAN 2"/>
    <s v="6901454"/>
    <s v="83.1"/>
    <x v="219"/>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6"/>
    <s v="SJ2_STAG"/>
    <s v="TELMEX COLOMBIA S.A."/>
    <s v="NIT 830.053.800-4 Sede Administrativa"/>
    <m/>
    <s v="Bogota"/>
    <s v="110921"/>
    <s v="AT3535G-25-1-AS"/>
    <s v="TRANSMITTER 1GHZ 80 QAM CHAN 2"/>
    <s v="6901454"/>
    <s v="83.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70L2"/>
    <s v="SJ2_STAG"/>
    <s v="TELMEX COLOMBIA S.A."/>
    <s v="NIT 830.053.800-4 Sede Administrativa"/>
    <m/>
    <s v="Bogota"/>
    <s v="110921"/>
    <s v="AT3535G-26-1-AS"/>
    <s v="TRANSMITTER 1GHZ 80 QAM CHAN 2"/>
    <s v="6901454"/>
    <s v="84.2"/>
    <x v="219"/>
    <n v="1963419"/>
    <d v="2016-08-29T08:30:03"/>
    <m/>
    <d v="2016-10-28T00:00:00"/>
    <d v="2016-08-29T00:00:00"/>
    <d v="2016-10-28T00:00:00"/>
    <m/>
    <n v="2"/>
    <m/>
    <n v="4968"/>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2"/>
    <s v="SJ2_STAG"/>
    <s v="TELMEX COLOMBIA S.A."/>
    <s v="NIT 830.053.800-4 Sede Administrativa"/>
    <m/>
    <s v="Bogota"/>
    <s v="110921"/>
    <s v="AT3535G-44-1-AS"/>
    <s v="TRANSMITTER 1GHZ 80 QAM CHAN 4"/>
    <s v="6901454"/>
    <s v="86.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s v="6901454"/>
    <s v="88.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2B01"/>
    <s v="SJ2_STAG"/>
    <s v="TELMEX COLOMBIA S.A."/>
    <s v="NIT 830.053.800-4 Sede Administrativa"/>
    <m/>
    <s v="Bogota"/>
    <s v="110921"/>
    <s v="AT3535G-45-1-AS"/>
    <s v="TRANSMITTER 1GHZ 80 QAM CHAN 4"/>
    <m/>
    <s v="89.1"/>
    <x v="219"/>
    <n v="1963419"/>
    <d v="2016-08-29T08:30:03"/>
    <m/>
    <d v="2016-10-28T00:00:00"/>
    <d v="2016-08-29T00:00:00"/>
    <d v="2016-10-28T00:00:00"/>
    <m/>
    <n v="6"/>
    <m/>
    <n v="1490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22L1B01"/>
    <s v="SJ2_STAG"/>
    <s v="TELMEX COLOMBIA S.A."/>
    <s v="NIT 830.053.800-4 Sede Administrativa"/>
    <m/>
    <s v="Bogota"/>
    <s v="110921"/>
    <s v="AT3535G-45-1-AS"/>
    <s v="TRANSMITTER 1GHZ 80 QAM CHAN 4"/>
    <s v="6901454"/>
    <s v="89.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2"/>
    <s v="SJ2_STAG"/>
    <s v="TELMEX COLOMBIA S.A."/>
    <s v="NIT 830.053.800-4 Sede Administrativa"/>
    <m/>
    <s v="Bogota"/>
    <s v="110921"/>
    <s v="AT3535G-46-1-AS"/>
    <s v="TRANSMITTER 1GHZ 80 QAM CHAN 4"/>
    <s v="6901454"/>
    <s v="90.1"/>
    <x v="219"/>
    <n v="1963420"/>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41P05L1"/>
    <s v="SJ2_STAG"/>
    <s v="TELMEX COLOMBIA S.A."/>
    <s v="NIT 830.053.800-4 Sede Administrativa"/>
    <m/>
    <s v="Bogota"/>
    <s v="110921"/>
    <s v="AT3535G-47-1-AS"/>
    <s v="TRANSMITTER 1GHZ 80 QAM CHAN 4"/>
    <s v="6901454"/>
    <s v="91.1"/>
    <x v="219"/>
    <n v="1963419"/>
    <d v="2016-08-29T08:30:03"/>
    <m/>
    <d v="2016-10-28T00:00:00"/>
    <d v="2016-08-29T00:00:00"/>
    <d v="2016-10-28T00:00:00"/>
    <m/>
    <n v="1"/>
    <m/>
    <n v="2484"/>
    <m/>
    <s v="N004"/>
    <s v="NWK ACCESS TECH"/>
    <s v="HEO"/>
    <s v="TRANSMITTERS AURORA"/>
    <s v="N004"/>
    <s v="AUR-STANDARD ORDER MIXED"/>
    <s v="A-SURFACE"/>
    <s v="OP"/>
    <n v="125079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3P14L2"/>
    <s v="SJ2_STAG"/>
    <s v="TELMEX COLOMBIA S.A."/>
    <s v="NIT 830.053.800-4 Sede Administrativa"/>
    <m/>
    <s v="Bogota"/>
    <s v="110921"/>
    <s v="AT3312L-NN-2-AS"/>
    <s v="ANLG XMTR LCWDM CH NN 12DBM 1G"/>
    <s v="6901455"/>
    <s v="1.1"/>
    <x v="220"/>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5L1"/>
    <s v="SJ2_STAG"/>
    <s v="TELMEX COLOMBIA S.A."/>
    <s v="NIT 830.053.800-4 Sede Administrativa"/>
    <m/>
    <s v="Bogota"/>
    <s v="110921"/>
    <s v="AT3312L-MM-2-AS"/>
    <s v="ANLG XMTR LCWDM CH MM 12DBM 1G"/>
    <s v="6901455"/>
    <s v="2.1"/>
    <x v="220"/>
    <n v="1960444"/>
    <d v="2016-08-29T09:35:59"/>
    <m/>
    <d v="2016-10-25T00:00:00"/>
    <d v="2016-08-29T00:00:00"/>
    <d v="2016-10-25T00:00:00"/>
    <m/>
    <n v="3"/>
    <n v="3"/>
    <n v="12390"/>
    <n v="1239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7L4"/>
    <s v="SJ2_STAG"/>
    <s v="TELMEX COLOMBIA S.A."/>
    <s v="NIT 830.053.800-4 Sede Administrativa"/>
    <m/>
    <s v="Bogota"/>
    <s v="110921"/>
    <s v="AT3312L-LL-2-AS"/>
    <s v="ANLG XMTR LCWDM CH LL 12DBM 1G"/>
    <s v="6901455"/>
    <s v="3.1"/>
    <x v="220"/>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2L4"/>
    <s v="SJ2_STAG"/>
    <s v="TELMEX COLOMBIA S.A."/>
    <s v="NIT 830.053.800-4 Sede Administrativa"/>
    <m/>
    <s v="Bogota"/>
    <s v="110921"/>
    <s v="AT3312L-KK-2-AS"/>
    <s v="ANLG XMTR LCWDM CH KK 12DBM 1G"/>
    <s v="6901455"/>
    <s v="4.1"/>
    <x v="220"/>
    <n v="1960444"/>
    <d v="2016-08-29T09:35:59"/>
    <m/>
    <d v="2016-10-25T00:00:00"/>
    <d v="2016-08-29T00:00:00"/>
    <d v="2016-10-25T00:00:00"/>
    <m/>
    <n v="1"/>
    <n v="1"/>
    <n v="4130"/>
    <n v="413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3"/>
    <s v="SJ2_STAG"/>
    <s v="TELMEX COLOMBIA S.A."/>
    <s v="NIT 830.053.800-4 Sede Administrativa"/>
    <m/>
    <s v="Bogota"/>
    <s v="110921"/>
    <s v="AT3309L-NN-2-AS"/>
    <s v="ANLG XMTR LCWDM CH NN 9DBM 1GH"/>
    <s v="6901455"/>
    <s v="5.1"/>
    <x v="220"/>
    <n v="1960445"/>
    <d v="2016-08-29T09:35:59"/>
    <m/>
    <d v="2016-10-25T00:00:00"/>
    <d v="2016-08-29T00:00:00"/>
    <d v="2016-10-25T00:00:00"/>
    <m/>
    <n v="28"/>
    <n v="28"/>
    <n v="68600"/>
    <n v="686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5L4"/>
    <s v="SJ2_STAG"/>
    <s v="TELMEX COLOMBIA S.A."/>
    <s v="NIT 830.053.800-4 Sede Administrativa"/>
    <m/>
    <s v="Bogota"/>
    <s v="110921"/>
    <s v="AT3309L-MM-2-AS"/>
    <s v="ANLG XMTR LCWDM CH MM 9DBM 1GH"/>
    <s v="6901455"/>
    <s v="6.1"/>
    <x v="220"/>
    <n v="1960444"/>
    <d v="2016-08-29T09:35:59"/>
    <m/>
    <d v="2016-10-25T00:00:00"/>
    <d v="2016-08-29T00:00:00"/>
    <d v="2016-10-25T00:00:00"/>
    <m/>
    <n v="15"/>
    <n v="15"/>
    <n v="36750"/>
    <n v="367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4P08L1B01"/>
    <s v="SJ2_STAG"/>
    <s v="TELMEX COLOMBIA S.A."/>
    <s v="NIT 830.053.800-4 Sede Administrativa"/>
    <m/>
    <s v="Bogota"/>
    <s v="110921"/>
    <s v="AT3309L-MM-2-AS"/>
    <s v="ANLG XMTR LCWDM CH MM 9DBM 1GH"/>
    <s v="6901455"/>
    <s v="6.1"/>
    <x v="220"/>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4"/>
    <s v="SJ2_STAG"/>
    <s v="TELMEX COLOMBIA S.A."/>
    <s v="NIT 830.053.800-4 Sede Administrativa"/>
    <m/>
    <s v="Bogota"/>
    <s v="110921"/>
    <s v="AT3309L-LL-2-AS"/>
    <s v="ANLG XMTR LCWDM CH LL 9DBM 1GH"/>
    <s v="6901455"/>
    <s v="7.1"/>
    <x v="220"/>
    <n v="1960445"/>
    <d v="2016-08-29T09:35:59"/>
    <m/>
    <d v="2016-10-25T00:00:00"/>
    <d v="2016-08-29T00:00:00"/>
    <d v="2016-10-25T00:00:00"/>
    <m/>
    <n v="13"/>
    <n v="13"/>
    <n v="31850"/>
    <n v="318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1L6"/>
    <s v="SJ2_STAG"/>
    <s v="TELMEX COLOMBIA S.A."/>
    <s v="NIT 830.053.800-4 Sede Administrativa"/>
    <m/>
    <s v="Bogota"/>
    <s v="110921"/>
    <s v="AT3309L-LL-2-AS"/>
    <s v="ANLG XMTR LCWDM CH LL 9DBM 1GH"/>
    <s v="6901455"/>
    <s v="7.1"/>
    <x v="220"/>
    <n v="1960445"/>
    <d v="2016-08-29T09:35:59"/>
    <m/>
    <d v="2016-10-25T00:00:00"/>
    <d v="2016-08-29T00:00:00"/>
    <d v="2016-10-25T00:00:00"/>
    <m/>
    <n v="14"/>
    <n v="14"/>
    <n v="34300"/>
    <n v="3430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34L3"/>
    <s v="SJ2_STAG"/>
    <s v="TELMEX COLOMBIA S.A."/>
    <s v="NIT 830.053.800-4 Sede Administrativa"/>
    <m/>
    <s v="Bogota"/>
    <s v="110921"/>
    <s v="AT3309L-KK-2-AS"/>
    <s v="ANLG XMTR LCWDM CH KK 9DBM 1GH"/>
    <s v="6901455"/>
    <s v="8.1"/>
    <x v="220"/>
    <n v="1960444"/>
    <d v="2016-08-29T09:35:59"/>
    <m/>
    <d v="2016-10-25T00:00:00"/>
    <d v="2016-08-29T00:00:00"/>
    <d v="2016-10-25T00:00:00"/>
    <m/>
    <n v="11"/>
    <n v="11"/>
    <n v="26950"/>
    <n v="269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10L7"/>
    <s v="SJ2_STAG"/>
    <s v="TELMEX COLOMBIA S.A."/>
    <s v="NIT 830.053.800-4 Sede Administrativa"/>
    <m/>
    <s v="Bogota"/>
    <s v="110921"/>
    <s v="AT3309L-KK-2-AS"/>
    <s v="ANLG XMTR LCWDM CH KK 9DBM 1GH"/>
    <s v="6901455"/>
    <s v="8.1"/>
    <x v="220"/>
    <n v="1960445"/>
    <d v="2016-08-29T09:35:59"/>
    <m/>
    <d v="2016-10-25T00:00:00"/>
    <d v="2016-08-29T00:00:00"/>
    <d v="2016-10-25T00:00:00"/>
    <m/>
    <n v="17"/>
    <n v="17"/>
    <n v="41650"/>
    <n v="41650"/>
    <s v="HE63"/>
    <s v="NWK ACCESS TECH"/>
    <s v="HEO"/>
    <s v="TRANSMITTER"/>
    <s v="AT"/>
    <s v="AUR-STANDARD ORDER MIXED"/>
    <s v="A-SURFACE"/>
    <s v="OP"/>
    <n v="1249405"/>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03L3"/>
    <s v="SJ2_STAG"/>
    <s v="TELMEX COLOMBIA S.A."/>
    <s v="NIT 830.053.800-4 Sede Administrativa"/>
    <m/>
    <s v="Bogota"/>
    <s v="110921"/>
    <s v="NI3030E-0-00"/>
    <s v="NETWORK INTERFACE 16 RJ-45 1 S"/>
    <s v="6901456"/>
    <s v="1.1"/>
    <x v="221"/>
    <n v="1960653"/>
    <d v="2016-09-08T09:25:36"/>
    <m/>
    <d v="2016-10-25T00:00:00"/>
    <d v="2016-09-13T00:00:00"/>
    <d v="2016-10-25T00:00:00"/>
    <m/>
    <n v="3"/>
    <n v="3"/>
    <n v="8100"/>
    <n v="8100"/>
    <s v="N091"/>
    <s v="NWK ACCESS TECH"/>
    <s v="HEO"/>
    <s v="HEO MISC AURORA"/>
    <s v="N091"/>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170"/>
    <s v="TELMEX COLOMBIA S.A."/>
    <s v="161502"/>
    <s v="R022P24L3"/>
    <s v="SJ2_STAG"/>
    <s v="TELMEX COLOMBIA S.A."/>
    <s v="NIT 830.053.800-4 Sede Administrativa"/>
    <m/>
    <s v="Bogota"/>
    <s v="110921"/>
    <s v="FA3514S-00-AS"/>
    <s v="FIBEROPTIC AMPLIFIER SINGLE 14"/>
    <s v="6901456"/>
    <s v="2.1"/>
    <x v="221"/>
    <n v="1960653"/>
    <d v="2016-09-08T09:25:36"/>
    <m/>
    <d v="2016-10-25T00:00:00"/>
    <d v="2016-09-13T00:00:00"/>
    <d v="2016-10-25T00:00:00"/>
    <m/>
    <n v="1"/>
    <n v="1"/>
    <n v="5166"/>
    <n v="5166"/>
    <s v="N125"/>
    <s v="NWK ACCESS TECH"/>
    <s v="HEO"/>
    <s v="HEO MISC AURORA"/>
    <s v="EDFA"/>
    <s v="AUR-STANDARD ORDER MIXED"/>
    <s v="A-SURFACE"/>
    <s v="OP"/>
    <n v="1249563"/>
    <s v="A-SURFACE"/>
    <m/>
    <m/>
    <m/>
    <s v="A-SURFACE"/>
    <s v="LTL"/>
    <s v="EXW"/>
    <s v="Collect"/>
    <m/>
    <m/>
    <s v="PROVIDE PHOTOS OF EACH CONTAINER IF APPLICABLE TO CSR.PHOTOS ARE NEEDED FOR EACH EMPTY CONTAINER AND CONTAINER LOADED. PHOTOS NEED TO SHOW CONTAINER #.ANY CONTAINER DAMAGED OR IN BAD CONDITIONS DO NOT ACCEPT IT AND CONTACT CSR IMMEDIATELY"/>
    <m/>
    <m/>
    <m/>
    <m/>
    <s v="0"/>
    <s v="0"/>
  </r>
  <r>
    <s v="SJ2"/>
    <s v="5001222"/>
    <s v="VTR"/>
    <s v="VTR.COM-PARINACOTA"/>
    <s v="R016P34L2B01"/>
    <s v="SJ2_FOB"/>
    <s v="VTR.COM SPA"/>
    <s v="PARINACOTA 401"/>
    <s v="SANTIAGO"/>
    <s v="QUILICURA"/>
    <m/>
    <s v="AR4214G-AS"/>
    <s v="OPT RCVR 51-1000MHZ FWD HG ALC"/>
    <s v="20109157"/>
    <s v="11.1"/>
    <x v="222"/>
    <n v="1951592"/>
    <d v="2016-09-17T19:45:40"/>
    <m/>
    <d v="2016-10-15T00:00:00"/>
    <d v="2016-09-19T00:00:00"/>
    <d v="2016-10-17T00:00:00"/>
    <m/>
    <n v="35"/>
    <n v="35"/>
    <n v="14206.5"/>
    <n v="14206.5"/>
    <s v="N027"/>
    <s v="NWK ACCESS TECH"/>
    <s v="NODE"/>
    <s v="NODE MISC AURORA"/>
    <s v="N027"/>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05L1B02"/>
    <s v="SJ2_FOB"/>
    <s v="VTR.COM SPA"/>
    <s v="PARINACOTA 401"/>
    <s v="SANTIAGO"/>
    <s v="QUILICURA"/>
    <m/>
    <s v="DT4250N-50-00"/>
    <s v="DGTL XCVR ENH MULTI-MODES OF O"/>
    <s v="20109157"/>
    <s v="13.1"/>
    <x v="222"/>
    <n v="1951591"/>
    <d v="2016-09-17T19:45:40"/>
    <m/>
    <d v="2016-10-15T00:00:00"/>
    <d v="2016-09-19T00:00:00"/>
    <d v="2016-10-17T00:00:00"/>
    <m/>
    <n v="130"/>
    <n v="130"/>
    <n v="39975"/>
    <n v="39975"/>
    <s v="N065"/>
    <s v="NWK ACCESS TECH"/>
    <s v="NODE"/>
    <s v="NODE MISC AURORA"/>
    <s v="N065"/>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61L2"/>
    <s v="SJ2_FOB"/>
    <s v="VTR.COM SPA"/>
    <s v="PARINACOTA 401"/>
    <s v="SANTIAGO"/>
    <s v="QUILICURA"/>
    <m/>
    <s v="PS3148N"/>
    <s v="POWER SUPPLY NO DISPLAY -48VDC"/>
    <s v="20109157"/>
    <s v="15.1"/>
    <x v="222"/>
    <n v="1951592"/>
    <d v="2016-09-17T19:45:40"/>
    <m/>
    <d v="2016-10-15T00:00:00"/>
    <d v="2016-09-19T00:00:00"/>
    <d v="2016-10-17T00:00:00"/>
    <m/>
    <n v="10"/>
    <n v="10"/>
    <n v="6150"/>
    <n v="6150"/>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24L1B01"/>
    <s v="SJ2_FOB"/>
    <s v="VTR.COM SPA"/>
    <s v="PARINACOTA 401"/>
    <s v="SANTIAGO"/>
    <s v="QUILICURA"/>
    <m/>
    <s v="PS3148D"/>
    <s v="POWER SUPPLY W/DISPLAY -48VDC"/>
    <s v="20109157"/>
    <s v="16.1"/>
    <x v="222"/>
    <n v="1951591"/>
    <d v="2016-09-17T19:45:40"/>
    <m/>
    <d v="2016-10-15T00:00:00"/>
    <d v="2016-09-19T00:00:00"/>
    <d v="2016-10-17T00:00:00"/>
    <m/>
    <n v="10"/>
    <n v="10"/>
    <n v="7175"/>
    <n v="7175"/>
    <s v="N204"/>
    <s v="NWK ACCESS TECH"/>
    <s v="ACCESS OTHER"/>
    <s v="OTHER AURORA"/>
    <s v="N204"/>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FA3514S-00-AS"/>
    <s v="FIBEROPTIC AMPLIFIER SINGLE 14"/>
    <s v="20109157"/>
    <s v="19.1"/>
    <x v="222"/>
    <n v="1951592"/>
    <d v="2016-09-17T19:45:40"/>
    <m/>
    <d v="2016-10-15T00:00:00"/>
    <d v="2016-09-19T00:00:00"/>
    <d v="2016-10-17T00:00:00"/>
    <m/>
    <n v="2"/>
    <n v="2"/>
    <n v="5531"/>
    <n v="5531"/>
    <s v="N125"/>
    <s v="NWK ACCESS TECH"/>
    <s v="HEO"/>
    <s v="HEO MISC AURORA"/>
    <s v="EDFA"/>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5P70L2"/>
    <s v="SJ2_FOB"/>
    <s v="VTR.COM SPA"/>
    <s v="PARINACOTA 401"/>
    <s v="SANTIAGO"/>
    <s v="QUILICURA"/>
    <m/>
    <s v="NC411A1H3H9-00000000"/>
    <s v="NODE FD 5-45/54-1GHZ UHG AUTO"/>
    <s v="20109157"/>
    <s v="2.1"/>
    <x v="222"/>
    <n v="1951591"/>
    <d v="2016-09-17T19:45:40"/>
    <m/>
    <d v="2016-10-15T00:00:00"/>
    <d v="2016-09-19T00:00:00"/>
    <d v="2016-10-17T00:00:00"/>
    <m/>
    <n v="8"/>
    <n v="8"/>
    <n v="15055.2"/>
    <n v="15055.2"/>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44L1B01"/>
    <s v="SJ2_FOB"/>
    <s v="VTR.COM SPA"/>
    <s v="PARINACOTA 401"/>
    <s v="SANTIAGO"/>
    <s v="QUILICURA"/>
    <m/>
    <s v="NC411A1H3H9-00000000"/>
    <s v="NODE FD 5-45/54-1GHZ UHG AUTO"/>
    <s v="20109157"/>
    <s v="2.1"/>
    <x v="222"/>
    <n v="1951591"/>
    <d v="2016-09-17T19:45:40"/>
    <m/>
    <d v="2016-10-15T00:00:00"/>
    <d v="2016-09-19T00:00:00"/>
    <d v="2016-10-17T00:00:00"/>
    <m/>
    <n v="12"/>
    <n v="12"/>
    <n v="22582.799999999999"/>
    <n v="22582.799999999999"/>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30L3"/>
    <s v="SJ2_FOB"/>
    <s v="VTR.COM SPA"/>
    <s v="PARINACOTA 401"/>
    <s v="SANTIAGO"/>
    <s v="QUILICURA"/>
    <m/>
    <s v="NC411A1H3H9-00000000"/>
    <s v="NODE FD 5-45/54-1GHZ UHG AUTO"/>
    <s v="20109157"/>
    <s v="2.1"/>
    <x v="222"/>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35P29L3"/>
    <s v="SJ2_FOB"/>
    <s v="VTR.COM SPA"/>
    <s v="PARINACOTA 401"/>
    <s v="SANTIAGO"/>
    <s v="QUILICURA"/>
    <m/>
    <s v="NC411A1H3H9-00000000"/>
    <s v="NODE FD 5-45/54-1GHZ UHG AUTO"/>
    <s v="20109157"/>
    <s v="2.1"/>
    <x v="222"/>
    <n v="1951591"/>
    <d v="2016-09-17T19:45:40"/>
    <m/>
    <d v="2016-10-15T00:00:00"/>
    <d v="2016-09-19T00:00:00"/>
    <d v="2016-10-17T00:00:00"/>
    <m/>
    <n v="20"/>
    <n v="20"/>
    <n v="37638"/>
    <n v="37638"/>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3B02"/>
    <s v="SJ2_FOB"/>
    <s v="VTR.COM SPA"/>
    <s v="PARINACOTA 401"/>
    <s v="SANTIAGO"/>
    <s v="QUILICURA"/>
    <m/>
    <s v="NC411A1H3H9-00000000"/>
    <s v="NODE FD 5-45/54-1GHZ UHG AUTO"/>
    <s v="20109157"/>
    <s v="2.1"/>
    <x v="222"/>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16P51L4B01"/>
    <s v="SJ2_FOB"/>
    <s v="VTR.COM SPA"/>
    <s v="PARINACOTA 401"/>
    <s v="SANTIAGO"/>
    <s v="QUILICURA"/>
    <m/>
    <s v="NC411A1H3H9-00000000"/>
    <s v="NODE FD 5-45/54-1GHZ UHG AUTO"/>
    <s v="20109157"/>
    <s v="2.1"/>
    <x v="222"/>
    <n v="1951591"/>
    <d v="2016-09-17T19:45:40"/>
    <m/>
    <d v="2016-10-15T00:00:00"/>
    <d v="2016-09-19T00:00:00"/>
    <d v="2016-10-17T00:00:00"/>
    <m/>
    <n v="15"/>
    <n v="15"/>
    <n v="28228.5"/>
    <n v="28228.5"/>
    <s v="N032"/>
    <s v="NWK ACCESS TECH"/>
    <s v="NODE"/>
    <s v="NC4000 AURORA"/>
    <s v="N032"/>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EC1"/>
    <s v="SJ2_FOB"/>
    <s v="VTR.COM SPA"/>
    <s v="PARINACOTA 401"/>
    <s v="SANTIAGO"/>
    <s v="QUILICURA"/>
    <m/>
    <s v="CH3000N"/>
    <s v="CHASSIS NO COVERS 3RU"/>
    <s v="20109157"/>
    <s v="32.1"/>
    <x v="222"/>
    <n v="1951592"/>
    <d v="2016-09-17T19:45:40"/>
    <m/>
    <d v="2016-10-15T00:00:00"/>
    <d v="2016-09-19T00:00:00"/>
    <d v="2016-10-17T00:00:00"/>
    <m/>
    <n v="20"/>
    <n v="20"/>
    <n v="4182"/>
    <n v="4182"/>
    <s v="N199"/>
    <s v="NWK ACCESS TECH"/>
    <s v="HEO"/>
    <s v="HEO MISC AURORA"/>
    <s v="N199"/>
    <s v="AS-STANDARD ORDER MIXED"/>
    <s v="A-OCEAN"/>
    <s v="OP"/>
    <n v="1243407"/>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1"/>
    <s v="SJ2_FOB"/>
    <s v="VTR.COM SPA"/>
    <s v="PARINACOTA 401"/>
    <s v="SANTIAGO"/>
    <s v="QUILICURA"/>
    <m/>
    <s v="HT3FILD"/>
    <s v="XMTR DOUBLE HT FILLER MODULE"/>
    <s v="20109157"/>
    <s v="5.1"/>
    <x v="223"/>
    <n v="1951528"/>
    <d v="2016-09-17T19:45:40"/>
    <m/>
    <d v="2016-10-15T00:00:00"/>
    <d v="2016-09-19T00:00:00"/>
    <d v="2016-10-17T00:00:00"/>
    <m/>
    <n v="2"/>
    <n v="2"/>
    <n v="418.2"/>
    <n v="418.2"/>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08L4"/>
    <s v="SJ2_FOB"/>
    <s v="VTR.COM SPA"/>
    <s v="PARINACOTA 401"/>
    <s v="SANTIAGO"/>
    <s v="QUILICURA"/>
    <m/>
    <s v="HT3FILD"/>
    <s v="XMTR DOUBLE HT FILLER MODULE"/>
    <s v="20109157"/>
    <s v="5.1"/>
    <x v="223"/>
    <n v="1951528"/>
    <d v="2016-09-17T19:45:40"/>
    <m/>
    <d v="2016-10-15T00:00:00"/>
    <d v="2016-09-19T00:00:00"/>
    <d v="2016-10-17T00:00:00"/>
    <m/>
    <n v="36"/>
    <n v="36"/>
    <n v="7527.6"/>
    <n v="7527.6"/>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5L3"/>
    <s v="SJ2_FOB"/>
    <s v="VTR.COM SPA"/>
    <s v="PARINACOTA 401"/>
    <s v="SANTIAGO"/>
    <s v="QUILICURA"/>
    <m/>
    <s v="HT3FILD"/>
    <s v="XMTR DOUBLE HT FILLER MODULE"/>
    <s v="20109157"/>
    <s v="5.1"/>
    <x v="223"/>
    <n v="1951528"/>
    <d v="2016-09-17T19:45:40"/>
    <m/>
    <d v="2016-10-15T00:00:00"/>
    <d v="2016-09-19T00:00:00"/>
    <d v="2016-10-17T00:00:00"/>
    <m/>
    <n v="30"/>
    <n v="30"/>
    <n v="6273"/>
    <n v="6273"/>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222"/>
    <s v="VTR"/>
    <s v="VTR.COM-PARINACOTA"/>
    <s v="R023P54L3"/>
    <s v="SJ2_FOB"/>
    <s v="VTR.COM SPA"/>
    <s v="PARINACOTA 401"/>
    <s v="SANTIAGO"/>
    <s v="QUILICURA"/>
    <m/>
    <s v="HT3FILD"/>
    <s v="XMTR DOUBLE HT FILLER MODULE"/>
    <s v="20109157"/>
    <s v="5.1"/>
    <x v="223"/>
    <n v="1951528"/>
    <d v="2016-09-17T19:45:40"/>
    <m/>
    <d v="2016-10-15T00:00:00"/>
    <d v="2016-09-19T00:00:00"/>
    <d v="2016-10-17T00:00:00"/>
    <m/>
    <n v="12"/>
    <n v="12"/>
    <n v="2509.1999999999998"/>
    <n v="2509.1999999999998"/>
    <s v="N224"/>
    <s v="NWK ACCESS TECH"/>
    <s v="ACCESS OTHER"/>
    <s v="OTHER AURORA"/>
    <s v="N224"/>
    <s v="AS-STANDARD ORDER MIXED"/>
    <s v="A-OCEAN"/>
    <s v="OP"/>
    <n v="1243259"/>
    <s v="A-OCEAN"/>
    <m/>
    <m/>
    <m/>
    <s v="A-OCEAN"/>
    <s v="P2D"/>
    <s v="CIF"/>
    <s v="Prepaid"/>
    <m/>
    <m/>
    <s v="SHIP CIF PPD OCEAN TO (PORT) PUERTO CHILE VALPARAISO. CUSTOMERS BROKER IN CHILE-Agencia de aduanas Patricio Larranaga y Cia Limitada-Matias Cousino 150 Of 540 Santiago.Email-ccaqueo@plk.cl and jponce@plk.cl. PH:0115622676625"/>
    <s v="Chile Free Trade Agreement Certificate of Origin (if apply) when sending documentation. IF SHIPPING WOOD PALLETS MUST INCLUDE STAMP FOR CERTIFICATION OF FUMIGATION"/>
    <m/>
    <m/>
    <m/>
    <s v="0"/>
    <s v="0"/>
  </r>
  <r>
    <s v="SJ2"/>
    <s v="5001313"/>
    <s v="CABLEVISION S.A. ARGENTINA"/>
    <s v="168337"/>
    <s v="R022P05L3"/>
    <s v="SJ2_STAG"/>
    <s v="Cablevision S.A."/>
    <s v="Piedra Buena 4311 Ciudad Autonoma de BS"/>
    <m/>
    <s v="Buenos Aires"/>
    <s v="1272"/>
    <s v="OP4528K-0-00-AS"/>
    <s v="COMBINER BC/NC 100GHz CH 20-27"/>
    <s v="6900687"/>
    <s v="35.1"/>
    <x v="224"/>
    <n v="1960246"/>
    <d v="2016-05-10T00:00:00"/>
    <m/>
    <d v="2016-10-25T00:00:00"/>
    <d v="2016-05-10T00:00:00"/>
    <d v="2016-10-25T00:00:00"/>
    <m/>
    <n v="1"/>
    <n v="1"/>
    <n v="13800"/>
    <n v="13800"/>
    <s v="N162"/>
    <s v="NWK ACCESS TECH"/>
    <s v="HPON"/>
    <s v="VHUB AURORA"/>
    <s v="N162"/>
    <s v="AUR-STANDARD ORDER MIXED"/>
    <s v="See Shipping Instructions"/>
    <s v="OP"/>
    <n v="1249240"/>
    <s v="SSI"/>
    <m/>
    <m/>
    <m/>
    <s v="See Shipping Instructions"/>
    <s v="LTL"/>
    <s v="EXW"/>
    <s v="Collect"/>
    <m/>
    <m/>
    <s v="PLS PROVIDE PICTURES, WEIGHT AND DIMS "/>
    <m/>
    <m/>
    <m/>
    <m/>
    <s v="0"/>
    <s v="0"/>
  </r>
  <r>
    <s v="SJ2"/>
    <s v="5001313"/>
    <s v="CABLEVISION S.A. ARGENTINA"/>
    <s v="168337"/>
    <s v="R023P48L3"/>
    <s v="SJ2_STAG"/>
    <s v="Cablevision S.A."/>
    <s v="Piedra Buena 4311 Ciudad Autonoma de BS"/>
    <m/>
    <s v="Buenos Aires"/>
    <s v="1272"/>
    <s v="OP3524J-0-00-AS"/>
    <s v="COMBINER BC/NC PWR MGT 100GHZ"/>
    <s v="6900687"/>
    <s v="5.1"/>
    <x v="224"/>
    <n v="1960246"/>
    <d v="2016-05-10T00:00:00"/>
    <m/>
    <d v="2016-10-25T00:00:00"/>
    <d v="2016-05-10T00:00:00"/>
    <d v="2016-10-25T00:00:00"/>
    <m/>
    <n v="1"/>
    <n v="1"/>
    <n v="7800"/>
    <n v="7800"/>
    <s v="N158"/>
    <s v="NWK ACCESS TECH"/>
    <s v="OPTICAL PASSIVES"/>
    <s v="INDOOR PASSIVES AURORA"/>
    <s v="N158"/>
    <s v="AUR-STANDARD ORDER MIXED"/>
    <s v="See Shipping Instructions"/>
    <s v="OP"/>
    <n v="1249240"/>
    <s v="SSI"/>
    <m/>
    <m/>
    <m/>
    <s v="See Shipping Instructions"/>
    <s v="LTL"/>
    <s v="EXW"/>
    <s v="Collect"/>
    <m/>
    <m/>
    <s v="PLS PROVIDE PICTURES, WEIGHT AND DIMS "/>
    <m/>
    <m/>
    <m/>
    <m/>
    <s v="0"/>
    <s v="0"/>
  </r>
  <r>
    <s v="SJ2"/>
    <s v="5001320"/>
    <s v="NATIONAL CABLE TELEVISION COOP"/>
    <s v="MEADVILLE01"/>
    <s v="R024P20L2B01"/>
    <s v="SJ2_STAG"/>
    <s v="ARMSTRONG"/>
    <s v="160 Westview Dr"/>
    <s v="PA"/>
    <s v="Meadville"/>
    <s v="16335-7904"/>
    <s v="OP91S4D-EQ-R2-MP"/>
    <s v="SPLITTER DUAL 1X4 F-CASE MPO 2"/>
    <s v="20109745"/>
    <s v="6.1"/>
    <x v="225"/>
    <n v="1963268"/>
    <d v="2016-09-07T14:16:26"/>
    <m/>
    <d v="2016-10-28T00:00:00"/>
    <d v="2016-09-07T00:00:00"/>
    <d v="2016-10-28T00:00:00"/>
    <m/>
    <n v="1"/>
    <m/>
    <n v="395"/>
    <m/>
    <s v="N156"/>
    <s v="NWK ACCESS TECH"/>
    <s v="ACCESS OTHER"/>
    <s v="OTHER AURORA"/>
    <s v="N156"/>
    <s v="AS-STANDARD ORDER MIXED"/>
    <s v="A-SURFACE"/>
    <s v="OP"/>
    <n v="1251073"/>
    <s v="A-SURFACE"/>
    <m/>
    <m/>
    <m/>
    <s v="A-SURFACE"/>
    <s v="LTL"/>
    <s v="EXW"/>
    <s v="Prepay &amp; Add"/>
    <m/>
    <m/>
    <s v="DAVID BANISTER - 724-283-3692 xt 50222"/>
    <m/>
    <m/>
    <m/>
    <m/>
    <s v="0"/>
    <s v="0"/>
  </r>
  <r>
    <s v="SJ2"/>
    <s v="5001320"/>
    <s v="NATIONAL CABLE TELEVISION COOP"/>
    <s v="ASHLAND"/>
    <s v="R023P13L5"/>
    <s v="SJ2_STAG"/>
    <s v="ARMSTRONG"/>
    <s v="1215 Claremont Ave"/>
    <s v="OH"/>
    <s v="Ashland"/>
    <s v="44805-3528"/>
    <s v="OP91S2S-60-N0-00"/>
    <s v="FLD COUPLER NON-RUGGEDIZED .25"/>
    <s v="20113616"/>
    <s v="23.1"/>
    <x v="226"/>
    <n v="1951423"/>
    <d v="2016-09-27T14:01:04"/>
    <m/>
    <d v="2016-10-15T00:00:00"/>
    <d v="2016-09-27T00:00:00"/>
    <d v="2016-10-17T00:00:00"/>
    <m/>
    <n v="1"/>
    <n v="1"/>
    <n v="24"/>
    <n v="24"/>
    <s v="N156"/>
    <s v="NWK ACCESS TECH"/>
    <s v="ACCESS OTHER"/>
    <s v="OTHER AURORA"/>
    <s v="N156"/>
    <s v="AS-STANDARD ORDER MIXED"/>
    <s v="A-SURFACE"/>
    <s v="OP"/>
    <n v="1243259"/>
    <s v="A-SURFACE"/>
    <m/>
    <m/>
    <m/>
    <s v="A-SURFACE"/>
    <s v="LTL"/>
    <s v="EXW"/>
    <s v="Prepay &amp; Add"/>
    <n v="7.73"/>
    <m/>
    <s v="DAVID BANISTER - 724-283-3692 XT 50222"/>
    <m/>
    <m/>
    <m/>
    <m/>
    <s v="0"/>
    <s v="0"/>
  </r>
  <r>
    <s v="SJ2"/>
    <s v="5001320"/>
    <s v="NATIONAL CABLE TELEVISION COOP"/>
    <s v="SUN LAKES3637"/>
    <s v="R022P66L2"/>
    <s v="SJ2_STAG"/>
    <s v="WESTERN BROADBAND LLC"/>
    <s v="9666 E RIGGS RD STE 108 (WES140)"/>
    <s v="AZ"/>
    <s v="SUN LAKES"/>
    <s v="85248-7403"/>
    <s v="OA-05-00-AS"/>
    <s v="ATTENUATOR STD OPT SC/APC-SC/A"/>
    <s v="20116604"/>
    <s v="22.1"/>
    <x v="227"/>
    <n v="1963225"/>
    <d v="2016-10-13T08:32:26"/>
    <m/>
    <d v="2016-10-28T00:00:00"/>
    <d v="2016-10-13T00:00:00"/>
    <d v="2016-10-28T00:00:00"/>
    <m/>
    <n v="3"/>
    <m/>
    <n v="84"/>
    <m/>
    <s v="N224"/>
    <s v="NWK ACCESS TECH"/>
    <s v="ACCESS OTHER"/>
    <s v="OTHER AURORA"/>
    <s v="N224"/>
    <s v="AS-STANDARD ORDER MIXED"/>
    <s v="A-SURFACE"/>
    <s v="OP"/>
    <n v="1251073"/>
    <s v="A-SURFACE"/>
    <m/>
    <m/>
    <m/>
    <s v="A-SURFACE"/>
    <s v="LTL"/>
    <s v="EXW"/>
    <s v="Prepay &amp; Add"/>
    <m/>
    <m/>
    <s v="JERRY SCULLAWL 480-895-8010"/>
    <m/>
    <m/>
    <m/>
    <m/>
    <s v="0"/>
    <s v="0"/>
  </r>
  <r>
    <s v="SJ2"/>
    <s v="5001320"/>
    <s v="NATIONAL CABLE TELEVISION COOP"/>
    <s v="HAGERSTOWN5354"/>
    <s v="R022P60L4"/>
    <s v="SJ2_STAG"/>
    <s v="ANTIETAM CABLE TELEVISION (ANT010)"/>
    <s v="1000 Willow Cir"/>
    <s v="MD"/>
    <s v="Hagerstown"/>
    <s v="21740-6829"/>
    <s v="OP34B10S-0-99-UL"/>
    <s v="DEMUX CWDM 10CH FLTR B-SERIES"/>
    <s v="20116742"/>
    <s v="2.1"/>
    <x v="228"/>
    <n v="1961060"/>
    <d v="2016-10-13T15:23:07"/>
    <m/>
    <d v="2016-10-26T00:00:00"/>
    <d v="2016-10-13T00:00:00"/>
    <d v="2016-10-26T00:00:00"/>
    <m/>
    <n v="10"/>
    <m/>
    <n v="15440"/>
    <m/>
    <s v="N165"/>
    <s v="NWK ACCESS TECH"/>
    <s v="OPTICAL PASSIVES"/>
    <s v="INDOOR PASSIVES AURORA"/>
    <s v="N165"/>
    <s v="AS-STANDARD ORDER MIXED"/>
    <s v="A-SURFACE"/>
    <s v="OP"/>
    <n v="1249843"/>
    <s v="A-SURFACE"/>
    <m/>
    <m/>
    <m/>
    <s v="A-SURFACE"/>
    <s v="LTL"/>
    <s v="EXW"/>
    <s v="Prepay &amp; Add"/>
    <m/>
    <m/>
    <s v="DONALD STONE 240-420-3654 (REAR DOCK AREA)"/>
    <m/>
    <m/>
    <m/>
    <m/>
    <s v="0"/>
    <s v="0"/>
  </r>
  <r>
    <s v="SJ2"/>
    <s v="5001320"/>
    <s v="NATIONAL CABLE TELEVISION COOP"/>
    <s v="HAGERSTOWN5354"/>
    <s v="R015P13L1"/>
    <s v="SJ2_STAG"/>
    <s v="ANTIETAM CABLE TELEVISION (ANT010)"/>
    <s v="1000 Willow Cir"/>
    <s v="MD"/>
    <s v="Hagerstown"/>
    <s v="21740-6829"/>
    <s v="MC2710B"/>
    <s v="MEDIA COMMUNICATIONS MODULE GE"/>
    <s v="20116742"/>
    <s v="3.1"/>
    <x v="229"/>
    <n v="1950225"/>
    <d v="2016-10-13T15:23:07"/>
    <m/>
    <d v="2016-10-13T00:00:00"/>
    <d v="2016-10-13T00:00:00"/>
    <d v="2016-10-13T00:00:00"/>
    <m/>
    <n v="6"/>
    <n v="6"/>
    <n v="3750"/>
    <n v="3750"/>
    <s v="N090"/>
    <s v="NWK ACCESS TECH"/>
    <s v="PON"/>
    <s v="ONU MISC AURORA"/>
    <s v="N090"/>
    <s v="AS-STANDARD ORDER MIXED"/>
    <s v="A-SURFACE"/>
    <s v="OP"/>
    <n v="1242370"/>
    <s v="A-SURFACE"/>
    <m/>
    <m/>
    <m/>
    <s v="A-SURFACE"/>
    <s v="LTL"/>
    <s v="EXW"/>
    <s v="Prepay &amp; Add"/>
    <n v="11.05"/>
    <m/>
    <s v="DONALD STONE 240-420-3654 (REAR DOCK AREA)"/>
    <m/>
    <m/>
    <m/>
    <m/>
    <s v="0"/>
    <s v="0"/>
  </r>
  <r>
    <s v="SJ2"/>
    <s v="5001320"/>
    <s v="NATIONAL CABLE TELEVISION COOP"/>
    <s v="ASHLAND"/>
    <s v="R016P07L2B02"/>
    <s v="SJ2_STAG"/>
    <s v="ARMSTRONG"/>
    <s v="1215 Claremont Ave"/>
    <s v="OH"/>
    <s v="Ashland"/>
    <s v="44805-3528"/>
    <s v="DR3450N-50-00"/>
    <s v="DIGITAL RECEIVER Q-RX 2.125GBP"/>
    <s v="20119124"/>
    <s v="1.1"/>
    <x v="230"/>
    <n v="1962394"/>
    <d v="2016-10-27T09:33:27"/>
    <m/>
    <d v="2016-10-27T00:00:00"/>
    <d v="2016-10-27T00:00:00"/>
    <d v="2016-10-27T00:00:00"/>
    <m/>
    <n v="2"/>
    <m/>
    <n v="2470"/>
    <m/>
    <s v="N275"/>
    <s v="NWK ACCESS TECH"/>
    <s v="HEO"/>
    <s v="RECEIVERS AURORA"/>
    <s v="N27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10L4"/>
    <s v="SJ2_STAG"/>
    <s v="ARMSTRONG"/>
    <s v="1215 Claremont Ave"/>
    <s v="OH"/>
    <s v="Ashland"/>
    <s v="44805-3528"/>
    <s v="TR4440B-1610-PI"/>
    <s v="TRANSCEIVER SFP 60KM CWDM 1610"/>
    <s v="20119124"/>
    <s v="11.1"/>
    <x v="230"/>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17L5"/>
    <s v="SJ2_STAG"/>
    <s v="ARMSTRONG"/>
    <s v="1215 Claremont Ave"/>
    <s v="OH"/>
    <s v="Ashland"/>
    <s v="44805-3528"/>
    <s v="TR4440B-1590-PI"/>
    <s v="TRANSCEIVER SFP 60KM CWDM 1590"/>
    <s v="20119124"/>
    <s v="12.1"/>
    <x v="230"/>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09L4"/>
    <s v="SJ2_STAG"/>
    <s v="ARMSTRONG"/>
    <s v="1215 Claremont Ave"/>
    <s v="OH"/>
    <s v="Ashland"/>
    <s v="44805-3528"/>
    <s v="TR4440B-1570-PI"/>
    <s v="TRANSCEIVER SFP 60KM CWDM 1570"/>
    <s v="20119124"/>
    <s v="15.1"/>
    <x v="230"/>
    <n v="1962394"/>
    <d v="2016-10-27T09:33:27"/>
    <m/>
    <d v="2016-10-27T00:00:00"/>
    <d v="2016-10-27T00:00:00"/>
    <d v="2016-10-27T00:00:00"/>
    <m/>
    <n v="1"/>
    <m/>
    <n v="371"/>
    <m/>
    <s v="N252"/>
    <s v="NWK ACCESS TECH"/>
    <s v="NODE"/>
    <s v="NODE MISC AURORA"/>
    <s v="N252"/>
    <s v="AS-STANDARD ORDER MIXED"/>
    <s v="A-SURFACE"/>
    <s v="OP"/>
    <n v="1250622"/>
    <s v="A-SURFACE"/>
    <m/>
    <m/>
    <m/>
    <s v="A-SURFACE"/>
    <s v="LTL"/>
    <s v="EXW"/>
    <s v="Prepay &amp; Add"/>
    <m/>
    <m/>
    <s v="DAVID BANISTER - 724-283-3692 XT 50222 **WAREHOUSE HRS. 8 AM - 3:30 PM**"/>
    <m/>
    <m/>
    <m/>
    <m/>
    <s v="0"/>
    <s v="0"/>
  </r>
  <r>
    <s v="SJ2"/>
    <s v="5001320"/>
    <s v="NATIONAL CABLE TELEVISION COOP"/>
    <s v="ASHLAND"/>
    <s v="R015P52L2"/>
    <s v="SJ2_STAG"/>
    <s v="ARMSTRONG"/>
    <s v="1215 Claremont Ave"/>
    <s v="OH"/>
    <s v="Ashland"/>
    <s v="44805-3528"/>
    <s v="DT4250N-50-00"/>
    <s v="DGTL XCVR ENH MULTI-MODES OF O"/>
    <s v="20119124"/>
    <s v="16.1"/>
    <x v="230"/>
    <n v="1962394"/>
    <d v="2016-10-27T09:33:27"/>
    <m/>
    <d v="2016-10-27T00:00:00"/>
    <d v="2016-10-27T00:00:00"/>
    <d v="2016-10-27T00:00:00"/>
    <m/>
    <n v="3"/>
    <m/>
    <n v="927"/>
    <m/>
    <s v="N065"/>
    <s v="NWK ACCESS TECH"/>
    <s v="NODE"/>
    <s v="NODE MISC AURORA"/>
    <s v="N06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04L2"/>
    <s v="SJ2_STAG"/>
    <s v="ARMSTRONG"/>
    <s v="1215 Claremont Ave"/>
    <s v="OH"/>
    <s v="Ashland"/>
    <s v="44805-3528"/>
    <s v="OP91S2S-65-N0-00"/>
    <s v="FLD COUPLER NON-RUGGEDIZED .25"/>
    <s v="20119124"/>
    <s v="18.1"/>
    <x v="230"/>
    <n v="1962395"/>
    <d v="2016-10-27T09:33:27"/>
    <m/>
    <d v="2016-10-27T00:00:00"/>
    <d v="2016-10-27T00:00:00"/>
    <d v="2016-10-27T00:00:00"/>
    <m/>
    <n v="2"/>
    <m/>
    <n v="48"/>
    <m/>
    <s v="N156"/>
    <s v="NWK ACCESS TECH"/>
    <s v="ACCESS OTHER"/>
    <s v="OTHER AURORA"/>
    <s v="N156"/>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72L4"/>
    <s v="SJ2_STAG"/>
    <s v="ARMSTRONG"/>
    <s v="1215 Claremont Ave"/>
    <s v="OH"/>
    <s v="Ashland"/>
    <s v="44805-3528"/>
    <s v="OP94F1S-1590-N0-00"/>
    <s v="FILTER CWDM N-CASE 0.25MM 1590"/>
    <s v="20119124"/>
    <s v="19.1"/>
    <x v="231"/>
    <n v="1963236"/>
    <d v="2016-10-27T09:33:27"/>
    <m/>
    <d v="2016-10-28T00:00:00"/>
    <d v="2016-10-27T00:00:00"/>
    <d v="2016-10-28T00:00:00"/>
    <m/>
    <n v="2"/>
    <m/>
    <n v="186"/>
    <m/>
    <s v="N156"/>
    <s v="NWK ACCESS TECH"/>
    <s v="ACCESS OTHER"/>
    <s v="OTHER AURORA"/>
    <s v="N156"/>
    <s v="AS-STANDARD ORDER MIXED"/>
    <s v="A-SURFACE"/>
    <s v="OP"/>
    <n v="1251073"/>
    <s v="A-SURFACE"/>
    <m/>
    <m/>
    <m/>
    <s v="A-SURFACE"/>
    <s v="LTL"/>
    <s v="EXW"/>
    <s v="Prepay &amp; Add"/>
    <m/>
    <m/>
    <s v="DAVID BANISTER - 724-283-3692 XT 50222 **WAREHOUSE HRS. 8 AM - 3:30 PM**"/>
    <m/>
    <m/>
    <m/>
    <m/>
    <s v="0"/>
    <s v="0"/>
  </r>
  <r>
    <s v="SJ2"/>
    <s v="5001320"/>
    <s v="NATIONAL CABLE TELEVISION COOP"/>
    <s v="ASHLAND"/>
    <s v="R015P61L2"/>
    <s v="SJ2_STAG"/>
    <s v="ARMSTRONG"/>
    <s v="1215 Claremont Ave"/>
    <s v="OH"/>
    <s v="Ashland"/>
    <s v="44805-3528"/>
    <s v="BP3400C-00"/>
    <s v="BACKPLATE 4.25 GB/S 1-FER/2-FE"/>
    <s v="20119124"/>
    <s v="2.1"/>
    <x v="230"/>
    <n v="1962394"/>
    <d v="2016-10-27T09:33:27"/>
    <m/>
    <d v="2016-10-27T00:00:00"/>
    <d v="2016-10-27T00:00:00"/>
    <d v="2016-10-27T00:00:00"/>
    <m/>
    <n v="1"/>
    <m/>
    <n v="494"/>
    <m/>
    <s v="N076"/>
    <s v="NWK ACCESS TECH"/>
    <s v="HEO"/>
    <s v="HEO MISC AURORA"/>
    <s v="N076"/>
    <s v="AS-STANDARD ORDER MIXED"/>
    <s v="A-SURFACE"/>
    <s v="OP"/>
    <n v="1250622"/>
    <s v="A-SURFACE"/>
    <m/>
    <m/>
    <m/>
    <s v="A-SURFACE"/>
    <s v="LTL"/>
    <s v="EXW"/>
    <s v="Prepay &amp; Add"/>
    <m/>
    <m/>
    <s v="DAVID BANISTER - 724-283-3692 XT 50222 **WAREHOUSE HRS. 8 AM - 3:30 PM**"/>
    <m/>
    <m/>
    <m/>
    <m/>
    <s v="0"/>
    <s v="0"/>
  </r>
  <r>
    <s v="SJ2"/>
    <s v="5001320"/>
    <s v="NATIONAL CABLE TELEVISION COOP"/>
    <s v="ASHLAND"/>
    <s v="R023P08L5"/>
    <s v="SJ2_STAG"/>
    <s v="ARMSTRONG"/>
    <s v="1215 Claremont Ave"/>
    <s v="OH"/>
    <s v="Ashland"/>
    <s v="44805-3528"/>
    <s v="AT3553A-BA-00-AS"/>
    <s v="ANLG XMTR XMOD 65KM GP A 1563N"/>
    <s v="20119124"/>
    <s v="3.1"/>
    <x v="230"/>
    <n v="1962395"/>
    <d v="2016-10-27T09:33:27"/>
    <m/>
    <d v="2016-10-27T00:00:00"/>
    <d v="2016-10-27T00:00:00"/>
    <d v="2016-10-27T00:00:00"/>
    <m/>
    <n v="1"/>
    <m/>
    <n v="12721"/>
    <m/>
    <s v="N310"/>
    <s v="NWK ACCESS TECH"/>
    <s v="HEO"/>
    <s v="TRANSMITTERS AURORA"/>
    <s v="N310"/>
    <s v="AS-STANDARD ORDER MIXED"/>
    <s v="A-SURFACE"/>
    <s v="OP"/>
    <n v="1250622"/>
    <s v="A-SURFACE"/>
    <m/>
    <m/>
    <m/>
    <s v="A-SURFACE"/>
    <s v="LTL"/>
    <s v="EXW"/>
    <s v="Prepay &amp; Add"/>
    <m/>
    <m/>
    <s v="DAVID BANISTER - 724-283-3692 XT 50222 **WAREHOUSE HRS. 8 AM - 3:30 PM**"/>
    <m/>
    <m/>
    <m/>
    <m/>
    <s v="0"/>
    <s v="0"/>
  </r>
  <r>
    <s v="SJ2"/>
    <s v="5001320"/>
    <s v="NATIONAL CABLE TELEVISION COOP"/>
    <s v="ASHLAND"/>
    <s v="R024P26L5B01"/>
    <s v="SJ2_STAG"/>
    <s v="ARMSTRONG"/>
    <s v="1215 Claremont Ave"/>
    <s v="OH"/>
    <s v="Ashland"/>
    <s v="44805-3528"/>
    <s v="OP34D5H-0-00-AS"/>
    <s v="DEMUX CWDM HIGH 5CH SC/APC"/>
    <s v="20119124"/>
    <s v="5.1"/>
    <x v="230"/>
    <n v="1962394"/>
    <d v="2016-10-27T09:33:27"/>
    <m/>
    <d v="2016-10-27T00:00:00"/>
    <d v="2016-10-27T00:00:00"/>
    <d v="2016-10-27T00:00:00"/>
    <m/>
    <n v="1"/>
    <m/>
    <n v="704"/>
    <m/>
    <s v="N165"/>
    <s v="NWK ACCESS TECH"/>
    <s v="OPTICAL PASSIVES"/>
    <s v="INDOOR PASSIVES AURORA"/>
    <s v="N165"/>
    <s v="AS-STANDARD ORDER MIXED"/>
    <s v="A-SURFACE"/>
    <s v="OP"/>
    <n v="1250622"/>
    <s v="A-SURFACE"/>
    <m/>
    <m/>
    <m/>
    <s v="A-SURFACE"/>
    <s v="LTL"/>
    <s v="EXW"/>
    <s v="Prepay &amp; Add"/>
    <m/>
    <m/>
    <s v="DAVID BANISTER - 724-283-3692 XT 50222 **WAREHOUSE HRS. 8 AM - 3:30 PM**"/>
    <m/>
    <m/>
    <m/>
    <m/>
    <s v="0"/>
    <s v="0"/>
  </r>
  <r>
    <s v="SJ2"/>
    <s v="5001320"/>
    <s v="NATIONAL CABLE TELEVISION COOP"/>
    <s v="ASHLAND"/>
    <s v="R022P79L3"/>
    <s v="SJ2_STAG"/>
    <s v="ARMSTRONG"/>
    <s v="1215 Claremont Ave"/>
    <s v="OH"/>
    <s v="Ashland"/>
    <s v="44805-3528"/>
    <s v="RR4000-00-PI"/>
    <s v="RCVR DUAL PLUGGABLE SFP 3 GBPS"/>
    <s v="20119124"/>
    <s v="6.1"/>
    <x v="230"/>
    <n v="1962395"/>
    <d v="2016-10-27T09:33:27"/>
    <m/>
    <d v="2016-10-27T00:00:00"/>
    <d v="2016-10-27T00:00:00"/>
    <d v="2016-10-27T00:00:00"/>
    <m/>
    <n v="2"/>
    <m/>
    <n v="370"/>
    <m/>
    <s v="N224"/>
    <s v="NWK ACCESS TECH"/>
    <s v="ACCESS OTHER"/>
    <s v="OTHER AURORA"/>
    <s v="N224"/>
    <s v="AS-STANDARD ORDER MIXED"/>
    <s v="A-SURFACE"/>
    <s v="OP"/>
    <n v="1250622"/>
    <s v="A-SURFACE"/>
    <m/>
    <m/>
    <m/>
    <s v="A-SURFACE"/>
    <s v="LTL"/>
    <s v="EXW"/>
    <s v="Prepay &amp; Add"/>
    <m/>
    <m/>
    <s v="DAVID BANISTER - 724-283-3692 XT 50222 **WAREHOUSE HRS. 8 AM - 3:30 PM**"/>
    <m/>
    <m/>
    <m/>
    <m/>
    <s v="0"/>
    <s v="0"/>
  </r>
  <r>
    <s v="SJ2"/>
    <s v="5001320"/>
    <s v="NATIONAL CABLE TELEVISION COOP"/>
    <s v="ASHLAND"/>
    <s v="R024P17L1B02"/>
    <s v="SJ2_STAG"/>
    <s v="ARMSTRONG"/>
    <s v="1215 Claremont Ave"/>
    <s v="OH"/>
    <s v="Ashland"/>
    <s v="44805-3528"/>
    <s v="JC1122"/>
    <s v="PATCH CORD SC/APC-LC/UPC 2MM 0"/>
    <s v="20119124"/>
    <s v="8.1"/>
    <x v="230"/>
    <n v="1962395"/>
    <d v="2016-10-27T09:33:27"/>
    <m/>
    <d v="2016-10-27T00:00:00"/>
    <d v="2016-10-27T00:00:00"/>
    <d v="2016-10-27T00:00:00"/>
    <m/>
    <n v="3"/>
    <m/>
    <n v="51"/>
    <m/>
    <s v="HE64"/>
    <s v="NWK ACCESS TECH"/>
    <s v="HEO"/>
    <s v="TRANSMITTER"/>
    <s v="HT"/>
    <s v="AS-STANDARD ORDER MIXED"/>
    <s v="A-SURFACE"/>
    <s v="OP"/>
    <n v="1250622"/>
    <s v="A-SURFACE"/>
    <m/>
    <m/>
    <m/>
    <s v="A-SURFACE"/>
    <s v="LTL"/>
    <s v="EXW"/>
    <s v="Prepay &amp; Add"/>
    <m/>
    <m/>
    <s v="DAVID BANISTER - 724-283-3692 XT 50222 **WAREHOUSE HRS. 8 AM - 3:30 PM**"/>
    <m/>
    <m/>
    <m/>
    <m/>
    <s v="0"/>
    <s v="0"/>
  </r>
  <r>
    <s v="SJ2"/>
    <s v="5001320"/>
    <s v="NATIONAL CABLE TELEVISION COOP"/>
    <s v="SAINT GEORGE, UT"/>
    <s v="R016P31L3B02"/>
    <s v="SJ2_STAG"/>
    <s v="MCT CABLE"/>
    <s v="1210 W 1236 N"/>
    <s v="UT"/>
    <s v="SAINT GEORGE"/>
    <s v="84770"/>
    <s v="DR3450N-75-00"/>
    <s v="DIGITAL RECEIVER Q-RX 5-65MHZ"/>
    <s v="20119131"/>
    <s v="1.1"/>
    <x v="232"/>
    <n v="1962448"/>
    <d v="2016-10-27T10:23:01"/>
    <m/>
    <d v="2016-10-27T00:00:00"/>
    <d v="2016-10-27T00:00:00"/>
    <d v="2016-10-27T00:00:00"/>
    <m/>
    <n v="1"/>
    <m/>
    <n v="1235"/>
    <m/>
    <s v="N275"/>
    <s v="NWK ACCESS TECH"/>
    <s v="HEO"/>
    <s v="RECEIVERS AURORA"/>
    <s v="N275"/>
    <s v="AS-STANDARD ORDER MIXED"/>
    <s v="A-SURFACE"/>
    <s v="OP"/>
    <n v="1250644"/>
    <s v="A-SURFACE"/>
    <m/>
    <m/>
    <m/>
    <s v="A-SURFACE"/>
    <s v="LTL"/>
    <s v="EXW"/>
    <s v="Prepay &amp; Add"/>
    <m/>
    <m/>
    <s v="PATRICIA KRUEGER - 608-664-4232"/>
    <m/>
    <m/>
    <m/>
    <m/>
    <s v="0"/>
    <s v="0"/>
  </r>
  <r>
    <s v="SJ2"/>
    <s v="5001320"/>
    <s v="NATIONAL CABLE TELEVISION COOP"/>
    <s v="166548"/>
    <s v="R015P62L5"/>
    <s v="SJ2_STAG"/>
    <s v="MADISON COMMUNICATIONS, INC."/>
    <s v="21668 Double Arch Rd"/>
    <s v="IL"/>
    <s v="Staunton"/>
    <s v="62088"/>
    <s v="CH3000N"/>
    <s v="CHASSIS NO COVERS 3RU"/>
    <s v="6900461"/>
    <s v="1.1"/>
    <x v="233"/>
    <n v="1960463"/>
    <d v="2016-06-28T00:00:00"/>
    <m/>
    <d v="2016-10-25T00:00:00"/>
    <d v="2016-06-28T00:00:00"/>
    <d v="2016-10-25T00:00:00"/>
    <m/>
    <n v="2"/>
    <n v="2"/>
    <n v="494"/>
    <n v="494"/>
    <s v="N199"/>
    <s v="NWK ACCESS TECH"/>
    <s v="HEO"/>
    <s v="HEO MISC AURORA"/>
    <s v="N199"/>
    <s v="AUR-STANDARD ORDER MIXED"/>
    <s v="A-SURFACE"/>
    <s v="OP"/>
    <n v="1249405"/>
    <s v="A-SURFACE"/>
    <m/>
    <m/>
    <m/>
    <s v="A-SURFACE"/>
    <s v="LTL"/>
    <s v="EXW"/>
    <s v="Prepay &amp; Add"/>
    <n v="119.43"/>
    <m/>
    <s v="Please ship order complete"/>
    <m/>
    <m/>
    <m/>
    <m/>
    <s v="0"/>
    <s v="0"/>
  </r>
  <r>
    <s v="SJ2"/>
    <s v="5001320"/>
    <s v="NATIONAL CABLE TELEVISION COOP"/>
    <s v="166548"/>
    <s v="R015P61L2"/>
    <s v="SJ2_STAG"/>
    <s v="MADISON COMMUNICATIONS, INC."/>
    <s v="21668 Double Arch Rd"/>
    <s v="IL"/>
    <s v="Staunton"/>
    <s v="62088"/>
    <s v="CH3000N"/>
    <s v="CHASSIS NO COVERS 3RU"/>
    <s v="6900461"/>
    <s v="1.1"/>
    <x v="233"/>
    <n v="1960463"/>
    <d v="2016-06-28T00:00:00"/>
    <m/>
    <d v="2016-10-25T00:00:00"/>
    <d v="2016-06-28T00:00:00"/>
    <d v="2016-10-25T00:00:00"/>
    <m/>
    <n v="1"/>
    <n v="1"/>
    <n v="247"/>
    <n v="247"/>
    <s v="N199"/>
    <s v="NWK ACCESS TECH"/>
    <s v="HEO"/>
    <s v="HEO MISC AURORA"/>
    <s v="N199"/>
    <s v="AUR-STANDARD ORDER MIXED"/>
    <s v="A-SURFACE"/>
    <s v="OP"/>
    <n v="1249405"/>
    <s v="A-SURFACE"/>
    <m/>
    <m/>
    <m/>
    <s v="A-SURFACE"/>
    <s v="LTL"/>
    <s v="EXW"/>
    <s v="Prepay &amp; Add"/>
    <n v="119.43"/>
    <m/>
    <s v="Please ship order complete"/>
    <m/>
    <m/>
    <m/>
    <m/>
    <s v="0"/>
    <s v="0"/>
  </r>
  <r>
    <s v="SJ2"/>
    <s v="5001320"/>
    <s v="NATIONAL CABLE TELEVISION COOP"/>
    <s v="166548"/>
    <s v="R015P61L2"/>
    <s v="SJ2_STAG"/>
    <s v="MADISON COMMUNICATIONS, INC."/>
    <s v="21668 Double Arch Rd"/>
    <s v="IL"/>
    <s v="Staunton"/>
    <s v="62088"/>
    <s v="BP3400C-00"/>
    <s v="BACKPLATE 4.25 GB/S 1-FER/2-FE"/>
    <s v="6900461"/>
    <s v="10.1"/>
    <x v="233"/>
    <n v="1960463"/>
    <d v="2016-06-28T00:00:00"/>
    <m/>
    <d v="2016-10-25T00:00:00"/>
    <d v="2016-06-28T00:00:00"/>
    <d v="2016-10-25T00:00:00"/>
    <m/>
    <n v="1"/>
    <n v="1"/>
    <n v="494"/>
    <n v="494"/>
    <s v="N076"/>
    <s v="NWK ACCESS TECH"/>
    <s v="HEO"/>
    <s v="HEO MISC AURORA"/>
    <s v="N076"/>
    <s v="AUR-STANDARD ORDER MIXED"/>
    <s v="A-SURFACE"/>
    <s v="OP"/>
    <n v="1249405"/>
    <s v="A-SURFACE"/>
    <m/>
    <m/>
    <m/>
    <s v="A-SURFACE"/>
    <s v="LTL"/>
    <s v="EXW"/>
    <s v="Prepay &amp; Add"/>
    <n v="119.43"/>
    <m/>
    <s v="Please ship order complete"/>
    <m/>
    <m/>
    <m/>
    <m/>
    <s v="0"/>
    <s v="0"/>
  </r>
  <r>
    <s v="SJ2"/>
    <s v="5001320"/>
    <s v="NATIONAL CABLE TELEVISION COOP"/>
    <s v="166548"/>
    <s v="R016P06L4B01"/>
    <s v="SJ2_STAG"/>
    <s v="MADISON COMMUNICATIONS, INC."/>
    <s v="21668 Double Arch Rd"/>
    <s v="IL"/>
    <s v="Staunton"/>
    <s v="62088"/>
    <s v="DR3450N-50-00"/>
    <s v="DIGITAL RECEIVER Q-RX 2.125GBP"/>
    <s v="6900461"/>
    <s v="11.1"/>
    <x v="233"/>
    <n v="1960469"/>
    <d v="2016-06-28T00:00:00"/>
    <m/>
    <d v="2016-10-25T00:00:00"/>
    <d v="2016-06-28T00:00:00"/>
    <d v="2016-10-25T00:00:00"/>
    <m/>
    <n v="1"/>
    <n v="1"/>
    <n v="1235"/>
    <n v="1235"/>
    <s v="N275"/>
    <s v="NWK ACCESS TECH"/>
    <s v="HEO"/>
    <s v="RECEIVERS AURORA"/>
    <s v="N275"/>
    <s v="AUR-STANDARD ORDER MIXED"/>
    <s v="A-SURFACE"/>
    <s v="OP"/>
    <n v="1249405"/>
    <s v="A-SURFACE"/>
    <m/>
    <m/>
    <m/>
    <s v="A-SURFACE"/>
    <s v="LTL"/>
    <s v="EXW"/>
    <s v="Prepay &amp; Add"/>
    <n v="119.43"/>
    <m/>
    <s v="Please ship order complete"/>
    <m/>
    <m/>
    <m/>
    <m/>
    <s v="0"/>
    <s v="0"/>
  </r>
  <r>
    <s v="SJ2"/>
    <s v="5001320"/>
    <s v="NATIONAL CABLE TELEVISION COOP"/>
    <s v="166548"/>
    <s v="R022P79L3"/>
    <s v="SJ2_STAG"/>
    <s v="MADISON COMMUNICATIONS, INC."/>
    <s v="21668 Double Arch Rd"/>
    <s v="IL"/>
    <s v="Staunton"/>
    <s v="62088"/>
    <s v="RR4000-00-PI"/>
    <s v="RCVR DUAL PLUGGABLE SFP 3 GBPS"/>
    <s v="6900461"/>
    <s v="12.1"/>
    <x v="233"/>
    <n v="1960462"/>
    <d v="2016-06-28T00:00:00"/>
    <m/>
    <d v="2016-10-25T00:00:00"/>
    <d v="2016-06-28T00:00:00"/>
    <d v="2016-10-25T00:00:00"/>
    <m/>
    <n v="1"/>
    <n v="1"/>
    <n v="185"/>
    <n v="185"/>
    <s v="N224"/>
    <s v="NWK ACCESS TECH"/>
    <s v="ACCESS OTHER"/>
    <s v="OTHER AURORA"/>
    <s v="N224"/>
    <s v="AUR-STANDARD ORDER MIXED"/>
    <s v="A-SURFACE"/>
    <s v="OP"/>
    <n v="1249405"/>
    <s v="A-SURFACE"/>
    <m/>
    <m/>
    <m/>
    <s v="A-SURFACE"/>
    <s v="LTL"/>
    <s v="EXW"/>
    <s v="Prepay &amp; Add"/>
    <n v="119.43"/>
    <m/>
    <s v="Please ship order complete"/>
    <m/>
    <m/>
    <m/>
    <m/>
    <s v="0"/>
    <s v="0"/>
  </r>
  <r>
    <s v="SJ2"/>
    <s v="5001320"/>
    <s v="NATIONAL CABLE TELEVISION COOP"/>
    <s v="166548"/>
    <s v="R022P25L3"/>
    <s v="SJ2_STAG"/>
    <s v="MADISON COMMUNICATIONS, INC."/>
    <s v="21668 Double Arch Rd"/>
    <s v="IL"/>
    <s v="Staunton"/>
    <s v="62088"/>
    <s v="FA3524S-01-AS"/>
    <s v="FIBEROPTIC AMPLIFIER SINGLE 24"/>
    <s v="6900461"/>
    <s v="13.1"/>
    <x v="233"/>
    <n v="1960463"/>
    <d v="2016-06-28T00:00:00"/>
    <m/>
    <d v="2016-10-25T00:00:00"/>
    <d v="2016-06-28T00:00:00"/>
    <d v="2016-10-25T00:00:00"/>
    <m/>
    <n v="1"/>
    <n v="1"/>
    <n v="6546"/>
    <n v="6546"/>
    <s v="N125"/>
    <s v="NWK ACCESS TECH"/>
    <s v="HEO"/>
    <s v="HEO MISC AURORA"/>
    <s v="EDFA"/>
    <s v="AUR-STANDARD ORDER MIXED"/>
    <s v="A-SURFACE"/>
    <s v="OP"/>
    <n v="1249405"/>
    <s v="A-SURFACE"/>
    <m/>
    <m/>
    <m/>
    <s v="A-SURFACE"/>
    <s v="LTL"/>
    <s v="EXW"/>
    <s v="Prepay &amp; Add"/>
    <n v="119.43"/>
    <m/>
    <s v="Please ship order complete"/>
    <m/>
    <m/>
    <m/>
    <m/>
    <s v="0"/>
    <s v="0"/>
  </r>
  <r>
    <s v="SJ2"/>
    <s v="5001320"/>
    <s v="NATIONAL CABLE TELEVISION COOP"/>
    <s v="166548"/>
    <s v="R023P08L3"/>
    <s v="SJ2_STAG"/>
    <s v="MADISON COMMUNICATIONS, INC."/>
    <s v="21668 Double Arch Rd"/>
    <s v="IL"/>
    <s v="Staunton"/>
    <s v="62088"/>
    <s v="BP-A6"/>
    <s v="BACKPLATE RF INP A RF INP B MP"/>
    <s v="6900461"/>
    <s v="14.1"/>
    <x v="233"/>
    <n v="1960463"/>
    <d v="2016-06-28T00:00:00"/>
    <m/>
    <d v="2016-10-25T00:00:00"/>
    <d v="2016-06-28T00:00:00"/>
    <d v="2016-10-25T00:00:00"/>
    <m/>
    <n v="1"/>
    <n v="1"/>
    <n v="86"/>
    <n v="86"/>
    <s v="N224"/>
    <s v="NWK ACCESS TECH"/>
    <s v="ACCESS OTHER"/>
    <s v="OTHER AURORA"/>
    <s v="N224"/>
    <s v="AUR-STANDARD ORDER MIXED"/>
    <s v="A-SURFACE"/>
    <s v="OP"/>
    <n v="1249405"/>
    <s v="A-SURFACE"/>
    <m/>
    <m/>
    <m/>
    <s v="A-SURFACE"/>
    <s v="LTL"/>
    <s v="EXW"/>
    <s v="Prepay &amp; Add"/>
    <n v="119.43"/>
    <m/>
    <s v="Please ship order complete"/>
    <m/>
    <m/>
    <m/>
    <m/>
    <s v="0"/>
    <s v="0"/>
  </r>
  <r>
    <s v="SJ2"/>
    <s v="5001320"/>
    <s v="NATIONAL CABLE TELEVISION COOP"/>
    <s v="166548"/>
    <s v="R023P07L3"/>
    <s v="SJ2_STAG"/>
    <s v="MADISON COMMUNICATIONS, INC."/>
    <s v="21668 Double Arch Rd"/>
    <s v="IL"/>
    <s v="Staunton"/>
    <s v="62088"/>
    <s v="DT3515C-20-1-2-65-AS"/>
    <s v="DGTL XMTR 200KM 100GHZ 2X5-65M"/>
    <s v="6900461"/>
    <s v="15.1"/>
    <x v="233"/>
    <n v="1960462"/>
    <d v="2016-06-28T00:00:00"/>
    <m/>
    <d v="2016-10-25T00:00:00"/>
    <d v="2016-06-28T00:00:00"/>
    <d v="2016-10-25T00:00:00"/>
    <m/>
    <n v="1"/>
    <n v="1"/>
    <n v="1778"/>
    <n v="1778"/>
    <s v="N063"/>
    <s v="NWK ACCESS TECH"/>
    <s v="HEO"/>
    <s v="TRANSMITTERS AURORA"/>
    <s v="N063"/>
    <s v="AUR-STANDARD ORDER MIXED"/>
    <s v="A-SURFACE"/>
    <s v="OP"/>
    <n v="1249405"/>
    <s v="A-SURFACE"/>
    <m/>
    <m/>
    <m/>
    <s v="A-SURFACE"/>
    <s v="LTL"/>
    <s v="EXW"/>
    <s v="Prepay &amp; Add"/>
    <n v="119.43"/>
    <m/>
    <s v="Please ship order complete"/>
    <m/>
    <m/>
    <m/>
    <m/>
    <s v="0"/>
    <s v="0"/>
  </r>
  <r>
    <s v="SJ2"/>
    <s v="5001320"/>
    <s v="NATIONAL CABLE TELEVISION COOP"/>
    <s v="166548"/>
    <s v="R022P01L5"/>
    <s v="SJ2_STAG"/>
    <s v="MADISON COMMUNICATIONS, INC."/>
    <s v="21668 Double Arch Rd"/>
    <s v="IL"/>
    <s v="Staunton"/>
    <s v="62088"/>
    <s v="OR3144H-85-01-01-AL"/>
    <s v="DIPLXR/RTN RCVR 1550/1590 RFOG"/>
    <s v="6900461"/>
    <s v="16.1"/>
    <x v="233"/>
    <n v="1960462"/>
    <d v="2016-06-28T00:00:00"/>
    <m/>
    <d v="2016-10-25T00:00:00"/>
    <d v="2016-06-28T00:00:00"/>
    <d v="2016-10-25T00:00:00"/>
    <m/>
    <n v="2"/>
    <n v="2"/>
    <n v="2470"/>
    <n v="2470"/>
    <s v="N169"/>
    <s v="NWK ACCESS TECH"/>
    <s v="HPON"/>
    <s v="HEADEND RECEIVERS AURORA"/>
    <s v="N169"/>
    <s v="AUR-STANDARD ORDER MIXED"/>
    <s v="A-SURFACE"/>
    <s v="OP"/>
    <n v="1249405"/>
    <s v="A-SURFACE"/>
    <m/>
    <m/>
    <m/>
    <s v="A-SURFACE"/>
    <s v="LTL"/>
    <s v="EXW"/>
    <s v="Prepay &amp; Add"/>
    <n v="119.43"/>
    <m/>
    <s v="Please ship order complete"/>
    <m/>
    <m/>
    <m/>
    <m/>
    <s v="0"/>
    <s v="0"/>
  </r>
  <r>
    <s v="SJ2"/>
    <s v="5001320"/>
    <s v="NATIONAL CABLE TELEVISION COOP"/>
    <s v="166548"/>
    <s v="R022P13L6"/>
    <s v="SJ2_STAG"/>
    <s v="MADISON COMMUNICATIONS, INC."/>
    <s v="21668 Double Arch Rd"/>
    <s v="IL"/>
    <s v="Staunton"/>
    <s v="62088"/>
    <s v="OP3168P-1-0-00-AL"/>
    <s v="PON FILTER 1550/1610 1490/1310"/>
    <s v="6900461"/>
    <s v="17.1"/>
    <x v="233"/>
    <n v="1960463"/>
    <d v="2016-06-28T00:00:00"/>
    <m/>
    <d v="2016-10-25T00:00:00"/>
    <d v="2016-06-28T00:00:00"/>
    <d v="2016-10-25T00:00:00"/>
    <m/>
    <n v="1"/>
    <n v="1"/>
    <n v="1396"/>
    <n v="1396"/>
    <s v="N156"/>
    <s v="NWK ACCESS TECH"/>
    <s v="ACCESS OTHER"/>
    <s v="OTHER AURORA"/>
    <s v="N156"/>
    <s v="AUR-STANDARD ORDER MIXED"/>
    <s v="A-SURFACE"/>
    <s v="OP"/>
    <n v="1249405"/>
    <s v="A-SURFACE"/>
    <m/>
    <m/>
    <m/>
    <s v="A-SURFACE"/>
    <s v="LTL"/>
    <s v="EXW"/>
    <s v="Prepay &amp; Add"/>
    <n v="119.43"/>
    <m/>
    <s v="Please ship order complete"/>
    <m/>
    <m/>
    <m/>
    <m/>
    <s v="0"/>
    <s v="0"/>
  </r>
  <r>
    <s v="SJ2"/>
    <s v="5001320"/>
    <s v="NATIONAL CABLE TELEVISION COOP"/>
    <s v="166548"/>
    <s v="R022P13L6"/>
    <s v="SJ2_STAG"/>
    <s v="MADISON COMMUNICATIONS, INC."/>
    <s v="21668 Double Arch Rd"/>
    <s v="IL"/>
    <s v="Staunton"/>
    <s v="62088"/>
    <s v="OP31S4S-EQ-00-AS"/>
    <s v="OPT SPLITTER 1X4 SGL PKG BAL O"/>
    <s v="6900461"/>
    <s v="18.1"/>
    <x v="233"/>
    <n v="1960463"/>
    <d v="2016-06-28T00:00:00"/>
    <m/>
    <d v="2016-10-25T00:00:00"/>
    <d v="2016-06-28T00:00:00"/>
    <d v="2016-10-25T00:00:00"/>
    <m/>
    <n v="2"/>
    <n v="2"/>
    <n v="592"/>
    <n v="592"/>
    <s v="N156"/>
    <s v="NWK ACCESS TECH"/>
    <s v="ACCESS OTHER"/>
    <s v="OTHER AURORA"/>
    <s v="N156"/>
    <s v="AUR-STANDARD ORDER MIXED"/>
    <s v="A-SURFACE"/>
    <s v="OP"/>
    <n v="1249405"/>
    <s v="A-SURFACE"/>
    <m/>
    <m/>
    <m/>
    <s v="A-SURFACE"/>
    <s v="LTL"/>
    <s v="EXW"/>
    <s v="Prepay &amp; Add"/>
    <n v="119.43"/>
    <m/>
    <s v="Please ship order complete"/>
    <m/>
    <m/>
    <m/>
    <m/>
    <s v="0"/>
    <s v="0"/>
  </r>
  <r>
    <s v="SJ2"/>
    <s v="5001320"/>
    <s v="NATIONAL CABLE TELEVISION COOP"/>
    <s v="166548"/>
    <s v="R016P17L1B01"/>
    <s v="SJ2_STAG"/>
    <s v="MADISON COMMUNICATIONS, INC."/>
    <s v="21668 Double Arch Rd"/>
    <s v="IL"/>
    <s v="Staunton"/>
    <s v="62088"/>
    <s v="CH3000U-FM-00"/>
    <s v="ADAPTER FIBER MGT FOR CH3000 C"/>
    <s v="6900461"/>
    <s v="2.1"/>
    <x v="233"/>
    <n v="1960463"/>
    <d v="2016-06-28T00:00:00"/>
    <m/>
    <d v="2016-10-25T00:00:00"/>
    <d v="2016-06-28T00:00:00"/>
    <d v="2016-10-25T00:00:00"/>
    <m/>
    <n v="3"/>
    <n v="3"/>
    <n v="186"/>
    <n v="186"/>
    <s v="N199"/>
    <s v="NWK ACCESS TECH"/>
    <s v="HEO"/>
    <s v="HEO MISC AURORA"/>
    <s v="N199"/>
    <s v="AUR-STANDARD ORDER MIXED"/>
    <s v="A-SURFACE"/>
    <s v="OP"/>
    <n v="1249405"/>
    <s v="A-SURFACE"/>
    <m/>
    <m/>
    <m/>
    <s v="A-SURFACE"/>
    <s v="LTL"/>
    <s v="EXW"/>
    <s v="Prepay &amp; Add"/>
    <n v="119.43"/>
    <m/>
    <s v="Please ship order complete"/>
    <m/>
    <m/>
    <m/>
    <m/>
    <s v="0"/>
    <s v="0"/>
  </r>
  <r>
    <s v="SJ2"/>
    <s v="5001320"/>
    <s v="NATIONAL CABLE TELEVISION COOP"/>
    <s v="166548"/>
    <s v="R016P13L4B01"/>
    <s v="SJ2_STAG"/>
    <s v="MADISON COMMUNICATIONS, INC."/>
    <s v="21668 Double Arch Rd"/>
    <s v="IL"/>
    <s v="Staunton"/>
    <s v="62088"/>
    <s v="PS3148N"/>
    <s v="POWER SUPPLY NO DISPLAY -48VDC"/>
    <s v="6900461"/>
    <s v="4.1"/>
    <x v="233"/>
    <n v="1960463"/>
    <d v="2016-06-28T00:00:00"/>
    <m/>
    <d v="2016-10-25T00:00:00"/>
    <d v="2016-06-28T00:00:00"/>
    <d v="2016-10-25T00:00:00"/>
    <m/>
    <n v="3"/>
    <n v="3"/>
    <n v="1815"/>
    <n v="1815"/>
    <s v="N204"/>
    <s v="NWK ACCESS TECH"/>
    <s v="ACCESS OTHER"/>
    <s v="OTHER AURORA"/>
    <s v="N204"/>
    <s v="AUR-STANDARD ORDER MIXED"/>
    <s v="A-SURFACE"/>
    <s v="OP"/>
    <n v="1249405"/>
    <s v="A-SURFACE"/>
    <m/>
    <m/>
    <m/>
    <s v="A-SURFACE"/>
    <s v="LTL"/>
    <s v="EXW"/>
    <s v="Prepay &amp; Add"/>
    <n v="119.43"/>
    <m/>
    <s v="Please ship order complete"/>
    <m/>
    <m/>
    <m/>
    <m/>
    <s v="0"/>
    <s v="0"/>
  </r>
  <r>
    <s v="SJ2"/>
    <s v="5001320"/>
    <s v="NATIONAL CABLE TELEVISION COOP"/>
    <s v="166548"/>
    <s v="R023P60L6"/>
    <s v="SJ2_STAG"/>
    <s v="MADISON COMMUNICATIONS, INC."/>
    <s v="21668 Double Arch Rd"/>
    <s v="IL"/>
    <s v="Staunton"/>
    <s v="62088"/>
    <s v="CA3008"/>
    <s v="CARRIER MODULE HIGH DENSITY"/>
    <s v="6900461"/>
    <s v="5.1"/>
    <x v="233"/>
    <n v="1960463"/>
    <d v="2016-06-28T00:00:00"/>
    <m/>
    <d v="2016-10-25T00:00:00"/>
    <d v="2016-06-28T00:00:00"/>
    <d v="2016-10-25T00:00:00"/>
    <m/>
    <n v="2"/>
    <n v="2"/>
    <n v="532"/>
    <n v="532"/>
    <s v="N259"/>
    <s v="NWK ACCESS TECH"/>
    <s v="HEO"/>
    <s v="TRANSMITTERS AURORA"/>
    <s v="HDTX"/>
    <s v="AUR-STANDARD ORDER MIXED"/>
    <s v="A-SURFACE"/>
    <s v="OP"/>
    <n v="1249405"/>
    <s v="A-SURFACE"/>
    <m/>
    <m/>
    <m/>
    <s v="A-SURFACE"/>
    <s v="LTL"/>
    <s v="EXW"/>
    <s v="Prepay &amp; Add"/>
    <n v="119.43"/>
    <m/>
    <s v="Please ship order complete"/>
    <m/>
    <m/>
    <m/>
    <m/>
    <s v="0"/>
    <s v="0"/>
  </r>
  <r>
    <s v="SJ2"/>
    <s v="5001320"/>
    <s v="NATIONAL CABLE TELEVISION COOP"/>
    <s v="166548"/>
    <s v="R022P73L5"/>
    <s v="SJ2_STAG"/>
    <s v="MADISON COMMUNICATIONS, INC."/>
    <s v="21668 Double Arch Rd"/>
    <s v="IL"/>
    <s v="Staunton"/>
    <s v="62088"/>
    <s v="CC3008"/>
    <s v="COMM CONTROL MODULE HIGH DENSI"/>
    <s v="6900461"/>
    <s v="6.1"/>
    <x v="233"/>
    <n v="1960469"/>
    <d v="2016-06-28T00:00:00"/>
    <m/>
    <d v="2016-10-25T00:00:00"/>
    <d v="2016-06-28T00:00:00"/>
    <d v="2016-10-25T00:00:00"/>
    <m/>
    <n v="2"/>
    <n v="2"/>
    <n v="272"/>
    <n v="272"/>
    <s v="N260"/>
    <s v="NWK ACCESS TECH"/>
    <s v="HEO"/>
    <s v="TRANSMITTERS AURORA"/>
    <s v="HDTX"/>
    <s v="AUR-STANDARD ORDER MIXED"/>
    <s v="A-SURFACE"/>
    <s v="OP"/>
    <n v="1249405"/>
    <s v="A-SURFACE"/>
    <m/>
    <m/>
    <m/>
    <s v="A-SURFACE"/>
    <s v="LTL"/>
    <s v="EXW"/>
    <s v="Prepay &amp; Add"/>
    <n v="119.43"/>
    <m/>
    <s v="Please ship order complete"/>
    <m/>
    <m/>
    <m/>
    <m/>
    <s v="0"/>
    <s v="0"/>
  </r>
  <r>
    <s v="SJ2"/>
    <s v="5001320"/>
    <s v="NATIONAL CABLE TELEVISION COOP"/>
    <s v="166548"/>
    <s v="R022P53L7"/>
    <s v="SJ2_STAG"/>
    <s v="MADISON COMMUNICATIONS, INC."/>
    <s v="21668 Double Arch Rd"/>
    <s v="IL"/>
    <s v="Staunton"/>
    <s v="62088"/>
    <s v="BD31A4-100-H12F-0-AS"/>
    <s v="OPT PASSTHRU BD 4 XMTR 4 BC 4"/>
    <s v="6900461"/>
    <s v="8.1"/>
    <x v="233"/>
    <n v="1960462"/>
    <d v="2016-06-28T00:00:00"/>
    <m/>
    <d v="2016-10-25T00:00:00"/>
    <d v="2016-06-28T00:00:00"/>
    <d v="2016-10-25T00:00:00"/>
    <m/>
    <n v="2"/>
    <n v="2"/>
    <n v="1236"/>
    <n v="1236"/>
    <s v="N258"/>
    <s v="NWK ACCESS TECH"/>
    <s v="HEO"/>
    <s v="TRANSMITTERS AURORA"/>
    <s v="HDTX"/>
    <s v="AUR-STANDARD ORDER MIXED"/>
    <s v="A-SURFACE"/>
    <s v="OP"/>
    <n v="1249405"/>
    <s v="A-SURFACE"/>
    <m/>
    <m/>
    <m/>
    <s v="A-SURFACE"/>
    <s v="LTL"/>
    <s v="EXW"/>
    <s v="Prepay &amp; Add"/>
    <n v="119.43"/>
    <m/>
    <s v="Please ship order complete"/>
    <m/>
    <m/>
    <m/>
    <m/>
    <s v="0"/>
    <s v="0"/>
  </r>
  <r>
    <s v="SJ2"/>
    <s v="5001320"/>
    <s v="NATIONAL CABLE TELEVISION COOP"/>
    <s v="166548"/>
    <s v="R022P54L2"/>
    <s v="SJ2_STAG"/>
    <s v="MADISON COMMUNICATIONS, INC."/>
    <s v="21668 Double Arch Rd"/>
    <s v="IL"/>
    <s v="Staunton"/>
    <s v="62088"/>
    <s v="HT3542H-D-A290-2-AS"/>
    <s v="XMTR DD 1.2GHZ FULL SPECTRUM 7"/>
    <s v="6900461"/>
    <s v="9.1"/>
    <x v="233"/>
    <n v="1960462"/>
    <d v="2016-06-28T00:00:00"/>
    <m/>
    <d v="2016-10-25T00:00:00"/>
    <d v="2016-06-28T00:00:00"/>
    <d v="2016-10-25T00:00:00"/>
    <m/>
    <n v="1"/>
    <n v="1"/>
    <n v="2161"/>
    <n v="2161"/>
    <s v="HE64"/>
    <s v="NWK ACCESS TECH"/>
    <s v="HEO"/>
    <s v="TRANSMITTER"/>
    <s v="HT"/>
    <s v="AUR-STANDARD ORDER MIXED"/>
    <s v="A-SURFACE"/>
    <s v="OP"/>
    <n v="1249405"/>
    <s v="A-SURFACE"/>
    <m/>
    <m/>
    <m/>
    <s v="A-SURFACE"/>
    <s v="LTL"/>
    <s v="EXW"/>
    <s v="Prepay &amp; Add"/>
    <n v="119.43"/>
    <m/>
    <s v="Please ship order complete"/>
    <m/>
    <m/>
    <m/>
    <m/>
    <s v="0"/>
    <s v="0"/>
  </r>
  <r>
    <s v="SJ2"/>
    <s v="5001333"/>
    <s v="CABLEVISION S.A. DE C.V."/>
    <s v="TULTITLAN"/>
    <s v="R023P10L4"/>
    <s v="SJ2_STAG"/>
    <s v="CABLEVISION S.A. DE C.V."/>
    <s v="AV.BENITO JUAREZ NO.10 BODEGA 1A"/>
    <s v="TULTITLAN"/>
    <s v="TULTITLAN"/>
    <s v="061056"/>
    <s v="TR4440B-1610-PI"/>
    <s v="TRANSCEIVER SFP 60KM CWDM 1610"/>
    <s v="20111289"/>
    <s v="1.1"/>
    <x v="234"/>
    <n v="1957027"/>
    <d v="2016-09-15T13:38:47"/>
    <m/>
    <d v="2016-10-20T00:00:00"/>
    <d v="2016-10-03T00:00:00"/>
    <d v="2016-10-20T00:00:00"/>
    <m/>
    <n v="10"/>
    <m/>
    <n v="4100"/>
    <m/>
    <s v="N252"/>
    <s v="NWK ACCESS TECH"/>
    <s v="NODE"/>
    <s v="NODE MISC AURORA"/>
    <s v="N252"/>
    <s v="AS-STANDARD ORDER MIXED"/>
    <s v="A-SURFACE"/>
    <s v="OP"/>
    <n v="1246579"/>
    <s v="A-SURFACE"/>
    <m/>
    <m/>
    <m/>
    <s v="A-SURFACE"/>
    <s v="LTL"/>
    <s v="EXW"/>
    <s v="Collect"/>
    <m/>
    <m/>
    <s v="FOR EXW SEND W&amp;D TO Marita.fernandez@arris.com /hmarquez@izzi.mx/ 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333"/>
    <s v="CABLEVISION S.A. DE C.V."/>
    <s v="TULTITLAN"/>
    <s v="R022P55L4"/>
    <s v="SJ2_STAG"/>
    <s v="CABLEVISION S.A. DE C.V."/>
    <s v="AV.BENITO JUAREZ NO.10 BODEGA 1A"/>
    <s v="TULTITLAN"/>
    <s v="TULTITLAN"/>
    <s v="061056"/>
    <s v="OP91S8S-EQ-R1-00"/>
    <s v="FIELD COUPLER 1X8 BAL F-CASE 0"/>
    <s v="20111289"/>
    <s v="3.1"/>
    <x v="234"/>
    <n v="1957027"/>
    <d v="2016-09-15T13:38:47"/>
    <m/>
    <d v="2016-10-20T00:00:00"/>
    <d v="2016-10-03T00:00:00"/>
    <d v="2016-10-20T00:00:00"/>
    <m/>
    <n v="70"/>
    <m/>
    <n v="23310"/>
    <m/>
    <s v="N156"/>
    <s v="NWK ACCESS TECH"/>
    <s v="ACCESS OTHER"/>
    <s v="OTHER AURORA"/>
    <s v="N156"/>
    <s v="AS-STANDARD ORDER MIXED"/>
    <s v="A-SURFACE"/>
    <s v="OP"/>
    <n v="1246579"/>
    <s v="A-SURFACE"/>
    <m/>
    <m/>
    <m/>
    <s v="A-SURFACE"/>
    <s v="LTL"/>
    <s v="EXW"/>
    <s v="Collect"/>
    <m/>
    <m/>
    <s v="FOR EXW SEND W&amp;D TO Marita.fernandez@arris.com /hmarquez@izzi.mx/ COM.FOR FCA CONTACT FF."/>
    <s v="IF WOOD PALLET INCLUDE STAMP FOR CERT OF FUMIGATION.NET &amp; GROSS WEIGHT PER SHIPMENT MUST BE ON CI DOCS.PALLETS MUST BE 48x40 @HT MIN. 59MAX 75 W/7 LAYERS OF BOXES FOR TG862A/NA.REMAINING BOXES CAN BE IN A NEW PALLET P/ DIMS ABOVE"/>
    <m/>
    <m/>
    <m/>
    <s v="0"/>
    <s v="0"/>
  </r>
  <r>
    <s v="SJ2"/>
    <s v="5001490"/>
    <s v="MEDIACOM"/>
    <s v="VALDOSTA11111"/>
    <s v="R022P33L5"/>
    <s v="SJ2_STAG"/>
    <s v="MEDIACOM COMMUNICATIONS CORPORATION"/>
    <s v="275 Norman Dr"/>
    <s v="GA"/>
    <s v="Valdosta"/>
    <s v="31601-5161"/>
    <s v="BD35M4-A0K-H02F-3-AS"/>
    <s v="OPT MUX BD 100GHZ D ITU CH 24-"/>
    <s v="20107931"/>
    <s v="37.1"/>
    <x v="235"/>
    <n v="1963233"/>
    <d v="2016-08-29T14:42:15"/>
    <m/>
    <d v="2016-10-28T00:00:00"/>
    <d v="2016-08-29T00:00:00"/>
    <d v="2016-10-28T00:00:00"/>
    <m/>
    <n v="1"/>
    <m/>
    <n v="2112"/>
    <m/>
    <s v="N258"/>
    <s v="NWK ACCESS TECH"/>
    <s v="HEO"/>
    <s v="TRANSMITTERS AURORA"/>
    <s v="HDTX"/>
    <s v="AS-STANDARD ORDER MIXED"/>
    <s v="A-SURFACE"/>
    <s v="OP"/>
    <n v="1251073"/>
    <s v="A-SURFACE"/>
    <m/>
    <m/>
    <m/>
    <s v="A-SURFACE"/>
    <s v="LTL"/>
    <s v="EXW"/>
    <s v="Collect"/>
    <m/>
    <m/>
    <s v="Parcel ships &lt;150 lbs use UPS #2E2866. LTL ships EM ECHO at mediacom@echo.com or call 312-488-2753"/>
    <m/>
    <m/>
    <m/>
    <m/>
    <s v="0"/>
    <s v="0"/>
  </r>
  <r>
    <s v="SJ2"/>
    <s v="5001490"/>
    <s v="MEDIACOM"/>
    <s v="VALDOSTA11111"/>
    <s v="R024P04L1B01"/>
    <s v="SJ2_STAG"/>
    <s v="MEDIACOM COMMUNICATIONS CORPORATION"/>
    <s v="275 Norman Dr"/>
    <s v="GA"/>
    <s v="Valdosta"/>
    <s v="31601-5161"/>
    <s v="BD35M4-A0L-H02F-3-AS"/>
    <s v="OPT MUX BD 100GHZ D ITU CH 28-"/>
    <s v="20107931"/>
    <s v="38.1"/>
    <x v="235"/>
    <n v="1963233"/>
    <d v="2016-08-29T14:42:15"/>
    <m/>
    <d v="2016-10-28T00:00:00"/>
    <d v="2016-08-29T00:00:00"/>
    <d v="2016-10-28T00:00:00"/>
    <m/>
    <n v="1"/>
    <m/>
    <n v="2112"/>
    <m/>
    <s v="N258"/>
    <s v="NWK ACCESS TECH"/>
    <s v="HEO"/>
    <s v="TRANSMITTERS AURORA"/>
    <s v="HDTX"/>
    <s v="AS-STANDARD ORDER MIXED"/>
    <s v="A-SURFACE"/>
    <s v="OP"/>
    <n v="1251073"/>
    <s v="A-SURFACE"/>
    <m/>
    <m/>
    <m/>
    <s v="A-SURFACE"/>
    <s v="LTL"/>
    <s v="EXW"/>
    <s v="Collect"/>
    <m/>
    <m/>
    <s v="Parcel ships &lt;150 lbs use UPS #2E2866. LTL ships EM ECHO at mediacom@echo.com or call 312-488-2753"/>
    <m/>
    <m/>
    <m/>
    <m/>
    <s v="0"/>
    <s v="0"/>
  </r>
  <r>
    <s v="SJ2"/>
    <s v="5001490"/>
    <s v="MEDIACOM"/>
    <s v="MARION001"/>
    <s v="R022P26L3"/>
    <s v="SJ2_STAG"/>
    <s v="MEDIACOM"/>
    <s v="1603 E Deyoung St"/>
    <s v="IL"/>
    <s v="Marion"/>
    <s v="62959-5015"/>
    <s v="OP35D4N-1-99-AS"/>
    <s v="OPT DEMUX 100GHZ CH 36-39 EXP"/>
    <s v="20110081"/>
    <s v="2.1"/>
    <x v="236"/>
    <n v="1963227"/>
    <d v="2016-09-08T19:09:54"/>
    <m/>
    <d v="2016-10-28T00:00:00"/>
    <d v="2016-09-08T00:00:00"/>
    <d v="2016-10-28T00:00:00"/>
    <m/>
    <n v="1"/>
    <m/>
    <n v="768"/>
    <m/>
    <s v="N165"/>
    <s v="NWK ACCESS TECH"/>
    <s v="OPTICAL PASSIVES"/>
    <s v="INDOOR PASSIVES AURORA"/>
    <s v="N165"/>
    <s v="AS-STANDARD ORDER MIXED"/>
    <s v="A-SURFACE"/>
    <s v="OP"/>
    <n v="1251073"/>
    <s v="A-SURFACE"/>
    <m/>
    <m/>
    <m/>
    <s v="A-SURFACE"/>
    <s v="LTL"/>
    <s v="EXW"/>
    <s v="Collect"/>
    <m/>
    <m/>
    <s v="Parcel ships &lt;150 lbs use UPS #2E2866. LTL ships EM ECHO at mediacom@echo.com or call 312-488-2753"/>
    <m/>
    <m/>
    <m/>
    <m/>
    <s v="0"/>
    <s v="0"/>
  </r>
  <r>
    <s v="SJ2"/>
    <s v="5001490"/>
    <s v="MEDIACOM"/>
    <s v="CEDAR RAPIDS 6805 4TH STREET"/>
    <s v="R014P06L3"/>
    <s v="SJ2_STAG"/>
    <s v="MEDIACOM"/>
    <s v="6805 4th St SW"/>
    <s v="IA"/>
    <s v="Cedar Rapids"/>
    <s v="52404-4762"/>
    <s v="AT3535G-23-1-AS"/>
    <s v="TRANSMITTER 1GHZ 80 QAM CHAN 2"/>
    <s v="20112584"/>
    <s v="1.1"/>
    <x v="237"/>
    <n v="1950830"/>
    <d v="2016-09-22T17:28:42"/>
    <m/>
    <d v="2016-10-14T00:00:00"/>
    <d v="2016-09-29T00:00:00"/>
    <d v="2016-10-11T00:00:00"/>
    <m/>
    <n v="1"/>
    <m/>
    <n v="1728"/>
    <m/>
    <s v="N004"/>
    <s v="NWK ACCESS TECH"/>
    <s v="HEO"/>
    <s v="TRANSMITTERS AURORA"/>
    <s v="N004"/>
    <s v="AS-STANDARD ORDER MIXED"/>
    <s v="A-SURFACE"/>
    <s v="OP"/>
    <n v="1242784"/>
    <s v="A-SURFACE"/>
    <m/>
    <m/>
    <m/>
    <s v="A-SURFACE"/>
    <s v="LTL"/>
    <s v="EXW"/>
    <s v="Collect"/>
    <m/>
    <m/>
    <s v="Parcel ships &lt;150 lbs use UPS #2E2866. LTL ships EM ECHO at mediacom@echo.com or call 312-488-2753"/>
    <m/>
    <m/>
    <m/>
    <m/>
    <s v="0"/>
    <s v="0"/>
  </r>
  <r>
    <s v="SJ2"/>
    <s v="5001490"/>
    <s v="MEDIACOM"/>
    <s v="AUBURN,46706"/>
    <s v="R022P79L4"/>
    <s v="SJ2_STAG"/>
    <s v="MEDIACOM COMMUNICATIONS CORP"/>
    <s v="1101 W Auburn Dr"/>
    <s v="IN"/>
    <s v="Auburn"/>
    <s v="46706-3459"/>
    <s v="DT3515C-35-1-2-65-AS"/>
    <s v="DGTL XMTR 200km 100GHz 2x5-65M"/>
    <s v="20112724"/>
    <s v="24.1"/>
    <x v="238"/>
    <n v="1955349"/>
    <d v="2016-09-22T13:49:10"/>
    <m/>
    <d v="2016-10-19T00:00:00"/>
    <d v="2016-09-26T00:00:00"/>
    <d v="2016-10-20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AUBURN,46706"/>
    <s v="R023P75L2"/>
    <s v="SJ2_STAG"/>
    <s v="MEDIACOM COMMUNICATIONS CORP"/>
    <s v="1101 W Auburn Dr"/>
    <s v="IN"/>
    <s v="Auburn"/>
    <s v="46706-3459"/>
    <s v="DT3515C-33-1-2-65-AS"/>
    <s v="DGTL XMTR 200KM 100GHZ 2X5-65M"/>
    <s v="20112724"/>
    <s v="25.1"/>
    <x v="238"/>
    <n v="1955349"/>
    <d v="2016-09-22T13:49:10"/>
    <m/>
    <d v="2016-10-19T00:00:00"/>
    <d v="2016-09-26T00:00:00"/>
    <d v="2016-10-19T00:00:00"/>
    <m/>
    <n v="1"/>
    <m/>
    <n v="1843"/>
    <m/>
    <s v="N063"/>
    <s v="NWK ACCESS TECH"/>
    <s v="HEO"/>
    <s v="TRANSMITTERS AURORA"/>
    <s v="N063"/>
    <s v="AS-STANDARD ORDER MIXED"/>
    <s v="A-SURFACE"/>
    <s v="OP"/>
    <n v="1245916"/>
    <s v="A-SURFACE"/>
    <m/>
    <m/>
    <m/>
    <s v="A-SURFACE"/>
    <s v="LTL"/>
    <s v="EXW"/>
    <s v="Collect"/>
    <m/>
    <m/>
    <s v="Parcel ships &lt;150 lbs use UPS #2E2866. LTL ships EM ECHO at mediacom@echo.com or call 312-488-2753"/>
    <m/>
    <m/>
    <m/>
    <m/>
    <s v="0"/>
    <s v="0"/>
  </r>
  <r>
    <s v="SJ2"/>
    <s v="5001490"/>
    <s v="MEDIACOM"/>
    <s v="URBANDALE1569"/>
    <s v="R023P03L3"/>
    <s v="SJ2_STAG"/>
    <s v="MEDIACOM"/>
    <s v="12060 Meredith Dr"/>
    <s v="IA"/>
    <s v="Urbandale"/>
    <s v="50323-1501"/>
    <s v="AT3535G-20-1-AS"/>
    <s v="TRANSMITTER 1GHZ 80 QAM CHAN 2"/>
    <s v="20113474"/>
    <s v="1.1"/>
    <x v="239"/>
    <n v="1939500"/>
    <d v="2016-09-26T16:23:38"/>
    <m/>
    <d v="2016-10-01T00:00:00"/>
    <d v="2016-10-06T00:00:00"/>
    <d v="2016-10-03T00:00:00"/>
    <m/>
    <n v="2"/>
    <n v="2"/>
    <n v="3456"/>
    <n v="3456"/>
    <s v="N004"/>
    <s v="NWK ACCESS TECH"/>
    <s v="HEO"/>
    <s v="TRANSMITTERS AURORA"/>
    <s v="N004"/>
    <s v="AS-STANDARD ORDER MIXED"/>
    <s v="A-SURFACE"/>
    <s v="OP"/>
    <n v="1234822"/>
    <s v="A-SURFACE"/>
    <m/>
    <m/>
    <m/>
    <s v="A-SURFACE"/>
    <s v="LTL"/>
    <s v="EXW"/>
    <s v="Collect"/>
    <m/>
    <m/>
    <s v="Parcel ships &lt;150 lbs use UPS #2E2866. LTL ships EM ECHO at mediacom@echo.com or call 312-488-2753"/>
    <m/>
    <m/>
    <m/>
    <m/>
    <s v="0"/>
    <s v="0"/>
  </r>
  <r>
    <s v="SJ2"/>
    <s v="5001490"/>
    <s v="MEDIACOM"/>
    <s v="GULF BREEZE004"/>
    <s v="R022P20L3"/>
    <s v="SJ2_STAG"/>
    <s v="MEDIACOM"/>
    <s v="1613 Nantahala Beach Rd"/>
    <s v="FL"/>
    <s v="Gulf Breeze"/>
    <s v="32563-8944"/>
    <s v="OP35D4L-1-99-AS"/>
    <s v="OPT DEMUX 100GHZ CH 28-31 EXP"/>
    <s v="20115524"/>
    <s v="1.1"/>
    <x v="240"/>
    <n v="1963201"/>
    <d v="2016-10-06T13:27:02"/>
    <m/>
    <d v="2016-10-28T00:00:00"/>
    <d v="2016-10-06T00:00:00"/>
    <d v="2016-10-28T00:00:00"/>
    <m/>
    <n v="1"/>
    <m/>
    <n v="768"/>
    <m/>
    <s v="N165"/>
    <s v="NWK ACCESS TECH"/>
    <s v="OPTICAL PASSIVES"/>
    <s v="INDOOR PASSIVES AURORA"/>
    <s v="N165"/>
    <s v="AS-STANDARD ORDER MIXED"/>
    <s v="A-SURFACE"/>
    <s v="OP"/>
    <n v="1251073"/>
    <s v="A-SURFACE"/>
    <m/>
    <m/>
    <m/>
    <s v="A-SURFACE"/>
    <s v="LTL"/>
    <s v="EXW"/>
    <s v="Collect"/>
    <m/>
    <m/>
    <s v="Parcel ships &lt;150 lbs use UPS #2E2866. LTL ships EM ECHO at mediacom@echo.com or call 312-488-2753"/>
    <m/>
    <m/>
    <m/>
    <m/>
    <s v="0"/>
    <s v="0"/>
  </r>
  <r>
    <s v="SJ2"/>
    <s v="5001490"/>
    <s v="MEDIACOM"/>
    <s v="HENRY1274"/>
    <s v="R022P01L7"/>
    <s v="SJ2_STAG"/>
    <s v="MEDIACOM COMMUNICATIONS"/>
    <s v="1274 County Road 1150 N"/>
    <s v="IL"/>
    <s v="Henry"/>
    <s v="61537-9482"/>
    <s v="AT3306G-A-2-AS"/>
    <s v="ANLG XMTR 1310NM 1GHZ D-IN N-G"/>
    <s v="20115528"/>
    <s v="1.1"/>
    <x v="241"/>
    <n v="1962610"/>
    <d v="2016-10-06T13:36:20"/>
    <m/>
    <d v="2016-10-27T00:00:00"/>
    <d v="2016-10-10T00:00:00"/>
    <d v="2016-10-27T00:00:00"/>
    <m/>
    <n v="1"/>
    <n v="1"/>
    <n v="1158"/>
    <n v="1158"/>
    <s v="HE63"/>
    <s v="NWK ACCESS TECH"/>
    <s v="HEO"/>
    <s v="TRANSMITTER"/>
    <s v="AT"/>
    <s v="AS-STANDARD ORDER MIXED"/>
    <s v="A-SURFACE"/>
    <s v="OP"/>
    <n v="1250721"/>
    <s v="A-SURFACE"/>
    <m/>
    <m/>
    <m/>
    <s v="A-SURFACE"/>
    <s v="LTL"/>
    <s v="EXW"/>
    <s v="Collect"/>
    <m/>
    <m/>
    <s v="Parcel ships &lt;150 lbs use UPS #2E2866. LTL ships EM ECHO at mediacom@echo.com or call 312-488-2753"/>
    <m/>
    <m/>
    <m/>
    <m/>
    <s v="0"/>
    <s v="0"/>
  </r>
  <r>
    <s v="SJ2"/>
    <s v="5001490"/>
    <s v="MEDIACOM"/>
    <s v="GULF BREEZE004"/>
    <s v="R022P20L3"/>
    <s v="SJ2_STAG"/>
    <s v="MEDIACOM"/>
    <s v="1613 Nantahala Beach Rd"/>
    <s v="FL"/>
    <s v="Gulf Breeze"/>
    <s v="32563-8944"/>
    <s v="OP35D4L-1-99-AS"/>
    <s v="OPT DEMUX 100GHZ CH 28-31 EXP"/>
    <s v="20115533"/>
    <s v="1.1"/>
    <x v="242"/>
    <n v="1963201"/>
    <d v="2016-10-06T13:59:14"/>
    <m/>
    <d v="2016-10-28T00:00:00"/>
    <d v="2016-10-06T00:00:00"/>
    <d v="2016-10-28T00:00:00"/>
    <m/>
    <n v="1"/>
    <m/>
    <n v="768"/>
    <m/>
    <s v="N165"/>
    <s v="NWK ACCESS TECH"/>
    <s v="OPTICAL PASSIVES"/>
    <s v="INDOOR PASSIVES AURORA"/>
    <s v="N165"/>
    <s v="AS-STANDARD ORDER MIXED"/>
    <s v="A-SURFACE"/>
    <s v="OP"/>
    <n v="1251073"/>
    <s v="A-SURFACE"/>
    <m/>
    <m/>
    <m/>
    <s v="A-SURFACE"/>
    <s v="LTL"/>
    <s v="EXW"/>
    <s v="Collect"/>
    <m/>
    <m/>
    <s v="Parcel ships &lt;150 lbs use UPS #2E2866. LTL ships EM ECHO at mediacom@echo.com or call 312-488-2753"/>
    <m/>
    <m/>
    <m/>
    <m/>
    <s v="0"/>
    <s v="0"/>
  </r>
  <r>
    <s v="SJ2"/>
    <s v="5001490"/>
    <s v="MEDIACOM"/>
    <s v="GULF BREEZE004"/>
    <s v="R024P17L2B01"/>
    <s v="SJ2_STAG"/>
    <s v="MEDIACOM"/>
    <s v="1613 Nantahala Beach Rd"/>
    <s v="FL"/>
    <s v="Gulf Breeze"/>
    <s v="32563-8944"/>
    <s v="JC1123"/>
    <s v="PATCH CORD SC/APC-LC/UPC 2MM J"/>
    <s v="20115533"/>
    <s v="7.1"/>
    <x v="243"/>
    <n v="1961115"/>
    <d v="2016-10-06T13:59:14"/>
    <m/>
    <d v="2016-10-26T00:00:00"/>
    <d v="2016-10-06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URBANDALE1569"/>
    <s v="R023P11L5"/>
    <s v="SJ2_STAG"/>
    <s v="MEDIACOM"/>
    <s v="12060 Meredith Dr"/>
    <s v="IA"/>
    <s v="Urbandale"/>
    <s v="50323-1501"/>
    <s v="AT3303G-A-2-AS"/>
    <s v="ANLG XMTR 1310NM 1GHZ D-IN N-G"/>
    <s v="20116047"/>
    <s v="2.1"/>
    <x v="244"/>
    <n v="1960521"/>
    <d v="2016-10-10T11:45:40"/>
    <m/>
    <d v="2016-10-25T00:00:00"/>
    <d v="2016-10-18T00:00:00"/>
    <d v="2016-10-27T00:00:00"/>
    <m/>
    <n v="1"/>
    <n v="1"/>
    <n v="1094"/>
    <n v="1094"/>
    <s v="HE63"/>
    <s v="NWK ACCESS TECH"/>
    <s v="HEO"/>
    <s v="TRANSMITTER"/>
    <s v="AT"/>
    <s v="AS-STANDARD ORDER MIXED"/>
    <s v="A-SURFACE"/>
    <s v="OP"/>
    <n v="1249460"/>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6069"/>
    <s v="14.1"/>
    <x v="245"/>
    <n v="1961101"/>
    <d v="2016-10-10T12:49:59"/>
    <m/>
    <d v="2016-10-26T00:00:00"/>
    <d v="2016-10-10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4P23L3B01"/>
    <s v="SJ2_STAG"/>
    <s v="MEDIACOM"/>
    <s v="1670 Lake Dr W"/>
    <s v="MN"/>
    <s v="Chanhassen"/>
    <s v="55317-8583"/>
    <s v="CC3008"/>
    <s v="COMM CONTROL MODULE HIGH DENSI"/>
    <s v="20116775"/>
    <s v="14.1"/>
    <x v="246"/>
    <n v="1961128"/>
    <d v="2016-10-13T16:15:11"/>
    <m/>
    <d v="2016-10-26T00:00:00"/>
    <d v="2016-10-13T00:00:00"/>
    <d v="2016-10-26T00:00:00"/>
    <m/>
    <n v="2"/>
    <n v="2"/>
    <n v="282"/>
    <n v="282"/>
    <s v="N260"/>
    <s v="NWK ACCESS TECH"/>
    <s v="HEO"/>
    <s v="TRANSMITTERS AURORA"/>
    <s v="HDTX"/>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23P65L3"/>
    <s v="SJ2_STAG"/>
    <s v="MEDIACOM"/>
    <s v="1670 Lake Dr W"/>
    <s v="MN"/>
    <s v="Chanhassen"/>
    <s v="55317-8583"/>
    <s v="HT3541H-D-A420-2-AS"/>
    <s v="XMTR DD 1.2GHZ FULL SPECTRUM 3"/>
    <s v="20116775"/>
    <s v="21.1"/>
    <x v="247"/>
    <n v="1951518"/>
    <d v="2016-10-13T16:15:11"/>
    <m/>
    <d v="2016-10-15T00:00:00"/>
    <d v="2016-10-13T00:00:00"/>
    <d v="2016-10-17T00:00:00"/>
    <m/>
    <n v="1"/>
    <m/>
    <n v="2048"/>
    <m/>
    <s v="HE64"/>
    <s v="NWK ACCESS TECH"/>
    <s v="HEO"/>
    <s v="TRANSMITTER"/>
    <s v="HT"/>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22P62L3"/>
    <s v="SJ2_STAG"/>
    <s v="MEDIACOM"/>
    <s v="1670 Lake Dr W"/>
    <s v="MN"/>
    <s v="Chanhassen"/>
    <s v="55317-8583"/>
    <s v="HT3541H-D-A240-2-AS"/>
    <s v="XMTR DD 1.2GHZ FULL SPECTRUM 3"/>
    <s v="20116775"/>
    <s v="22.1"/>
    <x v="248"/>
    <n v="1959708"/>
    <d v="2016-10-13T16:15:11"/>
    <m/>
    <d v="2016-10-24T00:00:00"/>
    <d v="2016-10-13T00:00:00"/>
    <d v="2016-10-26T00:00:00"/>
    <m/>
    <n v="1"/>
    <n v="1"/>
    <n v="2048"/>
    <n v="2048"/>
    <s v="HE64"/>
    <s v="NWK ACCESS TECH"/>
    <s v="HEO"/>
    <s v="TRANSMITTER"/>
    <s v="HT"/>
    <s v="AS-STANDARD ORDER MIXED"/>
    <s v="A-SURFACE"/>
    <s v="OP"/>
    <n v="1248864"/>
    <s v="A-SURFACE"/>
    <m/>
    <m/>
    <m/>
    <s v="A-SURFACE"/>
    <s v="LTL"/>
    <s v="EXW"/>
    <s v="Collect"/>
    <m/>
    <m/>
    <s v="Parcel ships &lt;150 lbs use UPS #2E2866. LTL ships EM ECHO at mediacom@echo.com or call 312-488-2753"/>
    <m/>
    <m/>
    <m/>
    <m/>
    <s v="0"/>
    <s v="0"/>
  </r>
  <r>
    <s v="SJ2"/>
    <s v="5001490"/>
    <s v="MEDIACOM"/>
    <s v="CHANHASSEN"/>
    <s v="R022P19L1"/>
    <s v="SJ2_STAG"/>
    <s v="MEDIACOM"/>
    <s v="1670 Lake Dr W"/>
    <s v="MN"/>
    <s v="Chanhassen"/>
    <s v="55317-8583"/>
    <s v="FA3517F-00-AS"/>
    <s v="FBROPT AMPLIFIER 17DBM GAIN FL"/>
    <s v="20116775"/>
    <s v="9.1"/>
    <x v="247"/>
    <n v="1951518"/>
    <d v="2016-10-13T16:15:11"/>
    <m/>
    <d v="2016-10-15T00:00:00"/>
    <d v="2016-10-13T00:00:00"/>
    <d v="2016-10-17T00:00:00"/>
    <m/>
    <n v="2"/>
    <m/>
    <n v="9856"/>
    <m/>
    <s v="N125"/>
    <s v="NWK ACCESS TECH"/>
    <s v="HEO"/>
    <s v="HEO MISC AURORA"/>
    <s v="EDFA"/>
    <s v="AS-STANDARD ORDER MIXED"/>
    <s v="A-SURFACE"/>
    <s v="OP"/>
    <n v="1243259"/>
    <s v="A-SURFACE"/>
    <m/>
    <m/>
    <m/>
    <s v="A-SURFACE"/>
    <s v="LTL"/>
    <s v="EXW"/>
    <s v="Collect"/>
    <m/>
    <m/>
    <s v="Parcel ships &lt;150 lbs use UPS #2E2866. LTL ships EM ECHO at mediacom@echo.com or call 312-488-2753"/>
    <m/>
    <m/>
    <m/>
    <m/>
    <s v="0"/>
    <s v="0"/>
  </r>
  <r>
    <s v="SJ2"/>
    <s v="5001490"/>
    <s v="MEDIACOM"/>
    <s v="CHANHASSEN"/>
    <s v="R015P53L5"/>
    <s v="SJ2_STAG"/>
    <s v="MEDIACOM"/>
    <s v="1670 Lake Dr W"/>
    <s v="MN"/>
    <s v="Chanhassen"/>
    <s v="55317-8583"/>
    <s v="CH3000N"/>
    <s v="CHASSIS NO COVERS 3RU"/>
    <s v="20117173"/>
    <s v="1.1"/>
    <x v="249"/>
    <n v="1952500"/>
    <d v="2016-10-17T12:33:29"/>
    <m/>
    <d v="2016-10-17T00:00:00"/>
    <d v="2016-10-21T00:00:00"/>
    <d v="2016-10-17T00:00:00"/>
    <m/>
    <n v="1"/>
    <m/>
    <n v="256"/>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12L2"/>
    <s v="SJ2_STAG"/>
    <s v="MEDIACOM"/>
    <s v="1670 Lake Dr W"/>
    <s v="MN"/>
    <s v="Chanhassen"/>
    <s v="55317-8583"/>
    <s v="WH4144"/>
    <s v="WIRING HARNESS 4 X 4 COAX"/>
    <s v="20117173"/>
    <s v="17.1"/>
    <x v="249"/>
    <n v="1952499"/>
    <d v="2016-10-17T12:33:29"/>
    <m/>
    <d v="2016-10-17T00:00:00"/>
    <d v="2016-10-21T00:00:00"/>
    <d v="2016-10-17T00:00:00"/>
    <m/>
    <n v="1"/>
    <m/>
    <n v="109"/>
    <m/>
    <s v="N224"/>
    <s v="NWK ACCESS TECH"/>
    <s v="ACCESS OTHER"/>
    <s v="OTHER AURORA"/>
    <s v="N22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3P63L2"/>
    <s v="SJ2_STAG"/>
    <s v="MEDIACOM"/>
    <s v="1670 Lake Dr W"/>
    <s v="MN"/>
    <s v="Chanhassen"/>
    <s v="55317-8583"/>
    <s v="OP34D10S-1-00-AS"/>
    <s v="DEMUX CWDM 10CH 1310 FLTR SC/A"/>
    <s v="20117173"/>
    <s v="19.1"/>
    <x v="249"/>
    <n v="1952499"/>
    <d v="2016-10-17T12:33:29"/>
    <m/>
    <d v="2016-10-17T00:00:00"/>
    <d v="2016-10-21T00:00:00"/>
    <d v="2016-10-17T00:00:00"/>
    <m/>
    <n v="1"/>
    <m/>
    <n v="1523"/>
    <m/>
    <s v="N165"/>
    <s v="NWK ACCESS TECH"/>
    <s v="OPTICAL PASSIVES"/>
    <s v="INDOOR PASSIVES AURORA"/>
    <s v="N1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4P18L1B01"/>
    <s v="SJ2_STAG"/>
    <s v="MEDIACOM"/>
    <s v="1670 Lake Dr W"/>
    <s v="MN"/>
    <s v="Chanhassen"/>
    <s v="55317-8583"/>
    <s v="JC1124"/>
    <s v="PATCH CORD SC/APC-LC/UPC 2MM J"/>
    <s v="20117173"/>
    <s v="21.1"/>
    <x v="250"/>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16P05L1B02"/>
    <s v="SJ2_STAG"/>
    <s v="MEDIACOM"/>
    <s v="1670 Lake Dr W"/>
    <s v="MN"/>
    <s v="Chanhassen"/>
    <s v="55317-8583"/>
    <s v="DT4250N-50-00"/>
    <s v="DGTL XCVR ENH MULTI-MODES OF O"/>
    <s v="20117173"/>
    <s v="22.1"/>
    <x v="249"/>
    <n v="1952500"/>
    <d v="2016-10-17T12:33:29"/>
    <m/>
    <d v="2016-10-17T00:00:00"/>
    <d v="2016-10-21T00:00:00"/>
    <d v="2016-10-17T00:00:00"/>
    <m/>
    <n v="1"/>
    <m/>
    <n v="320"/>
    <m/>
    <s v="N065"/>
    <s v="NWK ACCESS TECH"/>
    <s v="NODE"/>
    <s v="NODE MISC AURORA"/>
    <s v="N06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173"/>
    <s v="24.1"/>
    <x v="250"/>
    <n v="1961101"/>
    <d v="2016-10-17T12:33:29"/>
    <m/>
    <d v="2016-10-26T00:00:00"/>
    <d v="2016-10-21T00:00:00"/>
    <d v="2016-10-26T00:00:00"/>
    <m/>
    <n v="5"/>
    <n v="5"/>
    <n v="90"/>
    <n v="90"/>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CHANHASSEN"/>
    <s v="R015P16L3"/>
    <s v="SJ2_STAG"/>
    <s v="MEDIACOM"/>
    <s v="1670 Lake Dr W"/>
    <s v="MN"/>
    <s v="Chanhassen"/>
    <s v="55317-8583"/>
    <s v="BP3400C-00"/>
    <s v="BACKPLATE 4.25 GB/S 1-FER/2-FE"/>
    <s v="20117173"/>
    <s v="25.1"/>
    <x v="249"/>
    <n v="1952499"/>
    <d v="2016-10-17T12:33:29"/>
    <m/>
    <d v="2016-10-17T00:00:00"/>
    <d v="2016-10-21T00:00:00"/>
    <d v="2016-10-17T00:00:00"/>
    <m/>
    <n v="1"/>
    <m/>
    <n v="512"/>
    <m/>
    <s v="N076"/>
    <s v="NWK ACCESS TECH"/>
    <s v="HEO"/>
    <s v="HEO MISC AURORA"/>
    <s v="N076"/>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44L3B01"/>
    <s v="SJ2_STAG"/>
    <s v="MEDIACOM"/>
    <s v="1670 Lake Dr W"/>
    <s v="MN"/>
    <s v="Chanhassen"/>
    <s v="55317-8583"/>
    <s v="DR3450N-50-00"/>
    <s v="DIGITAL RECEIVER Q-RX 2.125GBP"/>
    <s v="20117173"/>
    <s v="26.1"/>
    <x v="249"/>
    <n v="1952500"/>
    <d v="2016-10-17T12:33:29"/>
    <m/>
    <d v="2016-10-17T00:00:00"/>
    <d v="2016-10-21T00:00:00"/>
    <d v="2016-10-17T00:00:00"/>
    <m/>
    <n v="1"/>
    <m/>
    <n v="1280"/>
    <m/>
    <s v="N275"/>
    <s v="NWK ACCESS TECH"/>
    <s v="HEO"/>
    <s v="RECEIVERS AURORA"/>
    <s v="N275"/>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03L4B01"/>
    <s v="SJ2_STAG"/>
    <s v="MEDIACOM"/>
    <s v="1670 Lake Dr W"/>
    <s v="MN"/>
    <s v="Chanhassen"/>
    <s v="55317-8583"/>
    <s v="NC412A1S251-00000000"/>
    <s v="BASE NODE 5-42/51-870MHZ JXP"/>
    <s v="20117173"/>
    <s v="29.1"/>
    <x v="249"/>
    <n v="1952500"/>
    <d v="2016-10-17T12:33:29"/>
    <m/>
    <d v="2016-10-17T00:00:00"/>
    <d v="2016-10-21T00:00:00"/>
    <d v="2016-10-17T00:00:00"/>
    <m/>
    <n v="1"/>
    <m/>
    <n v="1754"/>
    <m/>
    <s v="N034"/>
    <s v="NWK ACCESS TECH"/>
    <s v="NODE"/>
    <s v="NC4000 AURORA"/>
    <s v="N03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6P51L1B02"/>
    <s v="SJ2_STAG"/>
    <s v="MEDIACOM"/>
    <s v="1670 Lake Dr W"/>
    <s v="MN"/>
    <s v="Chanhassen"/>
    <s v="55317-8583"/>
    <s v="CH3000U-FM-00"/>
    <s v="ADAPTER FIBER MGT FOR CH3000 C"/>
    <s v="20117173"/>
    <s v="3.1"/>
    <x v="249"/>
    <n v="1952499"/>
    <d v="2016-10-17T12:33:29"/>
    <m/>
    <d v="2016-10-17T00:00:00"/>
    <d v="2016-10-21T00:00:00"/>
    <d v="2016-10-17T00:00:00"/>
    <m/>
    <n v="1"/>
    <m/>
    <n v="64"/>
    <m/>
    <s v="N199"/>
    <s v="NWK ACCESS TECH"/>
    <s v="HEO"/>
    <s v="HEO MISC AURORA"/>
    <s v="N199"/>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22L3"/>
    <s v="SJ2_STAG"/>
    <s v="MEDIACOM"/>
    <s v="1670 Lake Dr W"/>
    <s v="MN"/>
    <s v="Chanhassen"/>
    <s v="55317-8583"/>
    <s v="PS3005D"/>
    <s v="POWER SUPPLY 250W CE TUV W/DIS"/>
    <s v="20117173"/>
    <s v="7.1"/>
    <x v="249"/>
    <n v="1952499"/>
    <d v="2016-10-17T12:33:29"/>
    <m/>
    <d v="2016-10-17T00:00:00"/>
    <d v="2016-10-21T00:00:00"/>
    <d v="2016-10-17T00:00:00"/>
    <m/>
    <n v="1"/>
    <m/>
    <n v="640"/>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CHANHASSEN"/>
    <s v="R015P39L2"/>
    <s v="SJ2_STAG"/>
    <s v="MEDIACOM"/>
    <s v="1670 Lake Dr W"/>
    <s v="MN"/>
    <s v="Chanhassen"/>
    <s v="55317-8583"/>
    <s v="PS3005N"/>
    <s v="POWER SUPPLY 250W CE TUV W/O D"/>
    <s v="20117173"/>
    <s v="8.1"/>
    <x v="249"/>
    <n v="1952499"/>
    <d v="2016-10-17T12:33:29"/>
    <m/>
    <d v="2016-10-17T00:00:00"/>
    <d v="2016-10-21T00:00:00"/>
    <d v="2016-10-17T00:00:00"/>
    <m/>
    <n v="1"/>
    <m/>
    <n v="538"/>
    <m/>
    <s v="N204"/>
    <s v="NWK ACCESS TECH"/>
    <s v="ACCESS OTHER"/>
    <s v="OTHER AURORA"/>
    <s v="N204"/>
    <s v="AS-STANDARD ORDER MIXED"/>
    <s v="A-SURFACE"/>
    <s v="OP"/>
    <n v="1244659"/>
    <s v="A-SURFACE"/>
    <m/>
    <m/>
    <m/>
    <s v="A-SURFACE"/>
    <s v="LTL"/>
    <s v="EXW"/>
    <s v="Collect"/>
    <m/>
    <m/>
    <s v="Parcel ships &lt;150 lbs use UPS #2E2866. LTL ships EM ECHO at mediacom@echo.com or call 312-488-2753"/>
    <m/>
    <m/>
    <m/>
    <m/>
    <s v="0"/>
    <s v="0"/>
  </r>
  <r>
    <s v="SJ2"/>
    <s v="5001490"/>
    <s v="MEDIACOM"/>
    <s v="SPRINGFIELD,MO 65803"/>
    <s v="R022P78L3"/>
    <s v="SJ2_STAG"/>
    <s v="MEDIACOM COMMUNICATIONS CORPORATION"/>
    <s v="1631 N Packer Rd"/>
    <s v="MO"/>
    <s v="Springfield"/>
    <s v="65803-5273"/>
    <s v="RR4000-00-PI"/>
    <s v="RCVR DUAL PLUGGABLE SFP 3 GBPS"/>
    <s v="20117180"/>
    <s v="11.1"/>
    <x v="251"/>
    <n v="1954466"/>
    <d v="2016-10-17T12:56:02"/>
    <m/>
    <d v="2016-10-19T00:00:00"/>
    <d v="2016-10-28T00:00:00"/>
    <d v="2016-10-21T00:00:00"/>
    <m/>
    <n v="1"/>
    <m/>
    <n v="192"/>
    <m/>
    <s v="N224"/>
    <s v="NWK ACCESS TECH"/>
    <s v="ACCESS OTHER"/>
    <s v="OTHER AURORA"/>
    <s v="N224"/>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05L4"/>
    <s v="SJ2_STAG"/>
    <s v="MEDIACOM COMMUNICATIONS CORPORATION"/>
    <s v="1631 N Packer Rd"/>
    <s v="MO"/>
    <s v="Springfield"/>
    <s v="65803-5273"/>
    <s v="OP91S3S-EQ-N0-00"/>
    <s v="FIELD COUPLER 1X3 BAL N-CASE 0"/>
    <s v="20117180"/>
    <s v="12.1"/>
    <x v="251"/>
    <n v="1954427"/>
    <d v="2016-10-17T12:56:02"/>
    <m/>
    <d v="2016-10-19T00:00:00"/>
    <d v="2016-10-28T00:00:00"/>
    <d v="2016-10-21T00:00:00"/>
    <m/>
    <n v="1"/>
    <m/>
    <n v="70"/>
    <m/>
    <s v="N156"/>
    <s v="NWK ACCESS TECH"/>
    <s v="ACCESS OTHER"/>
    <s v="OTHER AURORA"/>
    <s v="N15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44L4"/>
    <s v="SJ2_STAG"/>
    <s v="MEDIACOM COMMUNICATIONS CORPORATION"/>
    <s v="1631 N Packer Rd"/>
    <s v="MO"/>
    <s v="Springfield"/>
    <s v="65803-5273"/>
    <s v="DT4250N-50-00"/>
    <s v="DGTL XCVR ENH MULTI-MODES OF O"/>
    <s v="20117180"/>
    <s v="14.1"/>
    <x v="251"/>
    <n v="1954427"/>
    <d v="2016-10-17T12:56:02"/>
    <m/>
    <d v="2016-10-19T00:00:00"/>
    <d v="2016-10-28T00:00:00"/>
    <d v="2016-10-21T00:00:00"/>
    <m/>
    <n v="1"/>
    <m/>
    <n v="320"/>
    <m/>
    <s v="N065"/>
    <s v="NWK ACCESS TECH"/>
    <s v="NODE"/>
    <s v="NODE MISC AURORA"/>
    <s v="N06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16L3"/>
    <s v="SJ2_STAG"/>
    <s v="MEDIACOM COMMUNICATIONS CORPORATION"/>
    <s v="1631 N Packer Rd"/>
    <s v="MO"/>
    <s v="Springfield"/>
    <s v="65803-5273"/>
    <s v="BP3400C-00"/>
    <s v="BACKPLATE 4.25 GB/S 1-FER/2-FE"/>
    <s v="20117180"/>
    <s v="15.1"/>
    <x v="251"/>
    <n v="1954427"/>
    <d v="2016-10-17T12:56:02"/>
    <m/>
    <d v="2016-10-19T00:00:00"/>
    <d v="2016-10-28T00:00:00"/>
    <d v="2016-10-21T00:00:00"/>
    <m/>
    <n v="1"/>
    <m/>
    <n v="512"/>
    <m/>
    <s v="N076"/>
    <s v="NWK ACCESS TECH"/>
    <s v="HEO"/>
    <s v="HEO MISC AURORA"/>
    <s v="N076"/>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15P44L2"/>
    <s v="SJ2_STAG"/>
    <s v="MEDIACOM COMMUNICATIONS CORPORATION"/>
    <s v="1631 N Packer Rd"/>
    <s v="MO"/>
    <s v="Springfield"/>
    <s v="65803-5273"/>
    <s v="DR3450N-50-00"/>
    <s v="DIGITAL RECEIVER Q-RX 2.125GBP"/>
    <s v="20117180"/>
    <s v="16.1"/>
    <x v="251"/>
    <n v="1954427"/>
    <d v="2016-10-17T12:56:02"/>
    <m/>
    <d v="2016-10-19T00:00:00"/>
    <d v="2016-10-28T00:00:00"/>
    <d v="2016-10-21T00:00:00"/>
    <m/>
    <n v="1"/>
    <m/>
    <n v="1280"/>
    <m/>
    <s v="N275"/>
    <s v="NWK ACCESS TECH"/>
    <s v="HEO"/>
    <s v="RECEIVERS AURORA"/>
    <s v="N27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10L4"/>
    <s v="SJ2_STAG"/>
    <s v="MEDIACOM COMMUNICATIONS CORPORATION"/>
    <s v="1631 N Packer Rd"/>
    <s v="MO"/>
    <s v="Springfield"/>
    <s v="65803-5273"/>
    <s v="TR4440B-1610-PI"/>
    <s v="TRANSCEIVER SFP 60KM CWDM 1610"/>
    <s v="20117180"/>
    <s v="3.1"/>
    <x v="252"/>
    <n v="1961992"/>
    <d v="2016-10-17T12:56:02"/>
    <m/>
    <d v="2016-10-27T00:00:00"/>
    <d v="2016-10-28T00:00:00"/>
    <d v="2016-10-27T00:00:00"/>
    <m/>
    <n v="1"/>
    <m/>
    <n v="384"/>
    <m/>
    <s v="N252"/>
    <s v="NWK ACCESS TECH"/>
    <s v="NODE"/>
    <s v="NODE MISC AURORA"/>
    <s v="N252"/>
    <s v="AS-STANDARD ORDER MIXED"/>
    <s v="A-SURFACE"/>
    <s v="OP"/>
    <n v="1250456"/>
    <s v="A-SURFACE"/>
    <m/>
    <m/>
    <m/>
    <s v="A-SURFACE"/>
    <s v="LTL"/>
    <s v="EXW"/>
    <s v="Collect"/>
    <m/>
    <m/>
    <s v="Parcel ships &lt;150 lbs use UPS #2E2866. LTL ships EM ECHO at mediacom@echo.com or call 312-488-2753"/>
    <m/>
    <m/>
    <m/>
    <m/>
    <s v="0"/>
    <s v="0"/>
  </r>
  <r>
    <s v="SJ2"/>
    <s v="5001490"/>
    <s v="MEDIACOM"/>
    <s v="SPRINGFIELD,MO 65803"/>
    <s v="R022P27L4"/>
    <s v="SJ2_STAG"/>
    <s v="MEDIACOM COMMUNICATIONS CORPORATION"/>
    <s v="1631 N Packer Rd"/>
    <s v="MO"/>
    <s v="Springfield"/>
    <s v="65803-5273"/>
    <s v="AT3312L-LL-2-AS"/>
    <s v="ANLG XMTR LCWDM CH LL 12DBM 1G"/>
    <s v="20117180"/>
    <s v="4.1"/>
    <x v="251"/>
    <n v="1954466"/>
    <d v="2016-10-17T12:56:02"/>
    <m/>
    <d v="2016-10-19T00:00:00"/>
    <d v="2016-10-28T00:00:00"/>
    <d v="2016-10-21T00:00:00"/>
    <m/>
    <n v="1"/>
    <m/>
    <n v="2534"/>
    <m/>
    <s v="HE63"/>
    <s v="NWK ACCESS TECH"/>
    <s v="HEO"/>
    <s v="TRANSMITTER"/>
    <s v="AT"/>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3P43L3"/>
    <s v="SJ2_STAG"/>
    <s v="MEDIACOM COMMUNICATIONS CORPORATION"/>
    <s v="1631 N Packer Rd"/>
    <s v="MO"/>
    <s v="Springfield"/>
    <s v="65803-5273"/>
    <s v="OP34D5H-1-00-AS"/>
    <s v="DEMUX CWDM HIGH 5CH 1310 FLTR"/>
    <s v="20117180"/>
    <s v="7.1"/>
    <x v="251"/>
    <n v="1954427"/>
    <d v="2016-10-17T12:56:02"/>
    <m/>
    <d v="2016-10-19T00:00:00"/>
    <d v="2016-10-28T00:00:00"/>
    <d v="2016-10-21T00:00:00"/>
    <m/>
    <n v="1"/>
    <m/>
    <n v="909"/>
    <m/>
    <s v="N165"/>
    <s v="NWK ACCESS TECH"/>
    <s v="OPTICAL PASSIVES"/>
    <s v="INDOOR PASSIVES AURORA"/>
    <s v="N165"/>
    <s v="AS-STANDARD ORDER MIXED"/>
    <s v="A-SURFACE"/>
    <s v="OP"/>
    <n v="1245590"/>
    <s v="A-SURFACE"/>
    <m/>
    <m/>
    <m/>
    <s v="A-SURFACE"/>
    <s v="LTL"/>
    <s v="EXW"/>
    <s v="Collect"/>
    <m/>
    <m/>
    <s v="Parcel ships &lt;150 lbs use UPS #2E2866. LTL ships EM ECHO at mediacom@echo.com or call 312-488-2753"/>
    <m/>
    <m/>
    <m/>
    <m/>
    <s v="0"/>
    <s v="0"/>
  </r>
  <r>
    <s v="SJ2"/>
    <s v="5001490"/>
    <s v="MEDIACOM"/>
    <s v="SPRINGFIELD,MO 65803"/>
    <s v="R022P46L6"/>
    <s v="SJ2_STAG"/>
    <s v="MEDIACOM COMMUNICATIONS CORPORATION"/>
    <s v="1631 N Packer Rd"/>
    <s v="MO"/>
    <s v="Springfield"/>
    <s v="65803-5273"/>
    <s v="OP93D4N-1-00-R2-00"/>
    <s v="LCWDM DEMUX 4CH F-CASE 2MM NO"/>
    <s v="20117180"/>
    <s v="8.1"/>
    <x v="252"/>
    <n v="1961992"/>
    <d v="2016-10-17T12:56:02"/>
    <m/>
    <d v="2016-10-27T00:00:00"/>
    <d v="2016-10-28T00:00:00"/>
    <d v="2016-10-28T00:00:00"/>
    <m/>
    <n v="1"/>
    <m/>
    <n v="1024"/>
    <m/>
    <s v="N164"/>
    <s v="NWK ACCESS TECH"/>
    <s v="OPTICAL PASSIVES"/>
    <s v="INDOOR PASSIVES AURORA"/>
    <s v="N164"/>
    <s v="AS-STANDARD ORDER MIXED"/>
    <s v="A-SURFACE"/>
    <s v="OP"/>
    <n v="1250456"/>
    <s v="A-SURFACE"/>
    <m/>
    <m/>
    <m/>
    <s v="A-SURFACE"/>
    <s v="LTL"/>
    <s v="EXW"/>
    <s v="Collect"/>
    <m/>
    <m/>
    <s v="Parcel ships &lt;150 lbs use UPS #2E2866. LTL ships EM ECHO at mediacom@echo.com or call 312-488-2753"/>
    <m/>
    <m/>
    <m/>
    <m/>
    <s v="0"/>
    <s v="0"/>
  </r>
  <r>
    <s v="SJ2"/>
    <s v="5001490"/>
    <s v="MEDIACOM"/>
    <s v="CHANHASSEN"/>
    <s v="R024P17L2B01"/>
    <s v="SJ2_STAG"/>
    <s v="MEDIACOM"/>
    <s v="1670 Lake Dr W"/>
    <s v="MN"/>
    <s v="Chanhassen"/>
    <s v="55317-8583"/>
    <s v="JC1123"/>
    <s v="PATCH CORD SC/APC-LC/UPC 2MM J"/>
    <s v="20117879"/>
    <s v="10.1"/>
    <x v="253"/>
    <n v="1961101"/>
    <d v="2016-10-20T14:34:34"/>
    <m/>
    <d v="2016-10-26T00:00:00"/>
    <d v="2016-10-21T00:00:00"/>
    <d v="2016-10-26T00:00:00"/>
    <m/>
    <n v="2"/>
    <n v="2"/>
    <n v="36"/>
    <n v="36"/>
    <s v="N223"/>
    <s v="NWK ACCESS TECH"/>
    <s v="OPTICAL PASSIVES"/>
    <s v="INDOOR PASSIVES AURORA"/>
    <s v="N223"/>
    <s v="AS-STANDARD ORDER MIXED"/>
    <s v="A-SURFACE"/>
    <s v="OP"/>
    <n v="1249843"/>
    <s v="A-SURFACE"/>
    <m/>
    <m/>
    <m/>
    <s v="A-SURFACE"/>
    <s v="LTL"/>
    <s v="EXW"/>
    <s v="Collect"/>
    <m/>
    <m/>
    <s v="Parcel ships &lt;150 lbs use UPS #2E2866. LTL ships EM ECHO at mediacom@echo.com or call 312-488-2753"/>
    <m/>
    <m/>
    <m/>
    <m/>
    <s v="0"/>
    <s v="0"/>
  </r>
  <r>
    <s v="SJ2"/>
    <s v="5001490"/>
    <s v="MEDIACOM"/>
    <s v="LOXLEY"/>
    <s v="R016P41L3B02"/>
    <s v="SJ2_STAG"/>
    <s v="MEDIACOM COMMUNICATIONS CORP"/>
    <s v="25508 Cabinet Shop Rd"/>
    <s v="AL"/>
    <s v="Loxley"/>
    <s v="36551-7614"/>
    <s v="CP8516U-00-10"/>
    <s v="CPE MDU RFOG PREM 1550/1610 42"/>
    <s v="20119251"/>
    <s v="4.1"/>
    <x v="254"/>
    <n v="1962767"/>
    <d v="2016-10-27T17:32:49"/>
    <m/>
    <d v="2016-10-27T00:00:00"/>
    <d v="2016-11-01T00:00:00"/>
    <d v="2016-10-27T00:00:00"/>
    <m/>
    <n v="3"/>
    <m/>
    <n v="954"/>
    <m/>
    <s v="N234"/>
    <s v="NWK ACCESS TECH"/>
    <s v="HPON"/>
    <s v="CPE AURORA"/>
    <s v="CPE"/>
    <s v="AS-STANDARD ORDER MIXED"/>
    <s v="A-SURFACE"/>
    <s v="OP"/>
    <n v="1250840"/>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MOLINE (4507)"/>
    <s v="R022P78L4"/>
    <s v="SJ2_STAG"/>
    <s v="MEDIACOM COMMUNICTIONS CORP"/>
    <s v="4507 49th Ave"/>
    <s v="IL"/>
    <s v="Moline"/>
    <s v="61265-7578"/>
    <s v="DT3515C-36-1-2-65-AS"/>
    <s v="DGTL XMTR 200km 100GHz 2x5-65M"/>
    <s v="20119486"/>
    <s v="2.1"/>
    <x v="255"/>
    <n v="1963680"/>
    <d v="2016-10-28T16:30:21"/>
    <m/>
    <d v="2016-10-28T00:00:00"/>
    <d v="2016-10-28T00:00:00"/>
    <d v="2016-10-28T00:00:00"/>
    <m/>
    <n v="1"/>
    <m/>
    <n v="1843"/>
    <m/>
    <s v="N063"/>
    <s v="NWK ACCESS TECH"/>
    <s v="HEO"/>
    <s v="TRANSMITTERS AURORA"/>
    <s v="N06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15P39L2"/>
    <s v="SJ2_STAG"/>
    <s v="MEDIACOM LLC"/>
    <s v="90 Main St"/>
    <s v="KY"/>
    <s v="Benton"/>
    <s v="42025-1132"/>
    <s v="PS3005N"/>
    <s v="POWER SUPPLY 250W CE TUV W/O D"/>
    <s v="20119490"/>
    <s v="10.1"/>
    <x v="256"/>
    <n v="1963676"/>
    <d v="2016-10-28T16:34:18"/>
    <m/>
    <d v="2016-10-28T00:00:00"/>
    <d v="2016-10-28T00:00:00"/>
    <d v="2016-10-28T00:00:00"/>
    <m/>
    <n v="1"/>
    <m/>
    <n v="538"/>
    <m/>
    <s v="N204"/>
    <s v="NWK ACCESS TECH"/>
    <s v="ACCESS OTHER"/>
    <s v="OTHER AURORA"/>
    <s v="N20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73L6"/>
    <s v="SJ2_STAG"/>
    <s v="MEDIACOM LLC"/>
    <s v="90 Main St"/>
    <s v="KY"/>
    <s v="Benton"/>
    <s v="42025-1132"/>
    <s v="CX3002"/>
    <s v="COMMUNICATIONS MODULE"/>
    <s v="20119490"/>
    <s v="11.1"/>
    <x v="256"/>
    <n v="1963678"/>
    <d v="2016-10-28T16:34:18"/>
    <m/>
    <d v="2016-10-28T00:00:00"/>
    <d v="2016-10-28T00:00:00"/>
    <d v="2016-10-28T00:00:00"/>
    <m/>
    <n v="2"/>
    <m/>
    <n v="870"/>
    <m/>
    <s v="N080"/>
    <s v="NWK ACCESS TECH"/>
    <s v="HEO"/>
    <s v="HEO MISC AURORA"/>
    <s v="N080"/>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m/>
    <s v="SJ2_STAG"/>
    <s v="MEDIACOM LLC"/>
    <s v="90 Main St"/>
    <s v="KY"/>
    <s v="Benton"/>
    <s v="42025-1132"/>
    <s v="PS3148D"/>
    <s v="POWER SUPPLY W/DISPLAY -48VDC"/>
    <s v="20119490"/>
    <s v="12.1"/>
    <x v="256"/>
    <n v="1963677"/>
    <d v="2016-10-28T16:34:18"/>
    <m/>
    <d v="2016-10-28T00:00:00"/>
    <d v="2016-10-28T00:00:00"/>
    <d v="2016-10-28T00:00:00"/>
    <m/>
    <n v="1"/>
    <m/>
    <n v="730"/>
    <m/>
    <s v="N204"/>
    <s v="NWK ACCESS TECH"/>
    <s v="ACCESS OTHER"/>
    <s v="OTHER AURORA"/>
    <s v="N20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16P32L1B02"/>
    <s v="SJ2_STAG"/>
    <s v="MEDIACOM LLC"/>
    <s v="90 Main St"/>
    <s v="KY"/>
    <s v="Benton"/>
    <s v="42025-1132"/>
    <s v="PS3148N"/>
    <s v="POWER SUPPLY NO DISPLAY -48VDC"/>
    <s v="20119490"/>
    <s v="13.1"/>
    <x v="256"/>
    <n v="1963676"/>
    <d v="2016-10-28T16:34:18"/>
    <m/>
    <d v="2016-10-28T00:00:00"/>
    <d v="2016-10-28T00:00:00"/>
    <d v="2016-10-28T00:00:00"/>
    <m/>
    <n v="1"/>
    <m/>
    <n v="627"/>
    <m/>
    <s v="N204"/>
    <s v="NWK ACCESS TECH"/>
    <s v="ACCESS OTHER"/>
    <s v="OTHER AURORA"/>
    <s v="N20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68L7"/>
    <s v="SJ2_STAG"/>
    <s v="MEDIACOM LLC"/>
    <s v="90 Main St"/>
    <s v="KY"/>
    <s v="Benton"/>
    <s v="42025-1132"/>
    <s v="BP-35M4J-1-02-AS"/>
    <s v="OPTICAL MUX BP 100GHZ ITU CH 2"/>
    <s v="20119490"/>
    <s v="2.1"/>
    <x v="256"/>
    <n v="1963676"/>
    <d v="2016-10-28T16:34:18"/>
    <m/>
    <d v="2016-10-28T00:00:00"/>
    <d v="2016-10-28T00:00:00"/>
    <d v="2016-10-28T00:00:00"/>
    <m/>
    <n v="1"/>
    <m/>
    <n v="947"/>
    <m/>
    <s v="N133"/>
    <s v="NWK ACCESS TECH"/>
    <s v="HEO"/>
    <s v="HEO MISC AURORA"/>
    <s v="N13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79L1"/>
    <s v="SJ2_STAG"/>
    <s v="MEDIACOM LLC"/>
    <s v="90 Main St"/>
    <s v="KY"/>
    <s v="Benton"/>
    <s v="42025-1132"/>
    <s v="JC1112-001-0"/>
    <s v="PATCH CORD SC/APC-SC/APC 2MM J"/>
    <s v="20119490"/>
    <s v="20.1"/>
    <x v="256"/>
    <n v="1963676"/>
    <d v="2016-10-28T16:34:18"/>
    <m/>
    <d v="2016-10-28T00:00:00"/>
    <d v="2016-10-28T00:00:00"/>
    <d v="2016-10-28T00:00:00"/>
    <m/>
    <n v="10"/>
    <m/>
    <n v="200"/>
    <m/>
    <s v="N223"/>
    <s v="NWK ACCESS TECH"/>
    <s v="OPTICAL PASSIVES"/>
    <s v="INDOOR PASSIVES AURORA"/>
    <s v="N22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60L4"/>
    <s v="SJ2_STAG"/>
    <s v="MEDIACOM LLC"/>
    <s v="90 Main St"/>
    <s v="KY"/>
    <s v="Benton"/>
    <s v="42025-1132"/>
    <s v="BP3100C-00"/>
    <s v="BACKPLATE 3.2 GB/S 1-FER/2-FER"/>
    <s v="20119490"/>
    <s v="21.1"/>
    <x v="256"/>
    <n v="1963678"/>
    <d v="2016-10-28T16:34:18"/>
    <m/>
    <d v="2016-10-28T00:00:00"/>
    <d v="2016-10-28T00:00:00"/>
    <d v="2016-10-28T00:00:00"/>
    <m/>
    <n v="1"/>
    <m/>
    <n v="256"/>
    <m/>
    <s v="N198"/>
    <s v="NWK ACCESS TECH"/>
    <s v="HEO"/>
    <s v="HEO MISC AURORA"/>
    <s v="N198"/>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32L5"/>
    <s v="SJ2_STAG"/>
    <s v="MEDIACOM LLC"/>
    <s v="90 Main St"/>
    <s v="KY"/>
    <s v="Benton"/>
    <s v="42025-1132"/>
    <s v="RR4000-00-PI"/>
    <s v="RCVR DUAL PLUGGABLE SFP 3 GBPS"/>
    <s v="20119490"/>
    <s v="22.1"/>
    <x v="256"/>
    <n v="1963678"/>
    <d v="2016-10-28T16:34:18"/>
    <m/>
    <d v="2016-10-28T00:00:00"/>
    <d v="2016-10-28T00:00:00"/>
    <d v="2016-10-28T00:00:00"/>
    <m/>
    <n v="4"/>
    <m/>
    <n v="768"/>
    <m/>
    <s v="N224"/>
    <s v="NWK ACCESS TECH"/>
    <s v="ACCESS OTHER"/>
    <s v="OTHER AURORA"/>
    <s v="N22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69L3"/>
    <s v="SJ2_STAG"/>
    <s v="MEDIACOM LLC"/>
    <s v="90 Main St"/>
    <s v="KY"/>
    <s v="Benton"/>
    <s v="42025-1132"/>
    <s v="JC1112-000-5"/>
    <s v="PATCH CORD SC/APC-SC/APC 2MM J"/>
    <s v="20119490"/>
    <s v="23.1"/>
    <x v="256"/>
    <n v="1963676"/>
    <d v="2016-10-28T16:34:18"/>
    <m/>
    <d v="2016-10-28T00:00:00"/>
    <d v="2016-10-28T00:00:00"/>
    <d v="2016-10-28T00:00:00"/>
    <m/>
    <n v="10"/>
    <m/>
    <n v="200"/>
    <m/>
    <s v="N223"/>
    <s v="NWK ACCESS TECH"/>
    <s v="OPTICAL PASSIVES"/>
    <s v="INDOOR PASSIVES AURORA"/>
    <s v="N22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31L4"/>
    <s v="SJ2_STAG"/>
    <s v="MEDIACOM LLC"/>
    <s v="90 Main St"/>
    <s v="KY"/>
    <s v="Benton"/>
    <s v="42025-1132"/>
    <s v="OP35D4-CF1-1-99-AS"/>
    <s v="OPT DEMUX4 100GHZ A1 CF3 EXP -"/>
    <s v="20119490"/>
    <s v="24.1"/>
    <x v="256"/>
    <n v="1963678"/>
    <d v="2016-10-28T16:34:18"/>
    <m/>
    <d v="2016-10-28T00:00:00"/>
    <d v="2016-10-28T00:00:00"/>
    <d v="2016-10-28T00:00:00"/>
    <m/>
    <n v="1"/>
    <m/>
    <n v="1152"/>
    <m/>
    <s v="N160"/>
    <s v="NWK ACCESS TECH"/>
    <s v="OPTICAL PASSIVES"/>
    <s v="OUTDOOR PASSIVES AURORA"/>
    <s v="N160"/>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15P39L5"/>
    <s v="SJ2_STAG"/>
    <s v="MEDIACOM LLC"/>
    <s v="90 Main St"/>
    <s v="KY"/>
    <s v="Benton"/>
    <s v="42025-1132"/>
    <s v="CH3000N"/>
    <s v="CHASSIS NO COVERS 3RU"/>
    <s v="20119490"/>
    <s v="3.1"/>
    <x v="256"/>
    <n v="1963679"/>
    <d v="2016-10-28T16:34:18"/>
    <m/>
    <d v="2016-10-28T00:00:00"/>
    <d v="2016-10-28T00:00:00"/>
    <d v="2016-10-28T00:00:00"/>
    <m/>
    <n v="2"/>
    <m/>
    <n v="512"/>
    <m/>
    <s v="N199"/>
    <s v="NWK ACCESS TECH"/>
    <s v="HEO"/>
    <s v="HEO MISC AURORA"/>
    <s v="N199"/>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07L3"/>
    <s v="SJ2_STAG"/>
    <s v="MEDIACOM LLC"/>
    <s v="90 Main St"/>
    <s v="KY"/>
    <s v="Benton"/>
    <s v="42025-1132"/>
    <s v="DT3515C-20-1-2-65-AS"/>
    <s v="DGTL XMTR 200KM 100GHZ 2X5-65M"/>
    <s v="20119490"/>
    <s v="30.1"/>
    <x v="256"/>
    <n v="1963678"/>
    <d v="2016-10-28T16:34:18"/>
    <m/>
    <d v="2016-10-28T00:00:00"/>
    <d v="2016-10-28T00:00:00"/>
    <d v="2016-10-28T00:00:00"/>
    <m/>
    <n v="1"/>
    <m/>
    <n v="1843"/>
    <m/>
    <s v="N063"/>
    <s v="NWK ACCESS TECH"/>
    <s v="HEO"/>
    <s v="TRANSMITTERS AURORA"/>
    <s v="N06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07L3"/>
    <s v="SJ2_STAG"/>
    <s v="MEDIACOM LLC"/>
    <s v="90 Main St"/>
    <s v="KY"/>
    <s v="Benton"/>
    <s v="42025-1132"/>
    <s v="DT3515C-21-1-2-65-AS"/>
    <s v="DGTL XMTR 200KM 100GHZ 2X5-65M"/>
    <s v="20119490"/>
    <s v="31.1"/>
    <x v="256"/>
    <n v="1963678"/>
    <d v="2016-10-28T16:34:18"/>
    <m/>
    <d v="2016-10-28T00:00:00"/>
    <d v="2016-10-28T00:00:00"/>
    <d v="2016-10-28T00:00:00"/>
    <m/>
    <n v="1"/>
    <m/>
    <n v="1843"/>
    <m/>
    <s v="N063"/>
    <s v="NWK ACCESS TECH"/>
    <s v="HEO"/>
    <s v="TRANSMITTERS AURORA"/>
    <s v="N06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16L2"/>
    <s v="SJ2_STAG"/>
    <s v="MEDIACOM LLC"/>
    <s v="90 Main St"/>
    <s v="KY"/>
    <s v="Benton"/>
    <s v="42025-1132"/>
    <s v="DT3515C-22-1-2-65-AS"/>
    <s v="DGTL XMTR 200KM 100GHZ 2X5-65M"/>
    <s v="20119490"/>
    <s v="32.1"/>
    <x v="256"/>
    <n v="1963679"/>
    <d v="2016-10-28T16:34:18"/>
    <m/>
    <d v="2016-10-28T00:00:00"/>
    <d v="2016-10-28T00:00:00"/>
    <d v="2016-10-28T00:00:00"/>
    <m/>
    <n v="1"/>
    <m/>
    <n v="1843"/>
    <m/>
    <s v="N063"/>
    <s v="NWK ACCESS TECH"/>
    <s v="HEO"/>
    <s v="TRANSMITTERS AURORA"/>
    <s v="N06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16L2"/>
    <s v="SJ2_STAG"/>
    <s v="MEDIACOM LLC"/>
    <s v="90 Main St"/>
    <s v="KY"/>
    <s v="Benton"/>
    <s v="42025-1132"/>
    <s v="DT3515C-23-1-2-65-AS"/>
    <s v="DGTL XMTR 200KM 100GHZ 2X5-65M"/>
    <s v="20119490"/>
    <s v="33.1"/>
    <x v="256"/>
    <n v="1963679"/>
    <d v="2016-10-28T16:34:18"/>
    <m/>
    <d v="2016-10-28T00:00:00"/>
    <d v="2016-10-28T00:00:00"/>
    <d v="2016-10-28T00:00:00"/>
    <m/>
    <n v="1"/>
    <m/>
    <n v="1843"/>
    <m/>
    <s v="N063"/>
    <s v="NWK ACCESS TECH"/>
    <s v="HEO"/>
    <s v="TRANSMITTERS AURORA"/>
    <s v="N06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21L3"/>
    <s v="SJ2_STAG"/>
    <s v="MEDIACOM LLC"/>
    <s v="90 Main St"/>
    <s v="KY"/>
    <s v="Benton"/>
    <s v="42025-1132"/>
    <s v="AT3545G-52-1-AS"/>
    <s v="TRANSMITTER 1GHZ FULL SPECTRUM"/>
    <s v="20119490"/>
    <s v="34.1"/>
    <x v="256"/>
    <n v="1963676"/>
    <d v="2016-10-28T16:34:18"/>
    <m/>
    <d v="2016-10-28T00:00:00"/>
    <d v="2016-10-28T00:00:00"/>
    <d v="2016-10-28T00:00:00"/>
    <m/>
    <n v="1"/>
    <m/>
    <n v="1920"/>
    <m/>
    <s v="N005"/>
    <s v="NWK ACCESS TECH"/>
    <s v="HEO"/>
    <s v="TRANSMITTERS AURORA"/>
    <s v="N005"/>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16P17L1B01"/>
    <s v="SJ2_STAG"/>
    <s v="MEDIACOM LLC"/>
    <s v="90 Main St"/>
    <s v="KY"/>
    <s v="Benton"/>
    <s v="42025-1132"/>
    <s v="CH3000U-FM-00"/>
    <s v="ADAPTER FIBER MGT FOR CH3000 C"/>
    <s v="20119490"/>
    <s v="4.1"/>
    <x v="256"/>
    <n v="1963679"/>
    <d v="2016-10-28T16:34:18"/>
    <m/>
    <d v="2016-10-28T00:00:00"/>
    <d v="2016-10-28T00:00:00"/>
    <d v="2016-10-28T00:00:00"/>
    <m/>
    <n v="2"/>
    <m/>
    <n v="128"/>
    <m/>
    <s v="N199"/>
    <s v="NWK ACCESS TECH"/>
    <s v="HEO"/>
    <s v="HEO MISC AURORA"/>
    <s v="N199"/>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2P66L2"/>
    <s v="SJ2_STAG"/>
    <s v="MEDIACOM LLC"/>
    <s v="90 Main St"/>
    <s v="KY"/>
    <s v="Benton"/>
    <s v="42025-1132"/>
    <s v="OA-05-00-AS"/>
    <s v="ATTENUATOR STD OPT SC/APC-SC/A"/>
    <s v="20119490"/>
    <s v="5.1"/>
    <x v="256"/>
    <n v="1963676"/>
    <d v="2016-10-28T16:34:18"/>
    <m/>
    <d v="2016-10-28T00:00:00"/>
    <d v="2016-10-28T00:00:00"/>
    <d v="2016-10-28T00:00:00"/>
    <m/>
    <n v="1"/>
    <m/>
    <n v="28"/>
    <m/>
    <s v="N224"/>
    <s v="NWK ACCESS TECH"/>
    <s v="ACCESS OTHER"/>
    <s v="OTHER AURORA"/>
    <s v="N22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3P13L3"/>
    <s v="SJ2_STAG"/>
    <s v="MEDIACOM LLC"/>
    <s v="90 Main St"/>
    <s v="KY"/>
    <s v="Benton"/>
    <s v="42025-1132"/>
    <s v="OA-01-00-AS"/>
    <s v="ATTENUATOR STD OPT SC/APC-SC/A"/>
    <s v="20119490"/>
    <s v="6.1"/>
    <x v="256"/>
    <n v="1963676"/>
    <d v="2016-10-28T16:34:18"/>
    <m/>
    <d v="2016-10-28T00:00:00"/>
    <d v="2016-10-28T00:00:00"/>
    <d v="2016-10-28T00:00:00"/>
    <m/>
    <n v="1"/>
    <m/>
    <n v="28"/>
    <m/>
    <s v="N224"/>
    <s v="NWK ACCESS TECH"/>
    <s v="ACCESS OTHER"/>
    <s v="OTHER AURORA"/>
    <s v="N22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24P32L1B01"/>
    <s v="SJ2_STAG"/>
    <s v="MEDIACOM LLC"/>
    <s v="90 Main St"/>
    <s v="KY"/>
    <s v="Benton"/>
    <s v="42025-1132"/>
    <s v="JC1111"/>
    <s v="PATCH CORD SC/APC-SC/APC 3MM J"/>
    <s v="20119490"/>
    <s v="8.1"/>
    <x v="256"/>
    <n v="1963676"/>
    <d v="2016-10-28T16:34:18"/>
    <m/>
    <d v="2016-10-28T00:00:00"/>
    <d v="2016-10-28T00:00:00"/>
    <d v="2016-10-28T00:00:00"/>
    <m/>
    <n v="6"/>
    <m/>
    <n v="108"/>
    <m/>
    <s v="N223"/>
    <s v="NWK ACCESS TECH"/>
    <s v="OPTICAL PASSIVES"/>
    <s v="INDOOR PASSIVES AURORA"/>
    <s v="N223"/>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BENTON001"/>
    <s v="R015P16L2"/>
    <s v="SJ2_STAG"/>
    <s v="MEDIACOM LLC"/>
    <s v="90 Main St"/>
    <s v="KY"/>
    <s v="Benton"/>
    <s v="42025-1132"/>
    <s v="PS3005D"/>
    <s v="POWER SUPPLY 250W CE TUV W/DIS"/>
    <s v="20119490"/>
    <s v="9.1"/>
    <x v="256"/>
    <n v="1963676"/>
    <d v="2016-10-28T16:34:18"/>
    <m/>
    <d v="2016-10-28T00:00:00"/>
    <d v="2016-10-28T00:00:00"/>
    <d v="2016-10-28T00:00:00"/>
    <m/>
    <n v="1"/>
    <m/>
    <n v="640"/>
    <m/>
    <s v="N204"/>
    <s v="NWK ACCESS TECH"/>
    <s v="ACCESS OTHER"/>
    <s v="OTHER AURORA"/>
    <s v="N204"/>
    <s v="AS-STANDARD ORDER MIXED"/>
    <s v="A-SURFACE"/>
    <s v="OP"/>
    <n v="1251428"/>
    <s v="A-SURFACE"/>
    <m/>
    <m/>
    <m/>
    <s v="A-SURFACE"/>
    <s v="LTL"/>
    <s v="EXW"/>
    <s v="Collect"/>
    <m/>
    <m/>
    <s v="Parcel ships &lt;150 lbs use UPS #2E2866. LTL ships EM ECHO at mediacom@echo.com or call 312-488-2753 Please consolidate shipments on a daily basis, do not ship multiple partials daily on same PO"/>
    <m/>
    <m/>
    <m/>
    <m/>
    <s v="0"/>
    <s v="0"/>
  </r>
  <r>
    <s v="SJ2"/>
    <s v="5001490"/>
    <s v="MEDIACOM"/>
    <s v="162040"/>
    <s v="R016P05L1B02"/>
    <s v="SJ2_STAG"/>
    <s v="Mediacom"/>
    <s v="1613 Nantahala Beach Rd"/>
    <s v="FL"/>
    <s v="Gulf Breeze"/>
    <s v="32563-8944"/>
    <s v="DT4250N-50-00"/>
    <s v="DGTL XCVR ENH MULTI-MODES OF O"/>
    <s v="6900517"/>
    <s v="10.1"/>
    <x v="257"/>
    <n v="1950196"/>
    <d v="2016-05-11T00:00:00"/>
    <m/>
    <d v="2016-10-13T00:00:00"/>
    <d v="2016-05-11T00:00:00"/>
    <d v="2016-10-13T00:00:00"/>
    <m/>
    <n v="1"/>
    <n v="1"/>
    <n v="320"/>
    <n v="320"/>
    <s v="N065"/>
    <s v="NWK ACCESS TECH"/>
    <s v="NODE"/>
    <s v="NODE MISC AURORA"/>
    <s v="N06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02L1"/>
    <s v="SJ2_STAG"/>
    <s v="Mediacom"/>
    <s v="1613 Nantahala Beach Rd"/>
    <s v="FL"/>
    <s v="Gulf Breeze"/>
    <s v="32563-8944"/>
    <s v="BP3400C-00"/>
    <s v="BACKPLATE 4.25 GB/S 1-FER/2-FE"/>
    <s v="6900517"/>
    <s v="13.1"/>
    <x v="257"/>
    <n v="1950205"/>
    <d v="2016-05-11T00:00:00"/>
    <m/>
    <d v="2016-10-13T00:00:00"/>
    <d v="2016-05-11T00:00:00"/>
    <d v="2016-10-13T00:00:00"/>
    <m/>
    <n v="1"/>
    <n v="1"/>
    <n v="512"/>
    <n v="512"/>
    <s v="N076"/>
    <s v="NWK ACCESS TECH"/>
    <s v="HEO"/>
    <s v="HEO MISC AURORA"/>
    <s v="N076"/>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6P02L3B01"/>
    <s v="SJ2_STAG"/>
    <s v="Mediacom"/>
    <s v="1613 Nantahala Beach Rd"/>
    <s v="FL"/>
    <s v="Gulf Breeze"/>
    <s v="32563-8944"/>
    <s v="DR3450N-50-00"/>
    <s v="DIGITAL RECEIVER Q-RX 2.125GBP"/>
    <s v="6900517"/>
    <s v="14.1"/>
    <x v="257"/>
    <n v="1950196"/>
    <d v="2016-05-11T00:00:00"/>
    <m/>
    <d v="2016-10-13T00:00:00"/>
    <d v="2016-05-11T00:00:00"/>
    <d v="2016-10-13T00:00:00"/>
    <m/>
    <n v="1"/>
    <n v="1"/>
    <n v="1280"/>
    <n v="1280"/>
    <s v="N275"/>
    <s v="NWK ACCESS TECH"/>
    <s v="HEO"/>
    <s v="RECEIVERS AURORA"/>
    <s v="N275"/>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43L5"/>
    <s v="SJ2_STAG"/>
    <s v="Mediacom"/>
    <s v="1613 Nantahala Beach Rd"/>
    <s v="FL"/>
    <s v="Gulf Breeze"/>
    <s v="32563-8944"/>
    <s v="NC4121S2A1-00000000"/>
    <s v="BASE NODE 5-42/51-1GHZ JXP 1"/>
    <s v="6900517"/>
    <s v="15.1"/>
    <x v="257"/>
    <n v="1950196"/>
    <d v="2016-05-11T00:00:00"/>
    <m/>
    <d v="2016-10-13T00:00:00"/>
    <d v="2016-05-11T00:00:00"/>
    <d v="2016-10-13T00:00:00"/>
    <m/>
    <n v="1"/>
    <n v="1"/>
    <n v="1715"/>
    <n v="1715"/>
    <s v="N034"/>
    <s v="NWK ACCESS TECH"/>
    <s v="NODE"/>
    <s v="NC4000 AURORA"/>
    <s v="N03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0"/>
    <s v="R015P26L1"/>
    <s v="SJ2_STAG"/>
    <s v="Mediacom"/>
    <s v="1613 Nantahala Beach Rd"/>
    <s v="FL"/>
    <s v="Gulf Breeze"/>
    <s v="32563-8944"/>
    <s v="RS4002-00"/>
    <s v="COMBINER DUAL RETURN PATH PLUG"/>
    <s v="6900517"/>
    <s v="2.1"/>
    <x v="257"/>
    <n v="1950196"/>
    <d v="2016-05-11T00:00:00"/>
    <m/>
    <d v="2016-10-13T00:00:00"/>
    <d v="2016-05-11T00:00:00"/>
    <d v="2016-10-13T00:00:00"/>
    <m/>
    <n v="1"/>
    <n v="1"/>
    <n v="19"/>
    <n v="19"/>
    <s v="N224"/>
    <s v="NWK ACCESS TECH"/>
    <s v="ACCESS OTHER"/>
    <s v="OTHER AURORA"/>
    <s v="N224"/>
    <s v="AUR-STANDARD ORDER MIXED"/>
    <s v="A-SURFACE"/>
    <s v="OP"/>
    <n v="1242370"/>
    <s v="A-SURFACE"/>
    <m/>
    <m/>
    <m/>
    <s v="A-SURFACE"/>
    <s v="LTL"/>
    <s v="EXW"/>
    <s v="Collect"/>
    <m/>
    <m/>
    <s v="ship per Mediacom Routing Guide dated 21-Sep-2015, Contact Echo 800-354-7993 x2753 or mediacom@echo.com 'ECO for LTL shipments over 100 lbs Ship PPD&amp;ADD on orders 100 lbs or less'"/>
    <m/>
    <m/>
    <m/>
    <m/>
    <s v="0"/>
    <s v="0"/>
  </r>
  <r>
    <s v="SJ2"/>
    <s v="5001490"/>
    <s v="MEDIACOM"/>
    <s v="162041"/>
    <s v="R022P15L2"/>
    <s v="SJ2_STAG"/>
    <s v="Mediacom"/>
    <s v="216B Shannonhouse Rd"/>
    <s v="NC"/>
    <s v="Edenton"/>
    <s v="27932-9428"/>
    <s v="OP35F1S-CF-1-0-00-AS"/>
    <s v="FILTER RED/BL SGL ITU 18-35 &amp;"/>
    <s v="6900846"/>
    <s v="3.1"/>
    <x v="258"/>
    <n v="1962573"/>
    <d v="2016-08-04T00:00:00"/>
    <m/>
    <d v="2016-10-27T00:00:00"/>
    <d v="2016-08-04T00:00:00"/>
    <d v="2016-10-28T00:00:00"/>
    <m/>
    <n v="1"/>
    <n v="1"/>
    <n v="358"/>
    <n v="358"/>
    <s v="N156"/>
    <s v="NWK ACCESS TECH"/>
    <s v="ACCESS OTHER"/>
    <s v="OTHER AURORA"/>
    <s v="N156"/>
    <s v="AUR-STANDARD ORDER MIXED"/>
    <s v="A-SURFACE"/>
    <s v="OP"/>
    <n v="1250721"/>
    <s v="A-SURFACE"/>
    <m/>
    <m/>
    <m/>
    <s v="A-SURFACE"/>
    <s v="LTL"/>
    <s v="EXW"/>
    <s v="Collect"/>
    <m/>
    <m/>
    <s v="ship per Mediacom Routing Guide dated 21-Sep-2015, Contact Echo 800-354-7993 x2753 or mediacom@echo.com 'ECO for LTL shipments over 100 lbs Ship PPD&amp;ADD on orders 100 lbs or less'"/>
    <m/>
    <m/>
    <m/>
    <m/>
    <s v="0"/>
    <s v="0"/>
  </r>
  <r>
    <s v="SJ2"/>
    <s v="5001725"/>
    <s v="MIDCONTINENT COMMUNICATIONS"/>
    <s v="SIOUX FALLS 2205"/>
    <s v="R022P52L2"/>
    <s v="SJ2_STAG"/>
    <s v="MIDCONTINENT CABLE"/>
    <s v="2205 E 39th St N Ste 100"/>
    <s v="SD"/>
    <s v="Sioux Falls"/>
    <s v="57104-7406"/>
    <s v="AT3545G-21-1-AS"/>
    <s v="TRANSMITTER 1GHZ FULL SPECTRUM"/>
    <s v="20107145"/>
    <s v="5.1"/>
    <x v="259"/>
    <n v="1963251"/>
    <d v="2016-08-24T16:16:29"/>
    <m/>
    <d v="2016-10-28T00:00:00"/>
    <d v="2016-09-02T00:00:00"/>
    <d v="2016-10-28T00:00:00"/>
    <m/>
    <n v="2"/>
    <m/>
    <n v="3900"/>
    <m/>
    <s v="N005"/>
    <s v="NWK ACCESS TECH"/>
    <s v="HEO"/>
    <s v="TRANSMITTERS AURORA"/>
    <s v="N005"/>
    <s v="AS-STANDARD ORDER MIXED"/>
    <s v="A-AIR O/N"/>
    <s v="OP"/>
    <n v="1251073"/>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m/>
    <s v="SJ2_STAG"/>
    <s v="MIDCONTINENT CABLE"/>
    <s v="2205 E 39th St N Ste 100"/>
    <s v="SD"/>
    <s v="Sioux Falls"/>
    <s v="57104-7406"/>
    <s v="AT3545G-21-1-AS"/>
    <s v="TRANSMITTER 1GHZ FULL SPECTRUM"/>
    <s v="20107145"/>
    <s v="5.1"/>
    <x v="259"/>
    <n v="1963250"/>
    <d v="2016-08-24T16:16:29"/>
    <m/>
    <d v="2016-10-28T00:00:00"/>
    <d v="2016-09-02T00:00:00"/>
    <d v="2016-10-28T00:00:00"/>
    <m/>
    <n v="1"/>
    <m/>
    <n v="1950"/>
    <m/>
    <s v="N005"/>
    <s v="NWK ACCESS TECH"/>
    <s v="HEO"/>
    <s v="TRANSMITTERS AURORA"/>
    <s v="N005"/>
    <s v="AS-STANDARD ORDER MIXED"/>
    <s v="A-AIR O/N"/>
    <s v="OP"/>
    <n v="1251073"/>
    <s v="A-AIR"/>
    <m/>
    <m/>
    <m/>
    <s v="A-AIR"/>
    <s v="1DA"/>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13L5"/>
    <s v="SJ2_STAG"/>
    <s v="MIDCONTINENT CABLE"/>
    <s v="2205 E 39th St N Ste 100"/>
    <s v="SD"/>
    <s v="Sioux Falls"/>
    <s v="57104-7406"/>
    <s v="EQ4104G"/>
    <s v="LINEAR EQL 4000 SER NODE 4dB 4"/>
    <s v="20116146"/>
    <s v="5.1"/>
    <x v="260"/>
    <n v="1961095"/>
    <d v="2016-10-10T16:08:53"/>
    <m/>
    <d v="2016-10-26T00:00:00"/>
    <d v="2016-10-10T00:00:00"/>
    <d v="2016-10-26T00:00:00"/>
    <m/>
    <n v="10"/>
    <m/>
    <n v="70"/>
    <m/>
    <s v="N224"/>
    <s v="NWK ACCESS TECH"/>
    <s v="ACCESS OTHER"/>
    <s v="OTHER AURORA"/>
    <s v="N224"/>
    <s v="AS-STANDARD ORDER MIXED"/>
    <s v="A-SURFACE"/>
    <s v="OP"/>
    <n v="1249843"/>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13L3"/>
    <s v="SJ2_STAG"/>
    <s v="MIDCONTINENT CABLE"/>
    <s v="2205 E 39th St N Ste 100"/>
    <s v="SD"/>
    <s v="Sioux Falls"/>
    <s v="57104-7406"/>
    <s v="OP35M8K-1-99-AS"/>
    <s v="OPT MUX 100GHZ ITU CH 20-27 EX"/>
    <s v="20116146"/>
    <s v="8.1"/>
    <x v="261"/>
    <n v="1961634"/>
    <d v="2016-10-10T16:08:53"/>
    <m/>
    <d v="2016-10-26T00:00:00"/>
    <d v="2016-10-10T00:00:00"/>
    <d v="2016-10-28T00:00:00"/>
    <m/>
    <n v="1"/>
    <m/>
    <n v="1690"/>
    <m/>
    <s v="N165"/>
    <s v="NWK ACCESS TECH"/>
    <s v="OPTICAL PASSIVES"/>
    <s v="INDOOR PASSIVES AURORA"/>
    <s v="N165"/>
    <s v="AS-STANDARD ORDER MIXED"/>
    <s v="A-SURFACE"/>
    <s v="OP"/>
    <n v="1250201"/>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FARGO"/>
    <s v="R022P49L6"/>
    <s v="SJ2_STAG"/>
    <s v="MIDCONTINENT"/>
    <s v="2012 Great Northern Dr N"/>
    <s v="ND"/>
    <s v="Fargo"/>
    <s v="58102-3251"/>
    <s v="TR4440B-1430-PI"/>
    <s v="TRANSCEIVER SFP 60KM CWDM 1430"/>
    <s v="20117383"/>
    <s v="5.1"/>
    <x v="262"/>
    <n v="1962024"/>
    <d v="2016-10-18T12:48:11"/>
    <m/>
    <d v="2016-10-27T00:00:00"/>
    <d v="2016-10-18T00:00:00"/>
    <d v="2016-10-27T00:00:00"/>
    <m/>
    <n v="5"/>
    <n v="5"/>
    <n v="1950"/>
    <n v="1950"/>
    <s v="N252"/>
    <s v="NWK ACCESS TECH"/>
    <s v="NODE"/>
    <s v="NODE MISC AURORA"/>
    <s v="N252"/>
    <s v="AS-STANDARD ORDER MIXED"/>
    <s v="A-SURFACE"/>
    <s v="OP"/>
    <n v="1250456"/>
    <s v="A-SURFACE"/>
    <m/>
    <m/>
    <m/>
    <s v="A-SURFACE"/>
    <s v="LTL"/>
    <s v="EXW"/>
    <s v="3RD PARTY COLLECT"/>
    <m/>
    <m/>
    <s v="UNDER 200 LBS SHIP VIA UPS PREPAY AND ADD; OVER 200 LBS SHIP VIA YRC, PH #800-610-6500, MIDCO ACCT # 8611664"/>
    <m/>
    <m/>
    <m/>
    <m/>
    <s v="0"/>
    <s v="0"/>
  </r>
  <r>
    <s v="SJ2"/>
    <s v="5001725"/>
    <s v="MIDCONTINENT COMMUNICATIONS"/>
    <s v="SIOUX FALLS 2205"/>
    <s v="R024P22L2B01"/>
    <s v="SJ2_STAG"/>
    <s v="MIDCONTINENT CABLE"/>
    <s v="2205 E 39th St N Ste 100"/>
    <s v="SD"/>
    <s v="Sioux Falls"/>
    <s v="57104-7406"/>
    <s v="TR4580-21-PI"/>
    <s v="XCVR PLUGGABLE DWDM ITU CH 21"/>
    <s v="20117692"/>
    <s v="16.1"/>
    <x v="263"/>
    <n v="1963265"/>
    <d v="2016-10-19T16:26:00"/>
    <m/>
    <d v="2016-10-28T00:00:00"/>
    <d v="2016-10-19T00:00:00"/>
    <d v="2016-10-28T00:00:00"/>
    <m/>
    <n v="1"/>
    <m/>
    <n v="962"/>
    <m/>
    <s v="N252"/>
    <s v="NWK ACCESS TECH"/>
    <s v="NODE"/>
    <s v="NODE MISC AURORA"/>
    <s v="N252"/>
    <s v="AS-STANDARD ORDER MIXED"/>
    <s v="A-SURFACE"/>
    <s v="OP"/>
    <n v="1251073"/>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4P01L1B01"/>
    <s v="SJ2_STAG"/>
    <s v="MIDCONTINENT CABLE"/>
    <s v="2205 E 39th St N Ste 100"/>
    <s v="SD"/>
    <s v="Sioux Falls"/>
    <s v="57104-7406"/>
    <s v="CE8300H-00"/>
    <s v="ENCLOSURE PRIMEX OUTDOOR SINGL"/>
    <s v="20117692"/>
    <s v="4.1"/>
    <x v="260"/>
    <n v="1961094"/>
    <d v="2016-10-19T16:26:00"/>
    <m/>
    <d v="2016-10-26T00:00:00"/>
    <d v="2016-10-19T00:00:00"/>
    <d v="2016-10-26T00:00:00"/>
    <m/>
    <n v="30"/>
    <m/>
    <n v="1080"/>
    <m/>
    <s v="N224"/>
    <s v="NWK ACCESS TECH"/>
    <s v="ACCESS OTHER"/>
    <s v="OTHER AURORA"/>
    <s v="N224"/>
    <s v="AS-STANDARD ORDER MIXED"/>
    <s v="A-SURFACE"/>
    <s v="OP"/>
    <n v="1249843"/>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SIOUX FALLS 2205"/>
    <s v="R023P13L5"/>
    <s v="SJ2_STAG"/>
    <s v="MIDCONTINENT CABLE"/>
    <s v="2205 E 39th St N Ste 100"/>
    <s v="SD"/>
    <s v="Sioux Falls"/>
    <s v="57104-7406"/>
    <s v="EQ4104G"/>
    <s v="LINEAR EQL 4000 SER NODE 4dB 4"/>
    <s v="20117692"/>
    <s v="7.1"/>
    <x v="260"/>
    <n v="1961095"/>
    <d v="2016-10-19T16:26:00"/>
    <m/>
    <d v="2016-10-26T00:00:00"/>
    <d v="2016-10-19T00:00:00"/>
    <d v="2016-10-26T00:00:00"/>
    <m/>
    <n v="5"/>
    <m/>
    <n v="35"/>
    <m/>
    <s v="N224"/>
    <s v="NWK ACCESS TECH"/>
    <s v="ACCESS OTHER"/>
    <s v="OTHER AURORA"/>
    <s v="N224"/>
    <s v="AS-STANDARD ORDER MIXED"/>
    <s v="A-SURFACE"/>
    <s v="OP"/>
    <n v="1249843"/>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FARGO"/>
    <s v="R022P49L6"/>
    <s v="SJ2_STAG"/>
    <s v="MIDCONTINENT"/>
    <s v="2012 Great Northern Dr N"/>
    <s v="ND"/>
    <s v="Fargo"/>
    <s v="58102-3251"/>
    <s v="TR4440B-1450-PI"/>
    <s v="TRANSCEIVER SFP 60KM CWDM 1450"/>
    <s v="20118310"/>
    <s v="2.1"/>
    <x v="262"/>
    <n v="1962024"/>
    <d v="2016-10-24T10:36:45"/>
    <m/>
    <d v="2016-10-27T00:00:00"/>
    <d v="2016-10-24T00:00:00"/>
    <d v="2016-10-27T00:00:00"/>
    <m/>
    <n v="23"/>
    <n v="23"/>
    <n v="8970"/>
    <n v="8970"/>
    <s v="N252"/>
    <s v="NWK ACCESS TECH"/>
    <s v="NODE"/>
    <s v="NODE MISC AURORA"/>
    <s v="N252"/>
    <s v="AS-STANDARD ORDER MIXED"/>
    <s v="A-SURFACE"/>
    <s v="OP"/>
    <n v="1250456"/>
    <s v="A-SURFACE"/>
    <m/>
    <m/>
    <m/>
    <s v="A-SURFACE"/>
    <s v="LTL"/>
    <s v="EXW"/>
    <s v="3RD PARTY COLLECT"/>
    <m/>
    <m/>
    <s v="UNDER 200 LBS SHIP VIA UPS PREPAY AND ADD; OVER 200 LBS SHIP VIA YRC, PH #800-610-6500, MIDCO ACCT # 8611664"/>
    <m/>
    <m/>
    <m/>
    <m/>
    <s v="0"/>
    <s v="0"/>
  </r>
  <r>
    <s v="SJ2"/>
    <s v="5001725"/>
    <s v="MIDCONTINENT COMMUNICATIONS"/>
    <s v="FARGO"/>
    <s v="R023P12L3"/>
    <s v="SJ2_STAG"/>
    <s v="MIDCONTINENT"/>
    <s v="2012 Great Northern Dr N"/>
    <s v="ND"/>
    <s v="Fargo"/>
    <s v="58102-3251"/>
    <s v="CC3008"/>
    <s v="COMM CONTROL MODULE HIGH DENSI"/>
    <s v="20118627"/>
    <s v="1.1"/>
    <x v="262"/>
    <n v="1962024"/>
    <d v="2016-10-25T10:33:57"/>
    <m/>
    <d v="2016-10-27T00:00:00"/>
    <d v="2016-10-25T00:00:00"/>
    <d v="2016-10-27T00:00:00"/>
    <m/>
    <n v="7"/>
    <n v="7"/>
    <n v="1001"/>
    <n v="1001"/>
    <s v="N260"/>
    <s v="NWK ACCESS TECH"/>
    <s v="HEO"/>
    <s v="TRANSMITTERS AURORA"/>
    <s v="HDTX"/>
    <s v="AS-STANDARD ORDER MIXED"/>
    <s v="A-SURFACE"/>
    <s v="OP"/>
    <n v="1250456"/>
    <s v="A-SURFACE"/>
    <m/>
    <m/>
    <m/>
    <s v="A-SURFACE"/>
    <s v="LTL"/>
    <s v="EXW"/>
    <s v="3RD PARTY COLLECT"/>
    <m/>
    <m/>
    <s v="UNDER 200 LBS SHIP VIA UPS PREPAY AND ADD; OVER 200 LBS SHIP VIA YRC, PH #800-610-6500, MIDCO ACCT # 8611664"/>
    <m/>
    <m/>
    <m/>
    <m/>
    <s v="0"/>
    <s v="0"/>
  </r>
  <r>
    <s v="SJ2"/>
    <s v="5001725"/>
    <s v="MIDCONTINENT COMMUNICATIONS"/>
    <s v="SIOUX FALLS 2205"/>
    <s v="R023P13L3"/>
    <s v="SJ2_STAG"/>
    <s v="MIDCONTINENT CABLE"/>
    <s v="2205 E 39th St N Ste 100"/>
    <s v="SD"/>
    <s v="Sioux Falls"/>
    <s v="57104-7406"/>
    <s v="OP35M8K-1-99-AS"/>
    <s v="OPT MUX 100GHZ ITU CH 20-27 EX"/>
    <s v="20118811"/>
    <s v="3.1"/>
    <x v="261"/>
    <n v="1961634"/>
    <d v="2016-10-26T10:12:42"/>
    <m/>
    <d v="2016-10-26T00:00:00"/>
    <d v="2016-10-26T00:00:00"/>
    <d v="2016-10-28T00:00:00"/>
    <m/>
    <n v="1"/>
    <m/>
    <n v="1690"/>
    <m/>
    <s v="N165"/>
    <s v="NWK ACCESS TECH"/>
    <s v="OPTICAL PASSIVES"/>
    <s v="INDOOR PASSIVES AURORA"/>
    <s v="N165"/>
    <s v="AS-STANDARD ORDER MIXED"/>
    <s v="A-SURFACE"/>
    <s v="OP"/>
    <n v="1250201"/>
    <s v="A-SURFACE"/>
    <m/>
    <m/>
    <m/>
    <s v="A-SURFACE"/>
    <s v="LTL"/>
    <s v="EXW"/>
    <s v="3RD PARTY COLLECT"/>
    <m/>
    <m/>
    <s v="UNDER 200 LBS SHIP VIA UPS PREPAY AND ADD; OVER 200 LBS SHIP VIA YELLOW FREIGHT, PH #800-610-6500, MIDCO ACCT # 8611664 UNDER 200 LBS SHIP VIA UPS PREPAY AND ADD; OVER 200 LBS SHIP VIA YRC, PH #800-610-6500, MIDCO ACCT # 8611664"/>
    <m/>
    <m/>
    <m/>
    <m/>
    <s v="0"/>
    <s v="0"/>
  </r>
  <r>
    <s v="SJ2"/>
    <s v="5001725"/>
    <s v="MIDCONTINENT COMMUNICATIONS"/>
    <s v="163909"/>
    <m/>
    <s v="SJ2_STAG"/>
    <s v="Midcontinent Communications"/>
    <s v="2012 Great Northern Dr N"/>
    <s v="ND"/>
    <s v="Fargo"/>
    <s v="58102-3251"/>
    <s v="NC219A1HGE1-0000000"/>
    <s v="NODE 5-85MHZ RVS 102-1GHZ FWD"/>
    <s v="6900250"/>
    <s v="1.3"/>
    <x v="264"/>
    <n v="1960555"/>
    <d v="2016-06-14T00:00:00"/>
    <m/>
    <d v="2016-10-25T00:00:00"/>
    <d v="2016-07-20T00:00:00"/>
    <d v="2016-10-25T00:00:00"/>
    <m/>
    <n v="1"/>
    <n v="1"/>
    <n v="1079"/>
    <n v="1079"/>
    <s v="N276"/>
    <s v="NWK ACCESS TECH"/>
    <s v="NODE"/>
    <s v="NC2000 AURORA"/>
    <s v="N276"/>
    <s v="AUR-STANDARD ORDER MIXED"/>
    <s v="A-SURFACE"/>
    <s v="OP"/>
    <n v="1249484"/>
    <s v="A-SURFACE"/>
    <m/>
    <m/>
    <m/>
    <s v="A-SURFACE"/>
    <s v="LTL"/>
    <s v="EXW"/>
    <s v="Prepay &amp; Add"/>
    <n v="25.9"/>
    <m/>
    <m/>
    <m/>
    <m/>
    <m/>
    <m/>
    <s v="0"/>
    <s v="0"/>
  </r>
  <r>
    <s v="SJ2"/>
    <s v="5001732"/>
    <s v="CABLE ONE"/>
    <s v="TEXARKANA002"/>
    <s v="R022P23L1"/>
    <s v="SJ2_STAG"/>
    <s v="CABLE ONE"/>
    <s v="401 Baylor St"/>
    <s v="TX"/>
    <s v="Texarkana"/>
    <s v="75501-3270"/>
    <s v="HT3541H-D-A570-2-AS"/>
    <s v="XMTR DD 1.2GHZ FULL SPECTRUM 3"/>
    <s v="20106487"/>
    <s v="1.1"/>
    <x v="265"/>
    <n v="1960652"/>
    <d v="2016-08-22T17:46:55"/>
    <m/>
    <d v="2016-10-25T00:00:00"/>
    <d v="2016-08-22T00:00:00"/>
    <d v="2016-10-27T00:00:00"/>
    <m/>
    <n v="1"/>
    <n v="1"/>
    <n v="2080"/>
    <n v="2080"/>
    <s v="HE64"/>
    <s v="NWK ACCESS TECH"/>
    <s v="HEO"/>
    <s v="TRANSMITTER"/>
    <s v="HT"/>
    <s v="AS-STANDARD ORDER MIXED"/>
    <s v="A-SURFACE"/>
    <s v="OP"/>
    <n v="1249563"/>
    <s v="A-SURFACE"/>
    <m/>
    <m/>
    <m/>
    <s v="A-SURFACE"/>
    <s v="LTL"/>
    <s v="EXW"/>
    <s v="Prepay &amp; Add"/>
    <n v="9.9"/>
    <m/>
    <m/>
    <m/>
    <m/>
    <m/>
    <m/>
    <s v="0"/>
    <s v="0"/>
  </r>
  <r>
    <s v="SJ2"/>
    <s v="5001732"/>
    <s v="CABLE ONE"/>
    <s v="CLEVELAND"/>
    <s v="R024P04L1B01"/>
    <s v="SJ2_STAG"/>
    <s v="CABLE ONE CLEVELAND"/>
    <s v="221 S Sharpe Ave"/>
    <s v="MS"/>
    <s v="Cleveland"/>
    <s v="38732-3363"/>
    <s v="BD35M4-A0N-H02F-3-AS"/>
    <s v="OPT MUX BD 100GHZ D ITU CH 36-"/>
    <s v="20109763"/>
    <s v="2.1"/>
    <x v="266"/>
    <n v="1963199"/>
    <d v="2016-09-07T15:30:08"/>
    <m/>
    <d v="2016-10-28T00:00:00"/>
    <d v="2016-09-07T00:00:00"/>
    <d v="2016-10-28T00:00:00"/>
    <m/>
    <n v="1"/>
    <m/>
    <n v="2145"/>
    <m/>
    <s v="N258"/>
    <s v="NWK ACCESS TECH"/>
    <s v="HEO"/>
    <s v="TRANSMITTERS AURORA"/>
    <s v="HDTX"/>
    <s v="AS-STANDARD ORDER MIXED"/>
    <s v="A-SURFACE"/>
    <s v="OP"/>
    <n v="1251073"/>
    <s v="A-SURFACE"/>
    <m/>
    <m/>
    <m/>
    <s v="A-SURFACE"/>
    <s v="LTL"/>
    <s v="EXW"/>
    <s v="Prepay &amp; Add"/>
    <m/>
    <m/>
    <m/>
    <m/>
    <m/>
    <m/>
    <m/>
    <s v="0"/>
    <s v="0"/>
  </r>
  <r>
    <s v="SJ2"/>
    <s v="5001732"/>
    <s v="CABLE ONE"/>
    <s v="CLEVELAND"/>
    <s v="R024P04L1B01"/>
    <s v="SJ2_STAG"/>
    <s v="CABLE ONE CLEVELAND"/>
    <s v="221 S Sharpe Ave"/>
    <s v="MS"/>
    <s v="Cleveland"/>
    <s v="38732-3363"/>
    <s v="BD35M4-A0P-H02F-3-AS"/>
    <s v="OPT MUX BD 100GHZ D ITU CH 40-"/>
    <s v="20109763"/>
    <s v="3.1"/>
    <x v="266"/>
    <n v="1963199"/>
    <d v="2016-09-07T15:30:08"/>
    <m/>
    <d v="2016-10-28T00:00:00"/>
    <d v="2016-09-07T00:00:00"/>
    <d v="2016-10-28T00:00:00"/>
    <m/>
    <n v="1"/>
    <m/>
    <n v="2145"/>
    <m/>
    <s v="N258"/>
    <s v="NWK ACCESS TECH"/>
    <s v="HEO"/>
    <s v="TRANSMITTERS AURORA"/>
    <s v="HDTX"/>
    <s v="AS-STANDARD ORDER MIXED"/>
    <s v="A-SURFACE"/>
    <s v="OP"/>
    <n v="1251073"/>
    <s v="A-SURFACE"/>
    <m/>
    <m/>
    <m/>
    <s v="A-SURFACE"/>
    <s v="LTL"/>
    <s v="EXW"/>
    <s v="Prepay &amp; Add"/>
    <m/>
    <m/>
    <m/>
    <m/>
    <m/>
    <m/>
    <m/>
    <s v="0"/>
    <s v="0"/>
  </r>
  <r>
    <s v="SJ2"/>
    <s v="5001732"/>
    <s v="CABLE ONE"/>
    <s v="CLEVELAND"/>
    <s v="R022P29L3"/>
    <s v="SJ2_STAG"/>
    <s v="CABLE ONE CLEVELAND"/>
    <s v="221 S Sharpe Ave"/>
    <s v="MS"/>
    <s v="Cleveland"/>
    <s v="38732-3363"/>
    <s v="OP35M4P-1-99-AS"/>
    <s v="OPT MUX 100GHZ CH 40-43 EXP PO"/>
    <s v="20109763"/>
    <s v="32.1"/>
    <x v="266"/>
    <n v="1963199"/>
    <d v="2016-09-07T15:30:08"/>
    <m/>
    <d v="2016-10-28T00:00:00"/>
    <d v="2016-09-07T00:00:00"/>
    <d v="2016-10-28T00:00:00"/>
    <m/>
    <n v="1"/>
    <m/>
    <n v="780"/>
    <m/>
    <s v="N165"/>
    <s v="NWK ACCESS TECH"/>
    <s v="OPTICAL PASSIVES"/>
    <s v="INDOOR PASSIVES AURORA"/>
    <s v="N165"/>
    <s v="AS-STANDARD ORDER MIXED"/>
    <s v="A-SURFACE"/>
    <s v="OP"/>
    <n v="1251073"/>
    <s v="A-SURFACE"/>
    <m/>
    <m/>
    <m/>
    <s v="A-SURFACE"/>
    <s v="LTL"/>
    <s v="EXW"/>
    <s v="Prepay &amp; Add"/>
    <m/>
    <m/>
    <m/>
    <m/>
    <m/>
    <m/>
    <m/>
    <s v="0"/>
    <s v="0"/>
  </r>
  <r>
    <s v="SJ2"/>
    <s v="5001732"/>
    <s v="CABLE ONE"/>
    <s v="CLEVELAND"/>
    <s v="R024P04L1B01"/>
    <s v="SJ2_STAG"/>
    <s v="CABLE ONE CLEVELAND"/>
    <s v="221 S Sharpe Ave"/>
    <s v="MS"/>
    <s v="Cleveland"/>
    <s v="38732-3363"/>
    <s v="BD35M4-A0L-H02F-3-AS"/>
    <s v="OPT MUX BD 100GHZ D ITU CH 28-"/>
    <s v="20109763"/>
    <s v="52.1"/>
    <x v="266"/>
    <n v="1963199"/>
    <d v="2016-09-07T15:30:08"/>
    <m/>
    <d v="2016-10-28T00:00:00"/>
    <d v="2016-09-07T00:00:00"/>
    <d v="2016-10-28T00:00:00"/>
    <m/>
    <n v="1"/>
    <m/>
    <n v="2145"/>
    <m/>
    <s v="N258"/>
    <s v="NWK ACCESS TECH"/>
    <s v="HEO"/>
    <s v="TRANSMITTERS AURORA"/>
    <s v="HDTX"/>
    <s v="AS-STANDARD ORDER MIXED"/>
    <s v="A-SURFACE"/>
    <s v="OP"/>
    <n v="1251073"/>
    <s v="A-SURFACE"/>
    <m/>
    <m/>
    <m/>
    <s v="A-SURFACE"/>
    <s v="LTL"/>
    <s v="EXW"/>
    <s v="Prepay &amp; Add"/>
    <m/>
    <m/>
    <m/>
    <m/>
    <m/>
    <m/>
    <m/>
    <s v="0"/>
    <s v="0"/>
  </r>
  <r>
    <s v="SJ2"/>
    <s v="5001732"/>
    <s v="CABLE ONE"/>
    <s v="BOISE4953"/>
    <s v="R022P33L5"/>
    <s v="SJ2_STAG"/>
    <s v="CABLE ONE"/>
    <s v="8400 W Westpark St"/>
    <s v="ID"/>
    <s v="Boise"/>
    <s v="83704-8365"/>
    <s v="BD35M4-A0K-H02F-3-AS"/>
    <s v="OPT MUX BD 100GHZ D ITU CH 24-"/>
    <s v="20109817"/>
    <s v="2.1"/>
    <x v="267"/>
    <n v="1963239"/>
    <d v="2016-09-07T19:04:21"/>
    <m/>
    <d v="2016-10-28T00:00:00"/>
    <d v="2016-09-07T00:00:00"/>
    <d v="2016-10-28T00:00:00"/>
    <m/>
    <n v="2"/>
    <m/>
    <n v="4290"/>
    <m/>
    <s v="N258"/>
    <s v="NWK ACCESS TECH"/>
    <s v="HEO"/>
    <s v="TRANSMITTERS AURORA"/>
    <s v="HDTX"/>
    <s v="AS-STANDARD ORDER MIXED"/>
    <s v="A-SURFACE"/>
    <s v="OP"/>
    <n v="1251073"/>
    <s v="A-SURFACE"/>
    <m/>
    <m/>
    <m/>
    <s v="A-SURFACE"/>
    <s v="LTL"/>
    <s v="EXW"/>
    <s v="Prepay &amp; Add"/>
    <m/>
    <m/>
    <m/>
    <m/>
    <m/>
    <m/>
    <m/>
    <s v="0"/>
    <s v="0"/>
  </r>
  <r>
    <s v="SJ2"/>
    <s v="5001732"/>
    <s v="CABLE ONE"/>
    <s v="BOISE4953"/>
    <s v="R024P04L1B01"/>
    <s v="SJ2_STAG"/>
    <s v="CABLE ONE"/>
    <s v="8400 W Westpark St"/>
    <s v="ID"/>
    <s v="Boise"/>
    <s v="83704-8365"/>
    <s v="BD35M4-A0K-H02F-3-AS"/>
    <s v="OPT MUX BD 100GHZ D ITU CH 24-"/>
    <s v="20109817"/>
    <s v="2.1"/>
    <x v="267"/>
    <n v="1963239"/>
    <d v="2016-09-07T19:04:21"/>
    <m/>
    <d v="2016-10-28T00:00:00"/>
    <d v="2016-09-07T00:00:00"/>
    <d v="2016-10-28T00:00:00"/>
    <m/>
    <n v="1"/>
    <m/>
    <n v="2145"/>
    <m/>
    <s v="N258"/>
    <s v="NWK ACCESS TECH"/>
    <s v="HEO"/>
    <s v="TRANSMITTERS AURORA"/>
    <s v="HDTX"/>
    <s v="AS-STANDARD ORDER MIXED"/>
    <s v="A-SURFACE"/>
    <s v="OP"/>
    <n v="1251073"/>
    <s v="A-SURFACE"/>
    <m/>
    <m/>
    <m/>
    <s v="A-SURFACE"/>
    <s v="LTL"/>
    <s v="EXW"/>
    <s v="Prepay &amp; Add"/>
    <m/>
    <m/>
    <m/>
    <m/>
    <m/>
    <m/>
    <m/>
    <s v="0"/>
    <s v="0"/>
  </r>
  <r>
    <s v="SJ2"/>
    <s v="5001732"/>
    <s v="CABLE ONE"/>
    <s v="BOISE4953"/>
    <m/>
    <s v="SJ2_STAG"/>
    <s v="CABLE ONE"/>
    <s v="8400 W Westpark St"/>
    <s v="ID"/>
    <s v="Boise"/>
    <s v="83704-8365"/>
    <s v="BD35M4-A0T-H02F-3-AS"/>
    <s v="OPT MUX BD 100GHZ D ITU CH 52-"/>
    <s v="20109817"/>
    <s v="7.1"/>
    <x v="268"/>
    <n v="1957148"/>
    <d v="2016-09-07T19:04:21"/>
    <m/>
    <d v="2016-10-20T00:00:00"/>
    <d v="2016-09-07T00:00:00"/>
    <d v="2016-10-12T00:00:00"/>
    <m/>
    <n v="2"/>
    <m/>
    <n v="4290"/>
    <m/>
    <s v="N258"/>
    <s v="NWK ACCESS TECH"/>
    <s v="HEO"/>
    <s v="TRANSMITTERS AURORA"/>
    <s v="HDTX"/>
    <s v="AS-STANDARD ORDER MIXED"/>
    <m/>
    <s v="OP"/>
    <n v="1246651"/>
    <s v="A-SURFACE"/>
    <m/>
    <m/>
    <m/>
    <s v="A-SURFACE"/>
    <m/>
    <s v="EXW"/>
    <s v="Prepay &amp; Add"/>
    <m/>
    <m/>
    <m/>
    <m/>
    <m/>
    <m/>
    <m/>
    <s v="0"/>
    <s v="0"/>
  </r>
  <r>
    <s v="SJ2"/>
    <s v="5001732"/>
    <s v="CABLE ONE"/>
    <s v="BILOXI(786)"/>
    <s v="R023P14L2"/>
    <s v="SJ2_STAG"/>
    <s v="CABLE ONE"/>
    <s v="786 Dr Martin Luther King Jr Blvd"/>
    <s v="MS"/>
    <s v="Biloxi"/>
    <s v="39530-3836"/>
    <s v="HT3541H-D-A370-2-AS"/>
    <s v="XMTR DD 1.2GHZ FULL SPECTRUM 3"/>
    <s v="20110973"/>
    <s v="2.2"/>
    <x v="269"/>
    <n v="1959286"/>
    <d v="2016-09-13T18:25:05"/>
    <m/>
    <d v="2016-10-24T00:00:00"/>
    <d v="2016-09-13T00:00:00"/>
    <d v="2016-10-28T00:00:00"/>
    <m/>
    <n v="2"/>
    <n v="2"/>
    <n v="4160"/>
    <n v="4160"/>
    <s v="HE64"/>
    <s v="NWK ACCESS TECH"/>
    <s v="HEO"/>
    <s v="TRANSMITTER"/>
    <s v="HT"/>
    <s v="AS-STANDARD ORDER MIXED"/>
    <s v="A-SURFACE"/>
    <s v="OP"/>
    <n v="1248585"/>
    <s v="A-SURFACE"/>
    <m/>
    <m/>
    <m/>
    <s v="A-SURFACE"/>
    <s v="LTL"/>
    <s v="EXW"/>
    <s v="Prepay &amp; Add"/>
    <n v="10.53"/>
    <m/>
    <m/>
    <m/>
    <m/>
    <m/>
    <m/>
    <s v="0"/>
    <s v="0"/>
  </r>
  <r>
    <s v="SJ2"/>
    <s v="5001732"/>
    <s v="CABLE ONE"/>
    <s v="ODESSA4978"/>
    <s v="R020P18L5"/>
    <s v="SJ2_STAG"/>
    <s v="CABLE ONE"/>
    <s v="4701 E 52nd St"/>
    <s v="TX"/>
    <s v="Odessa"/>
    <s v="79762-4870"/>
    <s v="JC1512-MP-AS4-100"/>
    <s v="CABLE SERVICE (M)MPO/APC 4 SC/"/>
    <s v="20111521"/>
    <s v="5.1"/>
    <x v="270"/>
    <n v="1960264"/>
    <d v="2016-09-16T12:50:47"/>
    <m/>
    <d v="2016-10-25T00:00:00"/>
    <d v="2016-09-16T00:00:00"/>
    <d v="2016-10-25T00:00:00"/>
    <m/>
    <n v="1"/>
    <n v="1"/>
    <n v="390"/>
    <n v="390"/>
    <s v="N223"/>
    <s v="NWK ACCESS TECH"/>
    <s v="OPTICAL PASSIVES"/>
    <s v="INDOOR PASSIVES AURORA"/>
    <s v="N223"/>
    <s v="AS-STANDARD ORDER MIXED"/>
    <s v="A-SURFACE"/>
    <s v="OP"/>
    <n v="1249240"/>
    <s v="A-SURFACE"/>
    <m/>
    <m/>
    <m/>
    <s v="A-SURFACE"/>
    <s v="LTL"/>
    <s v="EXW"/>
    <s v="Prepay &amp; Add"/>
    <n v="21.29"/>
    <m/>
    <m/>
    <m/>
    <m/>
    <m/>
    <m/>
    <s v="0"/>
    <s v="0"/>
  </r>
  <r>
    <s v="SJ2"/>
    <s v="5001732"/>
    <s v="CABLE ONE"/>
    <s v="FARGO4970"/>
    <s v="R024P18L1B01"/>
    <s v="SJ2_STAG"/>
    <s v="CABLE ONE"/>
    <s v="1024 Page Dr S"/>
    <s v="ND"/>
    <s v="Fargo"/>
    <s v="58103-2336"/>
    <s v="JC1124"/>
    <s v="PATCH CORD SC/APC-LC/UPC 2MM J"/>
    <s v="20113862"/>
    <s v="27.1"/>
    <x v="271"/>
    <n v="1961085"/>
    <d v="2016-09-28T14:54:06"/>
    <m/>
    <d v="2016-10-26T00:00:00"/>
    <d v="2016-09-28T00:00:00"/>
    <d v="2016-10-26T00:00:00"/>
    <m/>
    <n v="10"/>
    <n v="10"/>
    <n v="180"/>
    <n v="180"/>
    <s v="N223"/>
    <s v="NWK ACCESS TECH"/>
    <s v="OPTICAL PASSIVES"/>
    <s v="INDOOR PASSIVES AURORA"/>
    <s v="N223"/>
    <s v="AS-STANDARD ORDER MIXED"/>
    <s v="A-SURFACE"/>
    <s v="OP"/>
    <n v="1249843"/>
    <s v="A-SURFACE"/>
    <m/>
    <m/>
    <m/>
    <s v="A-SURFACE"/>
    <s v="LTL"/>
    <s v="EXW"/>
    <s v="Prepay &amp; Add"/>
    <n v="9.3000000000000007"/>
    <m/>
    <m/>
    <m/>
    <m/>
    <m/>
    <m/>
    <s v="0"/>
    <s v="0"/>
  </r>
  <r>
    <s v="SJ2"/>
    <s v="5001732"/>
    <s v="CABLE ONE"/>
    <s v="FARGO4970"/>
    <s v="R024P18L1B01"/>
    <s v="SJ2_STAG"/>
    <s v="CABLE ONE"/>
    <s v="1024 Page Dr S"/>
    <s v="ND"/>
    <s v="Fargo"/>
    <s v="58103-2336"/>
    <s v="JC1124"/>
    <s v="PATCH CORD SC/APC-LC/UPC 2MM J"/>
    <s v="20115044"/>
    <s v="14.1"/>
    <x v="271"/>
    <n v="1961085"/>
    <d v="2016-10-04T16:24:21"/>
    <m/>
    <d v="2016-10-26T00:00:00"/>
    <d v="2016-10-04T00:00:00"/>
    <d v="2016-10-26T00:00:00"/>
    <m/>
    <n v="12"/>
    <n v="12"/>
    <n v="216"/>
    <n v="216"/>
    <s v="N223"/>
    <s v="NWK ACCESS TECH"/>
    <s v="OPTICAL PASSIVES"/>
    <s v="INDOOR PASSIVES AURORA"/>
    <s v="N223"/>
    <s v="AS-STANDARD ORDER MIXED"/>
    <s v="A-SURFACE"/>
    <s v="OP"/>
    <n v="1249843"/>
    <s v="A-SURFACE"/>
    <m/>
    <m/>
    <m/>
    <s v="A-SURFACE"/>
    <s v="LTL"/>
    <s v="EXW"/>
    <s v="Prepay &amp; Add"/>
    <n v="9.3000000000000007"/>
    <m/>
    <m/>
    <m/>
    <m/>
    <m/>
    <m/>
    <s v="0"/>
    <s v="0"/>
  </r>
  <r>
    <s v="SJ2"/>
    <s v="5001732"/>
    <s v="CABLE ONE"/>
    <s v="FARGO4970"/>
    <s v="R024P24L1B01"/>
    <s v="SJ2_STAG"/>
    <s v="CABLE ONE"/>
    <s v="1024 Page Dr S"/>
    <s v="ND"/>
    <s v="Fargo"/>
    <s v="58103-2336"/>
    <s v="JC1125"/>
    <s v="PATCH CORD SC/APC-LC/UPC 2MM J"/>
    <s v="20115044"/>
    <s v="15.1"/>
    <x v="271"/>
    <n v="1961085"/>
    <d v="2016-10-04T16:24:21"/>
    <m/>
    <d v="2016-10-26T00:00:00"/>
    <d v="2016-10-04T00:00:00"/>
    <d v="2016-10-26T00:00:00"/>
    <m/>
    <n v="2"/>
    <n v="2"/>
    <n v="46"/>
    <n v="46"/>
    <s v="N223"/>
    <s v="NWK ACCESS TECH"/>
    <s v="OPTICAL PASSIVES"/>
    <s v="INDOOR PASSIVES AURORA"/>
    <s v="N223"/>
    <s v="AS-STANDARD ORDER MIXED"/>
    <s v="A-SURFACE"/>
    <s v="OP"/>
    <n v="1249843"/>
    <s v="A-SURFACE"/>
    <m/>
    <m/>
    <m/>
    <s v="A-SURFACE"/>
    <s v="LTL"/>
    <s v="EXW"/>
    <s v="Prepay &amp; Add"/>
    <n v="9.3000000000000007"/>
    <m/>
    <m/>
    <m/>
    <m/>
    <m/>
    <m/>
    <s v="0"/>
    <s v="0"/>
  </r>
  <r>
    <s v="SJ2"/>
    <s v="5001732"/>
    <s v="CABLE ONE"/>
    <s v="ODESSA4978"/>
    <s v="R024P18L3B01"/>
    <s v="SJ2_STAG"/>
    <s v="CABLE ONE"/>
    <s v="4701 E 52nd St"/>
    <s v="TX"/>
    <s v="Odessa"/>
    <s v="79762-4870"/>
    <s v="OP34D5L-0-00-AS"/>
    <s v="DEMUX CWDM LOW 5CH SC/APC"/>
    <s v="20115306"/>
    <s v="6.1"/>
    <x v="270"/>
    <n v="1960264"/>
    <d v="2016-10-05T14:32:05"/>
    <m/>
    <d v="2016-10-25T00:00:00"/>
    <d v="2016-10-06T00:00:00"/>
    <d v="2016-10-27T00:00:00"/>
    <m/>
    <n v="1"/>
    <n v="1"/>
    <n v="741"/>
    <n v="741"/>
    <s v="N165"/>
    <s v="NWK ACCESS TECH"/>
    <s v="OPTICAL PASSIVES"/>
    <s v="INDOOR PASSIVES AURORA"/>
    <s v="N165"/>
    <s v="AS-STANDARD ORDER MIXED"/>
    <s v="A-SURFACE"/>
    <s v="OP"/>
    <n v="1249240"/>
    <s v="A-SURFACE"/>
    <m/>
    <m/>
    <m/>
    <s v="A-SURFACE"/>
    <s v="LTL"/>
    <s v="EXW"/>
    <s v="Prepay &amp; Add"/>
    <n v="21.29"/>
    <m/>
    <m/>
    <m/>
    <m/>
    <m/>
    <m/>
    <s v="0"/>
    <s v="0"/>
  </r>
  <r>
    <s v="SJ2"/>
    <s v="5001732"/>
    <s v="CABLE ONE"/>
    <s v="FARGO4970"/>
    <s v="R024P17L2B01"/>
    <s v="SJ2_STAG"/>
    <s v="CABLE ONE"/>
    <s v="1024 Page Dr S"/>
    <s v="ND"/>
    <s v="Fargo"/>
    <s v="58103-2336"/>
    <s v="JC1123"/>
    <s v="PATCH CORD SC/APC-LC/UPC 2MM J"/>
    <s v="20115383"/>
    <s v="13.1"/>
    <x v="271"/>
    <n v="1961085"/>
    <d v="2016-10-05T19:22:49"/>
    <m/>
    <d v="2016-10-26T00:00:00"/>
    <d v="2016-10-05T00:00:00"/>
    <d v="2016-10-26T00:00:00"/>
    <m/>
    <n v="2"/>
    <n v="2"/>
    <n v="36"/>
    <n v="36"/>
    <s v="N223"/>
    <s v="NWK ACCESS TECH"/>
    <s v="OPTICAL PASSIVES"/>
    <s v="INDOOR PASSIVES AURORA"/>
    <s v="N223"/>
    <s v="AS-STANDARD ORDER MIXED"/>
    <s v="A-SURFACE"/>
    <s v="OP"/>
    <n v="1249843"/>
    <s v="A-SURFACE"/>
    <m/>
    <m/>
    <m/>
    <s v="A-SURFACE"/>
    <s v="LTL"/>
    <s v="EXW"/>
    <s v="Prepay &amp; Add"/>
    <n v="9.3000000000000007"/>
    <m/>
    <m/>
    <m/>
    <m/>
    <m/>
    <m/>
    <s v="0"/>
    <s v="0"/>
  </r>
  <r>
    <s v="SJ2"/>
    <s v="5001732"/>
    <s v="CABLE ONE"/>
    <s v="FARGO4970"/>
    <s v="R022P38L3"/>
    <s v="SJ2_STAG"/>
    <s v="CABLE ONE"/>
    <s v="1024 Page Dr S"/>
    <s v="ND"/>
    <s v="Fargo"/>
    <s v="58103-2336"/>
    <s v="EQ2110G"/>
    <s v="LINEAR EQL NC2000 10DB 45-1GHZ"/>
    <s v="20115383"/>
    <s v="15.1"/>
    <x v="272"/>
    <n v="1957248"/>
    <d v="2016-10-05T19:22:49"/>
    <m/>
    <d v="2016-10-20T00:00:00"/>
    <d v="2016-10-05T00:00:00"/>
    <d v="2016-10-20T00:00:00"/>
    <m/>
    <n v="10"/>
    <m/>
    <n v="50"/>
    <m/>
    <s v="N224"/>
    <s v="NWK ACCESS TECH"/>
    <s v="ACCESS OTHER"/>
    <s v="OTHER AURORA"/>
    <s v="N224"/>
    <s v="AS-STANDARD ORDER MIXED"/>
    <s v="A-SURFACE"/>
    <s v="OP"/>
    <n v="1246751"/>
    <s v="A-SURFACE"/>
    <m/>
    <m/>
    <m/>
    <s v="A-SURFACE"/>
    <s v="LTL"/>
    <s v="EXW"/>
    <s v="Prepay &amp; Add"/>
    <m/>
    <m/>
    <m/>
    <m/>
    <m/>
    <m/>
    <m/>
    <s v="0"/>
    <s v="0"/>
  </r>
  <r>
    <s v="SJ2"/>
    <s v="5001732"/>
    <s v="CABLE ONE"/>
    <s v="FARGO4970"/>
    <s v="R022P68L3"/>
    <s v="SJ2_STAG"/>
    <s v="CABLE ONE"/>
    <s v="1024 Page Dr S"/>
    <s v="ND"/>
    <s v="Fargo"/>
    <s v="58103-2336"/>
    <s v="EQ2111G"/>
    <s v="LINEAR EQL NC2000 11DB 45-1GHZ"/>
    <s v="20115383"/>
    <s v="16.1"/>
    <x v="272"/>
    <n v="1957248"/>
    <d v="2016-10-05T19:22:49"/>
    <m/>
    <d v="2016-10-20T00:00:00"/>
    <d v="2016-10-05T00:00:00"/>
    <d v="2016-10-20T00:00:00"/>
    <m/>
    <n v="10"/>
    <m/>
    <n v="50"/>
    <m/>
    <s v="HE64"/>
    <s v="NWK ACCESS TECH"/>
    <s v="HEO"/>
    <s v="TRANSMITTER"/>
    <s v="HT"/>
    <s v="AS-STANDARD ORDER MIXED"/>
    <s v="A-SURFACE"/>
    <s v="OP"/>
    <n v="1246751"/>
    <s v="A-SURFACE"/>
    <m/>
    <m/>
    <m/>
    <s v="A-SURFACE"/>
    <s v="LTL"/>
    <s v="EXW"/>
    <s v="Prepay &amp; Add"/>
    <m/>
    <m/>
    <m/>
    <m/>
    <m/>
    <m/>
    <m/>
    <s v="0"/>
    <s v="0"/>
  </r>
  <r>
    <s v="SJ2"/>
    <s v="5001732"/>
    <s v="CABLE ONE"/>
    <s v="KIRKSVILLE4963"/>
    <s v="R022P47L4"/>
    <s v="SJ2_STAG"/>
    <s v="CABLE ONE"/>
    <s v="402 N Main St"/>
    <s v="MO"/>
    <s v="Kirksville"/>
    <s v="63501-2848"/>
    <s v="EQ2103G"/>
    <s v="LINEAR EQL NC2000 3DB 45-1GHZ"/>
    <s v="20115702"/>
    <s v="21.1"/>
    <x v="273"/>
    <n v="1957950"/>
    <d v="2016-10-07T13:00:14"/>
    <m/>
    <d v="2016-10-21T00:00:00"/>
    <d v="2016-10-07T00:00:00"/>
    <d v="2016-10-21T00:00:00"/>
    <m/>
    <n v="10"/>
    <m/>
    <n v="50"/>
    <m/>
    <s v="N224"/>
    <s v="NWK ACCESS TECH"/>
    <s v="ACCESS OTHER"/>
    <s v="OTHER AURORA"/>
    <s v="N224"/>
    <s v="AS-STANDARD ORDER MIXED"/>
    <s v="A-SURFACE"/>
    <s v="OP"/>
    <n v="1247126"/>
    <s v="A-SURFACE"/>
    <m/>
    <m/>
    <m/>
    <s v="A-SURFACE"/>
    <s v="LTL"/>
    <s v="EXW"/>
    <s v="Prepay &amp; Add"/>
    <m/>
    <m/>
    <m/>
    <m/>
    <m/>
    <m/>
    <m/>
    <s v="0"/>
    <s v="0"/>
  </r>
  <r>
    <s v="SJ2"/>
    <s v="5001732"/>
    <s v="CABLE ONE"/>
    <s v="KIRKSVILLE4963"/>
    <s v="R023P13L1"/>
    <s v="SJ2_STAG"/>
    <s v="CABLE ONE"/>
    <s v="402 N Main St"/>
    <s v="MO"/>
    <s v="Kirksville"/>
    <s v="63501-2848"/>
    <s v="EQ2114G"/>
    <s v="&quot;LINEAR EQL NC2000 14dB 45-1GH"/>
    <s v="20115702"/>
    <s v="30.1"/>
    <x v="273"/>
    <n v="1957950"/>
    <d v="2016-10-07T13:00:14"/>
    <m/>
    <d v="2016-10-21T00:00:00"/>
    <d v="2016-10-07T00:00:00"/>
    <d v="2016-10-25T00:00:00"/>
    <m/>
    <n v="10"/>
    <m/>
    <n v="50"/>
    <m/>
    <s v="N224"/>
    <s v="NWK ACCESS TECH"/>
    <s v="ACCESS OTHER"/>
    <s v="OTHER AURORA"/>
    <s v="N224"/>
    <s v="AS-STANDARD ORDER MIXED"/>
    <s v="A-SURFACE"/>
    <s v="OP"/>
    <n v="1247126"/>
    <s v="A-SURFACE"/>
    <m/>
    <m/>
    <m/>
    <s v="A-SURFACE"/>
    <s v="LTL"/>
    <s v="EXW"/>
    <s v="Prepay &amp; Add"/>
    <m/>
    <m/>
    <m/>
    <m/>
    <m/>
    <m/>
    <m/>
    <s v="0"/>
    <s v="0"/>
  </r>
  <r>
    <s v="SJ2"/>
    <s v="5001732"/>
    <s v="CABLE ONE"/>
    <s v="FARGO4970"/>
    <s v="R024P17L2B01"/>
    <s v="SJ2_STAG"/>
    <s v="CABLE ONE"/>
    <s v="1024 Page Dr S"/>
    <s v="ND"/>
    <s v="Fargo"/>
    <s v="58103-2336"/>
    <s v="JC1123"/>
    <s v="PATCH CORD SC/APC-LC/UPC 2MM J"/>
    <s v="20116096"/>
    <s v="19.1"/>
    <x v="271"/>
    <n v="1961085"/>
    <d v="2016-10-10T13:49:54"/>
    <m/>
    <d v="2016-10-26T00:00:00"/>
    <d v="2016-10-10T00:00:00"/>
    <d v="2016-10-26T00:00:00"/>
    <m/>
    <n v="2"/>
    <n v="2"/>
    <n v="36"/>
    <n v="36"/>
    <s v="N223"/>
    <s v="NWK ACCESS TECH"/>
    <s v="OPTICAL PASSIVES"/>
    <s v="INDOOR PASSIVES AURORA"/>
    <s v="N223"/>
    <s v="AS-STANDARD ORDER MIXED"/>
    <s v="A-SURFACE"/>
    <s v="OP"/>
    <n v="1249843"/>
    <s v="A-SURFACE"/>
    <m/>
    <m/>
    <m/>
    <s v="A-SURFACE"/>
    <s v="LTL"/>
    <s v="EXW"/>
    <s v="Prepay &amp; Add"/>
    <n v="9.3000000000000007"/>
    <m/>
    <m/>
    <m/>
    <m/>
    <m/>
    <m/>
    <s v="0"/>
    <s v="0"/>
  </r>
  <r>
    <s v="SJ2"/>
    <s v="5001732"/>
    <s v="CABLE ONE"/>
    <s v="IDAHO FALLS5073"/>
    <s v="R024P32L1B01"/>
    <s v="SJ2_STAG"/>
    <s v="CABLE ONE"/>
    <s v="1525 Sherry Ave"/>
    <s v="ID"/>
    <s v="Idaho Falls"/>
    <s v="83401-4849"/>
    <s v="JC1111"/>
    <s v="PATCH CORD SC/APC-SC/APC 3MM J"/>
    <s v="20118969"/>
    <s v="1.1"/>
    <x v="274"/>
    <n v="1961658"/>
    <d v="2016-10-26T16:52:16"/>
    <m/>
    <d v="2016-10-26T00:00:00"/>
    <d v="2016-10-26T00:00:00"/>
    <d v="2016-10-26T00:00:00"/>
    <m/>
    <n v="15"/>
    <m/>
    <n v="270"/>
    <m/>
    <s v="N223"/>
    <s v="NWK ACCESS TECH"/>
    <s v="OPTICAL PASSIVES"/>
    <s v="INDOOR PASSIVES AURORA"/>
    <s v="N223"/>
    <s v="AS-STANDARD ORDER MIXED"/>
    <s v="A-SURFACE"/>
    <s v="OP"/>
    <n v="1250226"/>
    <s v="A-SURFACE"/>
    <m/>
    <m/>
    <m/>
    <s v="A-SURFACE"/>
    <s v="LTL"/>
    <s v="EXW"/>
    <s v="Prepay &amp; Add"/>
    <m/>
    <m/>
    <m/>
    <m/>
    <m/>
    <m/>
    <m/>
    <s v="0"/>
    <s v="0"/>
  </r>
  <r>
    <s v="SJ2"/>
    <s v="5001732"/>
    <s v="CABLE ONE"/>
    <s v="IDAHO FALLS5073"/>
    <s v="R024P32L1B01"/>
    <s v="SJ2_STAG"/>
    <s v="CABLE ONE"/>
    <s v="1525 Sherry Ave"/>
    <s v="ID"/>
    <s v="Idaho Falls"/>
    <s v="83401-4849"/>
    <s v="JC1112"/>
    <s v="PATCH CORD SC/APC-SC/APC 3MM J"/>
    <s v="20118969"/>
    <s v="2.1"/>
    <x v="274"/>
    <n v="1961658"/>
    <d v="2016-10-26T16:52:16"/>
    <m/>
    <d v="2016-10-26T00:00:00"/>
    <d v="2016-10-26T00:00:00"/>
    <d v="2016-10-26T00:00:00"/>
    <m/>
    <n v="15"/>
    <m/>
    <n v="270"/>
    <m/>
    <s v="N223"/>
    <s v="NWK ACCESS TECH"/>
    <s v="OPTICAL PASSIVES"/>
    <s v="INDOOR PASSIVES AURORA"/>
    <s v="N223"/>
    <s v="AS-STANDARD ORDER MIXED"/>
    <s v="A-SURFACE"/>
    <s v="OP"/>
    <n v="1250226"/>
    <s v="A-SURFACE"/>
    <m/>
    <m/>
    <m/>
    <s v="A-SURFACE"/>
    <s v="LTL"/>
    <s v="EXW"/>
    <s v="Prepay &amp; Add"/>
    <m/>
    <m/>
    <m/>
    <m/>
    <m/>
    <m/>
    <m/>
    <s v="0"/>
    <s v="0"/>
  </r>
  <r>
    <s v="SJ2"/>
    <s v="5001732"/>
    <s v="CABLE ONE"/>
    <s v="IDAHO FALLS5073"/>
    <s v="R024P33L1B02"/>
    <s v="SJ2_STAG"/>
    <s v="CABLE ONE"/>
    <s v="1525 Sherry Ave"/>
    <s v="ID"/>
    <s v="Idaho Falls"/>
    <s v="83401-4849"/>
    <s v="JC1114"/>
    <s v="PATCH CORD SC/APC-SC/APC 3MM J"/>
    <s v="20118969"/>
    <s v="3.1"/>
    <x v="274"/>
    <n v="1961665"/>
    <d v="2016-10-26T16:52:16"/>
    <m/>
    <d v="2016-10-26T00:00:00"/>
    <d v="2016-10-26T00:00:00"/>
    <d v="2016-10-26T00:00:00"/>
    <m/>
    <n v="25"/>
    <m/>
    <n v="450"/>
    <m/>
    <s v="N223"/>
    <s v="NWK ACCESS TECH"/>
    <s v="OPTICAL PASSIVES"/>
    <s v="INDOOR PASSIVES AURORA"/>
    <s v="N223"/>
    <s v="AS-STANDARD ORDER MIXED"/>
    <s v="A-SURFACE"/>
    <s v="OP"/>
    <n v="1250226"/>
    <s v="A-SURFACE"/>
    <m/>
    <m/>
    <m/>
    <s v="A-SURFACE"/>
    <s v="LTL"/>
    <s v="EXW"/>
    <s v="Prepay &amp; Add"/>
    <m/>
    <m/>
    <m/>
    <m/>
    <m/>
    <m/>
    <m/>
    <s v="0"/>
    <s v="0"/>
  </r>
  <r>
    <s v="SJ2"/>
    <s v="5001732"/>
    <s v="CABLE ONE"/>
    <s v="IDAHO FALLS5073"/>
    <s v="R024P32L1B02"/>
    <s v="SJ2_STAG"/>
    <s v="CABLE ONE"/>
    <s v="1525 Sherry Ave"/>
    <s v="ID"/>
    <s v="Idaho Falls"/>
    <s v="83401-4849"/>
    <s v="JC1115"/>
    <s v="PATCH CORD SC/APC-SC/APC 3MM J"/>
    <s v="20118969"/>
    <s v="4.1"/>
    <x v="274"/>
    <n v="1961665"/>
    <d v="2016-10-26T16:52:16"/>
    <m/>
    <d v="2016-10-26T00:00:00"/>
    <d v="2016-10-26T00:00:00"/>
    <d v="2016-10-26T00:00:00"/>
    <m/>
    <n v="15"/>
    <m/>
    <n v="375"/>
    <m/>
    <s v="N223"/>
    <s v="NWK ACCESS TECH"/>
    <s v="OPTICAL PASSIVES"/>
    <s v="INDOOR PASSIVES AURORA"/>
    <s v="N223"/>
    <s v="AS-STANDARD ORDER MIXED"/>
    <s v="A-SURFACE"/>
    <s v="OP"/>
    <n v="1250226"/>
    <s v="A-SURFACE"/>
    <m/>
    <m/>
    <m/>
    <s v="A-SURFACE"/>
    <s v="LTL"/>
    <s v="EXW"/>
    <s v="Prepay &amp; Add"/>
    <m/>
    <m/>
    <m/>
    <m/>
    <m/>
    <m/>
    <m/>
    <s v="0"/>
    <s v="0"/>
  </r>
  <r>
    <s v="SJ2"/>
    <s v="5001732"/>
    <s v="CABLE ONE"/>
    <s v="IDAHO FALLS5073"/>
    <s v="R023P71L1"/>
    <s v="SJ2_STAG"/>
    <s v="CABLE ONE"/>
    <s v="1525 Sherry Ave"/>
    <s v="ID"/>
    <s v="Idaho Falls"/>
    <s v="83401-4849"/>
    <s v="OP35F1S-59-0-00-AS"/>
    <s v="DWDM FILTER SINGLE ITU CH 59 S"/>
    <s v="20118969"/>
    <s v="7.1"/>
    <x v="274"/>
    <n v="1961658"/>
    <d v="2016-10-26T16:52:16"/>
    <m/>
    <d v="2016-10-26T00:00:00"/>
    <d v="2016-10-26T00:00:00"/>
    <d v="2016-10-26T00:00:00"/>
    <m/>
    <n v="4"/>
    <m/>
    <n v="1144"/>
    <m/>
    <s v="N156"/>
    <s v="NWK ACCESS TECH"/>
    <s v="ACCESS OTHER"/>
    <s v="OTHER AURORA"/>
    <s v="N156"/>
    <s v="AS-STANDARD ORDER MIXED"/>
    <s v="A-SURFACE"/>
    <s v="OP"/>
    <n v="1250226"/>
    <s v="A-SURFACE"/>
    <m/>
    <m/>
    <m/>
    <s v="A-SURFACE"/>
    <s v="LTL"/>
    <s v="EXW"/>
    <s v="Prepay &amp; Add"/>
    <m/>
    <m/>
    <m/>
    <m/>
    <m/>
    <m/>
    <m/>
    <s v="0"/>
    <s v="0"/>
  </r>
  <r>
    <s v="SJ2"/>
    <s v="5001732"/>
    <s v="CABLE ONE"/>
    <s v="IDAHO FALLS5073"/>
    <s v="R023P74L1"/>
    <s v="SJ2_STAG"/>
    <s v="CABLE ONE"/>
    <s v="1525 Sherry Ave"/>
    <s v="ID"/>
    <s v="Idaho Falls"/>
    <s v="83401-4849"/>
    <s v="TR4580-59-PI"/>
    <s v="XCVR PLUGGABLE DWDM ITU CH 59"/>
    <s v="20118969"/>
    <s v="8.1"/>
    <x v="274"/>
    <n v="1961658"/>
    <d v="2016-10-26T16:52:16"/>
    <m/>
    <d v="2016-10-26T00:00:00"/>
    <d v="2016-10-26T00:00:00"/>
    <d v="2016-10-26T00:00:00"/>
    <m/>
    <n v="1"/>
    <m/>
    <n v="962"/>
    <m/>
    <s v="N252"/>
    <s v="NWK ACCESS TECH"/>
    <s v="NODE"/>
    <s v="NODE MISC AURORA"/>
    <s v="N252"/>
    <s v="AS-STANDARD ORDER MIXED"/>
    <s v="A-SURFACE"/>
    <s v="OP"/>
    <n v="1250226"/>
    <s v="A-SURFACE"/>
    <m/>
    <m/>
    <m/>
    <s v="A-SURFACE"/>
    <s v="LTL"/>
    <s v="EXW"/>
    <s v="Prepay &amp; Add"/>
    <m/>
    <m/>
    <m/>
    <m/>
    <m/>
    <m/>
    <m/>
    <s v="0"/>
    <s v="0"/>
  </r>
  <r>
    <s v="SJ2"/>
    <s v="5001732"/>
    <s v="CABLE ONE"/>
    <s v="NORFOLK"/>
    <s v="R017P59L5"/>
    <s v="SJ2_STAG"/>
    <s v="CABLE ONE"/>
    <s v="100 N Victory Rd"/>
    <s v="NE"/>
    <s v="Norfolk"/>
    <s v="68701-6800"/>
    <s v="PF3000N-FM-00"/>
    <s v="PASSIVE FRAME 4RU FBR MGT NO C"/>
    <s v="20118984"/>
    <s v="1.1"/>
    <x v="275"/>
    <n v="1961659"/>
    <d v="2016-10-26T17:17:37"/>
    <m/>
    <d v="2016-10-26T00:00:00"/>
    <d v="2016-10-26T00:00:00"/>
    <d v="2016-10-26T00:00:00"/>
    <m/>
    <n v="1"/>
    <m/>
    <n v="143"/>
    <m/>
    <s v="N224"/>
    <s v="NWK ACCESS TECH"/>
    <s v="ACCESS OTHER"/>
    <s v="OTHER AURORA"/>
    <s v="N224"/>
    <s v="AS-STANDARD ORDER MIXED"/>
    <s v="A-SURFACE"/>
    <s v="OP"/>
    <n v="1250226"/>
    <s v="A-SURFACE"/>
    <m/>
    <m/>
    <m/>
    <s v="A-SURFACE"/>
    <s v="LTL"/>
    <s v="EXW"/>
    <s v="Prepay &amp; Add"/>
    <m/>
    <m/>
    <m/>
    <m/>
    <m/>
    <m/>
    <m/>
    <s v="0"/>
    <s v="0"/>
  </r>
  <r>
    <s v="SJ2"/>
    <s v="5001732"/>
    <s v="CABLE ONE"/>
    <s v="NORFOLK"/>
    <s v="R015P34L1"/>
    <s v="SJ2_STAG"/>
    <s v="CABLE ONE"/>
    <s v="100 N Victory Rd"/>
    <s v="NE"/>
    <s v="Norfolk"/>
    <s v="68701-6800"/>
    <s v="JC1508-AS-100"/>
    <s v="CABLE SERVICE 8 SC/APC 100FT"/>
    <s v="20118984"/>
    <s v="10.1"/>
    <x v="275"/>
    <n v="1961659"/>
    <d v="2016-10-26T17:17:37"/>
    <m/>
    <d v="2016-10-26T00:00:00"/>
    <d v="2016-10-26T00:00:00"/>
    <d v="2016-10-26T00:00:00"/>
    <m/>
    <n v="7"/>
    <m/>
    <n v="2002"/>
    <m/>
    <s v="N223"/>
    <s v="NWK ACCESS TECH"/>
    <s v="OPTICAL PASSIVES"/>
    <s v="INDOOR PASSIVES AURORA"/>
    <s v="N223"/>
    <s v="AS-STANDARD ORDER MIXED"/>
    <s v="A-SURFACE"/>
    <s v="OP"/>
    <n v="1250226"/>
    <s v="A-SURFACE"/>
    <m/>
    <m/>
    <m/>
    <s v="A-SURFACE"/>
    <s v="LTL"/>
    <s v="EXW"/>
    <s v="Prepay &amp; Add"/>
    <m/>
    <m/>
    <m/>
    <m/>
    <m/>
    <m/>
    <m/>
    <s v="0"/>
    <s v="0"/>
  </r>
  <r>
    <s v="SJ2"/>
    <s v="5001732"/>
    <s v="CABLE ONE"/>
    <s v="NORFOLK"/>
    <s v="R024P21L1B02"/>
    <s v="SJ2_STAG"/>
    <s v="CABLE ONE"/>
    <s v="100 N Victory Rd"/>
    <s v="NE"/>
    <s v="Norfolk"/>
    <s v="68701-6800"/>
    <s v="HT3541H-D-A510-2-AS"/>
    <s v="XMTR DD 1.2GHZ FULL SPECTRUM 3"/>
    <s v="20118984"/>
    <s v="4.1"/>
    <x v="275"/>
    <n v="1961664"/>
    <d v="2016-10-26T17:17:37"/>
    <m/>
    <d v="2016-10-26T00:00:00"/>
    <d v="2016-10-26T00:00:00"/>
    <d v="2016-10-26T00:00:00"/>
    <m/>
    <n v="7"/>
    <m/>
    <n v="14560"/>
    <m/>
    <s v="HE64"/>
    <s v="NWK ACCESS TECH"/>
    <s v="HEO"/>
    <s v="TRANSMITTER"/>
    <s v="HT"/>
    <s v="AS-STANDARD ORDER MIXED"/>
    <s v="A-SURFACE"/>
    <s v="OP"/>
    <n v="1250226"/>
    <s v="A-SURFACE"/>
    <m/>
    <m/>
    <m/>
    <s v="A-SURFACE"/>
    <s v="LTL"/>
    <s v="EXW"/>
    <s v="Prepay &amp; Add"/>
    <m/>
    <m/>
    <m/>
    <m/>
    <m/>
    <m/>
    <m/>
    <s v="0"/>
    <s v="0"/>
  </r>
  <r>
    <s v="SJ2"/>
    <s v="5001732"/>
    <s v="CABLE ONE"/>
    <s v="NORFOLK"/>
    <s v="R020P33L4"/>
    <s v="SJ2_STAG"/>
    <s v="CABLE ONE"/>
    <s v="100 N Victory Rd"/>
    <s v="NE"/>
    <s v="Norfolk"/>
    <s v="68701-6800"/>
    <s v="OP34F1D-1430-0-00-AS"/>
    <s v="CWDM FLTR DUAL 1430NM SC/APC 3"/>
    <s v="20118984"/>
    <s v="6.1"/>
    <x v="275"/>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24P22L3B02"/>
    <s v="SJ2_STAG"/>
    <s v="CABLE ONE"/>
    <s v="100 N Victory Rd"/>
    <s v="NE"/>
    <s v="Norfolk"/>
    <s v="68701-6800"/>
    <s v="OP34F1D-1450-0-00-AS"/>
    <s v="CWDM FLTR DUAL 1450NM SC/APC 3"/>
    <s v="20118984"/>
    <s v="7.1"/>
    <x v="275"/>
    <n v="1961659"/>
    <d v="2016-10-26T17:17:37"/>
    <m/>
    <d v="2016-10-26T00:00:00"/>
    <d v="2016-10-26T00:00:00"/>
    <d v="2016-10-26T00:00:00"/>
    <m/>
    <n v="4"/>
    <m/>
    <n v="1560"/>
    <m/>
    <s v="N156"/>
    <s v="NWK ACCESS TECH"/>
    <s v="ACCESS OTHER"/>
    <s v="OTHER AURORA"/>
    <s v="N156"/>
    <s v="AS-STANDARD ORDER MIXED"/>
    <s v="A-SURFACE"/>
    <s v="OP"/>
    <n v="1250226"/>
    <s v="A-SURFACE"/>
    <m/>
    <m/>
    <m/>
    <s v="A-SURFACE"/>
    <s v="LTL"/>
    <s v="EXW"/>
    <s v="Prepay &amp; Add"/>
    <m/>
    <m/>
    <m/>
    <m/>
    <m/>
    <m/>
    <m/>
    <s v="0"/>
    <s v="0"/>
  </r>
  <r>
    <s v="SJ2"/>
    <s v="5001732"/>
    <s v="CABLE ONE"/>
    <s v="NORFOLK"/>
    <s v="R016P16L2B01"/>
    <s v="SJ2_STAG"/>
    <s v="CABLE ONE"/>
    <s v="100 N Victory Rd"/>
    <s v="NE"/>
    <s v="Norfolk"/>
    <s v="68701-6800"/>
    <s v="AR4203G-AS"/>
    <s v="OPTICAL RECEIVER 51-1002MHz FW"/>
    <s v="20118984"/>
    <s v="9.1"/>
    <x v="275"/>
    <n v="1961664"/>
    <d v="2016-10-26T17:17:37"/>
    <m/>
    <d v="2016-10-26T00:00:00"/>
    <d v="2016-10-26T00:00:00"/>
    <d v="2016-10-26T00:00:00"/>
    <m/>
    <n v="21"/>
    <m/>
    <n v="8190"/>
    <m/>
    <s v="N222"/>
    <s v="NWK ACCESS TECH"/>
    <s v="HPON"/>
    <s v="VHUB AURORA"/>
    <s v="N222"/>
    <s v="AS-STANDARD ORDER MIXED"/>
    <s v="A-SURFACE"/>
    <s v="OP"/>
    <n v="1250226"/>
    <s v="A-SURFACE"/>
    <m/>
    <m/>
    <m/>
    <s v="A-SURFACE"/>
    <s v="LTL"/>
    <s v="EXW"/>
    <s v="Prepay &amp; Add"/>
    <m/>
    <m/>
    <m/>
    <m/>
    <m/>
    <m/>
    <m/>
    <s v="0"/>
    <s v="0"/>
  </r>
  <r>
    <s v="SJ2"/>
    <s v="5001732"/>
    <s v="CABLE ONE"/>
    <s v="RIO RANCHO4971"/>
    <s v="R016P07L2B02"/>
    <s v="SJ2_STAG"/>
    <s v="CABLE ONE"/>
    <s v="7501 Nita Pl NE"/>
    <s v="NM"/>
    <s v="Rio Rancho"/>
    <s v="87144-8732"/>
    <s v="DR3450N-50-00"/>
    <s v="DIGITAL RECEIVER Q-RX 2.125GBP"/>
    <s v="20118989"/>
    <s v="1.1"/>
    <x v="276"/>
    <n v="1961683"/>
    <d v="2016-10-26T17:23:43"/>
    <m/>
    <d v="2016-10-26T00:00:00"/>
    <d v="2016-10-26T00:00:00"/>
    <d v="2016-10-26T00:00:00"/>
    <m/>
    <n v="3"/>
    <n v="3"/>
    <n v="3900"/>
    <n v="3900"/>
    <s v="N275"/>
    <s v="NWK ACCESS TECH"/>
    <s v="HEO"/>
    <s v="RECEIVERS AURORA"/>
    <s v="N275"/>
    <s v="AS-STANDARD ORDER MIXED"/>
    <s v="A-SURFACE"/>
    <s v="OP"/>
    <n v="1250226"/>
    <s v="A-SURFACE"/>
    <m/>
    <m/>
    <m/>
    <s v="A-SURFACE"/>
    <s v="LTL"/>
    <s v="EXW"/>
    <s v="Prepay &amp; Add"/>
    <n v="11.01"/>
    <m/>
    <m/>
    <m/>
    <m/>
    <m/>
    <m/>
    <s v="0"/>
    <s v="0"/>
  </r>
  <r>
    <s v="SJ2"/>
    <s v="5001732"/>
    <s v="CABLE ONE"/>
    <s v="RIO RANCHO4971"/>
    <s v="R015P61L2"/>
    <s v="SJ2_STAG"/>
    <s v="CABLE ONE"/>
    <s v="7501 Nita Pl NE"/>
    <s v="NM"/>
    <s v="Rio Rancho"/>
    <s v="87144-8732"/>
    <s v="BP3400C-00"/>
    <s v="BACKPLATE 4.25 GB/S 1-FER/2-FE"/>
    <s v="20118989"/>
    <s v="2.1"/>
    <x v="276"/>
    <n v="1961683"/>
    <d v="2016-10-26T17:23:43"/>
    <m/>
    <d v="2016-10-26T00:00:00"/>
    <d v="2016-10-26T00:00:00"/>
    <d v="2016-10-26T00:00:00"/>
    <m/>
    <n v="1"/>
    <n v="1"/>
    <n v="520"/>
    <n v="520"/>
    <s v="N076"/>
    <s v="NWK ACCESS TECH"/>
    <s v="HEO"/>
    <s v="HEO MISC AURORA"/>
    <s v="N076"/>
    <s v="AS-STANDARD ORDER MIXED"/>
    <s v="A-SURFACE"/>
    <s v="OP"/>
    <n v="1250226"/>
    <s v="A-SURFACE"/>
    <m/>
    <m/>
    <m/>
    <s v="A-SURFACE"/>
    <s v="LTL"/>
    <s v="EXW"/>
    <s v="Prepay &amp; Add"/>
    <n v="11.01"/>
    <m/>
    <m/>
    <m/>
    <m/>
    <m/>
    <m/>
    <s v="0"/>
    <s v="0"/>
  </r>
  <r>
    <s v="SJ2"/>
    <s v="5001732"/>
    <s v="CABLE ONE"/>
    <s v="JOPLIN2600"/>
    <s v="R015P61L5"/>
    <s v="SJ2_STAG"/>
    <s v="CABLE ONE JOPLIN"/>
    <s v="2600 Davis Blvd"/>
    <s v="MO"/>
    <s v="Joplin"/>
    <s v="64804-3210"/>
    <s v="CE8300H-00"/>
    <s v="ENCLOSURE PRIMEX OUTDOOR SINGL"/>
    <s v="20118994"/>
    <s v="1.1"/>
    <x v="277"/>
    <n v="1963243"/>
    <d v="2016-10-26T17:27:00"/>
    <m/>
    <d v="2016-10-28T00:00:00"/>
    <d v="2016-10-26T00:00:00"/>
    <d v="2016-10-28T00:00:00"/>
    <m/>
    <n v="20"/>
    <m/>
    <n v="720"/>
    <m/>
    <s v="N224"/>
    <s v="NWK ACCESS TECH"/>
    <s v="ACCESS OTHER"/>
    <s v="OTHER AURORA"/>
    <s v="N224"/>
    <s v="AS-STANDARD ORDER MIXED"/>
    <s v="A-SURFACE"/>
    <s v="OP"/>
    <n v="1251073"/>
    <s v="A-SURFACE"/>
    <m/>
    <m/>
    <m/>
    <s v="A-SURFACE"/>
    <s v="LTL"/>
    <s v="EXW"/>
    <s v="Prepay &amp; Add"/>
    <m/>
    <m/>
    <m/>
    <m/>
    <m/>
    <m/>
    <m/>
    <s v="0"/>
    <s v="0"/>
  </r>
  <r>
    <s v="SJ2"/>
    <s v="5001732"/>
    <s v="CABLE ONE"/>
    <s v="JOPLIN2600"/>
    <s v="R015P27L1"/>
    <s v="SJ2_STAG"/>
    <s v="CABLE ONE JOPLIN"/>
    <s v="2600 Davis Blvd"/>
    <s v="MO"/>
    <s v="Joplin"/>
    <s v="64804-3210"/>
    <s v="PS1811U-01"/>
    <s v="RFoG UPS 100-240VAC 12VDC 8W F"/>
    <s v="20118994"/>
    <s v="2.1"/>
    <x v="278"/>
    <n v="1961666"/>
    <d v="2016-10-26T17:27:00"/>
    <m/>
    <d v="2016-10-26T00:00:00"/>
    <d v="2016-10-26T00:00:00"/>
    <d v="2016-10-26T00:00:00"/>
    <m/>
    <n v="20"/>
    <n v="20"/>
    <n v="1180"/>
    <n v="1180"/>
    <s v="N204"/>
    <s v="NWK ACCESS TECH"/>
    <s v="ACCESS OTHER"/>
    <s v="OTHER AURORA"/>
    <s v="N204"/>
    <s v="AS-STANDARD ORDER MIXED"/>
    <s v="A-SURFACE"/>
    <s v="OP"/>
    <n v="1250226"/>
    <s v="A-SURFACE"/>
    <m/>
    <m/>
    <m/>
    <s v="A-SURFACE"/>
    <s v="LTL"/>
    <s v="EXW"/>
    <s v="Prepay &amp; Add"/>
    <m/>
    <m/>
    <m/>
    <m/>
    <m/>
    <m/>
    <m/>
    <s v="0"/>
    <s v="0"/>
  </r>
  <r>
    <s v="SJ2"/>
    <s v="5001732"/>
    <s v="CABLE ONE"/>
    <s v="JOPLIN2600"/>
    <s v="R016P20L3B01"/>
    <s v="SJ2_STAG"/>
    <s v="CABLE ONE JOPLIN"/>
    <s v="2600 Davis Blvd"/>
    <s v="MO"/>
    <s v="Joplin"/>
    <s v="64804-3210"/>
    <s v="PS1911W-00"/>
    <s v="POWER ADPTR 120VAC-12VDC 525MA"/>
    <s v="20118994"/>
    <s v="4.1"/>
    <x v="279"/>
    <n v="1962040"/>
    <d v="2016-10-26T17:27:00"/>
    <m/>
    <d v="2016-10-27T00:00:00"/>
    <d v="2016-10-26T00:00:00"/>
    <d v="2016-10-27T00:00:00"/>
    <m/>
    <n v="20"/>
    <m/>
    <n v="120"/>
    <m/>
    <s v="N204"/>
    <s v="NWK ACCESS TECH"/>
    <s v="ACCESS OTHER"/>
    <s v="OTHER AURORA"/>
    <s v="N204"/>
    <s v="AS-STANDARD ORDER MIXED"/>
    <s v="A-SURFACE"/>
    <s v="OP"/>
    <n v="1250456"/>
    <s v="A-SURFACE"/>
    <m/>
    <m/>
    <m/>
    <s v="A-SURFACE"/>
    <s v="LTL"/>
    <s v="EXW"/>
    <s v="Prepay &amp; Add"/>
    <m/>
    <m/>
    <m/>
    <m/>
    <m/>
    <m/>
    <m/>
    <s v="0"/>
    <s v="0"/>
  </r>
  <r>
    <s v="SJ2"/>
    <s v="5001732"/>
    <s v="CABLE ONE"/>
    <s v="GRENADA626"/>
    <s v="R016P18L2B01"/>
    <s v="SJ2_STAG"/>
    <s v="CABLE ONE"/>
    <s v="2247 Commerce St"/>
    <s v="MS"/>
    <s v="Grenada"/>
    <s v="38901-5109"/>
    <s v="AR4003G-AS"/>
    <s v="OPTICAL RECEIVER 54-1002MHz FW"/>
    <s v="20119148"/>
    <s v="1.1"/>
    <x v="280"/>
    <n v="1962546"/>
    <d v="2016-10-27T12:28:41"/>
    <m/>
    <d v="2016-10-27T00:00:00"/>
    <d v="2016-10-27T00:00:00"/>
    <d v="2016-10-27T00:00:00"/>
    <m/>
    <n v="6"/>
    <m/>
    <n v="2340"/>
    <m/>
    <s v="N222"/>
    <s v="NWK ACCESS TECH"/>
    <s v="HPON"/>
    <s v="VHUB AURORA"/>
    <s v="N222"/>
    <s v="AS-STANDARD ORDER MIXED"/>
    <s v="A-SURFACE"/>
    <s v="OP"/>
    <n v="1250692"/>
    <s v="A-SURFACE"/>
    <m/>
    <m/>
    <m/>
    <s v="A-SURFACE"/>
    <s v="LTL"/>
    <s v="EXW"/>
    <s v="Prepay &amp; Add"/>
    <m/>
    <m/>
    <m/>
    <m/>
    <m/>
    <m/>
    <m/>
    <s v="0"/>
    <s v="0"/>
  </r>
  <r>
    <s v="SJ2"/>
    <s v="5001732"/>
    <s v="CABLE ONE"/>
    <s v="163328"/>
    <s v="R022P22L5"/>
    <s v="SJ2_STAG"/>
    <s v="CableONE"/>
    <s v="2247 Commerce St"/>
    <s v="MS"/>
    <s v="Grenada"/>
    <s v="38901"/>
    <s v="BD35M4-A0L-H02F-3-AS"/>
    <s v="OPT MUX BD 100GHZ D ITU CH 28-"/>
    <s v="6900226"/>
    <s v="9.1"/>
    <x v="281"/>
    <n v="1963223"/>
    <d v="2016-06-06T00:00:00"/>
    <m/>
    <d v="2016-10-28T00:00:00"/>
    <d v="2016-06-06T00:00:00"/>
    <d v="2016-10-28T00:00:00"/>
    <m/>
    <n v="1"/>
    <m/>
    <n v="2145"/>
    <m/>
    <s v="N258"/>
    <s v="NWK ACCESS TECH"/>
    <s v="HEO"/>
    <s v="TRANSMITTERS AURORA"/>
    <s v="HDTX"/>
    <s v="AUR-STANDARD ORDER MIXED"/>
    <s v="A-SURFACE"/>
    <s v="OP"/>
    <n v="1251073"/>
    <s v="A-SURFACE"/>
    <m/>
    <m/>
    <m/>
    <s v="A-SURFACE"/>
    <s v="LTL"/>
    <s v="EXW"/>
    <s v="Prepay &amp; Add"/>
    <m/>
    <m/>
    <m/>
    <m/>
    <m/>
    <m/>
    <m/>
    <s v="0"/>
    <s v="0"/>
  </r>
  <r>
    <s v="SJ2"/>
    <s v="5001732"/>
    <s v="CABLE ONE"/>
    <s v="163322"/>
    <s v="R024P04L1B01"/>
    <s v="SJ2_STAG"/>
    <s v="CableONE"/>
    <s v="19201 Pineville Rd"/>
    <s v="MS"/>
    <s v="Long Beach"/>
    <s v="39560-3315"/>
    <s v="BD35M4-A0L-H02F-3-AS"/>
    <s v="OPT MUX BD 100GHZ D ITU CH 28-"/>
    <s v="6900652"/>
    <s v="2.1"/>
    <x v="282"/>
    <n v="1963234"/>
    <d v="2016-07-04T00:00:00"/>
    <m/>
    <d v="2016-10-28T00:00:00"/>
    <d v="2016-07-04T00:00:00"/>
    <d v="2016-10-28T00:00:00"/>
    <m/>
    <n v="1"/>
    <m/>
    <n v="2145"/>
    <m/>
    <s v="N258"/>
    <s v="NWK ACCESS TECH"/>
    <s v="HEO"/>
    <s v="TRANSMITTERS AURORA"/>
    <s v="HDTX"/>
    <s v="AUR-STANDARD ORDER MIXED"/>
    <s v="A-SURFACE"/>
    <s v="OP"/>
    <n v="1251073"/>
    <s v="A-SURFACE"/>
    <m/>
    <m/>
    <m/>
    <s v="A-SURFACE"/>
    <s v="LTL"/>
    <s v="EXW"/>
    <s v="Prepay &amp; Add"/>
    <m/>
    <m/>
    <m/>
    <m/>
    <m/>
    <m/>
    <m/>
    <s v="0"/>
    <s v="0"/>
  </r>
  <r>
    <s v="SJ2"/>
    <s v="5001732"/>
    <s v="CABLE ONE"/>
    <s v="163322"/>
    <s v="R022P21L6"/>
    <s v="SJ2_STAG"/>
    <s v="CableONE"/>
    <s v="19201 Pineville Rd"/>
    <s v="MS"/>
    <s v="Long Beach"/>
    <s v="39560-3315"/>
    <s v="FA3521F-00-AS"/>
    <s v="FBROPT AMPL SGL 21DBM GAIN FLA"/>
    <s v="6900652"/>
    <s v="7.1"/>
    <x v="282"/>
    <n v="1963234"/>
    <d v="2016-07-04T00:00:00"/>
    <m/>
    <d v="2016-10-28T00:00:00"/>
    <d v="2016-07-04T00:00:00"/>
    <d v="2016-10-28T00:00:00"/>
    <m/>
    <n v="1"/>
    <m/>
    <n v="5850"/>
    <m/>
    <s v="N125"/>
    <s v="NWK ACCESS TECH"/>
    <s v="HEO"/>
    <s v="HEO MISC AURORA"/>
    <s v="EDFA"/>
    <s v="AUR-STANDARD ORDER MIXED"/>
    <s v="A-SURFACE"/>
    <s v="OP"/>
    <n v="1251073"/>
    <s v="A-SURFACE"/>
    <m/>
    <m/>
    <m/>
    <s v="A-SURFACE"/>
    <s v="LTL"/>
    <s v="EXW"/>
    <s v="Prepay &amp; Add"/>
    <m/>
    <m/>
    <m/>
    <m/>
    <m/>
    <m/>
    <m/>
    <s v="0"/>
    <s v="0"/>
  </r>
  <r>
    <s v="SJ2"/>
    <s v="5001732"/>
    <s v="CABLE ONE"/>
    <s v="163323"/>
    <s v="R023P68L9"/>
    <s v="SJ2_STAG"/>
    <s v="CableONE"/>
    <s v="786 Martin Luther King Jr Blvd"/>
    <s v="MS"/>
    <s v="Biloxi"/>
    <s v="39530"/>
    <s v="OP95D4-CF2-102-R2-AS"/>
    <s v="DEMUX DWDM 100GHZ 4 CH F-CASE"/>
    <s v="6900917"/>
    <s v="28.1"/>
    <x v="283"/>
    <n v="1956214"/>
    <d v="2016-08-05T00:00:00"/>
    <m/>
    <d v="2016-10-20T00:00:00"/>
    <d v="2016-08-05T00:00:00"/>
    <d v="2016-10-20T00:00:00"/>
    <m/>
    <n v="1"/>
    <n v="1"/>
    <n v="845"/>
    <n v="845"/>
    <s v="N160"/>
    <s v="NWK ACCESS TECH"/>
    <s v="OPTICAL PASSIVES"/>
    <s v="OUTDOOR PASSIVES AURORA"/>
    <s v="N160"/>
    <s v="AUR-STANDARD ORDER MIXED"/>
    <s v="A-SURFACE"/>
    <s v="OP"/>
    <n v="1246243"/>
    <s v="A-SURFACE"/>
    <m/>
    <m/>
    <m/>
    <s v="A-SURFACE"/>
    <s v="LTL"/>
    <s v="EXW"/>
    <s v="Prepay &amp; Add"/>
    <n v="7.73"/>
    <m/>
    <m/>
    <m/>
    <m/>
    <m/>
    <m/>
    <s v="0"/>
    <s v="0"/>
  </r>
  <r>
    <s v="SJ2"/>
    <s v="5001732"/>
    <s v="CABLE ONE"/>
    <s v="163311"/>
    <s v="R022P21L6"/>
    <s v="SJ2_STAG"/>
    <s v="CableONE"/>
    <s v="1341 E Thornton Rd"/>
    <s v="AZ"/>
    <s v="Show Low"/>
    <s v="85901-3829"/>
    <s v="FA3521F-00-AS"/>
    <s v="FBROPT AMPL SGL 21DBM GAIN FLA"/>
    <s v="6901044"/>
    <s v="13.1"/>
    <x v="284"/>
    <n v="1963256"/>
    <d v="2016-07-25T00:00:00"/>
    <m/>
    <d v="2016-10-28T00:00:00"/>
    <d v="2016-07-25T00:00:00"/>
    <d v="2016-10-28T00:00:00"/>
    <m/>
    <n v="4"/>
    <m/>
    <n v="23400"/>
    <m/>
    <s v="N125"/>
    <s v="NWK ACCESS TECH"/>
    <s v="HEO"/>
    <s v="HEO MISC AURORA"/>
    <s v="EDFA"/>
    <s v="AUR-STANDARD ORDER MIXED"/>
    <s v="A-SURFACE"/>
    <s v="OP"/>
    <n v="1251073"/>
    <s v="A-SURFACE"/>
    <m/>
    <m/>
    <m/>
    <s v="A-SURFACE"/>
    <s v="LTL"/>
    <s v="EXW"/>
    <s v="Prepay &amp; Add"/>
    <m/>
    <m/>
    <m/>
    <m/>
    <m/>
    <m/>
    <m/>
    <s v="0"/>
    <s v="0"/>
  </r>
  <r>
    <s v="SJ2"/>
    <s v="5002043"/>
    <s v="Wide Open West"/>
    <s v="MILLERSVILLE"/>
    <s v="R015P61L2"/>
    <s v="SJ2_STAG"/>
    <s v="WIDE OPEN WEST FINANCE, LLC"/>
    <s v="406 Headquarters Dr Ste 201"/>
    <s v="MD"/>
    <s v="Millersville"/>
    <s v="21108-2554"/>
    <s v="CH3000N"/>
    <s v="CHASSIS NO COVERS 3RU"/>
    <s v="20117611"/>
    <s v="1.1"/>
    <x v="285"/>
    <n v="1959805"/>
    <d v="2016-10-19T12:59:08"/>
    <m/>
    <d v="2016-10-24T00:00:00"/>
    <d v="2016-10-19T00:00:00"/>
    <d v="2016-10-24T00:00:00"/>
    <m/>
    <n v="2"/>
    <n v="2"/>
    <n v="504"/>
    <n v="504"/>
    <s v="N199"/>
    <s v="NWK ACCESS TECH"/>
    <s v="HEO"/>
    <s v="HEO MISC AURORA"/>
    <s v="N199"/>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11L5"/>
    <s v="SJ2_STAG"/>
    <s v="WIDE OPEN WEST FINANCE, LLC"/>
    <s v="406 Headquarters Dr Ste 201"/>
    <s v="MD"/>
    <s v="Millersville"/>
    <s v="21108-2554"/>
    <s v="AT3303G-A-2-AS"/>
    <s v="ANLG XMTR 1310NM 1GHZ D-IN N-G"/>
    <s v="20117611"/>
    <s v="12.1"/>
    <x v="286"/>
    <n v="1960524"/>
    <d v="2016-10-19T12:59:08"/>
    <m/>
    <d v="2016-10-25T00:00:00"/>
    <d v="2016-10-19T00:00:00"/>
    <d v="2016-10-27T00:00:00"/>
    <m/>
    <n v="1"/>
    <n v="1"/>
    <n v="1077"/>
    <n v="1077"/>
    <s v="HE63"/>
    <s v="NWK ACCESS TECH"/>
    <s v="HEO"/>
    <s v="TRANSMITTER"/>
    <s v="AT"/>
    <s v="AS-STANDARD ORDER MIXED"/>
    <s v="A-SURFACE"/>
    <s v="OP"/>
    <n v="1249460"/>
    <s v="A-SURFACE"/>
    <m/>
    <m/>
    <m/>
    <s v="A-SURFACE"/>
    <s v="LTL"/>
    <s v="EXW"/>
    <s v="Third Party Billing"/>
    <m/>
    <m/>
    <s v="IF UNDER 100LBS, SHIP PPD AND ADD BEST WAY. IF OVER 100LBS, CONTACT NEW AGE"/>
    <m/>
    <m/>
    <m/>
    <m/>
    <s v="0"/>
    <s v="0"/>
  </r>
  <r>
    <s v="SJ2"/>
    <s v="5002043"/>
    <s v="Wide Open West"/>
    <s v="MILLERSVILLE"/>
    <s v="R022P01L7"/>
    <s v="SJ2_STAG"/>
    <s v="WIDE OPEN WEST FINANCE, LLC"/>
    <s v="406 Headquarters Dr Ste 201"/>
    <s v="MD"/>
    <s v="Millersville"/>
    <s v="21108-2554"/>
    <s v="AT3306G-A-2-AS"/>
    <s v="ANLG XMTR 1310NM 1GHZ D-IN N-G"/>
    <s v="20117611"/>
    <s v="13.1"/>
    <x v="285"/>
    <n v="1959805"/>
    <d v="2016-10-19T12:59:08"/>
    <m/>
    <d v="2016-10-24T00:00:00"/>
    <d v="2016-10-19T00:00:00"/>
    <d v="2016-10-24T00:00:00"/>
    <m/>
    <n v="3"/>
    <n v="3"/>
    <n v="3420"/>
    <n v="3420"/>
    <s v="HE63"/>
    <s v="NWK ACCESS TECH"/>
    <s v="HEO"/>
    <s v="TRANSMITTER"/>
    <s v="AT"/>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6P06L4B01"/>
    <s v="SJ2_STAG"/>
    <s v="WIDE OPEN WEST FINANCE, LLC"/>
    <s v="406 Headquarters Dr Ste 201"/>
    <s v="MD"/>
    <s v="Millersville"/>
    <s v="21108-2554"/>
    <s v="DR3450N-50-00"/>
    <s v="DIGITAL RECEIVER Q-RX 2.125GBP"/>
    <s v="20117611"/>
    <s v="14.1"/>
    <x v="285"/>
    <n v="1959805"/>
    <d v="2016-10-19T12:59:08"/>
    <m/>
    <d v="2016-10-24T00:00:00"/>
    <d v="2016-10-19T00:00:00"/>
    <d v="2016-10-24T00:00:00"/>
    <m/>
    <n v="2"/>
    <n v="2"/>
    <n v="2520"/>
    <n v="2520"/>
    <s v="N275"/>
    <s v="NWK ACCESS TECH"/>
    <s v="HEO"/>
    <s v="RECEIVERS AURORA"/>
    <s v="N27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2P79L3"/>
    <s v="SJ2_STAG"/>
    <s v="WIDE OPEN WEST FINANCE, LLC"/>
    <s v="406 Headquarters Dr Ste 201"/>
    <s v="MD"/>
    <s v="Millersville"/>
    <s v="21108-2554"/>
    <s v="RR4000-00-PI"/>
    <s v="RCVR DUAL PLUGGABLE SFP 3 GBPS"/>
    <s v="20117611"/>
    <s v="15.1"/>
    <x v="285"/>
    <n v="1959806"/>
    <d v="2016-10-19T12:59:08"/>
    <m/>
    <d v="2016-10-24T00:00:00"/>
    <d v="2016-10-19T00:00:00"/>
    <d v="2016-10-24T00:00:00"/>
    <m/>
    <n v="3"/>
    <n v="3"/>
    <n v="567"/>
    <n v="567"/>
    <s v="N224"/>
    <s v="NWK ACCESS TECH"/>
    <s v="ACCESS OTHER"/>
    <s v="OTHER AURORA"/>
    <s v="N22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13L3"/>
    <s v="SJ2_STAG"/>
    <s v="WIDE OPEN WEST FINANCE, LLC"/>
    <s v="406 Headquarters Dr Ste 201"/>
    <s v="MD"/>
    <s v="Millersville"/>
    <s v="21108-2554"/>
    <s v="OP35M8K-1-99-AS"/>
    <s v="OPT MUX 100GHZ ITU CH 20-27 EX"/>
    <s v="20117611"/>
    <s v="16.1"/>
    <x v="287"/>
    <n v="1961635"/>
    <d v="2016-10-19T12:59:08"/>
    <m/>
    <d v="2016-10-26T00:00:00"/>
    <d v="2016-10-19T00:00:00"/>
    <d v="2016-10-28T00:00:00"/>
    <m/>
    <n v="1"/>
    <m/>
    <n v="1638"/>
    <m/>
    <s v="N165"/>
    <s v="NWK ACCESS TECH"/>
    <s v="OPTICAL PASSIVES"/>
    <s v="INDOOR PASSIVES AURORA"/>
    <s v="N165"/>
    <s v="AS-STANDARD ORDER MIXED"/>
    <s v="A-SURFACE"/>
    <s v="OP"/>
    <n v="1250201"/>
    <s v="A-SURFACE"/>
    <m/>
    <m/>
    <m/>
    <s v="A-SURFACE"/>
    <s v="LTL"/>
    <s v="EXW"/>
    <s v="Third Party Billing"/>
    <m/>
    <m/>
    <s v="IF UNDER 100LBS, SHIP PPD AND ADD BEST WAY. IF OVER 100LBS, CONTACT NEW AGE"/>
    <m/>
    <m/>
    <m/>
    <m/>
    <s v="0"/>
    <s v="0"/>
  </r>
  <r>
    <s v="SJ2"/>
    <s v="5002043"/>
    <s v="Wide Open West"/>
    <s v="MILLERSVILLE"/>
    <s v="R016P45L4B01"/>
    <s v="SJ2_STAG"/>
    <s v="WIDE OPEN WEST FINANCE, LLC"/>
    <s v="406 Headquarters Dr Ste 201"/>
    <s v="MD"/>
    <s v="Millersville"/>
    <s v="21108-2554"/>
    <s v="NC4121S251-00000000"/>
    <s v="NODE 5-42/51-870MHZ JXP 1X1 SE"/>
    <s v="20117611"/>
    <s v="18.1"/>
    <x v="285"/>
    <n v="1959806"/>
    <d v="2016-10-19T12:59:08"/>
    <m/>
    <d v="2016-10-24T00:00:00"/>
    <d v="2016-10-19T00:00:00"/>
    <d v="2016-10-24T00:00:00"/>
    <m/>
    <n v="3"/>
    <n v="3"/>
    <n v="5064"/>
    <n v="5064"/>
    <s v="N034"/>
    <s v="NWK ACCESS TECH"/>
    <s v="NODE"/>
    <s v="NC4000 AURORA"/>
    <s v="N03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52L2"/>
    <s v="SJ2_STAG"/>
    <s v="WIDE OPEN WEST FINANCE, LLC"/>
    <s v="406 Headquarters Dr Ste 201"/>
    <s v="MD"/>
    <s v="Millersville"/>
    <s v="21108-2554"/>
    <s v="DT4250N-50-00"/>
    <s v="DGTL XCVR ENH MULTI-MODES OF O"/>
    <s v="20117611"/>
    <s v="19.1"/>
    <x v="285"/>
    <n v="1959805"/>
    <d v="2016-10-19T12:59:08"/>
    <m/>
    <d v="2016-10-24T00:00:00"/>
    <d v="2016-10-19T00:00:00"/>
    <d v="2016-10-24T00:00:00"/>
    <m/>
    <n v="4"/>
    <n v="4"/>
    <n v="1260"/>
    <n v="1260"/>
    <s v="N065"/>
    <s v="NWK ACCESS TECH"/>
    <s v="NODE"/>
    <s v="NODE MISC AURORA"/>
    <s v="N06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6P17L1B01"/>
    <s v="SJ2_STAG"/>
    <s v="WIDE OPEN WEST FINANCE, LLC"/>
    <s v="406 Headquarters Dr Ste 201"/>
    <s v="MD"/>
    <s v="Millersville"/>
    <s v="21108-2554"/>
    <s v="CH3000U-FM-00"/>
    <s v="ADAPTER FIBER MGT FOR CH3000 C"/>
    <s v="20117611"/>
    <s v="2.1"/>
    <x v="285"/>
    <n v="1959805"/>
    <d v="2016-10-19T12:59:08"/>
    <m/>
    <d v="2016-10-24T00:00:00"/>
    <d v="2016-10-19T00:00:00"/>
    <d v="2016-10-24T00:00:00"/>
    <m/>
    <n v="2"/>
    <n v="2"/>
    <n v="126"/>
    <n v="126"/>
    <s v="N199"/>
    <s v="NWK ACCESS TECH"/>
    <s v="HEO"/>
    <s v="HEO MISC AURORA"/>
    <s v="N199"/>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44L5"/>
    <s v="SJ2_STAG"/>
    <s v="WIDE OPEN WEST FINANCE, LLC"/>
    <s v="406 Headquarters Dr Ste 201"/>
    <s v="MD"/>
    <s v="Millersville"/>
    <s v="21108-2554"/>
    <s v="OA-03-00-AS"/>
    <s v="ATTENUATOR STD OPT SC/APC-SC/A"/>
    <s v="20117611"/>
    <s v="23.1"/>
    <x v="285"/>
    <n v="1959805"/>
    <d v="2016-10-19T12:59:08"/>
    <m/>
    <d v="2016-10-24T00:00:00"/>
    <d v="2016-10-19T00:00:00"/>
    <d v="2016-10-24T00:00:00"/>
    <m/>
    <n v="1"/>
    <n v="1"/>
    <n v="28"/>
    <n v="28"/>
    <s v="N224"/>
    <s v="NWK ACCESS TECH"/>
    <s v="ACCESS OTHER"/>
    <s v="OTHER AURORA"/>
    <s v="N22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04L1"/>
    <s v="SJ2_STAG"/>
    <s v="WIDE OPEN WEST FINANCE, LLC"/>
    <s v="406 Headquarters Dr Ste 201"/>
    <s v="MD"/>
    <s v="Millersville"/>
    <s v="21108-2554"/>
    <s v="TL3000-EJ-00"/>
    <s v="TOOL EXTRACTOR HANDLE CH3000"/>
    <s v="20117611"/>
    <s v="24.1"/>
    <x v="285"/>
    <n v="1959805"/>
    <d v="2016-10-19T12:59:08"/>
    <m/>
    <d v="2016-10-24T00:00:00"/>
    <d v="2016-10-19T00:00:00"/>
    <d v="2016-10-24T00:00:00"/>
    <m/>
    <n v="1"/>
    <n v="1"/>
    <n v="6"/>
    <n v="6"/>
    <s v="N185"/>
    <s v="NWK ACCESS TECH"/>
    <s v="ACCESS OTHER"/>
    <s v="OTHER AURORA"/>
    <s v="N185"/>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16L2"/>
    <s v="SJ2_STAG"/>
    <s v="WIDE OPEN WEST FINANCE, LLC"/>
    <s v="406 Headquarters Dr Ste 201"/>
    <s v="MD"/>
    <s v="Millersville"/>
    <s v="21108-2554"/>
    <s v="PS3005D"/>
    <s v="POWER SUPPLY 250W CE TUV W/DIS"/>
    <s v="20117611"/>
    <s v="3.1"/>
    <x v="285"/>
    <n v="1959805"/>
    <d v="2016-10-19T12:59:08"/>
    <m/>
    <d v="2016-10-24T00:00:00"/>
    <d v="2016-10-19T00:00:00"/>
    <d v="2016-10-24T00:00:00"/>
    <m/>
    <n v="2"/>
    <n v="2"/>
    <n v="1260"/>
    <n v="1260"/>
    <s v="N204"/>
    <s v="NWK ACCESS TECH"/>
    <s v="ACCESS OTHER"/>
    <s v="OTHER AURORA"/>
    <s v="N20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39L2"/>
    <s v="SJ2_STAG"/>
    <s v="WIDE OPEN WEST FINANCE, LLC"/>
    <s v="406 Headquarters Dr Ste 201"/>
    <s v="MD"/>
    <s v="Millersville"/>
    <s v="21108-2554"/>
    <s v="PS3005N"/>
    <s v="POWER SUPPLY 250W CE TUV W/O D"/>
    <s v="20117611"/>
    <s v="4.1"/>
    <x v="285"/>
    <n v="1959805"/>
    <d v="2016-10-19T12:59:08"/>
    <m/>
    <d v="2016-10-24T00:00:00"/>
    <d v="2016-10-19T00:00:00"/>
    <d v="2016-10-24T00:00:00"/>
    <m/>
    <n v="2"/>
    <n v="2"/>
    <n v="1058"/>
    <n v="1058"/>
    <s v="N204"/>
    <s v="NWK ACCESS TECH"/>
    <s v="ACCESS OTHER"/>
    <s v="OTHER AURORA"/>
    <s v="N204"/>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15P61L2"/>
    <s v="SJ2_STAG"/>
    <s v="WIDE OPEN WEST FINANCE, LLC"/>
    <s v="406 Headquarters Dr Ste 201"/>
    <s v="MD"/>
    <s v="Millersville"/>
    <s v="21108-2554"/>
    <s v="BP3400C-00"/>
    <s v="BACKPLATE 4.25 GB/S 1-FER/2-FE"/>
    <s v="20117611"/>
    <s v="5.1"/>
    <x v="285"/>
    <n v="1959805"/>
    <d v="2016-10-19T12:59:08"/>
    <m/>
    <d v="2016-10-24T00:00:00"/>
    <d v="2016-10-19T00:00:00"/>
    <d v="2016-10-24T00:00:00"/>
    <m/>
    <n v="1"/>
    <n v="1"/>
    <n v="504"/>
    <n v="504"/>
    <s v="N076"/>
    <s v="NWK ACCESS TECH"/>
    <s v="HEO"/>
    <s v="HEO MISC AURORA"/>
    <s v="N076"/>
    <s v="AS-STANDARD ORDER MIXED"/>
    <s v="A-SURFACE"/>
    <s v="OP"/>
    <n v="1248939"/>
    <s v="A-SURFACE"/>
    <m/>
    <m/>
    <m/>
    <s v="A-SURFACE"/>
    <s v="LTL"/>
    <s v="EXW"/>
    <s v="Third Party Billing"/>
    <m/>
    <m/>
    <s v="IF UNDER 100LBS, SHIP PPD AND ADD BEST WAY. IF OVER 100LBS, CONTACT NEW AGE"/>
    <m/>
    <m/>
    <m/>
    <m/>
    <s v="0"/>
    <s v="0"/>
  </r>
  <r>
    <s v="SJ2"/>
    <s v="5002043"/>
    <s v="Wide Open West"/>
    <s v="MILLERSVILLE"/>
    <s v="R023P73L6"/>
    <s v="SJ2_STAG"/>
    <s v="WIDE OPEN WEST FINANCE, LLC"/>
    <s v="406 Headquarters Dr Ste 201"/>
    <s v="MD"/>
    <s v="Millersville"/>
    <s v="21108-2554"/>
    <s v="CX3002"/>
    <s v="COMMUNICATIONS MODULE"/>
    <s v="20117611"/>
    <s v="6.1"/>
    <x v="285"/>
    <n v="1959806"/>
    <d v="2016-10-19T12:59:08"/>
    <m/>
    <d v="2016-10-24T00:00:00"/>
    <d v="2016-10-19T00:00:00"/>
    <d v="2016-10-24T00:00:00"/>
    <m/>
    <n v="2"/>
    <n v="2"/>
    <n v="856"/>
    <n v="856"/>
    <s v="N080"/>
    <s v="NWK ACCESS TECH"/>
    <s v="HEO"/>
    <s v="HEO MISC AURORA"/>
    <s v="N080"/>
    <s v="AS-STANDARD ORDER MIXED"/>
    <s v="A-SURFACE"/>
    <s v="OP"/>
    <n v="1248939"/>
    <s v="A-SURFACE"/>
    <m/>
    <m/>
    <m/>
    <s v="A-SURFACE"/>
    <s v="LTL"/>
    <s v="EXW"/>
    <s v="Third Party Billing"/>
    <m/>
    <m/>
    <s v="IF UNDER 100LBS, SHIP PPD AND ADD BEST WAY. IF OVER 100LBS, CONTACT NEW AGE"/>
    <m/>
    <m/>
    <m/>
    <m/>
    <s v="0"/>
    <s v="0"/>
  </r>
  <r>
    <s v="SJ2"/>
    <s v="5002047"/>
    <s v="METROCAST COMMUNICATIONS"/>
    <s v="HOLLYWOOD"/>
    <s v="R022P41L1"/>
    <s v="SJ2_STAG"/>
    <s v="METROCAST CABLEVISION"/>
    <s v="43920 Airport View Dr"/>
    <s v="MD"/>
    <s v="Hollywood"/>
    <s v="20636-3105"/>
    <s v="RR4000-00-PI"/>
    <s v="RCVR DUAL PLUGGABLE SFP 3 GBPS"/>
    <s v="20112228"/>
    <s v="6.1"/>
    <x v="288"/>
    <n v="1951661"/>
    <d v="2016-09-20T16:00:11"/>
    <m/>
    <d v="2016-10-15T00:00:00"/>
    <d v="2016-09-20T00:00:00"/>
    <d v="2016-10-18T00:00:00"/>
    <m/>
    <n v="1"/>
    <n v="1"/>
    <n v="195"/>
    <n v="195"/>
    <s v="N224"/>
    <s v="NWK ACCESS TECH"/>
    <s v="ACCESS OTHER"/>
    <s v="OTHER AURORA"/>
    <s v="N224"/>
    <s v="AS-STANDARD ORDER MIXED"/>
    <s v="A-SURFACE"/>
    <s v="OP"/>
    <n v="1243478"/>
    <s v="A-SURFACE"/>
    <m/>
    <m/>
    <m/>
    <s v="A-SURFACE"/>
    <s v="LTL"/>
    <s v="EXW"/>
    <s v="Prepay &amp; Add"/>
    <n v="10.119999999999999"/>
    <m/>
    <m/>
    <m/>
    <m/>
    <m/>
    <m/>
    <s v="0"/>
    <s v="0"/>
  </r>
  <r>
    <s v="SJ2"/>
    <s v="5002156"/>
    <s v="LIBERTY CABLEVISION OF PUERTO RICO, INC."/>
    <s v="SAN JUAN 1"/>
    <s v="R024P26L5B01"/>
    <s v="SJ2_STAG"/>
    <s v="LIBERTY CABLEVISION OF PUERTO RICO LLC"/>
    <s v="URB IND TRES MONJITAS"/>
    <s v="PUERTO RICO"/>
    <s v="SAN JUAN"/>
    <s v="00918"/>
    <s v="OP34D5H-0-00-AS"/>
    <s v="DEMUX CWDM HIGH 5CH SC/APC"/>
    <s v="20114929"/>
    <s v="5.1"/>
    <x v="289"/>
    <n v="1962001"/>
    <d v="2016-10-04T13:51:41"/>
    <m/>
    <d v="2016-10-27T00:00:00"/>
    <d v="2016-10-06T00:00:00"/>
    <d v="2016-10-27T00:00:00"/>
    <m/>
    <n v="5"/>
    <n v="5"/>
    <n v="3250"/>
    <n v="3250"/>
    <s v="N165"/>
    <s v="NWK ACCESS TECH"/>
    <s v="OPTICAL PASSIVES"/>
    <s v="INDOOR PASSIVES AURORA"/>
    <s v="N165"/>
    <s v="AS-STANDARD ORDER MIXED"/>
    <s v="A-CUST P/U"/>
    <s v="OP"/>
    <n v="1250456"/>
    <s v="A-CUST P/U"/>
    <m/>
    <m/>
    <m/>
    <s v="A-CUST P/U"/>
    <s v="LTL"/>
    <s v="EXW"/>
    <s v="Collect"/>
    <m/>
    <m/>
    <s v="100 lbs Or Less Use Fedex 2nd Day Account 1388-5352-7. Shipments for 100 lbs TO 300 LBS CONTACT DHL CONTACT DHL Economy .For pick up sju.domestic@dhl.com; armando.ocasio@dhl.com 310 LBS OR MORE CONTACT YELLYANN.VELEZ@ARRIS.COM"/>
    <s v="Customer contact Marianne Soto (marianne.soto@libertypr.com) tel 787-657-3050 x4210 ; Maria L. Rivera Negron (Maria.Rivera@libertypr.com); Purchasing (Purchasing@libertypr.com)"/>
    <m/>
    <m/>
    <m/>
    <s v="0"/>
    <s v="0"/>
  </r>
  <r>
    <s v="SJ2"/>
    <s v="5002156"/>
    <s v="LIBERTY CABLEVISION OF PUERTO RICO, INC."/>
    <s v="SAN JUAN 1"/>
    <s v="R024P32L1B02"/>
    <s v="SJ2_STAG"/>
    <s v="LIBERTY CABLEVISION OF PUERTO RICO LLC"/>
    <s v="URB IND TRES MONJITAS"/>
    <s v="PUERTO RICO"/>
    <s v="SAN JUAN"/>
    <s v="00918"/>
    <s v="JC1115"/>
    <s v="PATCH CORD SC/APC-SC/APC 3MM J"/>
    <s v="20114932"/>
    <s v="15.1"/>
    <x v="290"/>
    <n v="1960697"/>
    <d v="2016-10-04T13:56:09"/>
    <m/>
    <d v="2016-10-25T00:00:00"/>
    <d v="2016-10-06T00:00:00"/>
    <d v="2016-10-27T00:00:00"/>
    <m/>
    <n v="13"/>
    <m/>
    <n v="338"/>
    <m/>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12L2"/>
    <s v="SJ2_STAG"/>
    <s v="LIBERTY CABLEVISION OF PUERTO RICO LLC"/>
    <s v="URB IND TRES MONJITAS"/>
    <s v="PUERTO RICO"/>
    <s v="SAN JUAN"/>
    <s v="00918"/>
    <s v="JC1115"/>
    <s v="PATCH CORD SC/APC-SC/APC 3MM J"/>
    <s v="20114932"/>
    <s v="15.1"/>
    <x v="291"/>
    <n v="1960303"/>
    <d v="2016-10-04T13:56:09"/>
    <m/>
    <d v="2016-10-25T00:00:00"/>
    <d v="2016-10-06T00:00:00"/>
    <d v="2016-10-27T00:00:00"/>
    <m/>
    <n v="22"/>
    <n v="22"/>
    <n v="572"/>
    <n v="572"/>
    <s v="N223"/>
    <s v="NWK ACCESS TECH"/>
    <s v="OPTICAL PASSIVES"/>
    <s v="INDOOR PASSIVES AURORA"/>
    <s v="N223"/>
    <s v="AS-STANDARD ORDER MIXED"/>
    <s v="A-CUST P/U"/>
    <s v="OP"/>
    <n v="1249240"/>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21L2"/>
    <s v="SJ2_STAG"/>
    <s v="LIBERTY CABLEVISION OF PUERTO RICO LLC"/>
    <s v="URB IND TRES MONJITAS"/>
    <s v="PUERTO RICO"/>
    <s v="SAN JUAN"/>
    <s v="00918"/>
    <s v="BD35M4-AC1-H02F-1-AS"/>
    <s v="OPT MUX BD 100GHZ A1 ITU CH 20"/>
    <s v="20114932"/>
    <s v="24.1"/>
    <x v="292"/>
    <n v="1960988"/>
    <d v="2016-10-04T13:56:09"/>
    <m/>
    <d v="2016-10-26T00:00:00"/>
    <d v="2016-10-06T00:00:00"/>
    <d v="2016-10-28T00:00:00"/>
    <m/>
    <n v="7"/>
    <n v="7"/>
    <n v="12950"/>
    <n v="12950"/>
    <s v="N258"/>
    <s v="NWK ACCESS TECH"/>
    <s v="HEO"/>
    <s v="TRANSMITTERS AURORA"/>
    <s v="HDTX"/>
    <s v="AS-STANDARD ORDER MIXED"/>
    <s v="A-CUST P/U"/>
    <s v="OP"/>
    <n v="1249787"/>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2P77L2"/>
    <s v="SJ2_STAG"/>
    <s v="LIBERTY CABLEVISION OF PUERTO RICO LLC"/>
    <s v="URB IND TRES MONJITAS"/>
    <s v="PUERTO RICO"/>
    <s v="SAN JUAN"/>
    <s v="00918"/>
    <s v="CC3008"/>
    <s v="COMM CONTROL MODULE HIGH DENSI"/>
    <s v="20114932"/>
    <s v="25.1"/>
    <x v="293"/>
    <n v="1953957"/>
    <d v="2016-10-04T13:56:09"/>
    <m/>
    <d v="2016-10-18T00:00:00"/>
    <d v="2016-10-06T00:00:00"/>
    <d v="2016-10-19T00:00:00"/>
    <m/>
    <n v="12"/>
    <n v="12"/>
    <n v="1296"/>
    <n v="1296"/>
    <s v="N260"/>
    <s v="NWK ACCESS TECH"/>
    <s v="HEO"/>
    <s v="TRANSMITTERS AURORA"/>
    <s v="HDTX"/>
    <s v="AS-STANDARD ORDER MIXED"/>
    <s v="A-CUST P/U"/>
    <s v="OP"/>
    <n v="1245389"/>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32L1B01"/>
    <s v="SJ2_STAG"/>
    <s v="LIBERTY CABLEVISION OF PUERTO RICO LLC"/>
    <s v="URB IND TRES MONJITAS"/>
    <s v="PUERTO RICO"/>
    <s v="SAN JUAN"/>
    <s v="00918"/>
    <s v="JC1112"/>
    <s v="PATCH CORD SC/APC-SC/APC 3MM J"/>
    <s v="20114932"/>
    <s v="29.1"/>
    <x v="290"/>
    <n v="1960703"/>
    <d v="2016-10-04T13:56:09"/>
    <m/>
    <d v="2016-10-25T00:00:00"/>
    <d v="2016-10-06T00:00:00"/>
    <d v="2016-10-27T00:00:00"/>
    <m/>
    <n v="30"/>
    <m/>
    <n v="570"/>
    <m/>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26L5B01"/>
    <s v="SJ2_STAG"/>
    <s v="LIBERTY CABLEVISION OF PUERTO RICO LLC"/>
    <s v="URB IND TRES MONJITAS"/>
    <s v="PUERTO RICO"/>
    <s v="SAN JUAN"/>
    <s v="00918"/>
    <s v="OP34D5H-0-00-AS"/>
    <s v="DEMUX CWDM HIGH 5CH SC/APC"/>
    <s v="20114932"/>
    <s v="4.1"/>
    <x v="294"/>
    <n v="1962001"/>
    <d v="2016-10-04T13:56:09"/>
    <m/>
    <d v="2016-10-27T00:00:00"/>
    <d v="2016-10-06T00:00:00"/>
    <d v="2016-10-27T00:00:00"/>
    <m/>
    <n v="12"/>
    <n v="12"/>
    <n v="7800"/>
    <n v="7800"/>
    <s v="N165"/>
    <s v="NWK ACCESS TECH"/>
    <s v="OPTICAL PASSIVES"/>
    <s v="INDOOR PASSIVES AURORA"/>
    <s v="N165"/>
    <s v="AS-STANDARD ORDER MIXED"/>
    <s v="A-CUST P/U"/>
    <s v="OP"/>
    <n v="1250456"/>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3P04L3"/>
    <s v="SJ2_STAG"/>
    <s v="LIBERTY CABLEVISION OF PUERTO RICO LLC"/>
    <s v="URB IND TRES MONJITAS"/>
    <s v="PUERTO RICO"/>
    <s v="SAN JUAN"/>
    <s v="00918"/>
    <s v="HT3541H-D-A210-2-AS"/>
    <s v="XMTR DD 1.2GHZ FULL SPECTRUM 3"/>
    <s v="20114932"/>
    <s v="8.1"/>
    <x v="295"/>
    <n v="1963266"/>
    <d v="2016-10-04T13:56:09"/>
    <m/>
    <d v="2016-10-28T00:00:00"/>
    <d v="2016-10-06T00:00:00"/>
    <d v="2016-10-28T00:00:00"/>
    <m/>
    <n v="7"/>
    <m/>
    <n v="9520"/>
    <m/>
    <s v="HE64"/>
    <s v="NWK ACCESS TECH"/>
    <s v="HEO"/>
    <s v="TRANSMITTER"/>
    <s v="HT"/>
    <s v="AS-STANDARD ORDER MIXED"/>
    <s v="A-CUST P/U"/>
    <s v="OP"/>
    <n v="1251073"/>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26L5B01"/>
    <s v="SJ2_STAG"/>
    <s v="LIBERTY CABLEVISION OF PUERTO RICO LLC"/>
    <s v="URB IND TRES MONJITAS"/>
    <s v="PUERTO RICO"/>
    <s v="SAN JUAN"/>
    <s v="00918"/>
    <s v="OP34D5H-0-00-AS"/>
    <s v="DEMUX CWDM HIGH 5CH SC/APC"/>
    <s v="20114935"/>
    <s v="11.1"/>
    <x v="296"/>
    <n v="1962001"/>
    <d v="2016-10-04T13:58:58"/>
    <m/>
    <d v="2016-10-27T00:00:00"/>
    <d v="2016-10-06T00:00:00"/>
    <d v="2016-10-27T00:00:00"/>
    <m/>
    <n v="6"/>
    <n v="6"/>
    <n v="3900"/>
    <n v="3900"/>
    <s v="N165"/>
    <s v="NWK ACCESS TECH"/>
    <s v="OPTICAL PASSIVES"/>
    <s v="INDOOR PASSIVES AURORA"/>
    <s v="N165"/>
    <s v="AS-STANDARD ORDER MIXED"/>
    <s v="A-CUST P/U"/>
    <s v="OP"/>
    <n v="1250456"/>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32L1B02"/>
    <s v="SJ2_STAG"/>
    <s v="LIBERTY CABLEVISION OF PUERTO RICO LLC"/>
    <s v="URB IND TRES MONJITAS"/>
    <s v="PUERTO RICO"/>
    <s v="SAN JUAN"/>
    <s v="00918"/>
    <s v="JC1115"/>
    <s v="PATCH CORD SC/APC-SC/APC 3MM J"/>
    <s v="20114935"/>
    <s v="2.1"/>
    <x v="297"/>
    <n v="1960697"/>
    <d v="2016-10-04T13:58:58"/>
    <m/>
    <d v="2016-10-25T00:00:00"/>
    <d v="2016-10-06T00:00:00"/>
    <d v="2016-10-27T00:00:00"/>
    <m/>
    <n v="10"/>
    <n v="10"/>
    <n v="260"/>
    <n v="260"/>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32L1B01"/>
    <s v="SJ2_STAG"/>
    <s v="LIBERTY CABLEVISION OF PUERTO RICO LLC"/>
    <s v="URB IND TRES MONJITAS"/>
    <s v="PUERTO RICO"/>
    <s v="SAN JUAN"/>
    <s v="00918"/>
    <s v="JC1112"/>
    <s v="PATCH CORD SC/APC-SC/APC 3MM J"/>
    <s v="20114935"/>
    <s v="4.1"/>
    <x v="297"/>
    <n v="1960703"/>
    <d v="2016-10-04T13:58:58"/>
    <m/>
    <d v="2016-10-25T00:00:00"/>
    <d v="2016-10-06T00:00:00"/>
    <d v="2016-10-27T00:00:00"/>
    <m/>
    <n v="10"/>
    <n v="10"/>
    <n v="190"/>
    <n v="190"/>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18L1B01"/>
    <s v="SJ2_STAG"/>
    <s v="LIBERTY CABLEVISION OF PUERTO RICO LLC"/>
    <s v="URB IND TRES MONJITAS"/>
    <s v="PUERTO RICO"/>
    <s v="SAN JUAN"/>
    <s v="00918"/>
    <s v="JC1124"/>
    <s v="PATCH CORD SC/APC-LC/UPC 2MM J"/>
    <s v="20114938"/>
    <s v="11.1"/>
    <x v="298"/>
    <n v="1961096"/>
    <d v="2016-10-04T14:01:54"/>
    <m/>
    <d v="2016-10-26T00:00:00"/>
    <d v="2016-10-06T00:00:00"/>
    <d v="2016-10-26T00:00:00"/>
    <m/>
    <n v="30"/>
    <n v="30"/>
    <n v="570"/>
    <n v="570"/>
    <s v="N223"/>
    <s v="NWK ACCESS TECH"/>
    <s v="OPTICAL PASSIVES"/>
    <s v="INDOOR PASSIVES AURORA"/>
    <s v="N223"/>
    <s v="AS-STANDARD ORDER MIXED"/>
    <s v="A-CUST P/U"/>
    <s v="OP"/>
    <n v="1249843"/>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26L5B01"/>
    <s v="SJ2_STAG"/>
    <s v="LIBERTY CABLEVISION OF PUERTO RICO LLC"/>
    <s v="URB IND TRES MONJITAS"/>
    <s v="PUERTO RICO"/>
    <s v="SAN JUAN"/>
    <s v="00918"/>
    <s v="OP34D5H-0-00-AS"/>
    <s v="DEMUX CWDM HIGH 5CH SC/APC"/>
    <s v="20114938"/>
    <s v="12.1"/>
    <x v="299"/>
    <n v="1962001"/>
    <d v="2016-10-04T14:01:54"/>
    <m/>
    <d v="2016-10-27T00:00:00"/>
    <d v="2016-10-06T00:00:00"/>
    <d v="2016-10-27T00:00:00"/>
    <m/>
    <n v="6"/>
    <n v="6"/>
    <n v="3900"/>
    <n v="3900"/>
    <s v="N165"/>
    <s v="NWK ACCESS TECH"/>
    <s v="OPTICAL PASSIVES"/>
    <s v="INDOOR PASSIVES AURORA"/>
    <s v="N165"/>
    <s v="AS-STANDARD ORDER MIXED"/>
    <s v="A-CUST P/U"/>
    <s v="OP"/>
    <n v="1250456"/>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32L1B02"/>
    <s v="SJ2_STAG"/>
    <s v="LIBERTY CABLEVISION OF PUERTO RICO LLC"/>
    <s v="URB IND TRES MONJITAS"/>
    <s v="PUERTO RICO"/>
    <s v="SAN JUAN"/>
    <s v="00918"/>
    <s v="JC1115"/>
    <s v="PATCH CORD SC/APC-SC/APC 3MM J"/>
    <s v="20114938"/>
    <s v="13.1"/>
    <x v="300"/>
    <n v="1960697"/>
    <d v="2016-10-04T14:01:54"/>
    <m/>
    <d v="2016-10-25T00:00:00"/>
    <d v="2016-10-06T00:00:00"/>
    <d v="2016-10-27T00:00:00"/>
    <m/>
    <n v="30"/>
    <m/>
    <n v="780"/>
    <m/>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2156"/>
    <s v="LIBERTY CABLEVISION OF PUERTO RICO, INC."/>
    <s v="SAN JUAN 1"/>
    <s v="R024P32L1B01"/>
    <s v="SJ2_STAG"/>
    <s v="LIBERTY CABLEVISION OF PUERTO RICO LLC"/>
    <s v="URB IND TRES MONJITAS"/>
    <s v="PUERTO RICO"/>
    <s v="SAN JUAN"/>
    <s v="00918"/>
    <s v="JC1112"/>
    <s v="PATCH CORD SC/APC-SC/APC 3MM J"/>
    <s v="20114938"/>
    <s v="8.1"/>
    <x v="300"/>
    <n v="1960703"/>
    <d v="2016-10-04T14:01:54"/>
    <m/>
    <d v="2016-10-25T00:00:00"/>
    <d v="2016-10-06T00:00:00"/>
    <d v="2016-10-27T00:00:00"/>
    <m/>
    <n v="35"/>
    <m/>
    <n v="665"/>
    <m/>
    <s v="N223"/>
    <s v="NWK ACCESS TECH"/>
    <s v="OPTICAL PASSIVES"/>
    <s v="INDOOR PASSIVES AURORA"/>
    <s v="N223"/>
    <s v="AS-STANDARD ORDER MIXED"/>
    <s v="A-CUST P/U"/>
    <s v="OP"/>
    <n v="1249585"/>
    <s v="A-CUST P/U"/>
    <m/>
    <m/>
    <m/>
    <s v="A-CUST P/U"/>
    <s v="LTL"/>
    <s v="EXW"/>
    <s v="Collect"/>
    <m/>
    <m/>
    <s v="100lbs Or Less Use Fedex 2ndDay Account 1388-5352-7.Shipments for 100 lbs TO 300LBS CONTACT DHL Economy .For pick up sju.domestic@dhl.com;armando.ocasio@dhl.com 310LBS OR MORE CONTACT YELLYANN.VELEZ@ARRIS.COM AND CC PURCHASING@LIBERTYPR.COM"/>
    <s v="Customer contact Marianne Soto (marianne.soto@libertypr.com) tel 787-657-3050 x4210 ; Maria L. Rivera Negron (Maria.Rivera@libertypr.com); Purchasing (Purchasing@libertypr.com)"/>
    <m/>
    <m/>
    <m/>
    <s v="0"/>
    <s v="0"/>
  </r>
  <r>
    <s v="SJ2"/>
    <s v="5003068"/>
    <s v="CABLEVISION RED, S.A. DE C.V."/>
    <s v="VALLARTA"/>
    <s v="R016P28L1B01"/>
    <s v="SJ2_STAG"/>
    <s v="CABLEVISION RED SA DE CV"/>
    <s v="AV. VALLARTA # 5050 COL. JARDINES DE LA PATRIA"/>
    <s v="MEXICO"/>
    <s v="MEXICO"/>
    <m/>
    <s v="PS3148D"/>
    <s v="POWER SUPPLY W/DISPLAY -48VDC"/>
    <s v="20110783"/>
    <s v="13.1"/>
    <x v="301"/>
    <n v="1956486"/>
    <d v="2016-09-13T10:05:36"/>
    <m/>
    <d v="2016-10-20T00:00:00"/>
    <d v="2016-10-03T00:00:00"/>
    <d v="2016-10-20T00:00:00"/>
    <m/>
    <n v="8"/>
    <n v="8"/>
    <n v="6656"/>
    <n v="6656"/>
    <s v="N204"/>
    <s v="NWK ACCESS TECH"/>
    <s v="ACCESS OTHER"/>
    <s v="OTHER AURORA"/>
    <s v="N204"/>
    <s v="AS-STANDARD ORDER MIXED"/>
    <s v="A-SURFACE"/>
    <s v="OP"/>
    <n v="1246356"/>
    <s v="A-SURFACE"/>
    <m/>
    <m/>
    <m/>
    <s v="A-SURFACE"/>
    <s v="LTL"/>
    <s v="EXW"/>
    <s v="Collect"/>
    <m/>
    <m/>
    <s v="PLEASE SEND W &amp; D TO: hmarquez@izzi.mx / adrosario@izzi.mx / MARITA.FERNANDEZ@ARRIS.COM"/>
    <s v="IF WOOD PALLET INCLUDE STAMP FOR CERT OF FUMIGATION.NET &amp; GROSS WEIGHT PER SHIPMENT MUST BE ON CI DOCS.PALLETS MUST BE 48x40 @HT MIN. 59MAX 75 W/7 LAYERS OF BOXES FOR TG862A/NA.REMAINING BOXES CAN BE IN A NEW PALLET P/ DIMS ABOVE"/>
    <m/>
    <m/>
    <m/>
    <s v="0"/>
    <s v="0"/>
  </r>
  <r>
    <s v="SJ2"/>
    <s v="5003083"/>
    <s v="WAVE BROADBAND"/>
    <s v="SAN FRANCISCO444"/>
    <s v="R022P12L5"/>
    <s v="SJ2_STAG"/>
    <s v="WAVE DIVISION HOLDINGS, LLC"/>
    <s v="200 Paul Ave"/>
    <s v="CA"/>
    <s v="San Francisco"/>
    <s v="94124-3100"/>
    <s v="JC1153"/>
    <s v="PATCH CORD SC/APC-LC/APC 3MM J"/>
    <s v="20113093"/>
    <s v="11.1"/>
    <x v="302"/>
    <n v="1961086"/>
    <d v="2016-09-23T18:33:42"/>
    <m/>
    <d v="2016-10-26T00:00:00"/>
    <d v="2016-09-23T00:00:00"/>
    <d v="2016-10-26T00:00:00"/>
    <m/>
    <n v="14"/>
    <n v="14"/>
    <n v="308"/>
    <n v="308"/>
    <s v="N223"/>
    <s v="NWK ACCESS TECH"/>
    <s v="OPTICAL PASSIVES"/>
    <s v="INDOOR PASSIVES AURORA"/>
    <s v="N223"/>
    <s v="AS-STANDARD ORDER MIXED"/>
    <s v="A-SURFACE"/>
    <s v="OP"/>
    <n v="1249843"/>
    <s v="A-SURFACE"/>
    <m/>
    <m/>
    <m/>
    <s v="A-SURFACE"/>
    <s v="LTL"/>
    <s v="EXW"/>
    <s v="Prepay &amp; Add"/>
    <n v="6.84"/>
    <m/>
    <m/>
    <m/>
    <m/>
    <m/>
    <m/>
    <s v="0"/>
    <s v="0"/>
  </r>
  <r>
    <s v="SJ2"/>
    <s v="5003083"/>
    <s v="WAVE BROADBAND"/>
    <s v="TUKWILA3734"/>
    <s v="REC1"/>
    <s v="SJ2_STAG"/>
    <s v="WAVE DIVISION HOLDINGS, LLC"/>
    <s v="10427 Martin Luther King Jr Way S"/>
    <s v="WA"/>
    <s v="Tukwila"/>
    <s v="98178-2047"/>
    <s v="OP95D4-CF1-102-R2-AS"/>
    <s v="DEMUX DWDM 100GHZ 4 CH F-CASE"/>
    <s v="20113880"/>
    <s v="28.2"/>
    <x v="303"/>
    <n v="1959323"/>
    <d v="2016-09-28T15:34:47"/>
    <m/>
    <d v="2016-10-24T00:00:00"/>
    <d v="2016-09-28T00:00:00"/>
    <d v="2016-10-26T00:00:00"/>
    <m/>
    <n v="1"/>
    <m/>
    <n v="845"/>
    <m/>
    <s v="N160"/>
    <s v="NWK ACCESS TECH"/>
    <s v="OPTICAL PASSIVES"/>
    <s v="OUTDOOR PASSIVES AURORA"/>
    <s v="N160"/>
    <s v="AS-STANDARD ORDER MIXED"/>
    <s v="A-SURFACE"/>
    <s v="OP"/>
    <n v="1248585"/>
    <s v="A-SURFACE"/>
    <m/>
    <m/>
    <m/>
    <s v="A-SURFACE"/>
    <s v="LTL"/>
    <s v="EXW"/>
    <s v="Prepay &amp; Add"/>
    <m/>
    <m/>
    <m/>
    <m/>
    <m/>
    <m/>
    <m/>
    <s v="0"/>
    <s v="0"/>
  </r>
  <r>
    <s v="SJ2"/>
    <s v="5003083"/>
    <s v="WAVE BROADBAND"/>
    <s v="PORT ANGELES132"/>
    <s v="R022P14L2"/>
    <s v="SJ2_STAG"/>
    <s v="WAVE BROADBAND"/>
    <s v="725 E 1st St"/>
    <s v="WA"/>
    <s v="Port Angeles"/>
    <s v="98362-3604"/>
    <s v="JC1112"/>
    <s v="PATCH CORD SC/APC-SC/APC 3MM J"/>
    <s v="20113894"/>
    <s v="17.2"/>
    <x v="304"/>
    <n v="1960290"/>
    <d v="2016-09-28T15:57:43"/>
    <m/>
    <d v="2016-10-25T00:00:00"/>
    <d v="2016-09-28T00:00:00"/>
    <d v="2016-10-27T00:00:00"/>
    <m/>
    <n v="7"/>
    <n v="7"/>
    <n v="126"/>
    <n v="126"/>
    <s v="N223"/>
    <s v="NWK ACCESS TECH"/>
    <s v="OPTICAL PASSIVES"/>
    <s v="INDOOR PASSIVES AURORA"/>
    <s v="N223"/>
    <s v="AS-STANDARD ORDER MIXED"/>
    <s v="A-SURFACE"/>
    <s v="OP"/>
    <n v="1249240"/>
    <s v="A-SURFACE"/>
    <m/>
    <m/>
    <m/>
    <s v="A-SURFACE"/>
    <s v="LTL"/>
    <s v="EXW"/>
    <s v="Prepay &amp; Add"/>
    <n v="11.02"/>
    <m/>
    <m/>
    <m/>
    <m/>
    <m/>
    <m/>
    <s v="0"/>
    <s v="0"/>
  </r>
  <r>
    <s v="SJ2"/>
    <s v="5003083"/>
    <s v="WAVE BROADBAND"/>
    <s v="PORT ANGELES132"/>
    <s v="R023P12L2"/>
    <s v="SJ2_STAG"/>
    <s v="WAVE BROADBAND"/>
    <s v="725 E 1st St"/>
    <s v="WA"/>
    <s v="Port Angeles"/>
    <s v="98362-3604"/>
    <s v="JC1115"/>
    <s v="PATCH CORD SC/APC-SC/APC 3MM J"/>
    <s v="20113894"/>
    <s v="18.1"/>
    <x v="304"/>
    <n v="1960290"/>
    <d v="2016-09-28T15:57:43"/>
    <m/>
    <d v="2016-10-25T00:00:00"/>
    <d v="2016-09-28T00:00:00"/>
    <d v="2016-10-25T00:00:00"/>
    <m/>
    <n v="6"/>
    <n v="6"/>
    <n v="150"/>
    <n v="150"/>
    <s v="N223"/>
    <s v="NWK ACCESS TECH"/>
    <s v="OPTICAL PASSIVES"/>
    <s v="INDOOR PASSIVES AURORA"/>
    <s v="N223"/>
    <s v="AS-STANDARD ORDER MIXED"/>
    <s v="A-SURFACE"/>
    <s v="OP"/>
    <n v="1249240"/>
    <s v="A-SURFACE"/>
    <m/>
    <m/>
    <m/>
    <s v="A-SURFACE"/>
    <s v="LTL"/>
    <s v="EXW"/>
    <s v="Prepay &amp; Add"/>
    <n v="11.02"/>
    <m/>
    <m/>
    <m/>
    <m/>
    <m/>
    <m/>
    <s v="0"/>
    <s v="0"/>
  </r>
  <r>
    <s v="SJ2"/>
    <s v="5003083"/>
    <s v="WAVE BROADBAND"/>
    <s v="PORT ANGELES132"/>
    <s v="R023P79L1"/>
    <s v="SJ2_STAG"/>
    <s v="WAVE BROADBAND"/>
    <s v="725 E 1st St"/>
    <s v="WA"/>
    <s v="Port Angeles"/>
    <s v="98362-3604"/>
    <s v="JC1112-003-0"/>
    <s v="PATCH CORD SC/APC-SC/APC 2MM J"/>
    <s v="20113894"/>
    <s v="38.1"/>
    <x v="305"/>
    <n v="1961981"/>
    <d v="2016-09-28T15:57:43"/>
    <m/>
    <d v="2016-10-27T00:00:00"/>
    <d v="2016-09-28T00:00:00"/>
    <d v="2016-10-27T00:00:00"/>
    <m/>
    <n v="16"/>
    <n v="16"/>
    <n v="336"/>
    <n v="336"/>
    <s v="N223"/>
    <s v="NWK ACCESS TECH"/>
    <s v="OPTICAL PASSIVES"/>
    <s v="INDOOR PASSIVES AURORA"/>
    <s v="N223"/>
    <s v="AS-STANDARD ORDER MIXED"/>
    <s v="A-SURFACE"/>
    <s v="OP"/>
    <n v="1250456"/>
    <s v="A-SURFACE"/>
    <m/>
    <m/>
    <m/>
    <s v="A-SURFACE"/>
    <s v="LTL"/>
    <s v="EXW"/>
    <s v="Prepay &amp; Add"/>
    <n v="10.51"/>
    <m/>
    <m/>
    <m/>
    <m/>
    <m/>
    <m/>
    <s v="0"/>
    <s v="0"/>
  </r>
  <r>
    <s v="SJ2"/>
    <s v="5003083"/>
    <s v="WAVE BROADBAND"/>
    <s v="CONCORD001"/>
    <s v="R016P20L3B01"/>
    <s v="SJ2_STAG"/>
    <s v="WAVE BROADBAND"/>
    <s v="215 Mason Cir"/>
    <s v="CA"/>
    <s v="Concord"/>
    <s v="94520-1203"/>
    <s v="PS1911W-00"/>
    <s v="POWER ADPTR 120VAC-12VDC 525MA"/>
    <s v="20118119"/>
    <s v="2.1"/>
    <x v="306"/>
    <n v="1958064"/>
    <d v="2016-10-21T15:17:20"/>
    <m/>
    <d v="2016-10-21T00:00:00"/>
    <d v="2016-10-21T00:00:00"/>
    <d v="2016-10-21T00:00:00"/>
    <m/>
    <n v="30"/>
    <m/>
    <n v="180"/>
    <m/>
    <s v="N204"/>
    <s v="NWK ACCESS TECH"/>
    <s v="ACCESS OTHER"/>
    <s v="OTHER AURORA"/>
    <s v="N204"/>
    <s v="AS-STANDARD ORDER MIXED"/>
    <s v="A-SURFACE"/>
    <s v="OP"/>
    <n v="1247199"/>
    <s v="A-SURFACE"/>
    <m/>
    <m/>
    <m/>
    <s v="A-SURFACE"/>
    <s v="LTL"/>
    <s v="EXW"/>
    <s v="Prepay &amp; Add"/>
    <m/>
    <m/>
    <m/>
    <m/>
    <m/>
    <m/>
    <m/>
    <s v="0"/>
    <s v="0"/>
  </r>
  <r>
    <s v="SJ2"/>
    <s v="5003083"/>
    <s v="WAVE BROADBAND"/>
    <s v="161070"/>
    <s v="R022P21L6"/>
    <s v="SJ2_STAG"/>
    <s v="Wave Broadband"/>
    <s v="4519 SE Mile Hill Dr"/>
    <s v="WA"/>
    <s v="Port Orchard"/>
    <s v="98366-3909"/>
    <s v="FA3521F-00-AS"/>
    <s v="FBROPT AMPL SGL 21DBM GAIN FLA"/>
    <s v="6900886"/>
    <s v="5.1"/>
    <x v="307"/>
    <n v="1963254"/>
    <d v="2016-07-12T00:00:00"/>
    <m/>
    <d v="2016-10-28T00:00:00"/>
    <d v="2016-07-12T00:00:00"/>
    <d v="2016-10-28T00:00:00"/>
    <m/>
    <n v="1"/>
    <m/>
    <n v="5850"/>
    <m/>
    <s v="N125"/>
    <s v="NWK ACCESS TECH"/>
    <s v="HEO"/>
    <s v="HEO MISC AURORA"/>
    <s v="EDFA"/>
    <s v="AUR-STANDARD ORDER MIXED"/>
    <s v="A-SURFACE"/>
    <s v="OP"/>
    <n v="1251073"/>
    <s v="A-SURFACE"/>
    <m/>
    <m/>
    <m/>
    <s v="A-SURFACE"/>
    <s v="LTL"/>
    <s v="EXW"/>
    <s v="Prepay &amp; Add"/>
    <m/>
    <m/>
    <m/>
    <m/>
    <m/>
    <m/>
    <m/>
    <s v="0"/>
    <s v="0"/>
  </r>
  <r>
    <s v="SJ2"/>
    <s v="5003152"/>
    <s v="RCN"/>
    <s v="BOSTON"/>
    <s v="R016P17L2B01"/>
    <s v="SJ2_STAG"/>
    <s v="RCN BECOCOM, LLC"/>
    <s v="105 W 1st St"/>
    <s v="MA"/>
    <s v="Boston"/>
    <s v="02127-1109"/>
    <s v="NC4191S2A1-00000000"/>
    <s v="NODE 5-85MHZ RVS 102-1GHZ FWD"/>
    <s v="20107050"/>
    <s v="1.1"/>
    <x v="308"/>
    <n v="1961388"/>
    <d v="2016-08-24T12:29:25"/>
    <m/>
    <d v="2016-10-26T00:00:00"/>
    <d v="2016-08-31T00:00:00"/>
    <d v="2016-10-26T00:00:00"/>
    <m/>
    <n v="9"/>
    <m/>
    <n v="14895"/>
    <m/>
    <s v="N044"/>
    <s v="NWK ACCESS TECH"/>
    <s v="NODE"/>
    <s v="NC4000 AURORA"/>
    <s v="N044"/>
    <s v="AS-STANDARD ORDER MIXED"/>
    <s v="A-SURFACE"/>
    <s v="OP"/>
    <n v="1250042"/>
    <s v="A-SURFACE"/>
    <m/>
    <m/>
    <m/>
    <s v="A-SURFACE"/>
    <s v="LTL"/>
    <s v="EXW"/>
    <s v="Prepay &amp; Add"/>
    <m/>
    <m/>
    <m/>
    <m/>
    <m/>
    <m/>
    <m/>
    <s v="0"/>
    <s v="0"/>
  </r>
  <r>
    <s v="SJ2"/>
    <s v="5003152"/>
    <s v="RCN"/>
    <s v="BOSTON"/>
    <s v="R016P31L1B01"/>
    <s v="SJ2_STAG"/>
    <s v="RCN BECOCOM, LLC"/>
    <s v="105 W 1st St"/>
    <s v="MA"/>
    <s v="Boston"/>
    <s v="02127-1109"/>
    <s v="NC4191S2A1-00000000"/>
    <s v="NODE 5-85MHZ RVS 102-1GHZ FWD"/>
    <s v="20107050"/>
    <s v="1.1"/>
    <x v="308"/>
    <n v="1961388"/>
    <d v="2016-08-24T12:29:25"/>
    <m/>
    <d v="2016-10-26T00:00:00"/>
    <d v="2016-08-31T00:00:00"/>
    <d v="2016-10-26T00:00:00"/>
    <m/>
    <n v="11"/>
    <m/>
    <n v="18205"/>
    <m/>
    <s v="N044"/>
    <s v="NWK ACCESS TECH"/>
    <s v="NODE"/>
    <s v="NC4000 AURORA"/>
    <s v="N044"/>
    <s v="AS-STANDARD ORDER MIXED"/>
    <s v="A-SURFACE"/>
    <s v="OP"/>
    <n v="1250042"/>
    <s v="A-SURFACE"/>
    <m/>
    <m/>
    <m/>
    <s v="A-SURFACE"/>
    <s v="LTL"/>
    <s v="EXW"/>
    <s v="Prepay &amp; Add"/>
    <m/>
    <m/>
    <m/>
    <m/>
    <m/>
    <m/>
    <m/>
    <s v="0"/>
    <s v="0"/>
  </r>
  <r>
    <s v="SJ2"/>
    <s v="5003152"/>
    <s v="RCN"/>
    <s v="BOSTON"/>
    <s v="R015P62L4"/>
    <s v="SJ2_STAG"/>
    <s v="RCN BECOCOM, LLC"/>
    <s v="105 W 1st St"/>
    <s v="MA"/>
    <s v="Boston"/>
    <s v="02127-1109"/>
    <s v="NC4191S2A1-00000000"/>
    <s v="NODE 5-85MHZ RVS 102-1GHZ FWD"/>
    <s v="20107050"/>
    <s v="1.1"/>
    <x v="308"/>
    <n v="1961388"/>
    <d v="2016-08-24T12:29:25"/>
    <m/>
    <d v="2016-10-26T00:00:00"/>
    <d v="2016-08-31T00:00:00"/>
    <d v="2016-10-26T00:00:00"/>
    <m/>
    <n v="15"/>
    <m/>
    <n v="24825"/>
    <m/>
    <s v="N044"/>
    <s v="NWK ACCESS TECH"/>
    <s v="NODE"/>
    <s v="NC4000 AURORA"/>
    <s v="N044"/>
    <s v="AS-STANDARD ORDER MIXED"/>
    <s v="A-SURFACE"/>
    <s v="OP"/>
    <n v="1250042"/>
    <s v="A-SURFACE"/>
    <m/>
    <m/>
    <m/>
    <s v="A-SURFACE"/>
    <s v="LTL"/>
    <s v="EXW"/>
    <s v="Prepay &amp; Add"/>
    <m/>
    <m/>
    <m/>
    <m/>
    <m/>
    <m/>
    <m/>
    <s v="0"/>
    <s v="0"/>
  </r>
  <r>
    <s v="SJ2"/>
    <s v="5003152"/>
    <s v="RCN"/>
    <s v="BOSTON"/>
    <s v="R015P16L2"/>
    <s v="SJ2_STAG"/>
    <s v="RCN BECOCOM, LLC"/>
    <s v="105 W 1st St"/>
    <s v="MA"/>
    <s v="Boston"/>
    <s v="02127-1109"/>
    <s v="NC4191S2A1-00000000"/>
    <s v="NODE 5-85MHZ RVS 102-1GHZ FWD"/>
    <s v="20107050"/>
    <s v="1.1"/>
    <x v="308"/>
    <n v="1961388"/>
    <d v="2016-08-24T12:29:25"/>
    <m/>
    <d v="2016-10-26T00:00:00"/>
    <d v="2016-08-31T00:00:00"/>
    <d v="2016-10-26T00:00:00"/>
    <m/>
    <n v="5"/>
    <m/>
    <n v="8275"/>
    <m/>
    <s v="N044"/>
    <s v="NWK ACCESS TECH"/>
    <s v="NODE"/>
    <s v="NC4000 AURORA"/>
    <s v="N044"/>
    <s v="AS-STANDARD ORDER MIXED"/>
    <s v="A-SURFACE"/>
    <s v="OP"/>
    <n v="1250042"/>
    <s v="A-SURFACE"/>
    <m/>
    <m/>
    <m/>
    <s v="A-SURFACE"/>
    <s v="LTL"/>
    <s v="EXW"/>
    <s v="Prepay &amp; Add"/>
    <m/>
    <m/>
    <m/>
    <m/>
    <m/>
    <m/>
    <m/>
    <s v="0"/>
    <s v="0"/>
  </r>
  <r>
    <s v="SJ2"/>
    <s v="5003152"/>
    <s v="RCN"/>
    <s v="BOSTON"/>
    <s v="R024P17L1B02"/>
    <s v="SJ2_STAG"/>
    <s v="RCN BECOCOM, LLC"/>
    <s v="105 W 1st St"/>
    <s v="MA"/>
    <s v="Boston"/>
    <s v="02127-1109"/>
    <s v="JC1122"/>
    <s v="PATCH CORD SC/APC-LC/UPC 2MM 0"/>
    <s v="20107050"/>
    <s v="10.1"/>
    <x v="308"/>
    <n v="1961388"/>
    <d v="2016-08-24T12:29:25"/>
    <m/>
    <d v="2016-10-26T00:00:00"/>
    <d v="2016-08-31T00:00:00"/>
    <d v="2016-10-26T00:00:00"/>
    <m/>
    <n v="40"/>
    <m/>
    <n v="680"/>
    <m/>
    <s v="HE64"/>
    <s v="NWK ACCESS TECH"/>
    <s v="HEO"/>
    <s v="TRANSMITTER"/>
    <s v="HT"/>
    <s v="AS-STANDARD ORDER MIXED"/>
    <s v="A-SURFACE"/>
    <s v="OP"/>
    <n v="1250042"/>
    <s v="A-SURFACE"/>
    <m/>
    <m/>
    <m/>
    <s v="A-SURFACE"/>
    <s v="LTL"/>
    <s v="EXW"/>
    <s v="Prepay &amp; Add"/>
    <m/>
    <m/>
    <m/>
    <m/>
    <m/>
    <m/>
    <m/>
    <s v="0"/>
    <s v="0"/>
  </r>
  <r>
    <s v="SJ2"/>
    <s v="5003152"/>
    <s v="RCN"/>
    <s v="BOSTON"/>
    <s v="R024P24L1B01"/>
    <s v="SJ2_STAG"/>
    <s v="RCN BECOCOM, LLC"/>
    <s v="105 W 1st St"/>
    <s v="MA"/>
    <s v="Boston"/>
    <s v="02127-1109"/>
    <s v="JC1125"/>
    <s v="PATCH CORD SC/APC-LC/UPC 2MM J"/>
    <s v="20107050"/>
    <s v="11.1"/>
    <x v="308"/>
    <n v="1961388"/>
    <d v="2016-08-24T12:29:25"/>
    <m/>
    <d v="2016-10-26T00:00:00"/>
    <d v="2016-08-31T00:00:00"/>
    <d v="2016-10-26T00:00:00"/>
    <m/>
    <n v="39"/>
    <m/>
    <n v="858"/>
    <m/>
    <s v="N223"/>
    <s v="NWK ACCESS TECH"/>
    <s v="OPTICAL PASSIVES"/>
    <s v="INDOOR PASSIVES AURORA"/>
    <s v="N223"/>
    <s v="AS-STANDARD ORDER MIXED"/>
    <s v="A-SURFACE"/>
    <s v="OP"/>
    <n v="1250042"/>
    <s v="A-SURFACE"/>
    <m/>
    <m/>
    <m/>
    <s v="A-SURFACE"/>
    <s v="LTL"/>
    <s v="EXW"/>
    <s v="Prepay &amp; Add"/>
    <m/>
    <m/>
    <m/>
    <m/>
    <m/>
    <m/>
    <m/>
    <s v="0"/>
    <s v="0"/>
  </r>
  <r>
    <s v="SJ2"/>
    <s v="5003152"/>
    <s v="RCN"/>
    <s v="BOSTON"/>
    <s v="R022P27L1"/>
    <s v="SJ2_STAG"/>
    <s v="RCN BECOCOM, LLC"/>
    <s v="105 W 1st St"/>
    <s v="MA"/>
    <s v="Boston"/>
    <s v="02127-1109"/>
    <s v="JC1125"/>
    <s v="PATCH CORD SC/APC-LC/UPC 2MM J"/>
    <s v="20107050"/>
    <s v="11.1"/>
    <x v="308"/>
    <n v="1961389"/>
    <d v="2016-08-24T12:29:25"/>
    <m/>
    <d v="2016-10-26T00:00:00"/>
    <d v="2016-08-31T00:00:00"/>
    <d v="2016-10-26T00:00:00"/>
    <m/>
    <n v="1"/>
    <m/>
    <n v="22"/>
    <m/>
    <s v="N223"/>
    <s v="NWK ACCESS TECH"/>
    <s v="OPTICAL PASSIVES"/>
    <s v="INDOOR PASSIVES AURORA"/>
    <s v="N223"/>
    <s v="AS-STANDARD ORDER MIXED"/>
    <s v="A-SURFACE"/>
    <s v="OP"/>
    <n v="1250042"/>
    <s v="A-SURFACE"/>
    <m/>
    <m/>
    <m/>
    <s v="A-SURFACE"/>
    <s v="LTL"/>
    <s v="EXW"/>
    <s v="Prepay &amp; Add"/>
    <m/>
    <m/>
    <m/>
    <m/>
    <m/>
    <m/>
    <m/>
    <s v="0"/>
    <s v="0"/>
  </r>
  <r>
    <s v="SJ2"/>
    <s v="5003152"/>
    <s v="RCN"/>
    <s v="BOSTON"/>
    <s v="R015P52L2"/>
    <s v="SJ2_STAG"/>
    <s v="RCN BECOCOM, LLC"/>
    <s v="105 W 1st St"/>
    <s v="MA"/>
    <s v="Boston"/>
    <s v="02127-1109"/>
    <s v="DT4250N-50-00"/>
    <s v="DGTL XCVR ENH MULTI-MODES OF O"/>
    <s v="20107050"/>
    <s v="3.1"/>
    <x v="308"/>
    <n v="1961389"/>
    <d v="2016-08-24T12:29:25"/>
    <m/>
    <d v="2016-10-26T00:00:00"/>
    <d v="2016-08-31T00:00:00"/>
    <d v="2016-10-26T00:00:00"/>
    <m/>
    <n v="40"/>
    <m/>
    <n v="12360"/>
    <m/>
    <s v="N065"/>
    <s v="NWK ACCESS TECH"/>
    <s v="NODE"/>
    <s v="NODE MISC AURORA"/>
    <s v="N065"/>
    <s v="AS-STANDARD ORDER MIXED"/>
    <s v="A-SURFACE"/>
    <s v="OP"/>
    <n v="1250042"/>
    <s v="A-SURFACE"/>
    <m/>
    <m/>
    <m/>
    <s v="A-SURFACE"/>
    <s v="LTL"/>
    <s v="EXW"/>
    <s v="Prepay &amp; Add"/>
    <m/>
    <m/>
    <m/>
    <m/>
    <m/>
    <m/>
    <m/>
    <s v="0"/>
    <s v="0"/>
  </r>
  <r>
    <s v="SJ2"/>
    <s v="5003152"/>
    <s v="RCN"/>
    <s v="BOSTON"/>
    <s v="R022P80L4"/>
    <s v="SJ2_STAG"/>
    <s v="RCN BECOCOM, LLC"/>
    <s v="105 W 1st St"/>
    <s v="MA"/>
    <s v="Boston"/>
    <s v="02127-1109"/>
    <s v="TR4440B-1490-PI"/>
    <s v="TRANSCEIVER SFP 60KM CWDM 1490"/>
    <s v="20107050"/>
    <s v="4.1"/>
    <x v="308"/>
    <n v="1961388"/>
    <d v="2016-08-24T12:29:25"/>
    <m/>
    <d v="2016-10-26T00:00:00"/>
    <d v="2016-08-31T00:00:00"/>
    <d v="2016-10-26T00:00:00"/>
    <m/>
    <n v="6"/>
    <m/>
    <n v="2226"/>
    <m/>
    <s v="N252"/>
    <s v="NWK ACCESS TECH"/>
    <s v="NODE"/>
    <s v="NODE MISC AURORA"/>
    <s v="N252"/>
    <s v="AS-STANDARD ORDER MIXED"/>
    <s v="A-SURFACE"/>
    <s v="OP"/>
    <n v="1250042"/>
    <s v="A-SURFACE"/>
    <m/>
    <m/>
    <m/>
    <s v="A-SURFACE"/>
    <s v="LTL"/>
    <s v="EXW"/>
    <s v="Prepay &amp; Add"/>
    <m/>
    <m/>
    <m/>
    <m/>
    <m/>
    <m/>
    <m/>
    <s v="0"/>
    <s v="0"/>
  </r>
  <r>
    <s v="SJ2"/>
    <s v="5003152"/>
    <s v="RCN"/>
    <s v="BOSTON"/>
    <s v="R022P80L4"/>
    <s v="SJ2_STAG"/>
    <s v="RCN BECOCOM, LLC"/>
    <s v="105 W 1st St"/>
    <s v="MA"/>
    <s v="Boston"/>
    <s v="02127-1109"/>
    <s v="TR4440B-1510-PI"/>
    <s v="TRANSCEIVER SFP 60KM CWDM 1510"/>
    <s v="20107050"/>
    <s v="5.1"/>
    <x v="308"/>
    <n v="1961389"/>
    <d v="2016-08-24T12:29:25"/>
    <m/>
    <d v="2016-10-26T00:00:00"/>
    <d v="2016-08-31T00:00:00"/>
    <d v="2016-10-26T00:00:00"/>
    <m/>
    <n v="6"/>
    <m/>
    <n v="2226"/>
    <m/>
    <s v="N252"/>
    <s v="NWK ACCESS TECH"/>
    <s v="NODE"/>
    <s v="NODE MISC AURORA"/>
    <s v="N252"/>
    <s v="AS-STANDARD ORDER MIXED"/>
    <s v="A-SURFACE"/>
    <s v="OP"/>
    <n v="1250042"/>
    <s v="A-SURFACE"/>
    <m/>
    <m/>
    <m/>
    <s v="A-SURFACE"/>
    <s v="LTL"/>
    <s v="EXW"/>
    <s v="Prepay &amp; Add"/>
    <m/>
    <m/>
    <m/>
    <m/>
    <m/>
    <m/>
    <m/>
    <s v="0"/>
    <s v="0"/>
  </r>
  <r>
    <s v="SJ2"/>
    <s v="5003152"/>
    <s v="RCN"/>
    <s v="BOSTON"/>
    <s v="R023P68L5"/>
    <s v="SJ2_STAG"/>
    <s v="RCN BECOCOM, LLC"/>
    <s v="105 W 1st St"/>
    <s v="MA"/>
    <s v="Boston"/>
    <s v="02127-1109"/>
    <s v="TR4440B-1530-PI"/>
    <s v="TRANSCEIVER SFP 60KM CWDM 1530"/>
    <s v="20107050"/>
    <s v="6.1"/>
    <x v="308"/>
    <n v="1961389"/>
    <d v="2016-08-24T12:29:25"/>
    <m/>
    <d v="2016-10-26T00:00:00"/>
    <d v="2016-08-31T00:00:00"/>
    <d v="2016-10-26T00:00:00"/>
    <m/>
    <n v="6"/>
    <m/>
    <n v="2226"/>
    <m/>
    <s v="N252"/>
    <s v="NWK ACCESS TECH"/>
    <s v="NODE"/>
    <s v="NODE MISC AURORA"/>
    <s v="N252"/>
    <s v="AS-STANDARD ORDER MIXED"/>
    <s v="A-SURFACE"/>
    <s v="OP"/>
    <n v="1250042"/>
    <s v="A-SURFACE"/>
    <m/>
    <m/>
    <m/>
    <s v="A-SURFACE"/>
    <s v="LTL"/>
    <s v="EXW"/>
    <s v="Prepay &amp; Add"/>
    <m/>
    <m/>
    <m/>
    <m/>
    <m/>
    <m/>
    <m/>
    <s v="0"/>
    <s v="0"/>
  </r>
  <r>
    <s v="SJ2"/>
    <s v="5003152"/>
    <s v="RCN"/>
    <s v="BOSTON"/>
    <s v="R022P78L3"/>
    <s v="SJ2_STAG"/>
    <s v="RCN BECOCOM, LLC"/>
    <s v="105 W 1st St"/>
    <s v="MA"/>
    <s v="Boston"/>
    <s v="02127-1109"/>
    <s v="TR4440B-1550-PI"/>
    <s v="TRANSCEIVER SFP 60KM CWDM 1550"/>
    <s v="20107050"/>
    <s v="7.1"/>
    <x v="308"/>
    <n v="1961388"/>
    <d v="2016-08-24T12:29:25"/>
    <m/>
    <d v="2016-10-26T00:00:00"/>
    <d v="2016-08-31T00:00:00"/>
    <d v="2016-10-26T00:00:00"/>
    <m/>
    <n v="6"/>
    <m/>
    <n v="2226"/>
    <m/>
    <s v="N252"/>
    <s v="NWK ACCESS TECH"/>
    <s v="NODE"/>
    <s v="NODE MISC AURORA"/>
    <s v="N252"/>
    <s v="AS-STANDARD ORDER MIXED"/>
    <s v="A-SURFACE"/>
    <s v="OP"/>
    <n v="1250042"/>
    <s v="A-SURFACE"/>
    <m/>
    <m/>
    <m/>
    <s v="A-SURFACE"/>
    <s v="LTL"/>
    <s v="EXW"/>
    <s v="Prepay &amp; Add"/>
    <m/>
    <m/>
    <m/>
    <m/>
    <m/>
    <m/>
    <m/>
    <s v="0"/>
    <s v="0"/>
  </r>
  <r>
    <s v="SJ2"/>
    <s v="5003152"/>
    <s v="RCN"/>
    <s v="BOSTON"/>
    <s v="R023P09L4"/>
    <s v="SJ2_STAG"/>
    <s v="RCN BECOCOM, LLC"/>
    <s v="105 W 1st St"/>
    <s v="MA"/>
    <s v="Boston"/>
    <s v="02127-1109"/>
    <s v="TR4440B-1570-PI"/>
    <s v="TRANSCEIVER SFP 60KM CWDM 1570"/>
    <s v="20107050"/>
    <s v="8.1"/>
    <x v="308"/>
    <n v="1961389"/>
    <d v="2016-08-24T12:29:25"/>
    <m/>
    <d v="2016-10-26T00:00:00"/>
    <d v="2016-08-31T00:00:00"/>
    <d v="2016-10-26T00:00:00"/>
    <m/>
    <n v="6"/>
    <m/>
    <n v="2226"/>
    <m/>
    <s v="N252"/>
    <s v="NWK ACCESS TECH"/>
    <s v="NODE"/>
    <s v="NODE MISC AURORA"/>
    <s v="N252"/>
    <s v="AS-STANDARD ORDER MIXED"/>
    <s v="A-SURFACE"/>
    <s v="OP"/>
    <n v="1250042"/>
    <s v="A-SURFACE"/>
    <m/>
    <m/>
    <m/>
    <s v="A-SURFACE"/>
    <s v="LTL"/>
    <s v="EXW"/>
    <s v="Prepay &amp; Add"/>
    <m/>
    <m/>
    <m/>
    <m/>
    <m/>
    <m/>
    <m/>
    <s v="0"/>
    <s v="0"/>
  </r>
  <r>
    <s v="SJ2"/>
    <s v="5003152"/>
    <s v="RCN"/>
    <s v="BOSTON"/>
    <s v="R022P17L5"/>
    <s v="SJ2_STAG"/>
    <s v="RCN BECOCOM, LLC"/>
    <s v="105 W 1st St"/>
    <s v="MA"/>
    <s v="Boston"/>
    <s v="02127-1109"/>
    <s v="TR4440B-1590-PI"/>
    <s v="TRANSCEIVER SFP 60KM CWDM 1590"/>
    <s v="20107050"/>
    <s v="9.1"/>
    <x v="308"/>
    <n v="1961389"/>
    <d v="2016-08-24T12:29:25"/>
    <m/>
    <d v="2016-10-26T00:00:00"/>
    <d v="2016-08-31T00:00:00"/>
    <d v="2016-10-26T00:00:00"/>
    <m/>
    <n v="4"/>
    <m/>
    <n v="1484"/>
    <m/>
    <s v="N252"/>
    <s v="NWK ACCESS TECH"/>
    <s v="NODE"/>
    <s v="NODE MISC AURORA"/>
    <s v="N252"/>
    <s v="AS-STANDARD ORDER MIXED"/>
    <s v="A-SURFACE"/>
    <s v="OP"/>
    <n v="1250042"/>
    <s v="A-SURFACE"/>
    <m/>
    <m/>
    <m/>
    <s v="A-SURFACE"/>
    <s v="LTL"/>
    <s v="EXW"/>
    <s v="Prepay &amp; Add"/>
    <m/>
    <m/>
    <m/>
    <m/>
    <m/>
    <m/>
    <m/>
    <s v="0"/>
    <s v="0"/>
  </r>
  <r>
    <s v="SJ2"/>
    <s v="5003152"/>
    <s v="RCN"/>
    <s v="CHICAGO"/>
    <s v="R022P03L2"/>
    <s v="SJ2_STAG"/>
    <s v="RCN TELECOM SRVS"/>
    <s v="2640 W Bradley Pl"/>
    <s v="IL"/>
    <s v="Chicago"/>
    <s v="60618-4717"/>
    <s v="OP91S4D-EQ-R2-MP"/>
    <s v="SPLITTER DUAL 1X4 F-CASE MPO 2"/>
    <s v="20107599"/>
    <s v="31.1"/>
    <x v="309"/>
    <n v="1959336"/>
    <d v="2016-08-26T14:58:30"/>
    <m/>
    <d v="2016-10-24T00:00:00"/>
    <d v="2016-09-13T00:00:00"/>
    <d v="2016-10-26T00:00:00"/>
    <m/>
    <n v="1"/>
    <n v="1"/>
    <n v="416"/>
    <n v="416"/>
    <s v="N156"/>
    <s v="NWK ACCESS TECH"/>
    <s v="ACCESS OTHER"/>
    <s v="OTHER AURORA"/>
    <s v="N156"/>
    <s v="AS-STANDARD ORDER MIXED"/>
    <s v="A-SURFACE"/>
    <s v="OP"/>
    <n v="1248585"/>
    <s v="A-SURFACE"/>
    <m/>
    <m/>
    <m/>
    <s v="A-SURFACE"/>
    <s v="LTL"/>
    <s v="EXW"/>
    <s v="Prepay &amp; Add"/>
    <n v="9.09"/>
    <m/>
    <s v="UNDER 200 LBS SHIP VIA UPS PREPAY AND ADD; OVER 200 LBS SHIP VIA YELLOW FREIGHT, PH #800-610-6500, MIDCO ACCT # 8611664 UNDER 200 LBS SHIP VIA UPS PREPAY AND ADD; OVER 200 LBS SHIP VIA YRC, PH #800-610-6500, MIDCO ACCT # 8611664"/>
    <m/>
    <m/>
    <m/>
    <m/>
    <s v="0"/>
    <s v="0"/>
  </r>
  <r>
    <s v="SJ2"/>
    <s v="5003152"/>
    <s v="RCN"/>
    <s v="BOSTON"/>
    <s v="R016P17L2B01"/>
    <s v="SJ2_STAG"/>
    <s v="RCN BECOCOM, LLC"/>
    <s v="105 W 1st St"/>
    <s v="MA"/>
    <s v="Boston"/>
    <s v="02127-1109"/>
    <s v="NC4191S2A1-00000000"/>
    <s v="NODE 5-85MHZ RVS 102-1GHZ FWD"/>
    <s v="20114886"/>
    <s v="1.1"/>
    <x v="310"/>
    <n v="1960735"/>
    <d v="2016-10-04T11:10:18"/>
    <m/>
    <d v="2016-10-25T00:00:00"/>
    <d v="2016-10-21T00:00:00"/>
    <d v="2016-10-25T00:00:00"/>
    <m/>
    <n v="1"/>
    <m/>
    <n v="1655"/>
    <m/>
    <s v="N044"/>
    <s v="NWK ACCESS TECH"/>
    <s v="NODE"/>
    <s v="NC4000 AURORA"/>
    <s v="N044"/>
    <s v="AS-STANDARD ORDER MIXED"/>
    <s v="A-SURFACE"/>
    <s v="OP"/>
    <n v="1249616"/>
    <s v="A-SURFACE"/>
    <m/>
    <m/>
    <m/>
    <s v="A-SURFACE"/>
    <s v="LTL"/>
    <s v="EXW"/>
    <s v="Prepay &amp; Add"/>
    <m/>
    <m/>
    <m/>
    <m/>
    <m/>
    <m/>
    <m/>
    <s v="0"/>
    <s v="0"/>
  </r>
  <r>
    <s v="SJ2"/>
    <s v="5003152"/>
    <s v="RCN"/>
    <s v="BOSTON"/>
    <s v="R022P78L3"/>
    <s v="SJ2_STAG"/>
    <s v="RCN BECOCOM, LLC"/>
    <s v="105 W 1st St"/>
    <s v="MA"/>
    <s v="Boston"/>
    <s v="02127-1109"/>
    <s v="TR4440B-1550-PI"/>
    <s v="TRANSCEIVER SFP 60KM CWDM 1550"/>
    <s v="20114886"/>
    <s v="10.1"/>
    <x v="310"/>
    <n v="1960735"/>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3P09L4"/>
    <s v="SJ2_STAG"/>
    <s v="RCN BECOCOM, LLC"/>
    <s v="105 W 1st St"/>
    <s v="MA"/>
    <s v="Boston"/>
    <s v="02127-1109"/>
    <s v="TR4440B-1570-PI"/>
    <s v="TRANSCEIVER SFP 60KM CWDM 1570"/>
    <s v="20114886"/>
    <s v="11.1"/>
    <x v="310"/>
    <n v="1960736"/>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2P17L5"/>
    <s v="SJ2_STAG"/>
    <s v="RCN BECOCOM, LLC"/>
    <s v="105 W 1st St"/>
    <s v="MA"/>
    <s v="Boston"/>
    <s v="02127-1109"/>
    <s v="TR4440B-1590-PI"/>
    <s v="TRANSCEIVER SFP 60KM CWDM 1590"/>
    <s v="20114886"/>
    <s v="12.1"/>
    <x v="310"/>
    <n v="1960736"/>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3P11L2"/>
    <s v="SJ2_STAG"/>
    <s v="RCN BECOCOM, LLC"/>
    <s v="105 W 1st St"/>
    <s v="MA"/>
    <s v="Boston"/>
    <s v="02127-1109"/>
    <s v="JC1122"/>
    <s v="PATCH CORD SC/APC-LC/UPC 2MM 0"/>
    <s v="20114886"/>
    <s v="13.1"/>
    <x v="310"/>
    <n v="1960736"/>
    <d v="2016-10-04T11:10:18"/>
    <m/>
    <d v="2016-10-25T00:00:00"/>
    <d v="2016-10-21T00:00:00"/>
    <d v="2016-10-25T00:00:00"/>
    <m/>
    <n v="2"/>
    <m/>
    <n v="34"/>
    <m/>
    <s v="HE64"/>
    <s v="NWK ACCESS TECH"/>
    <s v="HEO"/>
    <s v="TRANSMITTER"/>
    <s v="HT"/>
    <s v="AS-STANDARD ORDER MIXED"/>
    <s v="A-SURFACE"/>
    <s v="OP"/>
    <n v="1249616"/>
    <s v="A-SURFACE"/>
    <m/>
    <m/>
    <m/>
    <s v="A-SURFACE"/>
    <s v="LTL"/>
    <s v="EXW"/>
    <s v="Prepay &amp; Add"/>
    <m/>
    <m/>
    <m/>
    <m/>
    <m/>
    <m/>
    <m/>
    <s v="0"/>
    <s v="0"/>
  </r>
  <r>
    <s v="SJ2"/>
    <s v="5003152"/>
    <s v="RCN"/>
    <s v="BOSTON"/>
    <s v="R024P24L1B01"/>
    <s v="SJ2_STAG"/>
    <s v="RCN BECOCOM, LLC"/>
    <s v="105 W 1st St"/>
    <s v="MA"/>
    <s v="Boston"/>
    <s v="02127-1109"/>
    <s v="JC1125"/>
    <s v="PATCH CORD SC/APC-LC/UPC 2MM J"/>
    <s v="20114886"/>
    <s v="14.1"/>
    <x v="311"/>
    <n v="1961092"/>
    <d v="2016-10-04T11:10:18"/>
    <m/>
    <d v="2016-10-26T00:00:00"/>
    <d v="2016-10-21T00:00:00"/>
    <d v="2016-10-26T00:00:00"/>
    <m/>
    <n v="2"/>
    <n v="2"/>
    <n v="44"/>
    <n v="44"/>
    <s v="N223"/>
    <s v="NWK ACCESS TECH"/>
    <s v="OPTICAL PASSIVES"/>
    <s v="INDOOR PASSIVES AURORA"/>
    <s v="N223"/>
    <s v="AS-STANDARD ORDER MIXED"/>
    <s v="A-SURFACE"/>
    <s v="OP"/>
    <n v="1249843"/>
    <s v="A-SURFACE"/>
    <m/>
    <m/>
    <m/>
    <s v="A-SURFACE"/>
    <s v="LTL"/>
    <s v="EXW"/>
    <s v="Prepay &amp; Add"/>
    <n v="8.89"/>
    <m/>
    <m/>
    <m/>
    <m/>
    <m/>
    <m/>
    <s v="0"/>
    <s v="0"/>
  </r>
  <r>
    <s v="SJ2"/>
    <s v="5003152"/>
    <s v="RCN"/>
    <s v="BOSTON"/>
    <s v="R015P52L2"/>
    <s v="SJ2_STAG"/>
    <s v="RCN BECOCOM, LLC"/>
    <s v="105 W 1st St"/>
    <s v="MA"/>
    <s v="Boston"/>
    <s v="02127-1109"/>
    <s v="DT4250N-50-00"/>
    <s v="DGTL XCVR ENH MULTI-MODES OF O"/>
    <s v="20114886"/>
    <s v="2.1"/>
    <x v="310"/>
    <n v="1960736"/>
    <d v="2016-10-04T11:10:18"/>
    <m/>
    <d v="2016-10-25T00:00:00"/>
    <d v="2016-10-21T00:00:00"/>
    <d v="2016-10-25T00:00:00"/>
    <m/>
    <n v="2"/>
    <m/>
    <n v="618"/>
    <m/>
    <s v="N065"/>
    <s v="NWK ACCESS TECH"/>
    <s v="NODE"/>
    <s v="NODE MISC AURORA"/>
    <s v="N065"/>
    <s v="AS-STANDARD ORDER MIXED"/>
    <s v="A-SURFACE"/>
    <s v="OP"/>
    <n v="1249616"/>
    <s v="A-SURFACE"/>
    <m/>
    <m/>
    <m/>
    <s v="A-SURFACE"/>
    <s v="LTL"/>
    <s v="EXW"/>
    <s v="Prepay &amp; Add"/>
    <m/>
    <m/>
    <m/>
    <m/>
    <m/>
    <m/>
    <m/>
    <s v="0"/>
    <s v="0"/>
  </r>
  <r>
    <s v="SJ2"/>
    <s v="5003152"/>
    <s v="RCN"/>
    <s v="BOSTON"/>
    <s v="R015P61L2"/>
    <s v="SJ2_STAG"/>
    <s v="RCN BECOCOM, LLC"/>
    <s v="105 W 1st St"/>
    <s v="MA"/>
    <s v="Boston"/>
    <s v="02127-1109"/>
    <s v="BP3400C-00"/>
    <s v="BACKPLATE 4.25 GB/S 1-FER/2-FE"/>
    <s v="20114886"/>
    <s v="3.1"/>
    <x v="310"/>
    <n v="1960736"/>
    <d v="2016-10-04T11:10:18"/>
    <m/>
    <d v="2016-10-25T00:00:00"/>
    <d v="2016-10-21T00:00:00"/>
    <d v="2016-10-25T00:00:00"/>
    <m/>
    <n v="1"/>
    <m/>
    <n v="494"/>
    <m/>
    <s v="N076"/>
    <s v="NWK ACCESS TECH"/>
    <s v="HEO"/>
    <s v="HEO MISC AURORA"/>
    <s v="N076"/>
    <s v="AS-STANDARD ORDER MIXED"/>
    <s v="A-SURFACE"/>
    <s v="OP"/>
    <n v="1249616"/>
    <s v="A-SURFACE"/>
    <m/>
    <m/>
    <m/>
    <s v="A-SURFACE"/>
    <s v="LTL"/>
    <s v="EXW"/>
    <s v="Prepay &amp; Add"/>
    <m/>
    <m/>
    <m/>
    <m/>
    <m/>
    <m/>
    <m/>
    <s v="0"/>
    <s v="0"/>
  </r>
  <r>
    <s v="SJ2"/>
    <s v="5003152"/>
    <s v="RCN"/>
    <s v="BOSTON"/>
    <s v="R016P07L2B02"/>
    <s v="SJ2_STAG"/>
    <s v="RCN BECOCOM, LLC"/>
    <s v="105 W 1st St"/>
    <s v="MA"/>
    <s v="Boston"/>
    <s v="02127-1109"/>
    <s v="DR3450N-50-00"/>
    <s v="DIGITAL RECEIVER Q-RX 2.125GBP"/>
    <s v="20114886"/>
    <s v="4.1"/>
    <x v="310"/>
    <n v="1960736"/>
    <d v="2016-10-04T11:10:18"/>
    <m/>
    <d v="2016-10-25T00:00:00"/>
    <d v="2016-10-21T00:00:00"/>
    <d v="2016-10-25T00:00:00"/>
    <m/>
    <n v="1"/>
    <m/>
    <n v="1235"/>
    <m/>
    <s v="N275"/>
    <s v="NWK ACCESS TECH"/>
    <s v="HEO"/>
    <s v="RECEIVERS AURORA"/>
    <s v="N275"/>
    <s v="AS-STANDARD ORDER MIXED"/>
    <s v="A-SURFACE"/>
    <s v="OP"/>
    <n v="1249616"/>
    <s v="A-SURFACE"/>
    <m/>
    <m/>
    <m/>
    <s v="A-SURFACE"/>
    <s v="LTL"/>
    <s v="EXW"/>
    <s v="Prepay &amp; Add"/>
    <m/>
    <m/>
    <m/>
    <m/>
    <m/>
    <m/>
    <m/>
    <s v="0"/>
    <s v="0"/>
  </r>
  <r>
    <s v="SJ2"/>
    <s v="5003152"/>
    <s v="RCN"/>
    <s v="BOSTON"/>
    <s v="R022P79L3"/>
    <s v="SJ2_STAG"/>
    <s v="RCN BECOCOM, LLC"/>
    <s v="105 W 1st St"/>
    <s v="MA"/>
    <s v="Boston"/>
    <s v="02127-1109"/>
    <s v="RR4000-00-PI"/>
    <s v="RCVR DUAL PLUGGABLE SFP 3 GBPS"/>
    <s v="20114886"/>
    <s v="5.1"/>
    <x v="310"/>
    <n v="1960735"/>
    <d v="2016-10-04T11:10:18"/>
    <m/>
    <d v="2016-10-25T00:00:00"/>
    <d v="2016-10-21T00:00:00"/>
    <d v="2016-10-25T00:00:00"/>
    <m/>
    <n v="1"/>
    <m/>
    <n v="185"/>
    <m/>
    <s v="N224"/>
    <s v="NWK ACCESS TECH"/>
    <s v="ACCESS OTHER"/>
    <s v="OTHER AURORA"/>
    <s v="N224"/>
    <s v="AS-STANDARD ORDER MIXED"/>
    <s v="A-SURFACE"/>
    <s v="OP"/>
    <n v="1249616"/>
    <s v="A-SURFACE"/>
    <m/>
    <m/>
    <m/>
    <s v="A-SURFACE"/>
    <s v="LTL"/>
    <s v="EXW"/>
    <s v="Prepay &amp; Add"/>
    <m/>
    <m/>
    <m/>
    <m/>
    <m/>
    <m/>
    <m/>
    <s v="0"/>
    <s v="0"/>
  </r>
  <r>
    <s v="SJ2"/>
    <s v="5003152"/>
    <s v="RCN"/>
    <s v="BOSTON"/>
    <s v="R022P80L4"/>
    <s v="SJ2_STAG"/>
    <s v="RCN BECOCOM, LLC"/>
    <s v="105 W 1st St"/>
    <s v="MA"/>
    <s v="Boston"/>
    <s v="02127-1109"/>
    <s v="TR4440B-1470-PI"/>
    <s v="TRANSCEIVER SFP 60KM CWDM 1470"/>
    <s v="20114886"/>
    <s v="6.1"/>
    <x v="310"/>
    <n v="1960735"/>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2P80L4"/>
    <s v="SJ2_STAG"/>
    <s v="RCN BECOCOM, LLC"/>
    <s v="105 W 1st St"/>
    <s v="MA"/>
    <s v="Boston"/>
    <s v="02127-1109"/>
    <s v="TR4440B-1490-PI"/>
    <s v="TRANSCEIVER SFP 60KM CWDM 1490"/>
    <s v="20114886"/>
    <s v="7.1"/>
    <x v="310"/>
    <n v="1960735"/>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2P80L4"/>
    <s v="SJ2_STAG"/>
    <s v="RCN BECOCOM, LLC"/>
    <s v="105 W 1st St"/>
    <s v="MA"/>
    <s v="Boston"/>
    <s v="02127-1109"/>
    <s v="TR4440B-1510-PI"/>
    <s v="TRANSCEIVER SFP 60KM CWDM 1510"/>
    <s v="20114886"/>
    <s v="8.1"/>
    <x v="310"/>
    <n v="1960736"/>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BOSTON"/>
    <s v="R023P68L5"/>
    <s v="SJ2_STAG"/>
    <s v="RCN BECOCOM, LLC"/>
    <s v="105 W 1st St"/>
    <s v="MA"/>
    <s v="Boston"/>
    <s v="02127-1109"/>
    <s v="TR4440B-1530-PI"/>
    <s v="TRANSCEIVER SFP 60KM CWDM 1530"/>
    <s v="20114886"/>
    <s v="9.1"/>
    <x v="310"/>
    <n v="1960736"/>
    <d v="2016-10-04T11:10:18"/>
    <m/>
    <d v="2016-10-25T00:00:00"/>
    <d v="2016-10-21T00:00:00"/>
    <d v="2016-10-25T00:00:00"/>
    <m/>
    <n v="2"/>
    <m/>
    <n v="742"/>
    <m/>
    <s v="N252"/>
    <s v="NWK ACCESS TECH"/>
    <s v="NODE"/>
    <s v="NODE MISC AURORA"/>
    <s v="N252"/>
    <s v="AS-STANDARD ORDER MIXED"/>
    <s v="A-SURFACE"/>
    <s v="OP"/>
    <n v="1249616"/>
    <s v="A-SURFACE"/>
    <m/>
    <m/>
    <m/>
    <s v="A-SURFACE"/>
    <s v="LTL"/>
    <s v="EXW"/>
    <s v="Prepay &amp; Add"/>
    <m/>
    <m/>
    <m/>
    <m/>
    <m/>
    <m/>
    <m/>
    <s v="0"/>
    <s v="0"/>
  </r>
  <r>
    <s v="SJ2"/>
    <s v="5003152"/>
    <s v="RCN"/>
    <s v="CHICAGO"/>
    <s v="R020P17L5"/>
    <s v="SJ2_STAG"/>
    <s v="RCN TELECOM SRVS"/>
    <s v="2640 W Bradley Pl"/>
    <s v="IL"/>
    <s v="Chicago"/>
    <s v="60618-4717"/>
    <s v="JC1512-MP-AS4-100"/>
    <s v="CABLE SERVICE (M)MPO/APC 4 SC/"/>
    <s v="20114972"/>
    <s v="11.1"/>
    <x v="312"/>
    <n v="1960323"/>
    <d v="2016-10-04T14:41:29"/>
    <m/>
    <d v="2016-10-25T00:00:00"/>
    <d v="2016-10-12T00:00:00"/>
    <d v="2016-10-25T00:00:00"/>
    <m/>
    <n v="2"/>
    <n v="2"/>
    <n v="780"/>
    <n v="780"/>
    <s v="N223"/>
    <s v="NWK ACCESS TECH"/>
    <s v="OPTICAL PASSIVES"/>
    <s v="INDOOR PASSIVES AURORA"/>
    <s v="N223"/>
    <s v="AS-STANDARD ORDER MIXED"/>
    <s v="A-SURFACE"/>
    <s v="OP"/>
    <n v="1249240"/>
    <s v="A-SURFACE"/>
    <m/>
    <m/>
    <m/>
    <s v="A-SURFACE"/>
    <s v="LTL"/>
    <s v="EXW"/>
    <s v="Prepay &amp; Add"/>
    <n v="32.520000000000003"/>
    <m/>
    <m/>
    <m/>
    <m/>
    <m/>
    <m/>
    <s v="0"/>
    <s v="0"/>
  </r>
  <r>
    <s v="SJ2"/>
    <s v="5003152"/>
    <s v="RCN"/>
    <s v="BOSTON"/>
    <s v="R023P46L1"/>
    <s v="SJ2_STAG"/>
    <s v="RCN BECOCOM, LLC"/>
    <s v="105 W 1st St"/>
    <s v="MA"/>
    <s v="Boston"/>
    <s v="02127-1109"/>
    <s v="TR4040-PI"/>
    <s v="TRANSCEIVER SFP 40KM"/>
    <s v="20117175"/>
    <s v="1.1"/>
    <x v="310"/>
    <n v="1960735"/>
    <d v="2016-10-17T12:28:43"/>
    <m/>
    <d v="2016-10-25T00:00:00"/>
    <d v="2016-10-17T00:00:00"/>
    <d v="2016-10-25T00:00:00"/>
    <m/>
    <n v="10"/>
    <m/>
    <n v="2220"/>
    <m/>
    <s v="N252"/>
    <s v="NWK ACCESS TECH"/>
    <s v="NODE"/>
    <s v="NODE MISC AURORA"/>
    <s v="N252"/>
    <s v="AS-STANDARD ORDER MIXED"/>
    <s v="A-SURFACE"/>
    <s v="OP"/>
    <n v="1249616"/>
    <s v="A-SURFACE"/>
    <m/>
    <m/>
    <m/>
    <s v="A-SURFACE"/>
    <s v="LTL"/>
    <s v="EXW"/>
    <s v="Prepay &amp; Add"/>
    <m/>
    <m/>
    <m/>
    <m/>
    <m/>
    <m/>
    <m/>
    <s v="0"/>
    <s v="0"/>
  </r>
  <r>
    <s v="SJ2"/>
    <s v="5003152"/>
    <s v="RCN"/>
    <s v="BOSTON"/>
    <s v="R015P52L2"/>
    <s v="SJ2_STAG"/>
    <s v="RCN BECOCOM, LLC"/>
    <s v="105 W 1st St"/>
    <s v="MA"/>
    <s v="Boston"/>
    <s v="02127-1109"/>
    <s v="DT4250N-50-00"/>
    <s v="DGTL XCVR ENH MULTI-MODES OF O"/>
    <s v="20117175"/>
    <s v="2.1"/>
    <x v="310"/>
    <n v="1960736"/>
    <d v="2016-10-17T12:28:43"/>
    <m/>
    <d v="2016-10-25T00:00:00"/>
    <d v="2016-10-17T00:00:00"/>
    <d v="2016-10-25T00:00:00"/>
    <m/>
    <n v="10"/>
    <m/>
    <n v="3250"/>
    <m/>
    <s v="N065"/>
    <s v="NWK ACCESS TECH"/>
    <s v="NODE"/>
    <s v="NODE MISC AURORA"/>
    <s v="N065"/>
    <s v="AS-STANDARD ORDER MIXED"/>
    <s v="A-SURFACE"/>
    <s v="OP"/>
    <n v="1249616"/>
    <s v="A-SURFACE"/>
    <m/>
    <m/>
    <m/>
    <s v="A-SURFACE"/>
    <s v="LTL"/>
    <s v="EXW"/>
    <s v="Prepay &amp; Add"/>
    <m/>
    <m/>
    <m/>
    <m/>
    <m/>
    <m/>
    <m/>
    <s v="0"/>
    <s v="0"/>
  </r>
  <r>
    <s v="SJ2"/>
    <s v="5003152"/>
    <s v="RCN"/>
    <s v="BOSTON"/>
    <s v="R023P73L4"/>
    <s v="SJ2_STAG"/>
    <s v="RCN BECOCOM, LLC"/>
    <s v="105 W 1st St"/>
    <s v="MA"/>
    <s v="Boston"/>
    <s v="02127-1109"/>
    <s v="BC1000-AS"/>
    <s v="BULKHEAD ADAPTER SC/APC-SC/APC"/>
    <s v="20117175"/>
    <s v="3.1"/>
    <x v="310"/>
    <n v="1960735"/>
    <d v="2016-10-17T12:28:43"/>
    <m/>
    <d v="2016-10-25T00:00:00"/>
    <d v="2016-10-17T00:00:00"/>
    <d v="2016-10-25T00:00:00"/>
    <m/>
    <n v="10"/>
    <m/>
    <n v="40"/>
    <m/>
    <s v="N224"/>
    <s v="NWK ACCESS TECH"/>
    <s v="ACCESS OTHER"/>
    <s v="OTHER AURORA"/>
    <s v="N224"/>
    <s v="AS-STANDARD ORDER MIXED"/>
    <s v="A-SURFACE"/>
    <s v="OP"/>
    <n v="1249616"/>
    <s v="A-SURFACE"/>
    <m/>
    <m/>
    <m/>
    <s v="A-SURFACE"/>
    <s v="LTL"/>
    <s v="EXW"/>
    <s v="Prepay &amp; Add"/>
    <m/>
    <m/>
    <m/>
    <m/>
    <m/>
    <m/>
    <m/>
    <s v="0"/>
    <s v="0"/>
  </r>
  <r>
    <s v="SJ2"/>
    <s v="5003152"/>
    <s v="RCN"/>
    <s v="BOSTON"/>
    <s v="R024P17L2B01"/>
    <s v="SJ2_STAG"/>
    <s v="RCN BECOCOM, LLC"/>
    <s v="105 W 1st St"/>
    <s v="MA"/>
    <s v="Boston"/>
    <s v="02127-1109"/>
    <s v="JC1123"/>
    <s v="PATCH CORD SC/APC-LC/UPC 2MM J"/>
    <s v="20117175"/>
    <s v="4.1"/>
    <x v="311"/>
    <n v="1961092"/>
    <d v="2016-10-17T12:28:43"/>
    <m/>
    <d v="2016-10-26T00:00:00"/>
    <d v="2016-10-17T00:00:00"/>
    <d v="2016-10-26T00:00:00"/>
    <m/>
    <n v="10"/>
    <n v="10"/>
    <n v="170"/>
    <n v="170"/>
    <s v="N223"/>
    <s v="NWK ACCESS TECH"/>
    <s v="OPTICAL PASSIVES"/>
    <s v="INDOOR PASSIVES AURORA"/>
    <s v="N223"/>
    <s v="AS-STANDARD ORDER MIXED"/>
    <s v="A-SURFACE"/>
    <s v="OP"/>
    <n v="1249843"/>
    <s v="A-SURFACE"/>
    <m/>
    <m/>
    <m/>
    <s v="A-SURFACE"/>
    <s v="LTL"/>
    <s v="EXW"/>
    <s v="Prepay &amp; Add"/>
    <n v="8.89"/>
    <m/>
    <m/>
    <m/>
    <m/>
    <m/>
    <m/>
    <s v="0"/>
    <s v="0"/>
  </r>
  <r>
    <s v="SJ2"/>
    <s v="5003152"/>
    <s v="RCN"/>
    <s v="BOSTON"/>
    <s v="R015P48L5"/>
    <s v="SJ2_STAG"/>
    <s v="RCN BECOCOM, LLC"/>
    <s v="105 W 1st St"/>
    <s v="MA"/>
    <s v="Boston"/>
    <s v="02127-1109"/>
    <s v="NC4121S2A1-00000000"/>
    <s v="BASE NODE 5-42/51-1GHZ JXP 1"/>
    <s v="20118035"/>
    <s v="1.1"/>
    <x v="313"/>
    <n v="1962286"/>
    <d v="2016-10-21T11:24:23"/>
    <m/>
    <d v="2016-10-27T00:00:00"/>
    <d v="2016-11-01T00:00:00"/>
    <d v="2016-10-27T00:00:00"/>
    <m/>
    <n v="3"/>
    <m/>
    <n v="4665"/>
    <m/>
    <s v="N034"/>
    <s v="NWK ACCESS TECH"/>
    <s v="NODE"/>
    <s v="NC4000 AURORA"/>
    <s v="N034"/>
    <s v="AS-STANDARD ORDER MIXED"/>
    <s v="A-SURFACE"/>
    <s v="OP"/>
    <n v="1250571"/>
    <s v="A-SURFACE"/>
    <m/>
    <m/>
    <m/>
    <s v="A-SURFACE"/>
    <s v="LTL"/>
    <s v="EXW"/>
    <s v="Prepay &amp; Add"/>
    <m/>
    <m/>
    <m/>
    <m/>
    <m/>
    <m/>
    <m/>
    <s v="0"/>
    <s v="0"/>
  </r>
  <r>
    <s v="SJ2"/>
    <s v="5003152"/>
    <s v="RCN"/>
    <s v="BOSTON"/>
    <s v="R016P38L3B01"/>
    <s v="SJ2_STAG"/>
    <s v="RCN BECOCOM, LLC"/>
    <s v="105 W 1st St"/>
    <s v="MA"/>
    <s v="Boston"/>
    <s v="02127-1109"/>
    <s v="NC4121S2A1-00000000"/>
    <s v="BASE NODE 5-42/51-1GHZ JXP 1"/>
    <s v="20118035"/>
    <s v="1.1"/>
    <x v="313"/>
    <n v="1962286"/>
    <d v="2016-10-21T11:24:23"/>
    <m/>
    <d v="2016-10-27T00:00:00"/>
    <d v="2016-11-01T00:00:00"/>
    <d v="2016-10-27T00:00:00"/>
    <m/>
    <n v="7"/>
    <m/>
    <n v="10885"/>
    <m/>
    <s v="N034"/>
    <s v="NWK ACCESS TECH"/>
    <s v="NODE"/>
    <s v="NC4000 AURORA"/>
    <s v="N034"/>
    <s v="AS-STANDARD ORDER MIXED"/>
    <s v="A-SURFACE"/>
    <s v="OP"/>
    <n v="1250571"/>
    <s v="A-SURFACE"/>
    <m/>
    <m/>
    <m/>
    <s v="A-SURFACE"/>
    <s v="LTL"/>
    <s v="EXW"/>
    <s v="Prepay &amp; Add"/>
    <m/>
    <m/>
    <m/>
    <m/>
    <m/>
    <m/>
    <m/>
    <s v="0"/>
    <s v="0"/>
  </r>
  <r>
    <s v="SJ2"/>
    <s v="5003152"/>
    <s v="RCN"/>
    <s v="CHICAGO"/>
    <s v="R023P04L1"/>
    <s v="SJ2_STAG"/>
    <s v="RCN TELECOM SRVS"/>
    <s v="2640 W Bradley Pl"/>
    <s v="IL"/>
    <s v="Chicago"/>
    <s v="60618-4717"/>
    <s v="TL3000-EJ-00"/>
    <s v="TOOL EXTRACTOR HANDLE CH3000"/>
    <s v="20118316"/>
    <s v="2.1"/>
    <x v="314"/>
    <n v="1959819"/>
    <d v="2016-10-24T10:50:02"/>
    <m/>
    <d v="2016-10-24T00:00:00"/>
    <d v="2016-10-24T00:00:00"/>
    <d v="2016-10-24T00:00:00"/>
    <m/>
    <n v="2"/>
    <m/>
    <n v="14"/>
    <m/>
    <s v="N185"/>
    <s v="NWK ACCESS TECH"/>
    <s v="ACCESS OTHER"/>
    <s v="OTHER AURORA"/>
    <s v="N185"/>
    <s v="AS-STANDARD ORDER MIXED"/>
    <s v="A-SURFACE"/>
    <s v="OP"/>
    <n v="1248939"/>
    <s v="A-SURFACE"/>
    <m/>
    <m/>
    <m/>
    <s v="A-SURFACE"/>
    <s v="LTL"/>
    <s v="EXW"/>
    <s v="Prepay &amp; Add"/>
    <m/>
    <m/>
    <m/>
    <m/>
    <m/>
    <m/>
    <m/>
    <s v="0"/>
    <s v="0"/>
  </r>
  <r>
    <s v="SJ2"/>
    <s v="5003270"/>
    <s v="ARRIS TECHNOLOGY, INC."/>
    <s v="RDM - ROTTERDAM NL"/>
    <s v="R024P21L2B01"/>
    <s v="SJ2_STAG"/>
    <s v="ARRIS TECHNOLOGY, INC., C/O DB SCHENKER LOGISTICS NETHERLANDS"/>
    <s v="BU SEAFREIGHT"/>
    <s v="NL"/>
    <s v="KV ROTTERDAM"/>
    <s v="3197"/>
    <s v="AT3552R-29-02-AS"/>
    <s v="ANLG XMTR XMOD LC RFOG GRP A I"/>
    <s v="90710481"/>
    <s v="8.1"/>
    <x v="315"/>
    <n v="1961586"/>
    <d v="2016-09-01T16:03:18"/>
    <m/>
    <d v="2016-10-26T00:00:00"/>
    <d v="2016-10-15T00:00:00"/>
    <d v="2016-10-26T00:00:00"/>
    <m/>
    <n v="6"/>
    <m/>
    <n v="17700"/>
    <m/>
    <s v="N006"/>
    <s v="NWK ACCESS TECH"/>
    <s v="HEO"/>
    <s v="TRANSMITTERS AURORA"/>
    <s v="N006"/>
    <s v="OM-INTERNAL ORDER"/>
    <s v=""/>
    <s v="OP"/>
    <n v="1250178"/>
    <s v="A-SURFACE"/>
    <m/>
    <m/>
    <m/>
    <s v="A-SURFACE"/>
    <s v=""/>
    <s v="DAP"/>
    <s v="Prepaid"/>
    <m/>
    <s v=""/>
    <s v=""/>
    <s v=""/>
    <m/>
    <m/>
    <m/>
    <s v="0"/>
    <s v="0"/>
  </r>
  <r>
    <s v="SJ2"/>
    <s v="5003270"/>
    <s v="ARRIS TECHNOLOGY, INC."/>
    <s v="RDM - ROTTERDAM NL"/>
    <s v="R024P21L2B01"/>
    <s v="SJ2_STAG"/>
    <s v="ARRIS TECHNOLOGY, INC., C/O DB SCHENKER LOGISTICS NETHERLANDS"/>
    <s v="BU SEAFREIGHT"/>
    <s v="NL"/>
    <s v="KV ROTTERDAM"/>
    <s v="3197"/>
    <s v="AT3552R-29-02-AS"/>
    <s v="ANLG XMTR XMOD LC RFOG GRP A I"/>
    <m/>
    <m/>
    <x v="315"/>
    <n v="1961586"/>
    <d v="2016-09-01T16:03:18"/>
    <m/>
    <d v="2016-10-26T00:00:00"/>
    <d v="2016-10-15T00:00:00"/>
    <d v="2016-10-26T00:00:00"/>
    <m/>
    <n v="1"/>
    <m/>
    <n v="2950"/>
    <m/>
    <m/>
    <m/>
    <m/>
    <m/>
    <m/>
    <m/>
    <m/>
    <m/>
    <n v="1250178"/>
    <m/>
    <m/>
    <m/>
    <m/>
    <m/>
    <m/>
    <m/>
    <m/>
    <m/>
    <m/>
    <m/>
    <m/>
    <m/>
    <m/>
    <m/>
    <m/>
    <m/>
  </r>
  <r>
    <s v="SJ2"/>
    <s v="5003270"/>
    <s v="ARRIS TECHNOLOGY, INC."/>
    <s v="RDM - ROTTERDAM NL"/>
    <s v="R024P21L2B01"/>
    <s v="SJ2_STAG"/>
    <s v="ARRIS TECHNOLOGY, INC., C/O DB SCHENKER LOGISTICS NETHERLANDS"/>
    <s v="BU SEAFREIGHT"/>
    <s v="NL"/>
    <s v="KV ROTTERDAM"/>
    <s v="3197"/>
    <s v="AT3552R-29-02-AS"/>
    <s v="ANLG XMTR XMOD LC RFOG GRP A I"/>
    <m/>
    <m/>
    <x v="315"/>
    <n v="1961586"/>
    <d v="2016-09-01T16:03:18"/>
    <m/>
    <d v="2016-10-26T00:00:00"/>
    <d v="2016-10-15T00:00:00"/>
    <d v="2016-10-26T00:00:00"/>
    <m/>
    <n v="2"/>
    <m/>
    <n v="5900"/>
    <m/>
    <m/>
    <m/>
    <m/>
    <m/>
    <m/>
    <m/>
    <m/>
    <m/>
    <n v="1250178"/>
    <m/>
    <m/>
    <m/>
    <m/>
    <m/>
    <m/>
    <m/>
    <m/>
    <m/>
    <m/>
    <m/>
    <m/>
    <m/>
    <m/>
    <m/>
    <m/>
    <m/>
  </r>
  <r>
    <s v="SJ2"/>
    <s v="5003270"/>
    <s v="ARRIS TECHNOLOGY, INC."/>
    <s v="RDM - ROTTERDAM NL"/>
    <s v="R022P47L4"/>
    <s v="SJ2_STAG"/>
    <s v="ARRIS TECHNOLOGY, INC., C/O DB SCHENKER LOGISTICS NETHERLANDS"/>
    <s v="BU SEAFREIGHT"/>
    <s v="NL"/>
    <s v="KV ROTTERDAM"/>
    <s v="3197"/>
    <s v="BP3001"/>
    <s v="BLANK PLATE 1 WIDE REVERSIBLE"/>
    <s v="90710542"/>
    <s v="17.2"/>
    <x v="316"/>
    <n v="1961475"/>
    <d v="2016-09-09T10:13:29"/>
    <m/>
    <d v="2016-10-26T00:00:00"/>
    <d v="2016-10-03T00:00:00"/>
    <d v="2016-10-28T00:00:00"/>
    <m/>
    <n v="18"/>
    <m/>
    <n v="200.7"/>
    <m/>
    <s v="N224"/>
    <s v="NWK ACCESS TECH"/>
    <s v="ACCESS OTHER"/>
    <s v="OTHER AURORA"/>
    <s v="N224"/>
    <s v="OM-INTERNAL ORDER"/>
    <s v="A-SURFACE"/>
    <s v="OP"/>
    <n v="1250097"/>
    <s v="A-SURFACE"/>
    <m/>
    <m/>
    <m/>
    <s v="A-SURFACE"/>
    <s v="LTL"/>
    <s v="DAP"/>
    <s v="Prepaid"/>
    <m/>
    <m/>
    <m/>
    <m/>
    <m/>
    <m/>
    <m/>
    <s v="0"/>
    <s v="0"/>
  </r>
  <r>
    <s v="SJ2"/>
    <s v="5003270"/>
    <s v="ARRIS TECHNOLOGY, INC."/>
    <s v="RDM - ROTTERDAM NL"/>
    <s v="R022P12L5"/>
    <s v="SJ2_STAG"/>
    <s v="ARRIS TECHNOLOGY, INC., C/O DB SCHENKER LOGISTICS NETHERLANDS"/>
    <s v="BU SEAFREIGHT"/>
    <s v="NL"/>
    <s v="KV ROTTERDAM"/>
    <s v="3197"/>
    <s v="JC1153"/>
    <s v="PATCH CORD SC/APC-LC/APC 3MM J"/>
    <s v="90710542"/>
    <s v="47.1"/>
    <x v="315"/>
    <n v="1961586"/>
    <d v="2016-09-09T10:13:29"/>
    <m/>
    <d v="2016-10-26T00:00:00"/>
    <d v="2016-10-03T00:00:00"/>
    <d v="2016-10-26T00:00:00"/>
    <m/>
    <n v="70"/>
    <m/>
    <n v="615.29999999999995"/>
    <m/>
    <s v="N223"/>
    <s v="NWK ACCESS TECH"/>
    <s v="OPTICAL PASSIVES"/>
    <s v="INDOOR PASSIVES AURORA"/>
    <s v="N223"/>
    <s v="OM-INTERNAL ORDER"/>
    <m/>
    <s v="OP"/>
    <n v="1250178"/>
    <s v="A-SURFACE"/>
    <m/>
    <m/>
    <m/>
    <s v="A-SURFACE"/>
    <m/>
    <s v="DAP"/>
    <s v="Prepaid"/>
    <m/>
    <m/>
    <m/>
    <m/>
    <m/>
    <m/>
    <m/>
    <s v="0"/>
    <s v="0"/>
  </r>
  <r>
    <s v="SJ2"/>
    <s v="5003270"/>
    <s v="ARRIS TECHNOLOGY, INC."/>
    <s v="RDM - ROTTERDAM NL"/>
    <s v="R024P30L1B02"/>
    <s v="SJ2_STAG"/>
    <s v="ARRIS TECHNOLOGY, INC., C/O DB SCHENKER LOGISTICS NETHERLANDS"/>
    <s v="BU SEAFREIGHT"/>
    <s v="NL"/>
    <s v="KV ROTTERDAM"/>
    <s v="3197"/>
    <s v="JC1154"/>
    <s v="PATCH CORD SC/APC-LC/APC 3MM J"/>
    <s v="90710542"/>
    <s v="48.1"/>
    <x v="315"/>
    <n v="1961586"/>
    <d v="2016-09-09T10:13:29"/>
    <m/>
    <d v="2016-10-26T00:00:00"/>
    <d v="2016-10-03T00:00:00"/>
    <d v="2016-10-26T00:00:00"/>
    <m/>
    <n v="260"/>
    <m/>
    <n v="2457"/>
    <m/>
    <s v="N223"/>
    <s v="NWK ACCESS TECH"/>
    <s v="OPTICAL PASSIVES"/>
    <s v="INDOOR PASSIVES AURORA"/>
    <s v="N223"/>
    <s v="OM-INTERNAL ORDER"/>
    <m/>
    <s v="OP"/>
    <n v="1250178"/>
    <s v="A-SURFACE"/>
    <m/>
    <m/>
    <m/>
    <s v="A-SURFACE"/>
    <m/>
    <s v="DAP"/>
    <s v="Prepaid"/>
    <m/>
    <m/>
    <m/>
    <m/>
    <m/>
    <m/>
    <m/>
    <s v="0"/>
    <s v="0"/>
  </r>
  <r>
    <s v="SJ2"/>
    <s v="5003270"/>
    <s v="ARRIS TECHNOLOGY, INC."/>
    <s v="RDM - ROTTERDAM NL"/>
    <s v="R022P45L4"/>
    <s v="SJ2_STAG"/>
    <s v="ARRIS TECHNOLOGY, INC., C/O DB SCHENKER LOGISTICS NETHERLANDS"/>
    <s v="BU SEAFREIGHT"/>
    <s v="NL"/>
    <s v="KV ROTTERDAM"/>
    <s v="3197"/>
    <s v="BP3004"/>
    <s v="BLANK PLATE 4 WIDE REVERSIBLE"/>
    <s v="90710542"/>
    <s v="8.1"/>
    <x v="317"/>
    <n v="1963207"/>
    <d v="2016-09-09T10:13:29"/>
    <m/>
    <d v="2016-10-28T00:00:00"/>
    <d v="2016-10-03T00:00:00"/>
    <d v="2016-10-28T00:00:00"/>
    <m/>
    <n v="51"/>
    <m/>
    <n v="751.23"/>
    <m/>
    <s v="N224"/>
    <s v="NWK ACCESS TECH"/>
    <s v="ACCESS OTHER"/>
    <s v="OTHER AURORA"/>
    <s v="N224"/>
    <s v="OM-INTERNAL ORDER"/>
    <s v="A-SURFACE"/>
    <s v="OP"/>
    <n v="1251073"/>
    <s v="A-SURFACE"/>
    <m/>
    <m/>
    <m/>
    <s v="A-SURFACE"/>
    <s v="LTL"/>
    <s v="DAP"/>
    <s v="Prepaid"/>
    <m/>
    <m/>
    <m/>
    <m/>
    <m/>
    <m/>
    <m/>
    <s v="0"/>
    <s v="0"/>
  </r>
  <r>
    <s v="SJ2"/>
    <s v="5003270"/>
    <s v="ARRIS TECHNOLOGY, INC."/>
    <s v="RDM - ROTTERDAM NL"/>
    <s v="R023P63L4"/>
    <s v="SJ2_STAG"/>
    <s v="ARRIS TECHNOLOGY, INC., C/O DB SCHENKER LOGISTICS NETHERLANDS"/>
    <s v="BU SEAFREIGHT"/>
    <s v="NL"/>
    <s v="KV ROTTERDAM"/>
    <s v="3197"/>
    <s v="BP3004"/>
    <s v="BLANK PLATE 4 WIDE REVERSIBLE"/>
    <s v="90710542"/>
    <s v="8.1"/>
    <x v="317"/>
    <n v="1963207"/>
    <d v="2016-09-09T10:13:29"/>
    <m/>
    <d v="2016-10-28T00:00:00"/>
    <d v="2016-10-03T00:00:00"/>
    <d v="2016-10-28T00:00:00"/>
    <m/>
    <n v="42"/>
    <m/>
    <n v="618.66"/>
    <m/>
    <s v="N224"/>
    <s v="NWK ACCESS TECH"/>
    <s v="ACCESS OTHER"/>
    <s v="OTHER AURORA"/>
    <s v="N224"/>
    <s v="OM-INTERNAL ORDER"/>
    <s v="A-SURFACE"/>
    <s v="OP"/>
    <n v="1251073"/>
    <s v="A-SURFACE"/>
    <m/>
    <m/>
    <m/>
    <s v="A-SURFACE"/>
    <s v="LTL"/>
    <s v="DAP"/>
    <s v="Prepaid"/>
    <m/>
    <m/>
    <m/>
    <m/>
    <m/>
    <m/>
    <m/>
    <s v="0"/>
    <s v="0"/>
  </r>
  <r>
    <s v="SJ2"/>
    <s v="5003270"/>
    <s v="ARRIS TECHNOLOGY, INC."/>
    <s v="RDM - ROTTERDAM NL"/>
    <s v="R023P49L3"/>
    <s v="SJ2_STAG"/>
    <s v="ARRIS TECHNOLOGY, INC., C/O DB SCHENKER LOGISTICS NETHERLANDS"/>
    <s v="BU SEAFREIGHT"/>
    <s v="NL"/>
    <s v="KV ROTTERDAM"/>
    <s v="3197"/>
    <s v="BP3004"/>
    <s v="BLANK PLATE 4 WIDE REVERSIBLE"/>
    <s v="90710542"/>
    <s v="8.1"/>
    <x v="317"/>
    <n v="1963207"/>
    <d v="2016-09-09T10:13:29"/>
    <m/>
    <d v="2016-10-28T00:00:00"/>
    <d v="2016-10-03T00:00:00"/>
    <d v="2016-10-28T00:00:00"/>
    <m/>
    <n v="7"/>
    <m/>
    <n v="103.11"/>
    <m/>
    <s v="N224"/>
    <s v="NWK ACCESS TECH"/>
    <s v="ACCESS OTHER"/>
    <s v="OTHER AURORA"/>
    <s v="N224"/>
    <s v="OM-INTERNAL ORDER"/>
    <s v="A-SURFACE"/>
    <s v="OP"/>
    <n v="1251073"/>
    <s v="A-SURFACE"/>
    <m/>
    <m/>
    <m/>
    <s v="A-SURFACE"/>
    <s v="LTL"/>
    <s v="DAP"/>
    <s v="Prepaid"/>
    <m/>
    <m/>
    <m/>
    <m/>
    <m/>
    <m/>
    <m/>
    <s v="0"/>
    <s v="0"/>
  </r>
  <r>
    <s v="SJ2"/>
    <s v="5003270"/>
    <s v="ARRIS TECHNOLOGY, INC."/>
    <s v="RDM - ROTTERDAM NL"/>
    <s v="R023P63L1"/>
    <s v="SJ2_STAG"/>
    <s v="ARRIS TECHNOLOGY, INC., C/O DB SCHENKER LOGISTICS NETHERLANDS"/>
    <s v="BU SEAFREIGHT"/>
    <s v="NL"/>
    <s v="KV ROTTERDAM"/>
    <s v="3197"/>
    <s v="DR3421-AS"/>
    <s v="DIGITAL RECEIVER D-CH 3.1875Gb"/>
    <s v="90710588"/>
    <s v="2.1"/>
    <x v="318"/>
    <n v="1960916"/>
    <d v="2016-09-14T18:58:09"/>
    <m/>
    <d v="2016-10-26T00:00:00"/>
    <d v="2016-11-04T00:00:00"/>
    <d v="2016-10-28T00:00:00"/>
    <m/>
    <n v="7"/>
    <m/>
    <n v="3915.59"/>
    <m/>
    <s v="N060"/>
    <s v="NWK ACCESS TECH"/>
    <s v="HEO"/>
    <s v="RECEIVERS AURORA"/>
    <s v="N060"/>
    <s v="OM-INTERNAL ORDER"/>
    <s v="A-SURFACE"/>
    <s v="OP"/>
    <n v="1249787"/>
    <s v="A-SURFACE"/>
    <m/>
    <m/>
    <m/>
    <s v="A-SURFACE"/>
    <s v="LTL"/>
    <s v="DAP"/>
    <s v="Prepaid"/>
    <m/>
    <m/>
    <m/>
    <m/>
    <m/>
    <m/>
    <m/>
    <s v="0"/>
    <s v="0"/>
  </r>
  <r>
    <s v="SJ2"/>
    <s v="5003270"/>
    <s v="ARRIS TECHNOLOGY, INC."/>
    <s v="RDM - ROTTERDAM NL"/>
    <s v="R022P66L1"/>
    <s v="SJ2_STAG"/>
    <s v="ARRIS TECHNOLOGY, INC., C/O DB SCHENKER LOGISTICS NETHERLANDS"/>
    <s v="BU SEAFREIGHT"/>
    <s v="NL"/>
    <s v="KV ROTTERDAM"/>
    <s v="3197"/>
    <s v="DR3421-AS"/>
    <s v="DIGITAL RECEIVER D-CH 3.1875Gb"/>
    <s v="90710588"/>
    <s v="2.1"/>
    <x v="318"/>
    <n v="1960916"/>
    <d v="2016-09-14T18:58:09"/>
    <m/>
    <d v="2016-10-26T00:00:00"/>
    <d v="2016-11-04T00:00:00"/>
    <d v="2016-10-28T00:00:00"/>
    <m/>
    <n v="15"/>
    <m/>
    <n v="8390.5499999999993"/>
    <m/>
    <s v="N060"/>
    <s v="NWK ACCESS TECH"/>
    <s v="HEO"/>
    <s v="RECEIVERS AURORA"/>
    <s v="N060"/>
    <s v="OM-INTERNAL ORDER"/>
    <s v="A-SURFACE"/>
    <s v="OP"/>
    <n v="1249787"/>
    <s v="A-SURFACE"/>
    <m/>
    <m/>
    <m/>
    <s v="A-SURFACE"/>
    <s v="LTL"/>
    <s v="DAP"/>
    <s v="Prepaid"/>
    <m/>
    <m/>
    <m/>
    <m/>
    <m/>
    <m/>
    <m/>
    <s v="0"/>
    <s v="0"/>
  </r>
  <r>
    <s v="SJ2"/>
    <s v="5003270"/>
    <s v="ARRIS TECHNOLOGY, INC."/>
    <s v="RDM - ROTTERDAM NL"/>
    <s v="R022P57L4"/>
    <s v="SJ2_STAG"/>
    <s v="ARRIS TECHNOLOGY, INC., C/O DB SCHENKER LOGISTICS NETHERLANDS"/>
    <s v="BU SEAFREIGHT"/>
    <s v="NL"/>
    <s v="KV ROTTERDAM"/>
    <s v="3197"/>
    <s v="FA3533M-16-00-AS"/>
    <s v="FBROPT AMPL SINGLE 33DBM 16X21"/>
    <s v="90710590"/>
    <s v="4.3"/>
    <x v="319"/>
    <n v="1952734"/>
    <d v="2016-09-14T19:54:06"/>
    <m/>
    <d v="2016-10-17T00:00:00"/>
    <d v="2016-10-14T00:00:00"/>
    <d v="2016-10-26T00:00:00"/>
    <m/>
    <n v="2"/>
    <m/>
    <n v="16389.080000000002"/>
    <m/>
    <s v="N126"/>
    <s v="NWK ACCESS TECH"/>
    <s v="HEO"/>
    <s v="HEO MISC AURORA"/>
    <s v="EDFA"/>
    <s v="OM-INTERNAL ORDER"/>
    <s v="A-SURFACE"/>
    <s v="OP"/>
    <n v="1244861"/>
    <s v="A-SURFACE"/>
    <m/>
    <m/>
    <m/>
    <s v="A-SURFACE"/>
    <s v="LTL"/>
    <s v="DAP"/>
    <s v="Prepaid"/>
    <m/>
    <m/>
    <m/>
    <m/>
    <m/>
    <m/>
    <m/>
    <s v="0"/>
    <s v="0"/>
  </r>
  <r>
    <s v="SJ2"/>
    <s v="5003270"/>
    <s v="ARRIS TECHNOLOGY, INC."/>
    <s v="RDM - ROTTERDAM NL"/>
    <s v="R023P77L3"/>
    <s v="SJ2_STAG"/>
    <s v="ARRIS TECHNOLOGY, INC., C/O DB SCHENKER LOGISTICS NETHERLANDS"/>
    <s v="BU SEAFREIGHT"/>
    <s v="NL"/>
    <s v="KV ROTTERDAM"/>
    <s v="3197"/>
    <s v="FA3533M-16-00-AS"/>
    <s v="FBROPT AMPL SINGLE 33DBM 16X21"/>
    <s v="90710590"/>
    <s v="6.2"/>
    <x v="320"/>
    <n v="1959783"/>
    <d v="2016-09-14T19:54:06"/>
    <m/>
    <d v="2016-10-24T00:00:00"/>
    <d v="2016-10-14T00:00:00"/>
    <d v="2016-10-25T00:00:00"/>
    <m/>
    <n v="2"/>
    <n v="2"/>
    <n v="16389.080000000002"/>
    <n v="16389.080000000002"/>
    <s v="N126"/>
    <s v="NWK ACCESS TECH"/>
    <s v="HEO"/>
    <s v="HEO MISC AURORA"/>
    <s v="EDFA"/>
    <s v="OM-INTERNAL ORDER"/>
    <s v="A-SURFACE"/>
    <s v="OP"/>
    <n v="1248916"/>
    <s v="A-SURFACE"/>
    <m/>
    <m/>
    <m/>
    <s v="A-SURFACE"/>
    <s v="LTL"/>
    <s v="DAP"/>
    <s v="Prepaid"/>
    <m/>
    <m/>
    <m/>
    <m/>
    <m/>
    <m/>
    <m/>
    <s v="0"/>
    <s v="0"/>
  </r>
  <r>
    <s v="SJ2"/>
    <s v="5003270"/>
    <s v="ARRIS TECHNOLOGY, INC."/>
    <s v="RDM - ROTTERDAM NL"/>
    <s v="R022P36L3"/>
    <s v="SJ2_STAG"/>
    <s v="ARRIS TECHNOLOGY, INC., C/O DB SCHENKER LOGISTICS NETHERLANDS"/>
    <s v="BU SEAFREIGHT"/>
    <s v="NL"/>
    <s v="KV ROTTERDAM"/>
    <s v="3197"/>
    <s v="NC214A1HG61-U000000"/>
    <s v="NODE 5-65MHZ RVS 85-1GHZ FWD 1"/>
    <s v="90710598"/>
    <s v="17.3"/>
    <x v="321"/>
    <n v="1962950"/>
    <d v="2016-09-15T15:48:53"/>
    <m/>
    <d v="2016-10-27T00:00:00"/>
    <d v="2016-09-16T00:00:00"/>
    <d v="2016-10-28T00:00:00"/>
    <m/>
    <n v="7"/>
    <m/>
    <n v="7626.5847000000003"/>
    <m/>
    <s v="N121"/>
    <s v="NWK ACCESS TECH"/>
    <s v="NODE"/>
    <s v="NC2000 AURORA"/>
    <s v="N121"/>
    <s v="OM-INTERNAL ORDER"/>
    <s v="A-SURFACE"/>
    <s v="OP"/>
    <n v="1250962"/>
    <s v="A-SURFACE"/>
    <m/>
    <m/>
    <m/>
    <s v="A-SURFACE"/>
    <s v="LTL"/>
    <s v="EXW"/>
    <s v="Prepaid"/>
    <m/>
    <m/>
    <m/>
    <m/>
    <m/>
    <m/>
    <m/>
    <s v="0"/>
    <s v="0"/>
  </r>
  <r>
    <s v="SJ2"/>
    <s v="5003270"/>
    <s v="ARRIS TECHNOLOGY, INC."/>
    <s v="RDM - ROTTERDAM NL"/>
    <s v="R024P32L1B01"/>
    <s v="SJ2_STAG"/>
    <s v="ARRIS TECHNOLOGY, INC., C/O DB SCHENKER LOGISTICS NETHERLANDS"/>
    <s v="BU SEAFREIGHT"/>
    <s v="NL"/>
    <s v="KV ROTTERDAM"/>
    <s v="3197"/>
    <s v="NC214A1HG61-U000000"/>
    <s v="NODE 5-65MHZ RVS 85-1GHZ FWD 1"/>
    <s v="90710598"/>
    <s v="17.3"/>
    <x v="321"/>
    <n v="1962950"/>
    <d v="2016-09-15T15:48:53"/>
    <m/>
    <d v="2016-10-27T00:00:00"/>
    <d v="2016-09-16T00:00:00"/>
    <d v="2016-10-28T00:00:00"/>
    <m/>
    <n v="5"/>
    <m/>
    <n v="5447.5604999999996"/>
    <m/>
    <s v="N121"/>
    <s v="NWK ACCESS TECH"/>
    <s v="NODE"/>
    <s v="NC2000 AURORA"/>
    <s v="N121"/>
    <s v="OM-INTERNAL ORDER"/>
    <s v="A-SURFACE"/>
    <s v="OP"/>
    <n v="1250962"/>
    <s v="A-SURFACE"/>
    <m/>
    <m/>
    <m/>
    <s v="A-SURFACE"/>
    <s v="LTL"/>
    <s v="EXW"/>
    <s v="Prepaid"/>
    <m/>
    <m/>
    <m/>
    <m/>
    <m/>
    <m/>
    <m/>
    <s v="0"/>
    <s v="0"/>
  </r>
  <r>
    <s v="SJ2"/>
    <s v="5003270"/>
    <s v="ARRIS TECHNOLOGY, INC."/>
    <s v="RDM - ROTTERDAM NL"/>
    <s v="R024P24L3B01"/>
    <s v="SJ2_STAG"/>
    <s v="ARRIS TECHNOLOGY, INC., C/O DB SCHENKER LOGISTICS NETHERLANDS"/>
    <s v="BU SEAFREIGHT"/>
    <s v="NL"/>
    <s v="KV ROTTERDAM"/>
    <s v="3197"/>
    <s v="PS3148D"/>
    <s v="POWER SUPPLY W/DISPLAY -48VDC"/>
    <s v="90710599"/>
    <s v="12.1"/>
    <x v="315"/>
    <n v="1961586"/>
    <d v="2016-09-15T16:45:15"/>
    <m/>
    <d v="2016-10-26T00:00:00"/>
    <d v="2016-11-04T00:00:00"/>
    <d v="2016-10-28T00:00:00"/>
    <m/>
    <n v="5"/>
    <m/>
    <n v="1074.0999999999999"/>
    <m/>
    <s v="N204"/>
    <s v="NWK ACCESS TECH"/>
    <s v="ACCESS OTHER"/>
    <s v="OTHER AURORA"/>
    <s v="N204"/>
    <s v="OM-INTERNAL ORDER"/>
    <s v=""/>
    <s v="OP"/>
    <n v="1250178"/>
    <s v="A-SURFACE"/>
    <m/>
    <m/>
    <m/>
    <s v="A-SURFACE"/>
    <s v=""/>
    <s v="DAP"/>
    <s v="Prepaid"/>
    <m/>
    <s v=""/>
    <s v=""/>
    <s v=""/>
    <m/>
    <m/>
    <m/>
    <s v="0"/>
    <s v="0"/>
  </r>
  <r>
    <s v="SJ2"/>
    <s v="5003270"/>
    <s v="ARRIS TECHNOLOGY, INC."/>
    <s v="RDM - ROTTERDAM NL"/>
    <s v="R024P24L3B01"/>
    <s v="SJ2_STAG"/>
    <s v="ARRIS TECHNOLOGY, INC., C/O DB SCHENKER LOGISTICS NETHERLANDS"/>
    <s v="BU SEAFREIGHT"/>
    <s v="NL"/>
    <s v="KV ROTTERDAM"/>
    <s v="3197"/>
    <s v="PS3148D"/>
    <s v="POWER SUPPLY W/DISPLAY -48VDC"/>
    <m/>
    <m/>
    <x v="315"/>
    <n v="1961586"/>
    <d v="2016-09-15T16:45:15"/>
    <m/>
    <d v="2016-10-26T00:00:00"/>
    <d v="2016-11-04T00:00:00"/>
    <d v="2016-10-28T00:00:00"/>
    <m/>
    <n v="2"/>
    <m/>
    <n v="429.64"/>
    <m/>
    <m/>
    <m/>
    <m/>
    <m/>
    <m/>
    <m/>
    <m/>
    <m/>
    <n v="1250178"/>
    <m/>
    <m/>
    <m/>
    <m/>
    <m/>
    <m/>
    <m/>
    <m/>
    <m/>
    <m/>
    <m/>
    <m/>
    <m/>
    <m/>
    <m/>
    <m/>
    <m/>
  </r>
  <r>
    <s v="SJ2"/>
    <s v="5003270"/>
    <s v="ARRIS TECHNOLOGY, INC."/>
    <s v="RDM - ROTTERDAM NL"/>
    <s v="R024P24L3B01"/>
    <s v="SJ2_STAG"/>
    <s v="ARRIS TECHNOLOGY, INC., C/O DB SCHENKER LOGISTICS NETHERLANDS"/>
    <s v="BU SEAFREIGHT"/>
    <s v="NL"/>
    <s v="KV ROTTERDAM"/>
    <s v="3197"/>
    <s v="PS3148D"/>
    <s v="POWER SUPPLY W/DISPLAY -48VDC"/>
    <m/>
    <m/>
    <x v="315"/>
    <n v="1961586"/>
    <d v="2016-09-15T16:45:15"/>
    <m/>
    <d v="2016-10-26T00:00:00"/>
    <d v="2016-11-04T00:00:00"/>
    <d v="2016-10-28T00:00:00"/>
    <m/>
    <n v="26"/>
    <m/>
    <n v="5585.32"/>
    <m/>
    <m/>
    <m/>
    <m/>
    <m/>
    <m/>
    <m/>
    <m/>
    <m/>
    <n v="1250178"/>
    <m/>
    <m/>
    <m/>
    <m/>
    <m/>
    <m/>
    <m/>
    <m/>
    <m/>
    <m/>
    <m/>
    <m/>
    <m/>
    <m/>
    <m/>
    <m/>
    <m/>
  </r>
  <r>
    <s v="SJ2"/>
    <s v="5003270"/>
    <s v="ARRIS TECHNOLOGY, INC."/>
    <s v="RDM - ROTTERDAM NL"/>
    <s v="R024P26L3B02"/>
    <s v="SJ2_STAG"/>
    <s v="ARRIS TECHNOLOGY, INC., C/O DB SCHENKER LOGISTICS NETHERLANDS"/>
    <s v="BU SEAFREIGHT"/>
    <s v="NL"/>
    <s v="KV ROTTERDAM"/>
    <s v="3197"/>
    <s v="PS3148D"/>
    <s v="POWER SUPPLY W/DISPLAY -48VDC"/>
    <s v="90710599"/>
    <s v="12.1"/>
    <x v="315"/>
    <n v="1961599"/>
    <d v="2016-09-15T16:45:15"/>
    <m/>
    <d v="2016-10-26T00:00:00"/>
    <d v="2016-11-04T00:00:00"/>
    <d v="2016-10-28T00:00:00"/>
    <m/>
    <n v="43"/>
    <m/>
    <n v="9237.26"/>
    <m/>
    <s v="N204"/>
    <s v="NWK ACCESS TECH"/>
    <s v="ACCESS OTHER"/>
    <s v="OTHER AURORA"/>
    <s v="N204"/>
    <s v="OM-INTERNAL ORDER"/>
    <m/>
    <s v="OP"/>
    <n v="1250178"/>
    <s v="A-SURFACE"/>
    <m/>
    <m/>
    <m/>
    <s v="A-SURFACE"/>
    <m/>
    <s v="DAP"/>
    <s v="Prepaid"/>
    <m/>
    <m/>
    <m/>
    <m/>
    <m/>
    <m/>
    <m/>
    <s v="0"/>
    <s v="0"/>
  </r>
  <r>
    <s v="SJ2"/>
    <s v="5003270"/>
    <s v="ARRIS TECHNOLOGY, INC."/>
    <s v="RDM - ROTTERDAM NL"/>
    <s v="R024P26L2B02"/>
    <s v="SJ2_STAG"/>
    <s v="ARRIS TECHNOLOGY, INC., C/O DB SCHENKER LOGISTICS NETHERLANDS"/>
    <s v="BU SEAFREIGHT"/>
    <s v="NL"/>
    <s v="KV ROTTERDAM"/>
    <s v="3197"/>
    <s v="PS3148D"/>
    <s v="POWER SUPPLY W/DISPLAY -48VDC"/>
    <s v="90710599"/>
    <s v="12.1"/>
    <x v="315"/>
    <n v="1961586"/>
    <d v="2016-09-15T16:45:15"/>
    <m/>
    <d v="2016-10-26T00:00:00"/>
    <d v="2016-11-04T00:00:00"/>
    <d v="2016-10-28T00:00:00"/>
    <m/>
    <n v="33"/>
    <m/>
    <n v="7089.06"/>
    <m/>
    <s v="N204"/>
    <s v="NWK ACCESS TECH"/>
    <s v="ACCESS OTHER"/>
    <s v="OTHER AURORA"/>
    <s v="N204"/>
    <s v="OM-INTERNAL ORDER"/>
    <m/>
    <s v="OP"/>
    <n v="1250178"/>
    <s v="A-SURFACE"/>
    <m/>
    <m/>
    <m/>
    <s v="A-SURFACE"/>
    <m/>
    <s v="DAP"/>
    <s v="Prepaid"/>
    <m/>
    <m/>
    <m/>
    <m/>
    <m/>
    <m/>
    <m/>
    <s v="0"/>
    <s v="0"/>
  </r>
  <r>
    <s v="SJ2"/>
    <s v="5003270"/>
    <s v="ARRIS TECHNOLOGY, INC."/>
    <s v="RDM - ROTTERDAM NL"/>
    <s v="R024P24L3B01"/>
    <s v="SJ2_STAG"/>
    <s v="ARRIS TECHNOLOGY, INC., C/O DB SCHENKER LOGISTICS NETHERLANDS"/>
    <s v="BU SEAFREIGHT"/>
    <s v="NL"/>
    <s v="KV ROTTERDAM"/>
    <s v="3197"/>
    <s v="PS3148D"/>
    <s v="POWER SUPPLY W/DISPLAY -48VDC"/>
    <s v="90710599"/>
    <s v="12.1"/>
    <x v="315"/>
    <n v="1961586"/>
    <d v="2016-09-15T16:45:15"/>
    <m/>
    <d v="2016-10-26T00:00:00"/>
    <d v="2016-11-04T00:00:00"/>
    <d v="2016-10-28T00:00:00"/>
    <m/>
    <n v="15"/>
    <m/>
    <n v="3222.3"/>
    <m/>
    <s v="N204"/>
    <s v="NWK ACCESS TECH"/>
    <s v="ACCESS OTHER"/>
    <s v="OTHER AURORA"/>
    <s v="N204"/>
    <s v="OM-INTERNAL ORDER"/>
    <m/>
    <s v="OP"/>
    <n v="1250178"/>
    <s v="A-SURFACE"/>
    <m/>
    <m/>
    <m/>
    <s v="A-SURFACE"/>
    <m/>
    <s v="DAP"/>
    <s v="Prepaid"/>
    <m/>
    <m/>
    <m/>
    <m/>
    <m/>
    <m/>
    <m/>
    <s v="0"/>
    <s v="0"/>
  </r>
  <r>
    <s v="SJ2"/>
    <s v="5003270"/>
    <s v="ARRIS TECHNOLOGY, INC."/>
    <s v="RDM - ROTTERDAM NL"/>
    <s v="R016P13L4B01"/>
    <s v="SJ2_STAG"/>
    <s v="ARRIS TECHNOLOGY, INC., C/O DB SCHENKER LOGISTICS NETHERLANDS"/>
    <s v="BU SEAFREIGHT"/>
    <s v="NL"/>
    <s v="KV ROTTERDAM"/>
    <s v="3197"/>
    <s v="PS3148N"/>
    <s v="POWER SUPPLY NO DISPLAY -48VDC"/>
    <s v="90710599"/>
    <s v="16.1"/>
    <x v="318"/>
    <n v="1960957"/>
    <d v="2016-09-15T16:45:15"/>
    <m/>
    <d v="2016-10-26T00:00:00"/>
    <d v="2016-11-04T00:00:00"/>
    <d v="2016-10-28T00:00:00"/>
    <m/>
    <n v="30"/>
    <m/>
    <n v="4886.7"/>
    <m/>
    <s v="N204"/>
    <s v="NWK ACCESS TECH"/>
    <s v="ACCESS OTHER"/>
    <s v="OTHER AURORA"/>
    <s v="N204"/>
    <s v="OM-INTERNAL ORDER"/>
    <s v="A-SURFACE"/>
    <s v="OP"/>
    <n v="1249787"/>
    <s v="A-SURFACE"/>
    <m/>
    <m/>
    <m/>
    <s v="A-SURFACE"/>
    <s v="LTL"/>
    <s v="DAP"/>
    <s v="Prepaid"/>
    <m/>
    <m/>
    <m/>
    <m/>
    <m/>
    <m/>
    <m/>
    <s v="0"/>
    <s v="0"/>
  </r>
  <r>
    <s v="SJ2"/>
    <s v="5003270"/>
    <s v="ARRIS TECHNOLOGY, INC."/>
    <s v="RDM - ROTTERDAM NL"/>
    <s v="R016P12L1B01"/>
    <s v="SJ2_STAG"/>
    <s v="ARRIS TECHNOLOGY, INC., C/O DB SCHENKER LOGISTICS NETHERLANDS"/>
    <s v="BU SEAFREIGHT"/>
    <s v="NL"/>
    <s v="KV ROTTERDAM"/>
    <s v="3197"/>
    <s v="PS3148N"/>
    <s v="POWER SUPPLY NO DISPLAY -48VDC"/>
    <s v="90710599"/>
    <s v="16.1"/>
    <x v="318"/>
    <n v="1960957"/>
    <d v="2016-09-15T16:45:15"/>
    <m/>
    <d v="2016-10-26T00:00:00"/>
    <d v="2016-11-04T00:00:00"/>
    <d v="2016-10-28T00:00:00"/>
    <m/>
    <n v="44"/>
    <m/>
    <n v="7167.16"/>
    <m/>
    <s v="N204"/>
    <s v="NWK ACCESS TECH"/>
    <s v="ACCESS OTHER"/>
    <s v="OTHER AURORA"/>
    <s v="N204"/>
    <s v="OM-INTERNAL ORDER"/>
    <s v="A-SURFACE"/>
    <s v="OP"/>
    <n v="1249787"/>
    <s v="A-SURFACE"/>
    <m/>
    <m/>
    <m/>
    <s v="A-SURFACE"/>
    <s v="LTL"/>
    <s v="DAP"/>
    <s v="Prepaid"/>
    <m/>
    <m/>
    <m/>
    <m/>
    <m/>
    <m/>
    <m/>
    <s v="0"/>
    <s v="0"/>
  </r>
  <r>
    <s v="SJ2"/>
    <s v="5003270"/>
    <s v="ARRIS TECHNOLOGY, INC."/>
    <s v="RDM - ROTTERDAM NL"/>
    <s v="R016P07L3B01"/>
    <s v="SJ2_STAG"/>
    <s v="ARRIS TECHNOLOGY, INC., C/O DB SCHENKER LOGISTICS NETHERLANDS"/>
    <s v="BU SEAFREIGHT"/>
    <s v="NL"/>
    <s v="KV ROTTERDAM"/>
    <s v="3197"/>
    <s v="PS3148N"/>
    <s v="POWER SUPPLY NO DISPLAY -48VDC"/>
    <s v="90710599"/>
    <s v="16.1"/>
    <x v="318"/>
    <n v="1960957"/>
    <d v="2016-09-15T16:45:15"/>
    <m/>
    <d v="2016-10-26T00:00:00"/>
    <d v="2016-11-04T00:00:00"/>
    <d v="2016-10-28T00:00:00"/>
    <m/>
    <n v="48"/>
    <m/>
    <n v="7818.72"/>
    <m/>
    <s v="N204"/>
    <s v="NWK ACCESS TECH"/>
    <s v="ACCESS OTHER"/>
    <s v="OTHER AURORA"/>
    <s v="N204"/>
    <s v="OM-INTERNAL ORDER"/>
    <s v="A-SURFACE"/>
    <s v="OP"/>
    <n v="1249787"/>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0599"/>
    <s v="7.1"/>
    <x v="318"/>
    <n v="1960916"/>
    <d v="2016-09-15T16:45:15"/>
    <m/>
    <d v="2016-10-26T00:00:00"/>
    <d v="2016-11-04T00:00:00"/>
    <d v="2016-10-28T00:00:00"/>
    <m/>
    <n v="28"/>
    <m/>
    <n v="7581.84"/>
    <m/>
    <s v="N204"/>
    <s v="NWK ACCESS TECH"/>
    <s v="ACCESS OTHER"/>
    <s v="OTHER AURORA"/>
    <s v="N204"/>
    <s v="OM-INTERNAL ORDER"/>
    <s v="A-SURFACE"/>
    <s v="OP"/>
    <n v="1249787"/>
    <s v="A-SURFACE"/>
    <m/>
    <m/>
    <m/>
    <s v="A-SURFACE"/>
    <s v="LTL"/>
    <s v="DAP"/>
    <s v="Prepaid"/>
    <m/>
    <m/>
    <m/>
    <m/>
    <m/>
    <m/>
    <m/>
    <s v="0"/>
    <s v="0"/>
  </r>
  <r>
    <s v="SJ2"/>
    <s v="5003270"/>
    <s v="ARRIS TECHNOLOGY, INC."/>
    <s v="RDM - ROTTERDAM NL"/>
    <s v="R022P03L5"/>
    <s v="SJ2_STAG"/>
    <s v="ARRIS TECHNOLOGY, INC., C/O DB SCHENKER LOGISTICS NETHERLANDS"/>
    <s v="BU SEAFREIGHT"/>
    <s v="NL"/>
    <s v="KV ROTTERDAM"/>
    <s v="3197"/>
    <s v="NPD3801-1L"/>
    <s v="PAD PLUG-IN YELLOW 1 DB"/>
    <s v="90710602"/>
    <s v="10.1"/>
    <x v="322"/>
    <n v="1963523"/>
    <d v="2016-09-15T17:13:26"/>
    <m/>
    <d v="2016-10-28T00:00:00"/>
    <d v="2016-09-16T00:00:00"/>
    <d v="2016-11-01T00:00:00"/>
    <m/>
    <n v="10"/>
    <m/>
    <n v="8.8000000000000007"/>
    <m/>
    <s v="N224"/>
    <s v="NWK ACCESS TECH"/>
    <s v="ACCESS OTHER"/>
    <s v="OTHER AURORA"/>
    <s v="N224"/>
    <s v="OM-INTERNAL ORDER"/>
    <s v="A-SURFACE"/>
    <s v="OP"/>
    <n v="1251310"/>
    <s v="A-SURFACE"/>
    <m/>
    <m/>
    <m/>
    <s v="A-SURFACE"/>
    <s v="LTL"/>
    <s v="DAP"/>
    <s v="Prepaid"/>
    <m/>
    <m/>
    <m/>
    <m/>
    <m/>
    <m/>
    <m/>
    <s v="0"/>
    <s v="0"/>
  </r>
  <r>
    <s v="SJ2"/>
    <s v="5003270"/>
    <s v="ARRIS TECHNOLOGY, INC."/>
    <s v="RDM - ROTTERDAM NL"/>
    <s v="R015P51L3"/>
    <s v="SJ2_STAG"/>
    <s v="ARRIS TECHNOLOGY, INC., C/O DB SCHENKER LOGISTICS NETHERLANDS"/>
    <s v="BU SEAFREIGHT"/>
    <s v="NL"/>
    <s v="KV ROTTERDAM"/>
    <s v="3197"/>
    <s v="CH3000N"/>
    <s v="CHASSIS NO COVERS 3RU"/>
    <s v="90710602"/>
    <s v="6.1"/>
    <x v="318"/>
    <n v="1960957"/>
    <d v="2016-09-15T17:13:26"/>
    <m/>
    <d v="2016-10-26T00:00:00"/>
    <d v="2016-11-04T00:00:00"/>
    <d v="2016-10-28T00:00:00"/>
    <m/>
    <n v="24"/>
    <m/>
    <n v="3390.72"/>
    <m/>
    <s v="N199"/>
    <s v="NWK ACCESS TECH"/>
    <s v="HEO"/>
    <s v="HEO MISC AURORA"/>
    <s v="N199"/>
    <s v="OM-INTERNAL ORDER"/>
    <s v="A-SURFACE"/>
    <s v="OP"/>
    <n v="1249787"/>
    <s v="A-SURFACE"/>
    <m/>
    <m/>
    <m/>
    <s v="A-SURFACE"/>
    <s v="LTL"/>
    <s v="DAP"/>
    <s v="Prepaid"/>
    <m/>
    <m/>
    <m/>
    <m/>
    <m/>
    <m/>
    <m/>
    <s v="0"/>
    <s v="0"/>
  </r>
  <r>
    <s v="SJ2"/>
    <s v="5003270"/>
    <s v="ARRIS TECHNOLOGY, INC."/>
    <s v="RDM - ROTTERDAM NL"/>
    <s v="R015P46L5"/>
    <s v="SJ2_STAG"/>
    <s v="ARRIS TECHNOLOGY, INC., C/O DB SCHENKER LOGISTICS NETHERLANDS"/>
    <s v="BU SEAFREIGHT"/>
    <s v="NL"/>
    <s v="KV ROTTERDAM"/>
    <s v="3197"/>
    <s v="CH3000N"/>
    <s v="CHASSIS NO COVERS 3RU"/>
    <s v="90710602"/>
    <s v="6.1"/>
    <x v="318"/>
    <n v="1960957"/>
    <d v="2016-09-15T17:13:26"/>
    <m/>
    <d v="2016-10-26T00:00:00"/>
    <d v="2016-11-04T00:00:00"/>
    <d v="2016-10-28T00:00:00"/>
    <m/>
    <n v="6"/>
    <m/>
    <n v="847.68"/>
    <m/>
    <s v="N199"/>
    <s v="NWK ACCESS TECH"/>
    <s v="HEO"/>
    <s v="HEO MISC AURORA"/>
    <s v="N199"/>
    <s v="OM-INTERNAL ORDER"/>
    <s v="A-SURFACE"/>
    <s v="OP"/>
    <n v="1249787"/>
    <s v="A-SURFACE"/>
    <m/>
    <m/>
    <m/>
    <s v="A-SURFACE"/>
    <s v="LTL"/>
    <s v="DAP"/>
    <s v="Prepaid"/>
    <m/>
    <m/>
    <m/>
    <m/>
    <m/>
    <m/>
    <m/>
    <s v="0"/>
    <s v="0"/>
  </r>
  <r>
    <s v="SJ2"/>
    <s v="5003270"/>
    <s v="ARRIS TECHNOLOGY, INC."/>
    <s v="RDM - ROTTERDAM NL"/>
    <s v="R015P53L5"/>
    <s v="SJ2_STAG"/>
    <s v="ARRIS TECHNOLOGY, INC., C/O DB SCHENKER LOGISTICS NETHERLANDS"/>
    <s v="BU SEAFREIGHT"/>
    <s v="NL"/>
    <s v="KV ROTTERDAM"/>
    <s v="3197"/>
    <s v="CH3000N"/>
    <s v="CHASSIS NO COVERS 3RU"/>
    <s v="90710602"/>
    <s v="6.1"/>
    <x v="318"/>
    <n v="1960957"/>
    <d v="2016-09-15T17:13:26"/>
    <m/>
    <d v="2016-10-26T00:00:00"/>
    <d v="2016-11-04T00:00:00"/>
    <d v="2016-10-28T00:00:00"/>
    <m/>
    <n v="28"/>
    <m/>
    <n v="3955.84"/>
    <m/>
    <s v="N199"/>
    <s v="NWK ACCESS TECH"/>
    <s v="HEO"/>
    <s v="HEO MISC AURORA"/>
    <s v="N199"/>
    <s v="OM-INTERNAL ORDER"/>
    <s v="A-SURFACE"/>
    <s v="OP"/>
    <n v="1249787"/>
    <s v="A-SURFACE"/>
    <m/>
    <m/>
    <m/>
    <s v="A-SURFACE"/>
    <s v="LTL"/>
    <s v="DAP"/>
    <s v="Prepaid"/>
    <m/>
    <m/>
    <m/>
    <m/>
    <m/>
    <m/>
    <m/>
    <s v="0"/>
    <s v="0"/>
  </r>
  <r>
    <s v="SJ2"/>
    <s v="5003270"/>
    <s v="ARRIS TECHNOLOGY, INC."/>
    <s v="RDM - ROTTERDAM NL"/>
    <s v="R015P62L5"/>
    <s v="SJ2_STAG"/>
    <s v="ARRIS TECHNOLOGY, INC., C/O DB SCHENKER LOGISTICS NETHERLANDS"/>
    <s v="BU SEAFREIGHT"/>
    <s v="NL"/>
    <s v="KV ROTTERDAM"/>
    <s v="3197"/>
    <s v="CH3000N"/>
    <s v="CHASSIS NO COVERS 3RU"/>
    <s v="90710602"/>
    <s v="6.1"/>
    <x v="318"/>
    <n v="1960957"/>
    <d v="2016-09-15T17:13:26"/>
    <m/>
    <d v="2016-10-26T00:00:00"/>
    <d v="2016-11-04T00:00:00"/>
    <d v="2016-10-28T00:00:00"/>
    <m/>
    <n v="20"/>
    <m/>
    <n v="2825.6"/>
    <m/>
    <s v="N199"/>
    <s v="NWK ACCESS TECH"/>
    <s v="HEO"/>
    <s v="HEO MISC AURORA"/>
    <s v="N199"/>
    <s v="OM-INTERNAL ORDER"/>
    <s v="A-SURFACE"/>
    <s v="OP"/>
    <n v="1249787"/>
    <s v="A-SURFACE"/>
    <m/>
    <m/>
    <m/>
    <s v="A-SURFACE"/>
    <s v="LTL"/>
    <s v="DAP"/>
    <s v="Prepaid"/>
    <m/>
    <m/>
    <m/>
    <m/>
    <m/>
    <m/>
    <m/>
    <s v="0"/>
    <s v="0"/>
  </r>
  <r>
    <s v="SJ2"/>
    <s v="5003270"/>
    <s v="ARRIS TECHNOLOGY, INC."/>
    <s v="RDM - ROTTERDAM NL"/>
    <s v="R015P61L5"/>
    <s v="SJ2_STAG"/>
    <s v="ARRIS TECHNOLOGY, INC., C/O DB SCHENKER LOGISTICS NETHERLANDS"/>
    <s v="BU SEAFREIGHT"/>
    <s v="NL"/>
    <s v="KV ROTTERDAM"/>
    <s v="3197"/>
    <s v="CH3000N"/>
    <s v="CHASSIS NO COVERS 3RU"/>
    <s v="90710602"/>
    <s v="6.1"/>
    <x v="318"/>
    <n v="1960957"/>
    <d v="2016-09-15T17:13:26"/>
    <m/>
    <d v="2016-10-26T00:00:00"/>
    <d v="2016-11-04T00:00:00"/>
    <d v="2016-10-28T00:00:00"/>
    <m/>
    <n v="44"/>
    <m/>
    <n v="6216.32"/>
    <m/>
    <s v="N199"/>
    <s v="NWK ACCESS TECH"/>
    <s v="HEO"/>
    <s v="HEO MISC AURORA"/>
    <s v="N199"/>
    <s v="OM-INTERNAL ORDER"/>
    <s v="A-SURFACE"/>
    <s v="OP"/>
    <n v="1249787"/>
    <s v="A-SURFACE"/>
    <m/>
    <m/>
    <m/>
    <s v="A-SURFACE"/>
    <s v="LTL"/>
    <s v="DAP"/>
    <s v="Prepaid"/>
    <m/>
    <m/>
    <m/>
    <m/>
    <m/>
    <m/>
    <m/>
    <s v="0"/>
    <s v="0"/>
  </r>
  <r>
    <s v="SJ2"/>
    <s v="5003270"/>
    <s v="ARRIS TECHNOLOGY, INC."/>
    <s v="RDM - ROTTERDAM NL"/>
    <s v="R022P03L5"/>
    <s v="SJ2_STAG"/>
    <s v="ARRIS TECHNOLOGY, INC., C/O DB SCHENKER LOGISTICS NETHERLANDS"/>
    <s v="BU SEAFREIGHT"/>
    <s v="NL"/>
    <s v="KV ROTTERDAM"/>
    <s v="3197"/>
    <s v="NPD3801-1L"/>
    <s v="PAD PLUG-IN YELLOW 1 DB"/>
    <s v="90710602"/>
    <s v="9.1"/>
    <x v="322"/>
    <n v="1963523"/>
    <d v="2016-09-15T17:13:26"/>
    <m/>
    <d v="2016-10-28T00:00:00"/>
    <d v="2016-09-16T00:00:00"/>
    <d v="2016-11-01T00:00:00"/>
    <m/>
    <n v="1"/>
    <m/>
    <n v="0.88"/>
    <m/>
    <s v="N224"/>
    <s v="NWK ACCESS TECH"/>
    <s v="ACCESS OTHER"/>
    <s v="OTHER AURORA"/>
    <s v="N224"/>
    <s v="OM-INTERNAL ORDER"/>
    <s v="A-SURFACE"/>
    <s v="OP"/>
    <n v="1251310"/>
    <s v="A-SURFACE"/>
    <m/>
    <m/>
    <m/>
    <s v="A-SURFACE"/>
    <s v="LTL"/>
    <s v="DAP"/>
    <s v="Prepaid"/>
    <m/>
    <m/>
    <m/>
    <m/>
    <m/>
    <m/>
    <m/>
    <s v="0"/>
    <s v="0"/>
  </r>
  <r>
    <s v="SJ2"/>
    <s v="5003270"/>
    <s v="ARRIS TECHNOLOGY, INC."/>
    <s v="RDM - ROTTERDAM NL"/>
    <s v="R022P49L1"/>
    <s v="SJ2_STAG"/>
    <s v="ARRIS TECHNOLOGY, INC., C/O DB SCHENKER LOGISTICS NETHERLANDS"/>
    <s v="BU SEAFREIGHT"/>
    <s v="NL"/>
    <s v="KV ROTTERDAM"/>
    <s v="3197"/>
    <s v="DT3550N-99-00"/>
    <s v="DGTL XMTR 2X5-100 MHZ WITH SF"/>
    <s v="90710626"/>
    <s v="1.2"/>
    <x v="323"/>
    <n v="1961897"/>
    <d v="2016-09-15T13:53:23"/>
    <m/>
    <d v="2016-10-27T00:00:00"/>
    <d v="2016-09-16T00:00:00"/>
    <d v="2016-10-31T00:00:00"/>
    <m/>
    <n v="2"/>
    <n v="2"/>
    <n v="410.01400000000001"/>
    <n v="410.01400000000001"/>
    <s v="N063"/>
    <s v="NWK ACCESS TECH"/>
    <s v="HEO"/>
    <s v="TRANSMITTERS AURORA"/>
    <s v="N063"/>
    <s v="OM-INTERNAL ORDER"/>
    <s v="A-SURFACE"/>
    <s v="OP"/>
    <n v="1250403"/>
    <s v="A-SURFACE"/>
    <m/>
    <m/>
    <m/>
    <s v="A-SURFACE"/>
    <s v="LTL"/>
    <s v="DAP"/>
    <s v="Prepaid"/>
    <m/>
    <s v=""/>
    <s v=""/>
    <s v=""/>
    <m/>
    <m/>
    <m/>
    <s v="0"/>
    <s v="0"/>
  </r>
  <r>
    <s v="SJ2"/>
    <s v="5003270"/>
    <s v="ARRIS TECHNOLOGY, INC."/>
    <s v="RDM - ROTTERDAM NL"/>
    <s v="R022P49L1"/>
    <s v="SJ2_STAG"/>
    <s v="ARRIS TECHNOLOGY, INC., C/O DB SCHENKER LOGISTICS NETHERLANDS"/>
    <s v="BU SEAFREIGHT"/>
    <s v="NL"/>
    <s v="KV ROTTERDAM"/>
    <s v="3197"/>
    <s v="DT3550N-99-00"/>
    <s v="DGTL XMTR 2X5-100 MHZ WITH SF"/>
    <m/>
    <m/>
    <x v="323"/>
    <n v="1961897"/>
    <d v="2016-09-15T13:53:23"/>
    <m/>
    <d v="2016-10-27T00:00:00"/>
    <d v="2016-09-16T00:00:00"/>
    <d v="2016-10-31T00:00:00"/>
    <m/>
    <n v="9"/>
    <n v="9"/>
    <n v="1845.0630000000001"/>
    <n v="1845.0630000000001"/>
    <m/>
    <m/>
    <m/>
    <m/>
    <m/>
    <m/>
    <m/>
    <m/>
    <n v="1250403"/>
    <m/>
    <m/>
    <m/>
    <m/>
    <m/>
    <m/>
    <m/>
    <m/>
    <m/>
    <m/>
    <m/>
    <m/>
    <m/>
    <m/>
    <m/>
    <m/>
    <m/>
  </r>
  <r>
    <s v="SJ2"/>
    <s v="5003270"/>
    <s v="ARRIS TECHNOLOGY, INC."/>
    <s v="RDM - ROTTERDAM NL"/>
    <s v="R022P55L3"/>
    <s v="SJ2_STAG"/>
    <s v="ARRIS TECHNOLOGY, INC., C/O DB SCHENKER LOGISTICS NETHERLANDS"/>
    <s v="BU SEAFREIGHT"/>
    <s v="NL"/>
    <s v="KV ROTTERDAM"/>
    <s v="3197"/>
    <s v="AT3545G-20-2-AS"/>
    <s v="TRANSMITTER 1GHZ FULL SPECTRUM"/>
    <s v="90710664"/>
    <s v="1.1"/>
    <x v="317"/>
    <n v="1963207"/>
    <d v="2016-09-21T14:18:25"/>
    <m/>
    <d v="2016-10-28T00:00:00"/>
    <d v="2016-09-30T00:00:00"/>
    <d v="2016-10-28T00:00:00"/>
    <m/>
    <n v="1"/>
    <m/>
    <n v="650"/>
    <m/>
    <s v="N005"/>
    <s v="NWK ACCESS TECH"/>
    <s v="HEO"/>
    <s v="TRANSMITTERS AURORA"/>
    <s v="N005"/>
    <s v="OM-INTERNAL ORDER"/>
    <s v="A-SURFACE"/>
    <s v="OP"/>
    <n v="1251073"/>
    <s v="A-SURFACE"/>
    <m/>
    <m/>
    <m/>
    <s v="A-SURFACE"/>
    <s v="LTL"/>
    <s v="DAP"/>
    <s v="Prepaid"/>
    <m/>
    <m/>
    <m/>
    <m/>
    <m/>
    <m/>
    <m/>
    <s v="0"/>
    <s v="0"/>
  </r>
  <r>
    <s v="SJ2"/>
    <s v="5003270"/>
    <s v="ARRIS TECHNOLOGY, INC."/>
    <s v="RDM - ROTTERDAM NL"/>
    <s v="R022P20L7"/>
    <s v="SJ2_STAG"/>
    <s v="ARRIS TECHNOLOGY, INC., C/O DB SCHENKER LOGISTICS NETHERLANDS"/>
    <s v="BU SEAFREIGHT"/>
    <s v="NL"/>
    <s v="KV ROTTERDAM"/>
    <s v="3197"/>
    <s v="AT3553A-BA-00-AS"/>
    <s v="ANLG XMTR XMOD 65KM GP A 1563N"/>
    <s v="90710664"/>
    <s v="4.1"/>
    <x v="318"/>
    <n v="1960916"/>
    <d v="2016-09-21T14:18:25"/>
    <m/>
    <d v="2016-10-26T00:00:00"/>
    <d v="2016-11-04T00:00:00"/>
    <d v="2016-10-28T00:00:00"/>
    <m/>
    <n v="10"/>
    <m/>
    <n v="76800"/>
    <m/>
    <s v="N310"/>
    <s v="NWK ACCESS TECH"/>
    <s v="HEO"/>
    <s v="TRANSMITTERS AURORA"/>
    <s v="N310"/>
    <s v="OM-INTERNAL ORDER"/>
    <s v="A-SURFACE"/>
    <s v="OP"/>
    <n v="1249787"/>
    <s v="A-SURFACE"/>
    <m/>
    <m/>
    <m/>
    <s v="A-SURFACE"/>
    <s v="LTL"/>
    <s v="DAP"/>
    <s v="Prepaid"/>
    <m/>
    <m/>
    <m/>
    <m/>
    <m/>
    <m/>
    <m/>
    <s v="0"/>
    <s v="0"/>
  </r>
  <r>
    <s v="SJ2"/>
    <s v="5003270"/>
    <s v="ARRIS TECHNOLOGY, INC."/>
    <s v="RDM - ROTTERDAM NL"/>
    <s v="R023P49L3"/>
    <s v="SJ2_STAG"/>
    <s v="ARRIS TECHNOLOGY, INC., C/O DB SCHENKER LOGISTICS NETHERLANDS"/>
    <s v="BU SEAFREIGHT"/>
    <s v="NL"/>
    <s v="KV ROTTERDAM"/>
    <s v="3197"/>
    <s v="BP3004"/>
    <s v="BLANK PLATE 4 WIDE REVERSIBLE"/>
    <s v="90710695"/>
    <s v="10.1"/>
    <x v="324"/>
    <n v="1962021"/>
    <d v="2016-09-23T21:45:34"/>
    <m/>
    <d v="2016-10-27T00:00:00"/>
    <d v="2016-09-24T00:00:00"/>
    <d v="2016-10-27T00:00:00"/>
    <m/>
    <n v="4"/>
    <m/>
    <n v="58.92"/>
    <m/>
    <s v="N224"/>
    <s v="NWK ACCESS TECH"/>
    <s v="ACCESS OTHER"/>
    <s v="OTHER AURORA"/>
    <s v="N224"/>
    <s v="OM-INTERNAL ORDER"/>
    <s v="A-SURFACE"/>
    <s v="OP"/>
    <n v="1250456"/>
    <s v="A-SURFACE"/>
    <m/>
    <m/>
    <m/>
    <s v="A-SURFACE"/>
    <s v="LTL"/>
    <s v="DAP"/>
    <s v="Prepaid"/>
    <m/>
    <m/>
    <m/>
    <m/>
    <m/>
    <m/>
    <m/>
    <s v="0"/>
    <s v="0"/>
  </r>
  <r>
    <s v="SJ2"/>
    <s v="5003270"/>
    <s v="ARRIS TECHNOLOGY, INC."/>
    <s v="RDM - ROTTERDAM NL"/>
    <s v="R022P45L4"/>
    <s v="SJ2_STAG"/>
    <s v="ARRIS TECHNOLOGY, INC., C/O DB SCHENKER LOGISTICS NETHERLANDS"/>
    <s v="BU SEAFREIGHT"/>
    <s v="NL"/>
    <s v="KV ROTTERDAM"/>
    <s v="3197"/>
    <s v="BP3004"/>
    <s v="BLANK PLATE 4 WIDE REVERSIBLE"/>
    <s v="90710695"/>
    <s v="10.1"/>
    <x v="324"/>
    <n v="1962021"/>
    <d v="2016-09-23T21:45:34"/>
    <m/>
    <d v="2016-10-27T00:00:00"/>
    <d v="2016-09-24T00:00:00"/>
    <d v="2016-10-27T00:00:00"/>
    <m/>
    <n v="7"/>
    <m/>
    <n v="103.11"/>
    <m/>
    <s v="N224"/>
    <s v="NWK ACCESS TECH"/>
    <s v="ACCESS OTHER"/>
    <s v="OTHER AURORA"/>
    <s v="N224"/>
    <s v="OM-INTERNAL ORDER"/>
    <s v="A-SURFACE"/>
    <s v="OP"/>
    <n v="1250456"/>
    <s v="A-SURFACE"/>
    <m/>
    <m/>
    <m/>
    <s v="A-SURFACE"/>
    <s v="LTL"/>
    <s v="DAP"/>
    <s v="Prepaid"/>
    <m/>
    <m/>
    <m/>
    <m/>
    <m/>
    <m/>
    <m/>
    <s v="0"/>
    <s v="0"/>
  </r>
  <r>
    <s v="SJ2"/>
    <s v="5003270"/>
    <s v="ARRIS TECHNOLOGY, INC."/>
    <s v="RDM - ROTTERDAM NL"/>
    <s v="R022P47L4"/>
    <s v="SJ2_STAG"/>
    <s v="ARRIS TECHNOLOGY, INC., C/O DB SCHENKER LOGISTICS NETHERLANDS"/>
    <s v="BU SEAFREIGHT"/>
    <s v="NL"/>
    <s v="KV ROTTERDAM"/>
    <s v="3197"/>
    <s v="BP3001"/>
    <s v="BLANK PLATE 1 WIDE REVERSIBLE"/>
    <s v="90710695"/>
    <s v="7.1"/>
    <x v="324"/>
    <n v="1962021"/>
    <d v="2016-09-23T21:45:34"/>
    <m/>
    <d v="2016-10-27T00:00:00"/>
    <d v="2016-11-03T00:00:00"/>
    <d v="2016-10-27T00:00:00"/>
    <m/>
    <n v="41"/>
    <m/>
    <n v="457.15"/>
    <m/>
    <s v="N224"/>
    <s v="NWK ACCESS TECH"/>
    <s v="ACCESS OTHER"/>
    <s v="OTHER AURORA"/>
    <s v="N224"/>
    <s v="OM-INTERNAL ORDER"/>
    <s v="A-SURFACE"/>
    <s v="OP"/>
    <n v="1250456"/>
    <s v="A-SURFACE"/>
    <m/>
    <m/>
    <m/>
    <s v="A-SURFACE"/>
    <s v="LTL"/>
    <s v="DAP"/>
    <s v="Prepaid"/>
    <m/>
    <m/>
    <m/>
    <m/>
    <m/>
    <m/>
    <m/>
    <s v="0"/>
    <s v="0"/>
  </r>
  <r>
    <s v="SJ2"/>
    <s v="5003270"/>
    <s v="ARRIS TECHNOLOGY, INC."/>
    <s v="RDM - ROTTERDAM NL"/>
    <s v="R022P01L4"/>
    <s v="SJ2_STAG"/>
    <s v="ARRIS TECHNOLOGY, INC., C/O DB SCHENKER LOGISTICS NETHERLANDS"/>
    <s v="BU SEAFREIGHT"/>
    <s v="NL"/>
    <s v="KV ROTTERDAM"/>
    <s v="3197"/>
    <s v="OR3144H-85-01-01-AL"/>
    <s v="DIPLXR/RTN RCVR 1550/1590 RFOG"/>
    <s v="90710712"/>
    <s v="1.1"/>
    <x v="325"/>
    <n v="1961695"/>
    <d v="2016-09-26T12:19:19"/>
    <m/>
    <d v="2016-10-26T00:00:00"/>
    <d v="2016-10-07T00:00:00"/>
    <d v="2016-10-28T00:00:00"/>
    <m/>
    <n v="27"/>
    <n v="27"/>
    <n v="22539.599999999999"/>
    <n v="22539.599999999999"/>
    <s v="N169"/>
    <s v="NWK ACCESS TECH"/>
    <s v="HPON"/>
    <s v="HEADEND RECEIVERS AURORA"/>
    <s v="N169"/>
    <s v="OM-INTERNAL ORDER"/>
    <s v="A-SURFACE"/>
    <s v="OP"/>
    <n v="1250253"/>
    <s v="A-SURFACE"/>
    <m/>
    <m/>
    <m/>
    <s v="A-SURFACE"/>
    <s v="LTL"/>
    <s v="DAP"/>
    <s v="Prepaid"/>
    <m/>
    <m/>
    <m/>
    <m/>
    <m/>
    <m/>
    <m/>
    <s v="0"/>
    <s v="0"/>
  </r>
  <r>
    <s v="SJ2"/>
    <s v="5003270"/>
    <s v="ARRIS TECHNOLOGY, INC."/>
    <s v="RDM - ROTTERDAM NL"/>
    <s v="R023P62L6"/>
    <s v="SJ2_STAG"/>
    <s v="ARRIS TECHNOLOGY, INC., C/O DB SCHENKER LOGISTICS NETHERLANDS"/>
    <s v="BU SEAFREIGHT"/>
    <s v="NL"/>
    <s v="KV ROTTERDAM"/>
    <s v="3197"/>
    <s v="BP3008"/>
    <s v="BLANK PLATE 8 WIDE REVERSIBLE"/>
    <s v="90710730"/>
    <s v="1.1"/>
    <x v="317"/>
    <n v="1963207"/>
    <d v="2016-09-26T22:13:35"/>
    <m/>
    <d v="2016-10-28T00:00:00"/>
    <d v="2016-09-27T00:00:00"/>
    <d v="2016-10-28T00:00:00"/>
    <m/>
    <n v="100"/>
    <m/>
    <n v="1651"/>
    <m/>
    <s v="N224"/>
    <s v="NWK ACCESS TECH"/>
    <s v="ACCESS OTHER"/>
    <s v="OTHER AURORA"/>
    <s v="N224"/>
    <s v="OM-INTERNAL ORDER"/>
    <s v="A-SURFACE"/>
    <s v="OP"/>
    <n v="1251073"/>
    <s v="A-SURFACE"/>
    <m/>
    <m/>
    <m/>
    <s v="A-SURFACE"/>
    <s v="LTL"/>
    <s v="DAP"/>
    <s v="Prepaid"/>
    <m/>
    <m/>
    <m/>
    <m/>
    <m/>
    <m/>
    <m/>
    <s v="0"/>
    <s v="0"/>
  </r>
  <r>
    <s v="SJ2"/>
    <s v="5003270"/>
    <s v="ARRIS TECHNOLOGY, INC."/>
    <s v="RDM - ROTTERDAM NL"/>
    <s v="R023P61L6"/>
    <s v="SJ2_STAG"/>
    <s v="ARRIS TECHNOLOGY, INC., C/O DB SCHENKER LOGISTICS NETHERLANDS"/>
    <s v="BU SEAFREIGHT"/>
    <s v="NL"/>
    <s v="KV ROTTERDAM"/>
    <s v="3197"/>
    <s v="BP3008"/>
    <s v="BLANK PLATE 8 WIDE REVERSIBLE"/>
    <s v="90710730"/>
    <s v="1.1"/>
    <x v="317"/>
    <n v="1963207"/>
    <d v="2016-09-26T22:13:35"/>
    <m/>
    <d v="2016-10-28T00:00:00"/>
    <d v="2016-09-27T00:00:00"/>
    <d v="2016-10-28T00:00:00"/>
    <m/>
    <n v="94"/>
    <m/>
    <n v="1551.94"/>
    <m/>
    <s v="N224"/>
    <s v="NWK ACCESS TECH"/>
    <s v="ACCESS OTHER"/>
    <s v="OTHER AURORA"/>
    <s v="N224"/>
    <s v="OM-INTERNAL ORDER"/>
    <s v="A-SURFACE"/>
    <s v="OP"/>
    <n v="1251073"/>
    <s v="A-SURFACE"/>
    <m/>
    <m/>
    <m/>
    <s v="A-SURFACE"/>
    <s v="LTL"/>
    <s v="DAP"/>
    <s v="Prepaid"/>
    <m/>
    <m/>
    <m/>
    <m/>
    <m/>
    <m/>
    <m/>
    <s v="0"/>
    <s v="0"/>
  </r>
  <r>
    <s v="SJ2"/>
    <s v="5003270"/>
    <s v="ARRIS TECHNOLOGY, INC."/>
    <s v="RDM - ROTTERDAM NL"/>
    <s v="R023P49L4"/>
    <s v="SJ2_STAG"/>
    <s v="ARRIS TECHNOLOGY, INC., C/O DB SCHENKER LOGISTICS NETHERLANDS"/>
    <s v="BU SEAFREIGHT"/>
    <s v="NL"/>
    <s v="KV ROTTERDAM"/>
    <s v="3197"/>
    <s v="BP3008"/>
    <s v="BLANK PLATE 8 WIDE REVERSIBLE"/>
    <s v="90710730"/>
    <s v="1.1"/>
    <x v="317"/>
    <n v="1963207"/>
    <d v="2016-09-26T22:13:35"/>
    <m/>
    <d v="2016-10-28T00:00:00"/>
    <d v="2016-09-27T00:00:00"/>
    <d v="2016-10-28T00:00:00"/>
    <m/>
    <n v="59"/>
    <m/>
    <n v="974.09"/>
    <m/>
    <s v="N224"/>
    <s v="NWK ACCESS TECH"/>
    <s v="ACCESS OTHER"/>
    <s v="OTHER AURORA"/>
    <s v="N224"/>
    <s v="OM-INTERNAL ORDER"/>
    <s v="A-SURFACE"/>
    <s v="OP"/>
    <n v="1251073"/>
    <s v="A-SURFACE"/>
    <m/>
    <m/>
    <m/>
    <s v="A-SURFACE"/>
    <s v="LTL"/>
    <s v="DAP"/>
    <s v="Prepaid"/>
    <m/>
    <m/>
    <m/>
    <m/>
    <m/>
    <m/>
    <m/>
    <s v="0"/>
    <s v="0"/>
  </r>
  <r>
    <s v="SJ2"/>
    <s v="5003270"/>
    <s v="ARRIS TECHNOLOGY, INC."/>
    <s v="RDM - ROTTERDAM NL"/>
    <s v="R022P03L5"/>
    <s v="SJ2_STAG"/>
    <s v="ARRIS TECHNOLOGY, INC., C/O DB SCHENKER LOGISTICS NETHERLANDS"/>
    <s v="BU SEAFREIGHT"/>
    <s v="NL"/>
    <s v="KV ROTTERDAM"/>
    <s v="3197"/>
    <s v="NPD3801-1L"/>
    <s v="PAD PLUG-IN YELLOW 1 DB"/>
    <s v="90710750"/>
    <s v="1.1"/>
    <x v="322"/>
    <n v="1963523"/>
    <d v="2016-09-28T03:51:40"/>
    <m/>
    <d v="2016-10-28T00:00:00"/>
    <d v="2016-10-20T00:00:00"/>
    <d v="2016-11-01T00:00:00"/>
    <m/>
    <n v="49"/>
    <m/>
    <n v="43.12"/>
    <m/>
    <s v="N224"/>
    <s v="NWK ACCESS TECH"/>
    <s v="ACCESS OTHER"/>
    <s v="OTHER AURORA"/>
    <s v="N224"/>
    <s v="OM-INTERNAL ORDER"/>
    <s v="A-SURFACE"/>
    <s v="OP"/>
    <n v="1251310"/>
    <s v="A-SURFACE"/>
    <m/>
    <m/>
    <m/>
    <s v="A-SURFACE"/>
    <s v="LTL"/>
    <s v="DAP"/>
    <s v="Prepaid"/>
    <m/>
    <m/>
    <m/>
    <m/>
    <m/>
    <m/>
    <m/>
    <s v="0"/>
    <s v="0"/>
  </r>
  <r>
    <s v="SJ2"/>
    <s v="5003270"/>
    <s v="ARRIS TECHNOLOGY, INC."/>
    <s v="RDM - ROTTERDAM NL"/>
    <s v="R016P16L1B01"/>
    <s v="SJ2_STAG"/>
    <s v="ARRIS TECHNOLOGY, INC., C/O DB SCHENKER LOGISTICS NETHERLANDS"/>
    <s v="BU SEAFREIGHT"/>
    <s v="NL"/>
    <s v="KV ROTTERDAM"/>
    <s v="3197"/>
    <s v="NC214A1HG61-U000000"/>
    <s v="NODE 5-65MHZ RVS 85-1GHZ FWD 1"/>
    <s v="90710755"/>
    <s v="1.1"/>
    <x v="317"/>
    <n v="1963237"/>
    <d v="2016-09-28T10:57:45"/>
    <m/>
    <d v="2016-10-28T00:00:00"/>
    <d v="2016-10-05T00:00:00"/>
    <d v="2016-10-28T00:00:00"/>
    <m/>
    <n v="1"/>
    <m/>
    <n v="1089.5120999999999"/>
    <m/>
    <s v="N121"/>
    <s v="NWK ACCESS TECH"/>
    <s v="NODE"/>
    <s v="NC2000 AURORA"/>
    <s v="N121"/>
    <s v="OM-INTERNAL ORDER"/>
    <s v="A-SURFACE"/>
    <s v="OP"/>
    <n v="1251073"/>
    <s v="A-SURFACE"/>
    <m/>
    <m/>
    <m/>
    <s v="A-SURFACE"/>
    <s v="LTL"/>
    <s v="DAP"/>
    <s v="Prepaid"/>
    <m/>
    <m/>
    <m/>
    <m/>
    <m/>
    <m/>
    <m/>
    <s v="0"/>
    <s v="0"/>
  </r>
  <r>
    <s v="SJ2"/>
    <s v="5003270"/>
    <s v="ARRIS TECHNOLOGY, INC."/>
    <s v="RDM - ROTTERDAM NL"/>
    <s v="R022P02L5"/>
    <s v="SJ2_STAG"/>
    <s v="ARRIS TECHNOLOGY, INC., C/O DB SCHENKER LOGISTICS NETHERLANDS"/>
    <s v="BU SEAFREIGHT"/>
    <s v="NL"/>
    <s v="KV ROTTERDAM"/>
    <s v="3197"/>
    <s v="NM4002-1"/>
    <s v="NC4 STATUS MONITOR PLUG-IN REV"/>
    <s v="90710793"/>
    <s v="2.1"/>
    <x v="316"/>
    <n v="1961475"/>
    <d v="2016-09-30T08:16:31"/>
    <m/>
    <d v="2016-10-26T00:00:00"/>
    <d v="2016-10-07T00:00:00"/>
    <d v="2016-10-26T00:00:00"/>
    <m/>
    <n v="2"/>
    <m/>
    <n v="45.4"/>
    <m/>
    <s v="N224"/>
    <s v="NWK ACCESS TECH"/>
    <s v="ACCESS OTHER"/>
    <s v="OTHER AURORA"/>
    <s v="N224"/>
    <s v="OM-INTERNAL ORDER"/>
    <s v="A-SURFACE"/>
    <s v="OP"/>
    <n v="1250097"/>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DC-01F"/>
    <s v="MOD POWER SUPPLY CPS4801-DC"/>
    <s v="90710838"/>
    <s v="1.1"/>
    <x v="318"/>
    <n v="1960916"/>
    <d v="2016-10-04T17:38:28"/>
    <m/>
    <d v="2016-10-26T00:00:00"/>
    <d v="2016-11-04T00:00:00"/>
    <d v="2016-10-28T00:00:00"/>
    <m/>
    <n v="20"/>
    <m/>
    <n v="4725.6000000000004"/>
    <m/>
    <s v="N224"/>
    <s v="NWK ACCESS TECH"/>
    <s v="ACCESS OTHER"/>
    <s v="OTHER AURORA"/>
    <s v="N224"/>
    <s v="OM-INTERNAL ORDER"/>
    <s v="A-SURFACE"/>
    <s v="OP"/>
    <n v="1249787"/>
    <s v="A-SURFACE"/>
    <m/>
    <m/>
    <m/>
    <s v="A-SURFACE"/>
    <s v="LTL"/>
    <s v="DAP"/>
    <s v="Prepaid"/>
    <m/>
    <m/>
    <m/>
    <m/>
    <m/>
    <m/>
    <m/>
    <s v="0"/>
    <s v="0"/>
  </r>
  <r>
    <s v="SJ2"/>
    <s v="5003270"/>
    <s v="ARRIS TECHNOLOGY, INC."/>
    <s v="RDM - ROTTERDAM NL"/>
    <s v="R016P37L3B02"/>
    <s v="SJ2_STAG"/>
    <s v="ARRIS TECHNOLOGY, INC., C/O DB SCHENKER LOGISTICS NETHERLANDS"/>
    <s v="BU SEAFREIGHT"/>
    <s v="NL"/>
    <s v="KV ROTTERDAM"/>
    <s v="3197"/>
    <s v="HLP4800-6F"/>
    <s v="PLATFORM HLP4800"/>
    <s v="90710839"/>
    <s v="1.1"/>
    <x v="318"/>
    <n v="1960957"/>
    <d v="2016-10-04T17:42:21"/>
    <m/>
    <d v="2016-10-26T00:00:00"/>
    <d v="2016-11-04T00:00:00"/>
    <d v="2016-10-28T00:00:00"/>
    <m/>
    <n v="15"/>
    <m/>
    <n v="3000"/>
    <m/>
    <s v="N140"/>
    <s v="NWK ACCESS TECH"/>
    <s v="HEO"/>
    <s v="HEO MISC AURORA"/>
    <s v="N140"/>
    <s v="OM-INTERNAL ORDER"/>
    <s v="A-SURFACE"/>
    <s v="OP"/>
    <n v="1249787"/>
    <s v="A-SURFACE"/>
    <m/>
    <m/>
    <m/>
    <s v="A-SURFACE"/>
    <s v="LTL"/>
    <s v="DAP"/>
    <s v="Prepaid"/>
    <m/>
    <m/>
    <m/>
    <m/>
    <m/>
    <m/>
    <m/>
    <s v="0"/>
    <s v="0"/>
  </r>
  <r>
    <s v="SJ2"/>
    <s v="5003270"/>
    <s v="ARRIS TECHNOLOGY, INC."/>
    <s v="RDM - ROTTERDAM NL"/>
    <s v="R016P48L2B01"/>
    <s v="SJ2_STAG"/>
    <s v="ARRIS TECHNOLOGY, INC., C/O DB SCHENKER LOGISTICS NETHERLANDS"/>
    <s v="BU SEAFREIGHT"/>
    <s v="NL"/>
    <s v="KV ROTTERDAM"/>
    <s v="3197"/>
    <s v="HLP4800-6F"/>
    <s v="PLATFORM HLP4800"/>
    <s v="90710839"/>
    <s v="1.1"/>
    <x v="318"/>
    <n v="1960916"/>
    <d v="2016-10-04T17:42:21"/>
    <m/>
    <d v="2016-10-26T00:00:00"/>
    <d v="2016-11-04T00:00:00"/>
    <d v="2016-10-28T00:00:00"/>
    <m/>
    <n v="5"/>
    <m/>
    <n v="1000"/>
    <m/>
    <s v="N140"/>
    <s v="NWK ACCESS TECH"/>
    <s v="HEO"/>
    <s v="HEO MISC AURORA"/>
    <s v="N140"/>
    <s v="OM-INTERNAL ORDER"/>
    <s v="A-SURFACE"/>
    <s v="OP"/>
    <n v="1249787"/>
    <s v="A-SURFACE"/>
    <m/>
    <m/>
    <m/>
    <s v="A-SURFACE"/>
    <s v="LTL"/>
    <s v="DAP"/>
    <s v="Prepaid"/>
    <m/>
    <m/>
    <m/>
    <m/>
    <m/>
    <m/>
    <m/>
    <s v="0"/>
    <s v="0"/>
  </r>
  <r>
    <s v="SJ2"/>
    <s v="5003270"/>
    <s v="ARRIS TECHNOLOGY, INC."/>
    <s v="RDM - ROTTERDAM NL"/>
    <s v="R023P43L4"/>
    <s v="SJ2_STAG"/>
    <s v="ARRIS TECHNOLOGY, INC., C/O DB SCHENKER LOGISTICS NETHERLANDS"/>
    <s v="BU SEAFREIGHT"/>
    <s v="NL"/>
    <s v="KV ROTTERDAM"/>
    <s v="3197"/>
    <s v="RDR4002E-AS-12L"/>
    <s v="RETURN DIGITAL RX SC/APC 65MHZ"/>
    <s v="90710859"/>
    <s v="1.1"/>
    <x v="318"/>
    <n v="1960916"/>
    <d v="2016-10-05T21:19:14"/>
    <m/>
    <d v="2016-10-26T00:00:00"/>
    <d v="2016-11-04T00:00:00"/>
    <d v="2016-10-28T00:00:00"/>
    <m/>
    <n v="10"/>
    <m/>
    <n v="4782.2330000000002"/>
    <m/>
    <s v="N073"/>
    <s v="NWK ACCESS TECH"/>
    <s v="HEO"/>
    <s v="RECEIVERS AURORA"/>
    <s v="N073"/>
    <s v="OM-INTERNAL ORDER"/>
    <s v="A-SURFACE"/>
    <s v="OP"/>
    <n v="1249787"/>
    <s v="A-SURFACE"/>
    <m/>
    <m/>
    <m/>
    <s v="A-SURFACE"/>
    <s v="LTL"/>
    <s v="DAP"/>
    <s v="Prepaid"/>
    <m/>
    <m/>
    <m/>
    <m/>
    <m/>
    <m/>
    <m/>
    <s v="0"/>
    <s v="0"/>
  </r>
  <r>
    <s v="SJ2"/>
    <s v="5003270"/>
    <s v="ARRIS TECHNOLOGY, INC."/>
    <s v="RDM - ROTTERDAM NL"/>
    <s v="R022P33L3"/>
    <s v="SJ2_STAG"/>
    <s v="ARRIS TECHNOLOGY, INC., C/O DB SCHENKER LOGISTICS NETHERLANDS"/>
    <s v="BU SEAFREIGHT"/>
    <s v="NL"/>
    <s v="KV ROTTERDAM"/>
    <s v="3197"/>
    <s v="AP4003-L"/>
    <s v="ATTENUATOR NC4000 NODE 3DB PKG"/>
    <s v="90710987"/>
    <s v="1.1"/>
    <x v="318"/>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2P33L4"/>
    <s v="SJ2_STAG"/>
    <s v="ARRIS TECHNOLOGY, INC., C/O DB SCHENKER LOGISTICS NETHERLANDS"/>
    <s v="BU SEAFREIGHT"/>
    <s v="NL"/>
    <s v="KV ROTTERDAM"/>
    <s v="3197"/>
    <s v="AP4005-L"/>
    <s v="ATTENUATOR NC4000 NODE 5DB PKG"/>
    <s v="90710987"/>
    <s v="2.1"/>
    <x v="318"/>
    <n v="1960916"/>
    <d v="2016-10-17T23:14:46"/>
    <m/>
    <d v="2016-10-26T00:00:00"/>
    <d v="2016-11-04T00:00:00"/>
    <d v="2016-10-28T00:00:00"/>
    <m/>
    <n v="3"/>
    <m/>
    <n v="11.144399999999999"/>
    <m/>
    <s v="N224"/>
    <s v="NWK ACCESS TECH"/>
    <s v="ACCESS OTHER"/>
    <s v="OTHER AURORA"/>
    <s v="N224"/>
    <s v="OM-INTERNAL ORDER"/>
    <s v="A-SURFACE"/>
    <s v="OP"/>
    <n v="1249787"/>
    <s v="A-SURFACE"/>
    <m/>
    <m/>
    <m/>
    <s v="A-SURFACE"/>
    <s v="LTL"/>
    <s v="DAP"/>
    <s v="Prepaid"/>
    <m/>
    <m/>
    <m/>
    <m/>
    <m/>
    <m/>
    <m/>
    <s v="0"/>
    <s v="0"/>
  </r>
  <r>
    <s v="SJ2"/>
    <s v="5003270"/>
    <s v="ARRIS TECHNOLOGY, INC."/>
    <s v="RDM - ROTTERDAM NL"/>
    <s v="R023P13L1"/>
    <s v="SJ2_STAG"/>
    <s v="ARRIS TECHNOLOGY, INC., C/O DB SCHENKER LOGISTICS NETHERLANDS"/>
    <s v="BU SEAFREIGHT"/>
    <s v="NL"/>
    <s v="KV ROTTERDAM"/>
    <s v="3197"/>
    <s v="EQ2114G"/>
    <s v="&quot;LINEAR EQL NC2000 14dB 45-1GH"/>
    <s v="90710987"/>
    <s v="3.1"/>
    <x v="318"/>
    <n v="1960916"/>
    <d v="2016-10-17T23:14:46"/>
    <m/>
    <d v="2016-10-26T00:00:00"/>
    <d v="2016-11-04T00:00:00"/>
    <d v="2016-10-28T00:00:00"/>
    <m/>
    <n v="12"/>
    <m/>
    <n v="30.12"/>
    <m/>
    <s v="N224"/>
    <s v="NWK ACCESS TECH"/>
    <s v="ACCESS OTHER"/>
    <s v="OTHER AURORA"/>
    <s v="N224"/>
    <s v="OM-INTERNAL ORDER"/>
    <s v="A-SURFACE"/>
    <s v="OP"/>
    <n v="1249787"/>
    <s v="A-SURFACE"/>
    <m/>
    <m/>
    <m/>
    <s v="A-SURFACE"/>
    <s v="LTL"/>
    <s v="DAP"/>
    <s v="Prepaid"/>
    <m/>
    <m/>
    <m/>
    <m/>
    <m/>
    <m/>
    <m/>
    <s v="0"/>
    <s v="0"/>
  </r>
  <r>
    <s v="SJ2"/>
    <s v="5003270"/>
    <s v="ARRIS TECHNOLOGY, INC."/>
    <s v="RDM - ROTTERDAM NL"/>
    <s v="R023P10L1"/>
    <s v="SJ2_STAG"/>
    <s v="ARRIS TECHNOLOGY, INC., C/O DB SCHENKER LOGISTICS NETHERLANDS"/>
    <s v="BU SEAFREIGHT"/>
    <s v="NL"/>
    <s v="KV ROTTERDAM"/>
    <s v="3197"/>
    <s v="OP91S2S-75-N0-00"/>
    <s v="FLD COUPLER NON-RUGGEDIZED .25"/>
    <s v="90710991"/>
    <s v="3.1"/>
    <x v="324"/>
    <n v="1962021"/>
    <d v="2016-10-18T05:07:40"/>
    <m/>
    <d v="2016-10-27T00:00:00"/>
    <d v="2016-10-24T00:00:00"/>
    <d v="2016-10-27T00:00:00"/>
    <m/>
    <n v="3"/>
    <m/>
    <n v="30"/>
    <m/>
    <s v="N156"/>
    <s v="NWK ACCESS TECH"/>
    <s v="ACCESS OTHER"/>
    <s v="OTHER AURORA"/>
    <s v="N156"/>
    <s v="OM-INTERNAL ORDER"/>
    <s v="A-SURFACE"/>
    <s v="OP"/>
    <n v="1250456"/>
    <s v="A-SURFACE"/>
    <m/>
    <m/>
    <m/>
    <s v="A-SURFACE"/>
    <s v="LTL"/>
    <s v="DAP"/>
    <s v="Prepaid"/>
    <m/>
    <m/>
    <m/>
    <m/>
    <m/>
    <m/>
    <m/>
    <s v="0"/>
    <s v="0"/>
  </r>
  <r>
    <s v="SJ2"/>
    <s v="5003270"/>
    <s v="ARRIS TECHNOLOGY, INC."/>
    <s v="RDM - ROTTERDAM NL"/>
    <s v="R015P41L3"/>
    <s v="SJ2_STAG"/>
    <s v="ARRIS TECHNOLOGY, INC., C/O DB SCHENKER LOGISTICS NETHERLANDS"/>
    <s v="BU SEAFREIGHT"/>
    <s v="NL"/>
    <s v="KV ROTTERDAM"/>
    <s v="3197"/>
    <s v="CPS4801-AC-01F"/>
    <s v="MOD POWER SUPPLY CPS4801-AC"/>
    <s v="90711038"/>
    <s v="1.1"/>
    <x v="326"/>
    <n v="1958216"/>
    <d v="2016-10-21T18:12:00"/>
    <m/>
    <d v="2016-10-21T00:00:00"/>
    <d v="2016-10-28T00:00:00"/>
    <d v="2016-10-21T00:00:00"/>
    <m/>
    <n v="20"/>
    <n v="20"/>
    <n v="3880"/>
    <n v="3880"/>
    <s v="N224"/>
    <s v="NWK ACCESS TECH"/>
    <s v="ACCESS OTHER"/>
    <s v="OTHER AURORA"/>
    <s v="N224"/>
    <s v="OM-INTERNAL ORDER"/>
    <s v="A-SURFACE"/>
    <s v="OP"/>
    <n v="1247272"/>
    <s v="A-SURFACE"/>
    <m/>
    <m/>
    <m/>
    <s v="A-SURFACE"/>
    <s v="LTL"/>
    <s v="DAP"/>
    <s v="Prepaid"/>
    <m/>
    <m/>
    <m/>
    <m/>
    <m/>
    <m/>
    <m/>
    <s v="0"/>
    <s v="0"/>
  </r>
  <r>
    <s v="SJ2"/>
    <s v="5003270"/>
    <s v="ARRIS TECHNOLOGY, INC."/>
    <s v="RDM - ROTTERDAM NL"/>
    <s v="R015P58L4"/>
    <s v="SJ2_STAG"/>
    <s v="ARRIS TECHNOLOGY, INC., C/O DB SCHENKER LOGISTICS NETHERLANDS"/>
    <s v="BU SEAFREIGHT"/>
    <s v="NL"/>
    <s v="KV ROTTERDAM"/>
    <s v="3197"/>
    <s v="HLP4800-6F"/>
    <s v="PLATFORM HLP4800"/>
    <s v="90711038"/>
    <s v="2.1"/>
    <x v="326"/>
    <n v="1958216"/>
    <d v="2016-10-21T18:12:00"/>
    <m/>
    <d v="2016-10-21T00:00:00"/>
    <d v="2016-10-28T00:00:00"/>
    <d v="2016-10-21T00:00:00"/>
    <m/>
    <n v="6"/>
    <n v="6"/>
    <n v="1200"/>
    <n v="1200"/>
    <s v="N140"/>
    <s v="NWK ACCESS TECH"/>
    <s v="HEO"/>
    <s v="HEO MISC AURORA"/>
    <s v="N140"/>
    <s v="OM-INTERNAL ORDER"/>
    <s v="A-SURFACE"/>
    <s v="OP"/>
    <n v="1247272"/>
    <s v="A-SURFACE"/>
    <m/>
    <m/>
    <m/>
    <s v="A-SURFACE"/>
    <s v="LTL"/>
    <s v="DAP"/>
    <s v="Prepaid"/>
    <m/>
    <m/>
    <m/>
    <m/>
    <m/>
    <m/>
    <m/>
    <s v="0"/>
    <s v="0"/>
  </r>
  <r>
    <s v="SJ2"/>
    <s v="5003270"/>
    <s v="ARRIS TECHNOLOGY, INC."/>
    <s v="RDM - ROTTERDAM NL"/>
    <s v="R016P48L2B01"/>
    <s v="SJ2_STAG"/>
    <s v="ARRIS TECHNOLOGY, INC., C/O DB SCHENKER LOGISTICS NETHERLANDS"/>
    <s v="BU SEAFREIGHT"/>
    <s v="NL"/>
    <s v="KV ROTTERDAM"/>
    <s v="3197"/>
    <s v="HLP4800-6F"/>
    <s v="PLATFORM HLP4800"/>
    <s v="90711038"/>
    <s v="2.1"/>
    <x v="326"/>
    <n v="1958216"/>
    <d v="2016-10-21T18:12:00"/>
    <m/>
    <d v="2016-10-21T00:00:00"/>
    <d v="2016-10-28T00:00:00"/>
    <d v="2016-10-21T00:00:00"/>
    <m/>
    <n v="4"/>
    <n v="4"/>
    <n v="800"/>
    <n v="800"/>
    <s v="N140"/>
    <s v="NWK ACCESS TECH"/>
    <s v="HEO"/>
    <s v="HEO MISC AURORA"/>
    <s v="N140"/>
    <s v="OM-INTERNAL ORDER"/>
    <s v="A-SURFACE"/>
    <s v="OP"/>
    <n v="1247272"/>
    <s v="A-SURFACE"/>
    <m/>
    <m/>
    <m/>
    <s v="A-SURFACE"/>
    <s v="LTL"/>
    <s v="DAP"/>
    <s v="Prepaid"/>
    <m/>
    <m/>
    <m/>
    <m/>
    <m/>
    <m/>
    <m/>
    <s v="0"/>
    <s v="0"/>
  </r>
  <r>
    <s v="SJ2"/>
    <s v="5003270"/>
    <s v="ARRIS TECHNOLOGY, INC."/>
    <s v="RDM - ROTTERDAM NL"/>
    <s v="R024P01L2B01"/>
    <s v="SJ2_STAG"/>
    <s v="ARRIS TECHNOLOGY, INC., C/O DB SCHENKER LOGISTICS NETHERLANDS"/>
    <s v="BU SEAFREIGHT"/>
    <s v="NL"/>
    <s v="KV ROTTERDAM"/>
    <s v="3197"/>
    <s v="HNC4801-WEB/SNMP-1F"/>
    <s v="HNC4801+FIRMWARE LICENSE"/>
    <s v="90711038"/>
    <s v="4.1"/>
    <x v="326"/>
    <n v="1958216"/>
    <d v="2016-10-21T18:12:00"/>
    <m/>
    <d v="2016-10-21T00:00:00"/>
    <d v="2016-10-28T00:00:00"/>
    <d v="2016-10-21T00:00:00"/>
    <m/>
    <n v="10"/>
    <n v="10"/>
    <n v="2092"/>
    <n v="2092"/>
    <s v="N141"/>
    <s v="NWK ACCESS TECH"/>
    <s v="HEO"/>
    <s v="HEO MISC AURORA"/>
    <s v="N141"/>
    <s v="OM-INTERNAL ORDER"/>
    <s v="A-SURFACE"/>
    <s v="OP"/>
    <n v="1247272"/>
    <s v="A-SURFACE"/>
    <m/>
    <m/>
    <m/>
    <s v="A-SURFACE"/>
    <s v="LTL"/>
    <s v="DAP"/>
    <s v="Prepaid"/>
    <m/>
    <m/>
    <m/>
    <m/>
    <m/>
    <m/>
    <m/>
    <s v="0"/>
    <s v="0"/>
  </r>
  <r>
    <s v="SJ2"/>
    <s v="5003270"/>
    <s v="ARRIS TECHNOLOGY, INC."/>
    <s v="RDM - ROTTERDAM NL"/>
    <s v="R023P12L3"/>
    <s v="SJ2_STAG"/>
    <s v="ARRIS TECHNOLOGY, INC., C/O DB SCHENKER LOGISTICS NETHERLANDS"/>
    <s v="BU SEAFREIGHT"/>
    <s v="NL"/>
    <s v="KV ROTTERDAM"/>
    <s v="3197"/>
    <s v="CC3008"/>
    <s v="COMM CONTROL MODULE HIGH DENSI"/>
    <s v="90711048"/>
    <s v="10.1"/>
    <x v="324"/>
    <n v="1962021"/>
    <d v="2016-10-24T14:21:34"/>
    <m/>
    <d v="2016-10-27T00:00:00"/>
    <d v="2016-10-21T00:00:00"/>
    <d v="2016-10-27T00:00:00"/>
    <m/>
    <n v="2"/>
    <m/>
    <n v="200.8"/>
    <m/>
    <s v="N260"/>
    <s v="NWK ACCESS TECH"/>
    <s v="HEO"/>
    <s v="TRANSMITTERS AURORA"/>
    <s v="HDTX"/>
    <s v="OM-INTERNAL ORDER"/>
    <s v="A-SURFACE"/>
    <s v="OP"/>
    <n v="1250456"/>
    <s v="A-SURFACE"/>
    <m/>
    <m/>
    <m/>
    <s v="A-SURFACE"/>
    <s v="LTL"/>
    <s v="DAP"/>
    <s v="Prepaid"/>
    <m/>
    <m/>
    <m/>
    <m/>
    <m/>
    <m/>
    <m/>
    <s v="0"/>
    <s v="0"/>
  </r>
  <r>
    <s v="SJ2"/>
    <s v="5003270"/>
    <s v="ARRIS TECHNOLOGY, INC."/>
    <s v="RDM - ROTTERDAM NL"/>
    <s v="R023P12L3"/>
    <s v="SJ2_STAG"/>
    <s v="ARRIS TECHNOLOGY, INC., C/O DB SCHENKER LOGISTICS NETHERLANDS"/>
    <s v="BU SEAFREIGHT"/>
    <s v="NL"/>
    <s v="KV ROTTERDAM"/>
    <s v="3197"/>
    <s v="CC3008"/>
    <s v="COMM CONTROL MODULE HIGH DENSI"/>
    <m/>
    <s v="11.1"/>
    <x v="324"/>
    <n v="1962021"/>
    <d v="2016-10-24T14:21:34"/>
    <m/>
    <d v="2016-10-27T00:00:00"/>
    <d v="2016-10-21T00:00:00"/>
    <d v="2016-10-27T00:00:00"/>
    <m/>
    <n v="9"/>
    <m/>
    <n v="903.6"/>
    <m/>
    <s v="N260"/>
    <s v="NWK ACCESS TECH"/>
    <s v="HEO"/>
    <s v="TRANSMITTERS AURORA"/>
    <s v="HDTX"/>
    <s v="OM-INTERNAL ORDER"/>
    <s v="A-SURFACE"/>
    <s v="OP"/>
    <n v="1250456"/>
    <s v="A-SURFACE"/>
    <m/>
    <m/>
    <m/>
    <s v="A-SURFACE"/>
    <s v="LTL"/>
    <s v="DAP"/>
    <s v="Prepaid"/>
    <m/>
    <m/>
    <m/>
    <m/>
    <m/>
    <m/>
    <m/>
    <s v="0"/>
    <s v="0"/>
  </r>
  <r>
    <s v="SJ2"/>
    <s v="5003270"/>
    <s v="ARRIS TECHNOLOGY, INC."/>
    <s v="RDM - ROTTERDAM NL"/>
    <s v="R022P70L4"/>
    <s v="SJ2_STAG"/>
    <s v="ARRIS TECHNOLOGY, INC., C/O DB SCHENKER LOGISTICS NETHERLANDS"/>
    <s v="BU SEAFREIGHT"/>
    <s v="NL"/>
    <s v="KV ROTTERDAM"/>
    <s v="3197"/>
    <s v="HT3309H-D-1310-2-AS"/>
    <s v="XMTR DD 1.2GHZ 1310NM D-IN 9DB"/>
    <s v="90711048"/>
    <s v="20.1"/>
    <x v="324"/>
    <n v="1962056"/>
    <d v="2016-10-24T14:21:34"/>
    <m/>
    <d v="2016-10-27T00:00:00"/>
    <d v="2016-10-21T00:00:00"/>
    <d v="2016-10-27T00:00:00"/>
    <m/>
    <n v="2"/>
    <m/>
    <n v="1153.46"/>
    <m/>
    <s v="HE64"/>
    <s v="NWK ACCESS TECH"/>
    <s v="HEO"/>
    <s v="TRANSMITTER"/>
    <s v="HT"/>
    <s v="OM-INTERNAL ORDER"/>
    <s v="A-SURFACE"/>
    <s v="OP"/>
    <n v="1250456"/>
    <s v="A-SURFACE"/>
    <m/>
    <m/>
    <m/>
    <s v="A-SURFACE"/>
    <s v="LTL"/>
    <s v="DAP"/>
    <s v="Prepaid"/>
    <m/>
    <m/>
    <m/>
    <m/>
    <m/>
    <m/>
    <m/>
    <s v="0"/>
    <s v="0"/>
  </r>
  <r>
    <s v="SJ2"/>
    <s v="5003270"/>
    <s v="ARRIS TECHNOLOGY, INC."/>
    <s v="RDM - ROTTERDAM NL"/>
    <s v="R023P12L3"/>
    <s v="SJ2_STAG"/>
    <s v="ARRIS TECHNOLOGY, INC., C/O DB SCHENKER LOGISTICS NETHERLANDS"/>
    <s v="BU SEAFREIGHT"/>
    <s v="NL"/>
    <s v="KV ROTTERDAM"/>
    <s v="3197"/>
    <s v="CC3008"/>
    <s v="COMM CONTROL MODULE HIGH DENSI"/>
    <s v="90711048"/>
    <s v="9.1"/>
    <x v="324"/>
    <n v="1962021"/>
    <d v="2016-10-24T14:21:34"/>
    <m/>
    <d v="2016-10-27T00:00:00"/>
    <d v="2016-10-21T00:00:00"/>
    <d v="2016-10-27T00:00:00"/>
    <m/>
    <n v="2"/>
    <m/>
    <n v="200.8"/>
    <m/>
    <s v="N260"/>
    <s v="NWK ACCESS TECH"/>
    <s v="HEO"/>
    <s v="TRANSMITTERS AURORA"/>
    <s v="HDTX"/>
    <s v="OM-INTERNAL ORDER"/>
    <s v="A-SURFACE"/>
    <s v="OP"/>
    <n v="1250456"/>
    <s v="A-SURFACE"/>
    <m/>
    <m/>
    <m/>
    <s v="A-SURFACE"/>
    <s v="LTL"/>
    <s v="DAP"/>
    <s v="Prepaid"/>
    <m/>
    <m/>
    <m/>
    <m/>
    <m/>
    <m/>
    <m/>
    <s v="0"/>
    <s v="0"/>
  </r>
  <r>
    <s v="SJ2"/>
    <s v="5003270"/>
    <s v="ARRIS TECHNOLOGY, INC."/>
    <s v="RDM - ROTTERDAM NL"/>
    <s v="R016P49L3B01"/>
    <s v="SJ2_STAG"/>
    <s v="ARRIS TECHNOLOGY, INC., C/O DB SCHENKER LOGISTICS NETHERLANDS"/>
    <s v="BU SEAFREIGHT"/>
    <s v="NL"/>
    <s v="KV ROTTERDAM"/>
    <s v="3197"/>
    <s v="PS3005D-2"/>
    <s v="POWER SUPPLY 250W CE TUV W/DIS"/>
    <s v="90711058"/>
    <s v="1.1"/>
    <x v="327"/>
    <n v="1960330"/>
    <d v="2016-10-25T03:50:14"/>
    <m/>
    <d v="2016-10-25T00:00:00"/>
    <d v="2016-10-31T00:00:00"/>
    <d v="2016-10-25T00:00:00"/>
    <m/>
    <n v="4"/>
    <m/>
    <n v="1292.08"/>
    <m/>
    <s v="N204"/>
    <s v="NWK ACCESS TECH"/>
    <s v="ACCESS OTHER"/>
    <s v="OTHER AURORA"/>
    <s v="N204"/>
    <s v="OM-INTERNAL ORDER"/>
    <s v="A-SURFACE"/>
    <s v="OP"/>
    <n v="1249258"/>
    <s v="A-SURFACE"/>
    <m/>
    <m/>
    <m/>
    <s v="A-SURFACE"/>
    <s v="LTL"/>
    <s v="DAP"/>
    <s v="Prepaid"/>
    <m/>
    <m/>
    <m/>
    <m/>
    <m/>
    <m/>
    <m/>
    <s v="0"/>
    <s v="0"/>
  </r>
  <r>
    <s v="SJ2"/>
    <s v="5003270"/>
    <s v="ARRIS TECHNOLOGY, INC."/>
    <s v="RDM - ROTTERDAM NL"/>
    <s v="R016P49L2B02"/>
    <s v="SJ2_STAG"/>
    <s v="ARRIS TECHNOLOGY, INC., C/O DB SCHENKER LOGISTICS NETHERLANDS"/>
    <s v="BU SEAFREIGHT"/>
    <s v="NL"/>
    <s v="KV ROTTERDAM"/>
    <s v="3197"/>
    <s v="PS3005N-2"/>
    <s v="POWER SUPPLY 250W CE TUV W/O D"/>
    <s v="90711058"/>
    <s v="2.1"/>
    <x v="327"/>
    <n v="1960330"/>
    <d v="2016-10-25T03:50:14"/>
    <m/>
    <d v="2016-10-25T00:00:00"/>
    <d v="2016-10-31T00:00:00"/>
    <d v="2016-10-25T00:00:00"/>
    <m/>
    <n v="5"/>
    <m/>
    <n v="1353.9"/>
    <m/>
    <s v="N204"/>
    <s v="NWK ACCESS TECH"/>
    <s v="ACCESS OTHER"/>
    <s v="OTHER AURORA"/>
    <s v="N204"/>
    <s v="OM-INTERNAL ORDER"/>
    <s v="A-SURFACE"/>
    <s v="OP"/>
    <n v="1249258"/>
    <s v="A-SURFACE"/>
    <m/>
    <m/>
    <m/>
    <s v="A-SURFACE"/>
    <s v="LTL"/>
    <s v="DAP"/>
    <s v="Prepaid"/>
    <m/>
    <m/>
    <m/>
    <m/>
    <m/>
    <m/>
    <m/>
    <s v="0"/>
    <s v="0"/>
  </r>
  <r>
    <s v="SJ2"/>
    <s v="5003270"/>
    <s v="ARRIS TECHNOLOGY, INC."/>
    <s v="RDM - ROTTERDAM NL"/>
    <s v="R016P13L4B01"/>
    <s v="SJ2_STAG"/>
    <s v="ARRIS TECHNOLOGY, INC., C/O DB SCHENKER LOGISTICS NETHERLANDS"/>
    <s v="BU SEAFREIGHT"/>
    <s v="NL"/>
    <s v="KV ROTTERDAM"/>
    <s v="3197"/>
    <s v="PS3148N"/>
    <s v="POWER SUPPLY NO DISPLAY -48VDC"/>
    <s v="90711058"/>
    <s v="3.1"/>
    <x v="327"/>
    <n v="1960330"/>
    <d v="2016-10-25T03:50:14"/>
    <m/>
    <d v="2016-10-25T00:00:00"/>
    <d v="2016-10-31T00:00:00"/>
    <d v="2016-10-25T00:00:00"/>
    <m/>
    <n v="3"/>
    <m/>
    <n v="488.67"/>
    <m/>
    <s v="N204"/>
    <s v="NWK ACCESS TECH"/>
    <s v="ACCESS OTHER"/>
    <s v="OTHER AURORA"/>
    <s v="N204"/>
    <s v="OM-INTERNAL ORDER"/>
    <s v="A-SURFACE"/>
    <s v="OP"/>
    <n v="1249258"/>
    <s v="A-SURFACE"/>
    <m/>
    <m/>
    <m/>
    <s v="A-SURFACE"/>
    <s v="LTL"/>
    <s v="DAP"/>
    <s v="Prepaid"/>
    <m/>
    <m/>
    <m/>
    <m/>
    <m/>
    <m/>
    <m/>
    <s v="0"/>
    <s v="0"/>
  </r>
  <r>
    <s v="SJ2"/>
    <s v="5003270"/>
    <s v="ARRIS TECHNOLOGY, INC."/>
    <s v="RDM - ROTTERDAM NL"/>
    <m/>
    <s v="SJ2_STAG"/>
    <s v="ARRIS TECHNOLOGY, INC., C/O DB SCHENKER LOGISTICS NETHERLANDS"/>
    <s v="BU SEAFREIGHT"/>
    <s v="NL"/>
    <s v="KV ROTTERDAM"/>
    <s v="3197"/>
    <s v="PS3148D"/>
    <s v="POWER SUPPLY W/DISPLAY -48VDC"/>
    <s v="90711058"/>
    <s v="4.1"/>
    <x v="315"/>
    <n v="1961603"/>
    <d v="2016-10-25T03:50:14"/>
    <m/>
    <d v="2016-10-26T00:00:00"/>
    <d v="2016-10-31T00:00:00"/>
    <d v="2016-10-26T00:00:00"/>
    <m/>
    <n v="3"/>
    <m/>
    <n v="644.46"/>
    <m/>
    <s v="N204"/>
    <s v="NWK ACCESS TECH"/>
    <s v="ACCESS OTHER"/>
    <s v="OTHER AURORA"/>
    <s v="N204"/>
    <s v="OM-INTERNAL ORDER"/>
    <m/>
    <s v="OP"/>
    <n v="1250178"/>
    <s v="A-SURFACE"/>
    <m/>
    <m/>
    <m/>
    <s v="A-SURFACE"/>
    <m/>
    <s v="DAP"/>
    <s v="Prepaid"/>
    <m/>
    <m/>
    <m/>
    <m/>
    <m/>
    <m/>
    <m/>
    <s v="0"/>
    <s v="0"/>
  </r>
  <r>
    <s v="SJ2"/>
    <s v="5003270"/>
    <s v="ARRIS TECHNOLOGY, INC."/>
    <s v="RDM - ROTTERDAM NL"/>
    <s v="R022P49L1"/>
    <s v="SJ2_STAG"/>
    <s v="ARRIS TECHNOLOGY, INC., C/O DB SCHENKER LOGISTICS NETHERLANDS"/>
    <s v="BU SEAFREIGHT"/>
    <s v="NL"/>
    <s v="KV ROTTERDAM"/>
    <s v="3197"/>
    <s v="DT3550N-99-00"/>
    <s v="DGTL XMTR 2X5-100 MHZ WITH SF"/>
    <s v="90711064"/>
    <s v="1.1"/>
    <x v="323"/>
    <n v="1961897"/>
    <d v="2016-10-25T14:15:24"/>
    <m/>
    <d v="2016-10-27T00:00:00"/>
    <d v="2016-10-26T00:00:00"/>
    <d v="2016-10-31T00:00:00"/>
    <m/>
    <n v="10"/>
    <n v="10"/>
    <n v="2074.84"/>
    <n v="2074.84"/>
    <s v="N063"/>
    <s v="NWK ACCESS TECH"/>
    <s v="HEO"/>
    <s v="TRANSMITTERS AURORA"/>
    <s v="N063"/>
    <s v="OM-INTERNAL ORDER"/>
    <s v="A-SURFACE"/>
    <s v="OP"/>
    <n v="1250403"/>
    <s v="A-SURFACE"/>
    <m/>
    <m/>
    <m/>
    <s v="A-SURFACE"/>
    <s v="LTL"/>
    <s v="DAP"/>
    <s v="Prepaid"/>
    <m/>
    <m/>
    <m/>
    <m/>
    <m/>
    <m/>
    <m/>
    <s v="0"/>
    <s v="0"/>
  </r>
  <r>
    <s v="SJ2"/>
    <s v="5003270"/>
    <s v="ARRIS TECHNOLOGY, INC."/>
    <s v="RDM - ROTTERDAM NL"/>
    <s v="R015P46L5"/>
    <s v="SJ2_STAG"/>
    <s v="ARRIS TECHNOLOGY, INC., C/O DB SCHENKER LOGISTICS NETHERLANDS"/>
    <s v="BU SEAFREIGHT"/>
    <s v="NL"/>
    <s v="KV ROTTERDAM"/>
    <s v="3197"/>
    <s v="CH3000N"/>
    <s v="CHASSIS NO COVERS 3RU"/>
    <s v="90711077"/>
    <s v="1.1"/>
    <x v="323"/>
    <n v="1961897"/>
    <d v="2016-10-27T00:18:05"/>
    <m/>
    <d v="2016-10-27T00:00:00"/>
    <d v="2016-11-03T00:00:00"/>
    <d v="2016-10-27T00:00:00"/>
    <m/>
    <n v="12"/>
    <n v="12"/>
    <n v="1695.36"/>
    <n v="1695.36"/>
    <s v="N199"/>
    <s v="NWK ACCESS TECH"/>
    <s v="HEO"/>
    <s v="HEO MISC AURORA"/>
    <s v="N199"/>
    <s v="OM-INTERNAL ORDER"/>
    <s v="A-SURFACE"/>
    <s v="OP"/>
    <n v="1250403"/>
    <s v="A-SURFACE"/>
    <m/>
    <m/>
    <m/>
    <s v="A-SURFACE"/>
    <s v="LTL"/>
    <s v="DAP"/>
    <s v="Prepaid"/>
    <m/>
    <m/>
    <m/>
    <m/>
    <m/>
    <m/>
    <m/>
    <s v="0"/>
    <s v="0"/>
  </r>
  <r>
    <s v="SJ2"/>
    <s v="5003270"/>
    <s v="ARRIS TECHNOLOGY, INC."/>
    <s v="RDM - ROTTERDAM NL"/>
    <s v="R015P59L2"/>
    <s v="SJ2_STAG"/>
    <s v="ARRIS TECHNOLOGY, INC., C/O DB SCHENKER LOGISTICS NETHERLANDS"/>
    <s v="BU SEAFREIGHT"/>
    <s v="NL"/>
    <s v="KV ROTTERDAM"/>
    <s v="3197"/>
    <s v="CH3000N"/>
    <s v="CHASSIS NO COVERS 3RU"/>
    <s v="90711077"/>
    <s v="1.1"/>
    <x v="323"/>
    <n v="1961897"/>
    <d v="2016-10-27T00:18:05"/>
    <m/>
    <d v="2016-10-27T00:00:00"/>
    <d v="2016-11-03T00:00:00"/>
    <d v="2016-10-27T00:00:00"/>
    <m/>
    <n v="20"/>
    <n v="20"/>
    <n v="2825.6"/>
    <n v="2825.6"/>
    <s v="N199"/>
    <s v="NWK ACCESS TECH"/>
    <s v="HEO"/>
    <s v="HEO MISC AURORA"/>
    <s v="N199"/>
    <s v="OM-INTERNAL ORDER"/>
    <s v="A-SURFACE"/>
    <s v="OP"/>
    <n v="1250403"/>
    <s v="A-SURFACE"/>
    <m/>
    <m/>
    <m/>
    <s v="A-SURFACE"/>
    <s v="LTL"/>
    <s v="DAP"/>
    <s v="Prepaid"/>
    <m/>
    <m/>
    <m/>
    <m/>
    <m/>
    <m/>
    <m/>
    <s v="0"/>
    <s v="0"/>
  </r>
  <r>
    <s v="SJ2"/>
    <s v="5003270"/>
    <s v="ARRIS TECHNOLOGY, INC."/>
    <s v="RDM - ROTTERDAM NL"/>
    <s v="R015P39L5"/>
    <s v="SJ2_STAG"/>
    <s v="ARRIS TECHNOLOGY, INC., C/O DB SCHENKER LOGISTICS NETHERLANDS"/>
    <s v="BU SEAFREIGHT"/>
    <s v="NL"/>
    <s v="KV ROTTERDAM"/>
    <s v="3197"/>
    <s v="CH3000N"/>
    <s v="CHASSIS NO COVERS 3RU"/>
    <s v="90711077"/>
    <s v="1.1"/>
    <x v="323"/>
    <n v="1961897"/>
    <d v="2016-10-27T00:18:05"/>
    <m/>
    <d v="2016-10-27T00:00:00"/>
    <d v="2016-11-03T00:00:00"/>
    <d v="2016-10-27T00:00:00"/>
    <m/>
    <n v="13"/>
    <n v="13"/>
    <n v="1836.64"/>
    <n v="1836.64"/>
    <s v="N199"/>
    <s v="NWK ACCESS TECH"/>
    <s v="HEO"/>
    <s v="HEO MISC AURORA"/>
    <s v="N199"/>
    <s v="OM-INTERNAL ORDER"/>
    <s v="A-SURFACE"/>
    <s v="OP"/>
    <n v="1250403"/>
    <s v="A-SURFACE"/>
    <m/>
    <m/>
    <m/>
    <s v="A-SURFACE"/>
    <s v="LTL"/>
    <s v="DAP"/>
    <s v="Prepaid"/>
    <m/>
    <m/>
    <m/>
    <m/>
    <m/>
    <m/>
    <m/>
    <s v="0"/>
    <s v="0"/>
  </r>
  <r>
    <s v="SJ2"/>
    <s v="5003270"/>
    <s v="ARRIS TECHNOLOGY, INC."/>
    <s v="RDM - ROTTERDAM NL"/>
    <s v="R022P78L3"/>
    <s v="SJ2_STAG"/>
    <s v="ARRIS TECHNOLOGY, INC., C/O DB SCHENKER LOGISTICS NETHERLANDS"/>
    <s v="BU SEAFREIGHT"/>
    <s v="NL"/>
    <s v="KV ROTTERDAM"/>
    <s v="3197"/>
    <s v="RR4000-00-PI"/>
    <s v="RCVR DUAL PLUGGABLE SFP 3 GBPS"/>
    <s v="90711079"/>
    <s v="1.1"/>
    <x v="323"/>
    <n v="1961897"/>
    <d v="2016-10-27T00:23:52"/>
    <m/>
    <d v="2016-10-27T00:00:00"/>
    <d v="2016-11-04T00:00:00"/>
    <d v="2016-10-28T00:00:00"/>
    <m/>
    <n v="78"/>
    <n v="78"/>
    <n v="4524"/>
    <n v="4524"/>
    <s v="N224"/>
    <s v="NWK ACCESS TECH"/>
    <s v="ACCESS OTHER"/>
    <s v="OTHER AURORA"/>
    <s v="N224"/>
    <s v="OM-INTERNAL ORDER"/>
    <s v="A-SURFACE"/>
    <s v="OP"/>
    <n v="1250403"/>
    <s v="A-SURFACE"/>
    <m/>
    <m/>
    <m/>
    <s v="A-SURFACE"/>
    <s v="LTL"/>
    <s v="DAP"/>
    <s v="Prepaid"/>
    <m/>
    <m/>
    <m/>
    <m/>
    <m/>
    <m/>
    <m/>
    <s v="0"/>
    <s v="0"/>
  </r>
  <r>
    <s v="SJ2"/>
    <s v="5003270"/>
    <s v="ARRIS TECHNOLOGY, INC."/>
    <s v="RDM - ROTTERDAM NL"/>
    <s v="R023P59L2"/>
    <s v="SJ2_STAG"/>
    <s v="ARRIS TECHNOLOGY, INC., C/O DB SCHENKER LOGISTICS NETHERLANDS"/>
    <s v="BU SEAFREIGHT"/>
    <s v="NL"/>
    <s v="KV ROTTERDAM"/>
    <s v="3197"/>
    <s v="AR3001H-AS"/>
    <s v="ANALOG RETURN RX DUAL 5-100MHZ"/>
    <s v="90711086"/>
    <s v="1.1"/>
    <x v="328"/>
    <n v="1962751"/>
    <d v="2016-10-27T16:12:28"/>
    <m/>
    <d v="2016-10-27T00:00:00"/>
    <d v="2016-10-26T00:00:00"/>
    <d v="2016-10-27T00:00:00"/>
    <m/>
    <n v="10"/>
    <m/>
    <n v="3682.4"/>
    <m/>
    <s v="HE62"/>
    <s v="NWK ACCESS TECH"/>
    <s v="HEO"/>
    <s v="HEO MISC"/>
    <s v="AHEO"/>
    <s v="OM-INTERNAL ORDER"/>
    <s v="A-SURFACE"/>
    <s v="OP"/>
    <n v="1250809"/>
    <s v="A-SURFACE"/>
    <m/>
    <m/>
    <m/>
    <s v="A-SURFACE"/>
    <s v="LTL"/>
    <s v="DAP"/>
    <s v="Prepaid"/>
    <m/>
    <m/>
    <m/>
    <m/>
    <m/>
    <m/>
    <m/>
    <s v="0"/>
    <s v="0"/>
  </r>
  <r>
    <s v="SJ2"/>
    <s v="5003270"/>
    <s v="ARRIS TECHNOLOGY, INC."/>
    <s v="RDM - ROTTERDAM NL"/>
    <s v="R023P46L1"/>
    <s v="SJ2_STAG"/>
    <s v="ARRIS TECHNOLOGY, INC., C/O DB SCHENKER LOGISTICS NETHERLANDS"/>
    <s v="BU SEAFREIGHT"/>
    <s v="NL"/>
    <s v="KV ROTTERDAM"/>
    <s v="3197"/>
    <s v="AR3001-AS"/>
    <s v="ANALOG RETURN RX DUAL 5-225MHz"/>
    <s v="90711086"/>
    <s v="2.1"/>
    <x v="328"/>
    <n v="1962752"/>
    <d v="2016-10-27T16:12:28"/>
    <m/>
    <d v="2016-10-27T00:00:00"/>
    <d v="2016-10-26T00:00:00"/>
    <d v="2016-10-27T00:00:00"/>
    <m/>
    <n v="1"/>
    <m/>
    <n v="366.59"/>
    <m/>
    <s v="N023"/>
    <s v="NWK ACCESS TECH"/>
    <s v="HEO"/>
    <s v="RECEIVERS AURORA"/>
    <s v="N023"/>
    <s v="OM-INTERNAL ORDER"/>
    <s v="A-SURFACE"/>
    <s v="OP"/>
    <n v="1250809"/>
    <s v="A-SURFACE"/>
    <m/>
    <m/>
    <m/>
    <s v="A-SURFACE"/>
    <s v="LTL"/>
    <s v="DAP"/>
    <s v="Prepaid"/>
    <m/>
    <m/>
    <m/>
    <m/>
    <m/>
    <m/>
    <m/>
    <s v="0"/>
    <s v="0"/>
  </r>
  <r>
    <s v="SJ2"/>
    <s v="5003270"/>
    <s v="ARRIS TECHNOLOGY, INC."/>
    <s v="RDM - ROTTERDAM NL"/>
    <s v="R023P46L1"/>
    <s v="SJ2_STAG"/>
    <s v="ARRIS TECHNOLOGY, INC., C/O DB SCHENKER LOGISTICS NETHERLANDS"/>
    <s v="BU SEAFREIGHT"/>
    <s v="NL"/>
    <s v="KV ROTTERDAM"/>
    <s v="3197"/>
    <s v="AR3001-AS"/>
    <s v="ANALOG RETURN RX DUAL 5-225MHz"/>
    <m/>
    <s v="3.1"/>
    <x v="328"/>
    <n v="1962752"/>
    <d v="2016-10-27T16:12:28"/>
    <m/>
    <d v="2016-10-27T00:00:00"/>
    <d v="2016-10-26T00:00:00"/>
    <d v="2016-10-27T00:00:00"/>
    <m/>
    <n v="1"/>
    <m/>
    <n v="366.59"/>
    <m/>
    <s v="N023"/>
    <s v="NWK ACCESS TECH"/>
    <s v="HEO"/>
    <s v="RECEIVERS AURORA"/>
    <s v="N023"/>
    <s v="OM-INTERNAL ORDER"/>
    <s v="A-SURFACE"/>
    <s v="OP"/>
    <n v="1250809"/>
    <s v="A-SURFACE"/>
    <m/>
    <m/>
    <m/>
    <s v="A-SURFACE"/>
    <s v="LTL"/>
    <s v="DAP"/>
    <s v="Prepaid"/>
    <m/>
    <m/>
    <m/>
    <m/>
    <m/>
    <m/>
    <m/>
    <s v="0"/>
    <s v="0"/>
  </r>
  <r>
    <s v="SJ2"/>
    <s v="5003270"/>
    <s v="ARRIS TECHNOLOGY, INC."/>
    <s v="RDM - ROTTERDAM NL"/>
    <s v="R023P11L5"/>
    <s v="SJ2_STAG"/>
    <s v="ARRIS TECHNOLOGY, INC., C/O DB SCHENKER LOGISTICS NETHERLANDS"/>
    <s v="BU SEAFREIGHT"/>
    <s v="NL"/>
    <s v="KV ROTTERDAM"/>
    <s v="3197"/>
    <s v="AT3303G-A-2-AS"/>
    <s v="ANLG XMTR 1310NM 1GHZ D-IN N-G"/>
    <s v="90711088"/>
    <s v="1.1"/>
    <x v="328"/>
    <n v="1962751"/>
    <d v="2016-10-27T16:23:11"/>
    <m/>
    <d v="2016-10-27T00:00:00"/>
    <d v="2016-10-28T00:00:00"/>
    <d v="2016-10-27T00:00:00"/>
    <m/>
    <n v="2"/>
    <m/>
    <n v="1004.9"/>
    <m/>
    <s v="HE63"/>
    <s v="NWK ACCESS TECH"/>
    <s v="HEO"/>
    <s v="TRANSMITTER"/>
    <s v="AT"/>
    <s v="OM-INTERNAL ORDER"/>
    <s v="A-SURFACE"/>
    <s v="OP"/>
    <n v="1250809"/>
    <s v="A-SURFACE"/>
    <m/>
    <m/>
    <m/>
    <s v="A-SURFACE"/>
    <s v="LTL"/>
    <s v="DAP"/>
    <s v="Prepaid"/>
    <m/>
    <m/>
    <m/>
    <m/>
    <m/>
    <m/>
    <m/>
    <s v="0"/>
    <s v="0"/>
  </r>
  <r>
    <s v="SJ2"/>
    <s v="5003270"/>
    <s v="ARRIS TECHNOLOGY, INC."/>
    <s v="RDM - ROTTERDAM NL"/>
    <s v="R022P53L7"/>
    <s v="SJ2_STAG"/>
    <s v="ARRIS TECHNOLOGY, INC., C/O DB SCHENKER LOGISTICS NETHERLANDS"/>
    <s v="BU SEAFREIGHT"/>
    <s v="NL"/>
    <s v="KV ROTTERDAM"/>
    <s v="3197"/>
    <s v="BD31A4-100-H12F-0-AS"/>
    <s v="OPT PASSTHRU BD 4 XMTR 4 BC 4"/>
    <s v="90711088"/>
    <s v="11.1"/>
    <x v="328"/>
    <n v="1962752"/>
    <d v="2016-10-27T16:23:11"/>
    <m/>
    <d v="2016-10-27T00:00:00"/>
    <d v="2016-10-28T00:00:00"/>
    <d v="2016-10-27T00:00:00"/>
    <m/>
    <n v="1"/>
    <m/>
    <n v="305.88"/>
    <m/>
    <s v="N258"/>
    <s v="NWK ACCESS TECH"/>
    <s v="HEO"/>
    <s v="TRANSMITTERS AURORA"/>
    <s v="HDTX"/>
    <s v="OM-INTERNAL ORDER"/>
    <s v="A-SURFACE"/>
    <s v="OP"/>
    <n v="1250809"/>
    <s v="A-SURFACE"/>
    <m/>
    <m/>
    <m/>
    <s v="A-SURFACE"/>
    <s v="LTL"/>
    <s v="DAP"/>
    <s v="Prepaid"/>
    <m/>
    <m/>
    <m/>
    <m/>
    <m/>
    <m/>
    <m/>
    <s v="0"/>
    <s v="0"/>
  </r>
  <r>
    <s v="SJ2"/>
    <s v="5003270"/>
    <s v="ARRIS TECHNOLOGY, INC."/>
    <s v="RDM - ROTTERDAM NL"/>
    <s v="R022P59L4"/>
    <s v="SJ2_STAG"/>
    <s v="ARRIS TECHNOLOGY, INC., C/O DB SCHENKER LOGISTICS NETHERLANDS"/>
    <s v="BU SEAFREIGHT"/>
    <s v="NL"/>
    <s v="KV ROTTERDAM"/>
    <s v="3197"/>
    <s v="HT3541H-D-A340-2-AS"/>
    <s v="XMTR DD 1.2GHZ FULL SPECTRUM 3"/>
    <s v="90711088"/>
    <s v="12.1"/>
    <x v="328"/>
    <n v="1962751"/>
    <d v="2016-10-27T16:23:11"/>
    <m/>
    <d v="2016-10-27T00:00:00"/>
    <d v="2016-10-28T00:00:00"/>
    <d v="2016-10-27T00:00:00"/>
    <m/>
    <n v="4"/>
    <m/>
    <n v="2594.2928000000002"/>
    <m/>
    <s v="HE64"/>
    <s v="NWK ACCESS TECH"/>
    <s v="HEO"/>
    <s v="TRANSMITTER"/>
    <s v="HT"/>
    <s v="OM-INTERNAL ORDER"/>
    <s v="A-SURFACE"/>
    <s v="OP"/>
    <n v="1250809"/>
    <s v="A-SURFACE"/>
    <m/>
    <m/>
    <m/>
    <s v="A-SURFACE"/>
    <s v="LTL"/>
    <s v="DAP"/>
    <s v="Prepaid"/>
    <m/>
    <m/>
    <m/>
    <m/>
    <m/>
    <m/>
    <m/>
    <s v="0"/>
    <s v="0"/>
  </r>
  <r>
    <s v="SJ2"/>
    <s v="5003270"/>
    <s v="ARRIS TECHNOLOGY, INC."/>
    <s v="RDM - ROTTERDAM NL"/>
    <s v="R023P73L6"/>
    <s v="SJ2_STAG"/>
    <s v="ARRIS TECHNOLOGY, INC., C/O DB SCHENKER LOGISTICS NETHERLANDS"/>
    <s v="BU SEAFREIGHT"/>
    <s v="NL"/>
    <s v="KV ROTTERDAM"/>
    <s v="3197"/>
    <s v="CX3002"/>
    <s v="COMMUNICATIONS MODULE"/>
    <s v="90711088"/>
    <s v="2.1"/>
    <x v="328"/>
    <n v="1962752"/>
    <d v="2016-10-27T16:23:11"/>
    <m/>
    <d v="2016-10-27T00:00:00"/>
    <d v="2016-11-02T00:00:00"/>
    <d v="2016-10-27T00:00:00"/>
    <m/>
    <n v="2"/>
    <m/>
    <n v="414.28"/>
    <m/>
    <s v="N080"/>
    <s v="NWK ACCESS TECH"/>
    <s v="HEO"/>
    <s v="HEO MISC AURORA"/>
    <s v="N080"/>
    <s v="OM-INTERNAL ORDER"/>
    <s v="A-SURFACE"/>
    <s v="OP"/>
    <n v="1250809"/>
    <s v="A-SURFACE"/>
    <m/>
    <m/>
    <m/>
    <s v="A-SURFACE"/>
    <s v="LTL"/>
    <s v="DAP"/>
    <s v="Prepaid"/>
    <m/>
    <m/>
    <m/>
    <m/>
    <m/>
    <m/>
    <m/>
    <s v="0"/>
    <s v="0"/>
  </r>
  <r>
    <s v="SJ2"/>
    <s v="5003270"/>
    <s v="ARRIS TECHNOLOGY, INC."/>
    <s v="RDM - ROTTERDAM NL"/>
    <s v="R023P08L3"/>
    <s v="SJ2_STAG"/>
    <s v="ARRIS TECHNOLOGY, INC., C/O DB SCHENKER LOGISTICS NETHERLANDS"/>
    <s v="BU SEAFREIGHT"/>
    <s v="NL"/>
    <s v="KV ROTTERDAM"/>
    <s v="3197"/>
    <s v="FA3514D-00-AS"/>
    <s v="FIBEROPTIC AMPLIFIER DUAL 14DB"/>
    <s v="90711088"/>
    <s v="8.1"/>
    <x v="328"/>
    <n v="1962751"/>
    <d v="2016-10-27T16:23:11"/>
    <m/>
    <d v="2016-10-27T00:00:00"/>
    <d v="2016-10-28T00:00:00"/>
    <d v="2016-10-27T00:00:00"/>
    <m/>
    <n v="2"/>
    <m/>
    <n v="2798.64"/>
    <m/>
    <s v="N125"/>
    <s v="NWK ACCESS TECH"/>
    <s v="HEO"/>
    <s v="HEO MISC AURORA"/>
    <s v="EDFA"/>
    <s v="OM-INTERNAL ORDER"/>
    <s v="A-SURFACE"/>
    <s v="OP"/>
    <n v="1250809"/>
    <s v="A-SURFACE"/>
    <m/>
    <m/>
    <m/>
    <s v="A-SURFACE"/>
    <s v="LTL"/>
    <s v="DAP"/>
    <s v="Prepaid"/>
    <m/>
    <m/>
    <m/>
    <m/>
    <m/>
    <m/>
    <m/>
    <s v="0"/>
    <s v="0"/>
  </r>
  <r>
    <s v="SJ2"/>
    <s v="5003270"/>
    <s v="ARRIS TECHNOLOGY, INC."/>
    <s v="RDM - ROTTERDAM NL"/>
    <s v="R023P69L5"/>
    <s v="SJ2_STAG"/>
    <s v="ARRIS TECHNOLOGY, INC., C/O DB SCHENKER LOGISTICS NETHERLANDS"/>
    <s v="BU SEAFREIGHT"/>
    <s v="NL"/>
    <s v="KV ROTTERDAM"/>
    <s v="3197"/>
    <s v="HOA7020H-GF-AE-8L"/>
    <s v="EDFA 20DBM HIGH INPUT GAIN FLT"/>
    <s v="90711089"/>
    <s v="1.1"/>
    <x v="329"/>
    <n v="1962822"/>
    <d v="2016-10-27T18:25:14"/>
    <m/>
    <d v="2016-10-27T00:00:00"/>
    <d v="2016-11-04T00:00:00"/>
    <d v="2016-10-28T00:00:00"/>
    <m/>
    <n v="1"/>
    <m/>
    <n v="2227.59"/>
    <m/>
    <s v="N128"/>
    <s v="NWK ACCESS TECH"/>
    <s v="HEO"/>
    <s v="HEO MISC AURORA"/>
    <s v="N128"/>
    <s v="OM-INTERNAL ORDER"/>
    <s v="A-SURFACE"/>
    <s v="OP"/>
    <n v="1250862"/>
    <s v="A-SURFACE"/>
    <m/>
    <m/>
    <m/>
    <s v="A-SURFACE"/>
    <s v="LTL"/>
    <s v="DAP"/>
    <s v="Prepaid"/>
    <m/>
    <m/>
    <m/>
    <m/>
    <m/>
    <m/>
    <m/>
    <s v="0"/>
    <s v="0"/>
  </r>
  <r>
    <s v="SJ2"/>
    <s v="5003270"/>
    <s v="ARRIS TECHNOLOGY, INC."/>
    <s v="RDM - ROTTERDAM NL"/>
    <s v="R023P72L8"/>
    <s v="SJ2_STAG"/>
    <s v="ARRIS TECHNOLOGY, INC., C/O DB SCHENKER LOGISTICS NETHERLANDS"/>
    <s v="BU SEAFREIGHT"/>
    <s v="NL"/>
    <s v="KV ROTTERDAM"/>
    <s v="3197"/>
    <s v="NP35R03S00Z0S-0LA-AS"/>
    <s v="CIR LGX 1550NM 3-PORT SC/APC S"/>
    <s v="90711096"/>
    <s v="1.1"/>
    <x v="330"/>
    <n v="1963345"/>
    <d v="2016-10-28T04:13:58"/>
    <m/>
    <d v="2016-10-28T00:00:00"/>
    <d v="2016-10-31T00:00:00"/>
    <d v="2016-10-28T00:00:00"/>
    <m/>
    <n v="1"/>
    <m/>
    <n v="366.99"/>
    <m/>
    <s v="N148"/>
    <s v="NWK ACCESS TECH"/>
    <s v="OPTICAL PASSIVES"/>
    <s v="INDOOR PASSIVES AURORA"/>
    <s v="N148"/>
    <s v="OM-INTERNAL ORDER"/>
    <s v="A-SURFACE"/>
    <s v="OP"/>
    <n v="1251136"/>
    <s v="A-SURFACE"/>
    <m/>
    <m/>
    <m/>
    <s v="A-SURFACE"/>
    <s v="LTL"/>
    <s v="DAP"/>
    <s v="Prepaid"/>
    <m/>
    <m/>
    <m/>
    <m/>
    <m/>
    <m/>
    <m/>
    <s v="0"/>
    <s v="0"/>
  </r>
  <r>
    <s v="SJ2"/>
    <s v="5003270"/>
    <s v="ARRIS TECHNOLOGY, INC."/>
    <s v="RDM - ROTTERDAM NL"/>
    <s v="R023P68L9"/>
    <s v="SJ2_STAG"/>
    <s v="ARRIS TECHNOLOGY, INC., C/O DB SCHENKER LOGISTICS NETHERLANDS"/>
    <s v="BU SEAFREIGHT"/>
    <s v="NL"/>
    <s v="KV ROTTERDAM"/>
    <s v="3197"/>
    <s v="NP35R03S00Z0S-0LA-AS"/>
    <s v="CIR LGX 1550NM 3-PORT SC/APC S"/>
    <s v="90711096"/>
    <s v="1.1"/>
    <x v="330"/>
    <n v="1963345"/>
    <d v="2016-10-28T04:13:58"/>
    <m/>
    <d v="2016-10-28T00:00:00"/>
    <d v="2016-10-31T00:00:00"/>
    <d v="2016-10-28T00:00:00"/>
    <m/>
    <n v="1"/>
    <m/>
    <n v="366.99"/>
    <m/>
    <s v="N148"/>
    <s v="NWK ACCESS TECH"/>
    <s v="OPTICAL PASSIVES"/>
    <s v="INDOOR PASSIVES AURORA"/>
    <s v="N148"/>
    <s v="OM-INTERNAL ORDER"/>
    <s v="A-SURFACE"/>
    <s v="OP"/>
    <n v="1251136"/>
    <s v="A-SURFACE"/>
    <m/>
    <m/>
    <m/>
    <s v="A-SURFACE"/>
    <s v="LTL"/>
    <s v="DAP"/>
    <s v="Prepaid"/>
    <m/>
    <m/>
    <m/>
    <m/>
    <m/>
    <m/>
    <m/>
    <s v="0"/>
    <s v="0"/>
  </r>
  <r>
    <s v="SJ2"/>
    <s v="5003270"/>
    <s v="ARRIS TECHNOLOGY, INC."/>
    <s v="RDM - ROTTERDAM NL"/>
    <s v="R023P47L4"/>
    <s v="SJ2_STAG"/>
    <s v="ARRIS TECHNOLOGY, INC., C/O DB SCHENKER LOGISTICS NETHERLANDS"/>
    <s v="BU SEAFREIGHT"/>
    <s v="NL"/>
    <s v="KV ROTTERDAM"/>
    <s v="3197"/>
    <s v="OA-02-00-AS"/>
    <s v="ATTENUATOR STD OPT SC/APC-SC/A"/>
    <s v="90711096"/>
    <s v="2.1"/>
    <x v="330"/>
    <n v="1963345"/>
    <d v="2016-10-28T04:13:58"/>
    <m/>
    <d v="2016-10-28T00:00:00"/>
    <d v="2016-10-31T00:00:00"/>
    <d v="2016-10-28T00:00:00"/>
    <m/>
    <n v="1"/>
    <m/>
    <n v="11.5"/>
    <m/>
    <s v="N224"/>
    <s v="NWK ACCESS TECH"/>
    <s v="ACCESS OTHER"/>
    <s v="OTHER AURORA"/>
    <s v="N224"/>
    <s v="OM-INTERNAL ORDER"/>
    <s v="A-SURFACE"/>
    <s v="OP"/>
    <n v="1251136"/>
    <s v="A-SURFACE"/>
    <m/>
    <m/>
    <m/>
    <s v="A-SURFACE"/>
    <s v="LTL"/>
    <s v="DAP"/>
    <s v="Prepaid"/>
    <m/>
    <m/>
    <m/>
    <m/>
    <m/>
    <m/>
    <m/>
    <s v="0"/>
    <s v="0"/>
  </r>
  <r>
    <s v="SJ2"/>
    <s v="5003270"/>
    <s v="ARRIS TECHNOLOGY, INC."/>
    <s v="RDM - ROTTERDAM NL"/>
    <s v="R022P66L2"/>
    <s v="SJ2_STAG"/>
    <s v="ARRIS TECHNOLOGY, INC., C/O DB SCHENKER LOGISTICS NETHERLANDS"/>
    <s v="BU SEAFREIGHT"/>
    <s v="NL"/>
    <s v="KV ROTTERDAM"/>
    <s v="3197"/>
    <s v="OA-05-00-AS"/>
    <s v="ATTENUATOR STD OPT SC/APC-SC/A"/>
    <s v="90711096"/>
    <s v="3.1"/>
    <x v="330"/>
    <n v="1963345"/>
    <d v="2016-10-28T04:13:58"/>
    <m/>
    <d v="2016-10-28T00:00:00"/>
    <d v="2016-10-31T00:00:00"/>
    <d v="2016-10-28T00:00:00"/>
    <m/>
    <n v="2"/>
    <m/>
    <n v="23"/>
    <m/>
    <s v="N224"/>
    <s v="NWK ACCESS TECH"/>
    <s v="ACCESS OTHER"/>
    <s v="OTHER AURORA"/>
    <s v="N224"/>
    <s v="OM-INTERNAL ORDER"/>
    <s v="A-SURFACE"/>
    <s v="OP"/>
    <n v="1251136"/>
    <s v="A-SURFACE"/>
    <m/>
    <m/>
    <m/>
    <s v="A-SURFACE"/>
    <s v="LTL"/>
    <s v="DAP"/>
    <s v="Prepaid"/>
    <m/>
    <m/>
    <m/>
    <m/>
    <m/>
    <m/>
    <m/>
    <s v="0"/>
    <s v="0"/>
  </r>
  <r>
    <s v="SJ2"/>
    <s v="5003270"/>
    <s v="ARRIS TECHNOLOGY, INC."/>
    <s v="RDM - ROTTERDAM NL"/>
    <s v="R022P29L1"/>
    <s v="SJ2_STAG"/>
    <s v="ARRIS TECHNOLOGY, INC., C/O DB SCHENKER LOGISTICS NETHERLANDS"/>
    <s v="BU SEAFREIGHT"/>
    <s v="NL"/>
    <s v="KV ROTTERDAM"/>
    <s v="3197"/>
    <s v="AT3313G-E-1-AS"/>
    <s v="ANLG XMTR 1310nm 1GHz SGL INP"/>
    <s v="90711102"/>
    <s v="1.1"/>
    <x v="331"/>
    <n v="1963573"/>
    <d v="2016-10-26T13:02:01"/>
    <m/>
    <d v="2016-10-28T00:00:00"/>
    <d v="2016-10-28T00:00:00"/>
    <d v="2016-10-28T00:00:00"/>
    <m/>
    <n v="3"/>
    <m/>
    <n v="2685"/>
    <m/>
    <s v="N002"/>
    <s v="NWK ACCESS TECH"/>
    <s v="HEO"/>
    <s v="TRANSMITTERS AURORA"/>
    <s v="N002"/>
    <s v="OM-INTERNAL ORDER"/>
    <s v="A-SURFACE"/>
    <s v="OP"/>
    <n v="1251337"/>
    <s v="A-SURFACE"/>
    <m/>
    <m/>
    <m/>
    <s v="A-SURFACE"/>
    <s v="LTL"/>
    <s v="DAP"/>
    <s v="Prepaid"/>
    <m/>
    <m/>
    <m/>
    <m/>
    <m/>
    <m/>
    <m/>
    <s v="0"/>
    <s v="0"/>
  </r>
  <r>
    <s v="SJ2"/>
    <s v="5006915"/>
    <s v="ADVANCED MEDIA TECHNOLOGIES(LATIN AMERICA)"/>
    <s v="DEERFIELD BEACH"/>
    <s v="R023P14L3"/>
    <s v="SJ2_STAG"/>
    <s v="ADVANCED MEDIA TECHNOLOGIES- LATIN AMERICA"/>
    <s v="3150 SW 15th St"/>
    <s v="FL"/>
    <s v="Deerfield Beach"/>
    <s v="33442-8188"/>
    <s v="OP91S4S-EQ-R2-00"/>
    <s v="FIELD COUPLER 1X4 BAL S-CASE 2"/>
    <s v="20112817"/>
    <s v="10.1"/>
    <x v="332"/>
    <n v="1951506"/>
    <d v="2016-09-22T17:19:59"/>
    <m/>
    <d v="2016-10-15T00:00:00"/>
    <d v="2016-10-03T00:00:00"/>
    <d v="2016-10-17T00:00:00"/>
    <m/>
    <n v="2"/>
    <m/>
    <n v="234"/>
    <m/>
    <s v="N156"/>
    <s v="NWK ACCESS TECH"/>
    <s v="ACCESS OTHER"/>
    <s v="OTHER AURORA"/>
    <s v="N156"/>
    <s v="AS-STANDARD ORDER MIXED"/>
    <s v="A-SURFACE"/>
    <s v="OP"/>
    <n v="1243259"/>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15"/>
    <s v="ADVANCED MEDIA TECHNOLOGIES(LATIN AMERICA)"/>
    <s v="DEERFIELD BEACH"/>
    <s v="R022P52L1"/>
    <s v="SJ2_STAG"/>
    <s v="ADVANCED MEDIA TECHNOLOGIES- LATIN AMERICA"/>
    <s v="3150 SW 15th St"/>
    <s v="FL"/>
    <s v="Deerfield Beach"/>
    <s v="33442-8188"/>
    <s v="ATNMN01-AS-1L"/>
    <s v="ATTN MINI FIXED 1DB SC/APC"/>
    <s v="20112817"/>
    <s v="26.1"/>
    <x v="333"/>
    <n v="1956251"/>
    <d v="2016-09-22T17:19:59"/>
    <m/>
    <d v="2016-10-20T00:00:00"/>
    <d v="2016-10-03T00:00:00"/>
    <d v="2016-10-20T00:00:00"/>
    <m/>
    <n v="1"/>
    <n v="1"/>
    <n v="38"/>
    <n v="38"/>
    <s v="N224"/>
    <s v="NWK ACCESS TECH"/>
    <s v="ACCESS OTHER"/>
    <s v="OTHER AURORA"/>
    <s v="N224"/>
    <s v="AS-STANDARD ORDER MIXED"/>
    <s v="A-SURFACE"/>
    <s v="OP"/>
    <n v="1246243"/>
    <s v="A-SURFACE"/>
    <m/>
    <m/>
    <m/>
    <s v="A-SURFACE"/>
    <s v="LTL"/>
    <s v="EXW"/>
    <s v="Collect"/>
    <m/>
    <m/>
    <s v="&lt;150 lbs Ship FedEx GRD Acct # 293827516 contact dkornblum@amt.com for UPS Acct#, if &gt;150 lbs Ship ABF Acct# 536039-0001 Ship third party bill to AMT Deerfield beach do not insure for more than $1K- Mark BL with ref code:635 MW 667302"/>
    <s v="Send United States - Nafta Free Trade Agreement Certificate of Origin (if apply) when sending documentation for those items made in USA, Canada and Mexico Please provide the Certificate of Origin for each order Please provide the ECCN and Schedule B numbers for each order. PLEASE USE HEATED TREATED PALLETS"/>
    <m/>
    <m/>
    <m/>
    <s v="0"/>
    <s v="0"/>
  </r>
  <r>
    <s v="SJ2"/>
    <s v="5006935"/>
    <s v="ARRIS EXPENSE INTERNAL MIXED"/>
    <s v="SAN JOSE"/>
    <s v="R022P77L2"/>
    <s v="SJ2_STAG"/>
    <s v="ARRIS TECHNOLOGY, INC"/>
    <s v="1764 Automation Pkwy"/>
    <s v="CA"/>
    <s v="San Jose"/>
    <s v="95131-1873"/>
    <s v="CC3008"/>
    <s v="COMM CONTROL MODULE HIGH DENSI"/>
    <s v="20114505"/>
    <s v="1.2"/>
    <x v="334"/>
    <n v="1953882"/>
    <d v="2016-10-03T09:26:55"/>
    <m/>
    <d v="2016-10-18T00:00:00"/>
    <d v="2016-10-03T00:00:00"/>
    <d v="2016-10-19T00:00:00"/>
    <m/>
    <n v="1"/>
    <n v="1"/>
    <n v="100.4"/>
    <n v="100.4"/>
    <s v="N260"/>
    <s v="NWK ACCESS TECH"/>
    <s v="HEO"/>
    <s v="TRANSMITTERS AURORA"/>
    <s v="HDTX"/>
    <s v="AS-EXPENSE INTERNAL MIXED"/>
    <s v="FEDEX-GROUND"/>
    <s v="OP"/>
    <n v="1245368"/>
    <s v="A-SURFACE"/>
    <m/>
    <m/>
    <m/>
    <s v="FEDERAL EXPRESS"/>
    <s v="GND"/>
    <s v="DAP"/>
    <s v="Prepaid"/>
    <m/>
    <m/>
    <s v="JIM MILAN 408-895-1262"/>
    <m/>
    <n v="2"/>
    <n v="2"/>
    <m/>
    <s v="0"/>
    <s v="0"/>
  </r>
  <r>
    <s v="SJ2"/>
    <s v="5006935"/>
    <s v="ARRIS EXPENSE INTERNAL MIXED"/>
    <s v="HORSHAM001"/>
    <s v="R024P24L2B01"/>
    <s v="SJ2_STAG"/>
    <s v="ARRIS TECHNOLOGY, INC."/>
    <s v="101 Tournament Dr"/>
    <s v="PA"/>
    <s v="Horsham"/>
    <s v="19044-3603"/>
    <s v="CP8517U-00-10"/>
    <s v="CPE MDU RFOG PREM 1550/1610 5-"/>
    <s v="20116276"/>
    <s v="1.1"/>
    <x v="335"/>
    <n v="1961098"/>
    <d v="2016-10-11T12:54:46"/>
    <m/>
    <d v="2016-10-26T00:00:00"/>
    <d v="2016-10-11T00:00:00"/>
    <d v="2016-10-26T00:00:00"/>
    <m/>
    <n v="1"/>
    <n v="1"/>
    <n v="121.09"/>
    <n v="121.09"/>
    <s v="N235"/>
    <s v="NWK ACCESS TECH"/>
    <s v="HPON"/>
    <s v="CPE AURORA"/>
    <s v="CPE"/>
    <s v="AS-EXPENSE INTERNAL MIXED"/>
    <s v="A-SURFACE"/>
    <s v="OP"/>
    <n v="1249843"/>
    <s v="A-SURFACE"/>
    <m/>
    <m/>
    <m/>
    <s v="A-SURFACE"/>
    <s v="LTL"/>
    <s v="DAP"/>
    <s v="Prepaid"/>
    <m/>
    <m/>
    <s v="SHIP GROUND - CONTACT: DAVE CIAFFA (215) 323-2149 OR SHAMINO WANG 408) 895-1326"/>
    <m/>
    <m/>
    <m/>
    <m/>
    <s v="0"/>
    <s v="0"/>
  </r>
  <r>
    <s v="SJ2"/>
    <s v="5006935"/>
    <s v="ARRIS EXPENSE INTERNAL MIXED"/>
    <s v="SAN JOSE"/>
    <s v="R022P16L4"/>
    <s v="SJ2_STAG"/>
    <s v="ARRIS TECHNOLOGY, INC"/>
    <s v="1764 Automation Pkwy"/>
    <s v="CA"/>
    <s v="San Jose"/>
    <s v="95131-1873"/>
    <s v="BP-F4"/>
    <s v="BACKPLATE OPTICAL INP OPTICAL"/>
    <s v="20118296"/>
    <s v="1.1"/>
    <x v="336"/>
    <n v="1959618"/>
    <d v="2016-10-24T09:37:06"/>
    <m/>
    <d v="2016-10-24T00:00:00"/>
    <d v="2016-10-24T00:00:00"/>
    <d v="2016-10-24T00:00:00"/>
    <m/>
    <n v="1"/>
    <m/>
    <n v="0.50629999999999997"/>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8L3"/>
    <s v="SJ2_STAG"/>
    <s v="ARRIS TECHNOLOGY, INC"/>
    <s v="1764 Automation Pkwy"/>
    <s v="CA"/>
    <s v="San Jose"/>
    <s v="95131-1873"/>
    <s v="DX3515-32-1-1-AS"/>
    <s v="DGTL XPNDR 100KM 100GHZ 2.5GBP"/>
    <s v="20118296"/>
    <s v="11.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4L3"/>
    <s v="SJ2_STAG"/>
    <s v="ARRIS TECHNOLOGY, INC"/>
    <s v="1764 Automation Pkwy"/>
    <s v="CA"/>
    <s v="San Jose"/>
    <s v="95131-1873"/>
    <s v="DX3515-35-1-1-AS"/>
    <s v="DGTL XPNDR 100KM 100GHZ 2.5GBP"/>
    <s v="20118296"/>
    <s v="12.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4L2"/>
    <s v="SJ2_STAG"/>
    <s v="ARRIS TECHNOLOGY, INC"/>
    <s v="1764 Automation Pkwy"/>
    <s v="CA"/>
    <s v="San Jose"/>
    <s v="95131-1873"/>
    <s v="DX3515-38-1-1-AS"/>
    <s v="DGTL XPNDR 100KM 100GHZ 2.5GBP"/>
    <s v="20118296"/>
    <s v="13.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65L3"/>
    <s v="SJ2_STAG"/>
    <s v="ARRIS TECHNOLOGY, INC"/>
    <s v="1764 Automation Pkwy"/>
    <s v="CA"/>
    <s v="San Jose"/>
    <s v="95131-1873"/>
    <s v="DX3515-50-1-1-AS"/>
    <s v="DGTL XPNDR 100KM 100GHZ 2.5GBP"/>
    <s v="20118296"/>
    <s v="17.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56L3"/>
    <s v="SJ2_STAG"/>
    <s v="ARRIS TECHNOLOGY, INC"/>
    <s v="1764 Automation Pkwy"/>
    <s v="CA"/>
    <s v="San Jose"/>
    <s v="95131-1873"/>
    <s v="DX3515-53-1-1-AS"/>
    <s v="DGTL XPNDR 100KM 100GHZ 2.5GBP"/>
    <s v="20118296"/>
    <s v="18.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43L3"/>
    <s v="SJ2_STAG"/>
    <s v="ARRIS TECHNOLOGY, INC"/>
    <s v="1764 Automation Pkwy"/>
    <s v="CA"/>
    <s v="San Jose"/>
    <s v="95131-1873"/>
    <s v="DX3515-56-1-1-AS"/>
    <s v="DGTL XPNDR 100KM 100GHZ 2.5GBP"/>
    <s v="20118296"/>
    <s v="19.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4P13L5B02"/>
    <s v="SJ2_STAG"/>
    <s v="ARRIS TECHNOLOGY, INC"/>
    <s v="1764 Automation Pkwy"/>
    <s v="CA"/>
    <s v="San Jose"/>
    <s v="95131-1873"/>
    <s v="CH3000C"/>
    <s v="CHASSIS WITH COVERS 3RU"/>
    <s v="20118296"/>
    <s v="2.1"/>
    <x v="336"/>
    <n v="1959617"/>
    <d v="2016-10-24T09:37:06"/>
    <m/>
    <d v="2016-10-24T00:00:00"/>
    <d v="2016-10-24T00:00:00"/>
    <d v="2016-10-24T00:00:00"/>
    <m/>
    <n v="2"/>
    <m/>
    <n v="350.22"/>
    <m/>
    <s v="N199"/>
    <s v="NWK ACCESS TECH"/>
    <s v="HEO"/>
    <s v="HEO MISC AURORA"/>
    <s v="N199"/>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18L1"/>
    <s v="SJ2_STAG"/>
    <s v="ARRIS TECHNOLOGY, INC"/>
    <s v="1764 Automation Pkwy"/>
    <s v="CA"/>
    <s v="San Jose"/>
    <s v="95131-1873"/>
    <s v="DX3515-59-1-1-AS"/>
    <s v="DGTL XPNDR 100KM 100GHZ 2.5GBP"/>
    <s v="20118296"/>
    <s v="20.1"/>
    <x v="336"/>
    <n v="1959617"/>
    <d v="2016-10-24T09:37:06"/>
    <m/>
    <d v="2016-10-24T00:00:00"/>
    <d v="2016-10-24T00:00:00"/>
    <d v="2016-10-24T00:00:00"/>
    <m/>
    <n v="1"/>
    <m/>
    <n v="660.8"/>
    <m/>
    <s v="N056"/>
    <s v="NWK ACCESS TECH"/>
    <s v="HEO"/>
    <s v="HEO MISC AURORA"/>
    <s v="N056"/>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2P02L5"/>
    <s v="SJ2_STAG"/>
    <s v="ARRIS TECHNOLOGY, INC"/>
    <s v="1764 Automation Pkwy"/>
    <s v="CA"/>
    <s v="San Jose"/>
    <s v="95131-1873"/>
    <s v="NM4002-1"/>
    <s v="NC4 STATUS MONITOR PLUG-IN REV"/>
    <s v="20118296"/>
    <s v="22.1"/>
    <x v="337"/>
    <n v="1961486"/>
    <d v="2016-10-24T09:37:06"/>
    <m/>
    <d v="2016-10-26T00:00:00"/>
    <d v="2016-10-24T00:00:00"/>
    <d v="2016-10-26T00:00:00"/>
    <m/>
    <n v="3"/>
    <n v="3"/>
    <n v="68.099999999999994"/>
    <n v="68.099999999999994"/>
    <s v="N224"/>
    <s v="NWK ACCESS TECH"/>
    <s v="ACCESS OTHER"/>
    <s v="OTHER AURORA"/>
    <s v="N224"/>
    <s v="AS-EXPENSE INTERNAL MIXED"/>
    <s v="A-SURFACE"/>
    <s v="OP"/>
    <n v="1250097"/>
    <s v="A-SURFACE"/>
    <m/>
    <m/>
    <m/>
    <s v="A-SURFACE"/>
    <s v="LTL"/>
    <s v="DAP"/>
    <s v="Prepaid"/>
    <m/>
    <m/>
    <s v="SHIP GROUND - FOR INTERNAL REQUEST QUESTIONS CONTACT: PHILIP KOEHRING 408-895-1312"/>
    <m/>
    <m/>
    <m/>
    <m/>
    <s v="0"/>
    <s v="0"/>
  </r>
  <r>
    <s v="SJ2"/>
    <s v="5006935"/>
    <s v="ARRIS EXPENSE INTERNAL MIXED"/>
    <s v="SAN JOSE"/>
    <s v="R015P16L2"/>
    <s v="SJ2_STAG"/>
    <s v="ARRIS TECHNOLOGY, INC"/>
    <s v="1764 Automation Pkwy"/>
    <s v="CA"/>
    <s v="San Jose"/>
    <s v="95131-1873"/>
    <s v="PS3005D"/>
    <s v="POWER SUPPLY 250W CE TUV W/DIS"/>
    <s v="20118296"/>
    <s v="25.1"/>
    <x v="336"/>
    <n v="1959617"/>
    <d v="2016-10-24T09:37:06"/>
    <m/>
    <d v="2016-10-24T00:00:00"/>
    <d v="2016-10-24T00:00:00"/>
    <d v="2016-10-24T00:00:00"/>
    <m/>
    <n v="2"/>
    <m/>
    <n v="646.04"/>
    <m/>
    <s v="N204"/>
    <s v="NWK ACCESS TECH"/>
    <s v="ACCESS OTHER"/>
    <s v="OTHER AURORA"/>
    <s v="N20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23P48L8"/>
    <s v="SJ2_STAG"/>
    <s v="ARRIS TECHNOLOGY, INC"/>
    <s v="1764 Automation Pkwy"/>
    <s v="CA"/>
    <s v="San Jose"/>
    <s v="95131-1873"/>
    <s v="DL4001"/>
    <s v="LOAD ETHERNODE"/>
    <s v="20118296"/>
    <s v="3.1"/>
    <x v="336"/>
    <n v="1959619"/>
    <d v="2016-10-24T09:37:06"/>
    <m/>
    <d v="2016-10-24T00:00:00"/>
    <d v="2016-10-24T00:00:00"/>
    <d v="2016-10-24T00:00:00"/>
    <m/>
    <n v="3"/>
    <m/>
    <n v="1.5723"/>
    <m/>
    <s v="N224"/>
    <s v="NWK ACCESS TECH"/>
    <s v="ACCESS OTHER"/>
    <s v="OTHER AURORA"/>
    <s v="N224"/>
    <s v="AS-EXPENSE INTERNAL MIXED"/>
    <s v="A-SURFACE"/>
    <s v="OP"/>
    <n v="1248806"/>
    <s v="A-SURFACE"/>
    <m/>
    <m/>
    <m/>
    <s v="A-SURFACE"/>
    <s v="LTL"/>
    <s v="DAP"/>
    <s v="Prepaid"/>
    <m/>
    <m/>
    <s v="SHIP GROUND - FOR INTERNAL REQUEST QUESTIONS CONTACT: PHILIP KOEHRING 408-895-1312"/>
    <m/>
    <m/>
    <m/>
    <m/>
    <s v="0"/>
    <s v="0"/>
  </r>
  <r>
    <s v="SJ2"/>
    <s v="5006935"/>
    <s v="ARRIS EXPENSE INTERNAL MIXED"/>
    <s v="SAN JOSE"/>
    <s v="R015P52L2"/>
    <s v="SJ2_STAG"/>
    <s v="ARRIS TECHNOLOGY, INC"/>
    <s v="1764 Automation Pkwy"/>
    <s v="CA"/>
    <s v="San Jose"/>
    <s v="95131-1873"/>
    <s v="DT4250N-50-00"/>
    <s v="DGTL XCVR ENH MULTI-MODES OF O"/>
    <s v="20118296"/>
    <s v="4.1"/>
    <x v="336"/>
    <n v="1959617"/>
    <d v="2016-10-24T09:37:06"/>
    <m/>
    <d v="2016-10-24T00:00:00"/>
    <d v="2016-10-24T00:00:00"/>
    <d v="2016-10-24T00:00:00"/>
    <m/>
    <n v="3"/>
    <m/>
    <n v="440.25"/>
    <m/>
    <s v="N065"/>
    <s v="NWK ACCESS TECH"/>
    <s v="NODE"/>
    <s v="NODE MISC AURORA"/>
    <s v="N065"/>
    <s v="AS-EXPENSE INTERNAL MIXED"/>
    <s v="A-SURFACE"/>
    <s v="OP"/>
    <n v="1248806"/>
    <s v="A-SURFACE"/>
    <m/>
    <m/>
    <m/>
    <s v="A-SURFACE"/>
    <s v="LTL"/>
    <s v="DAP"/>
    <s v="Prepaid"/>
    <m/>
    <m/>
    <s v="SHIP GROUND - FOR INTERNAL REQUEST QUESTIONS CONTACT: PHILIP KOEHRING 408-895-1312"/>
    <m/>
    <m/>
    <m/>
    <m/>
    <s v="0"/>
    <s v="0"/>
  </r>
  <r>
    <s v="SJ2"/>
    <s v="5006935"/>
    <s v="ARRIS EXPENSE INTERNAL MIXED"/>
    <s v="New Taipei"/>
    <s v="R024P24L2B01"/>
    <s v="SJ2_STAG"/>
    <s v="ARRIS TAIWAN, LTD."/>
    <s v="NO.1, LANE 232,BAOQIAO RD.,"/>
    <m/>
    <s v="NEW TAIPEI"/>
    <m/>
    <s v="CP8517U-00-10"/>
    <s v="CPE MDU RFOG PREM 1550/1610 5-"/>
    <s v="20118762"/>
    <s v="3.1"/>
    <x v="338"/>
    <n v="1961343"/>
    <d v="2016-10-25T21:50:07"/>
    <m/>
    <d v="2016-10-26T00:00:00"/>
    <d v="2016-10-26T00:00:00"/>
    <d v="2016-10-26T00:00:00"/>
    <m/>
    <n v="3"/>
    <m/>
    <n v="363.27"/>
    <m/>
    <s v="N235"/>
    <s v="NWK ACCESS TECH"/>
    <s v="HPON"/>
    <s v="CPE AURORA"/>
    <s v="CPE"/>
    <s v="AS-EXPENSE INTERNAL MIXED"/>
    <s v="A-AIR 2DAY"/>
    <s v="OP"/>
    <n v="1250002"/>
    <s v="A-AIR"/>
    <m/>
    <m/>
    <m/>
    <s v="A-AIR"/>
    <s v="2DA"/>
    <s v="DAP"/>
    <s v="Prepaid"/>
    <m/>
    <m/>
    <s v="ATTN: MS. BILI HUANG, TEL: +886 229189145#692 E: bili.huang@arris.com"/>
    <m/>
    <m/>
    <m/>
    <m/>
    <s v="0"/>
    <s v="0"/>
  </r>
  <r>
    <s v="SJ2"/>
    <s v="5006935"/>
    <s v="ARRIS EXPENSE INTERNAL MIXED"/>
    <s v="New Taipei"/>
    <s v="R016P20L3B01"/>
    <s v="SJ2_STAG"/>
    <s v="ARRIS TAIWAN, LTD."/>
    <s v="NO.1, LANE 232,BAOQIAO RD.,"/>
    <m/>
    <s v="NEW TAIPEI"/>
    <m/>
    <s v="PS1911W-00"/>
    <s v="POWER ADPTR 120VAC-12VDC 525MA"/>
    <s v="20118762"/>
    <s v="4.1"/>
    <x v="338"/>
    <n v="1961343"/>
    <d v="2016-10-25T21:50:07"/>
    <m/>
    <d v="2016-10-26T00:00:00"/>
    <d v="2016-10-26T00:00:00"/>
    <d v="2016-10-26T00:00:00"/>
    <m/>
    <n v="6"/>
    <m/>
    <n v="12.72"/>
    <m/>
    <s v="N204"/>
    <s v="NWK ACCESS TECH"/>
    <s v="ACCESS OTHER"/>
    <s v="OTHER AURORA"/>
    <s v="N204"/>
    <s v="AS-EXPENSE INTERNAL MIXED"/>
    <s v="A-AIR 2DAY"/>
    <s v="OP"/>
    <n v="1250002"/>
    <s v="A-AIR"/>
    <m/>
    <m/>
    <m/>
    <s v="A-AIR"/>
    <s v="2DA"/>
    <s v="DAP"/>
    <s v="Prepaid"/>
    <m/>
    <m/>
    <s v="ATTN: MS. BILI HUANG, TEL: +886 229189145#692 E: bili.huang@arris.com"/>
    <m/>
    <m/>
    <m/>
    <m/>
    <s v="0"/>
    <s v="0"/>
  </r>
  <r>
    <s v="SJ2"/>
    <s v="5006935"/>
    <s v="ARRIS EXPENSE INTERNAL MIXED"/>
    <s v="New Taipei"/>
    <s v="R024P01L1B01"/>
    <s v="SJ2_STAG"/>
    <s v="ARRIS TAIWAN, LTD."/>
    <s v="NO.1, LANE 232,BAOQIAO RD.,"/>
    <m/>
    <s v="NEW TAIPEI"/>
    <m/>
    <s v="CE8300H-00"/>
    <s v="ENCLOSURE PRIMEX OUTDOOR SINGL"/>
    <s v="20118762"/>
    <s v="5.1"/>
    <x v="338"/>
    <n v="1961343"/>
    <d v="2016-10-25T21:50:07"/>
    <m/>
    <d v="2016-10-26T00:00:00"/>
    <d v="2016-10-26T00:00:00"/>
    <d v="2016-10-26T00:00:00"/>
    <m/>
    <n v="6"/>
    <m/>
    <n v="162.78"/>
    <m/>
    <s v="N224"/>
    <s v="NWK ACCESS TECH"/>
    <s v="ACCESS OTHER"/>
    <s v="OTHER AURORA"/>
    <s v="N224"/>
    <s v="AS-EXPENSE INTERNAL MIXED"/>
    <s v="A-AIR 2DAY"/>
    <s v="OP"/>
    <n v="1250002"/>
    <s v="A-AIR"/>
    <m/>
    <m/>
    <m/>
    <s v="A-AIR"/>
    <s v="2DA"/>
    <s v="DAP"/>
    <s v="Prepaid"/>
    <m/>
    <m/>
    <s v="ATTN: MS. BILI HUANG, TEL: +886 229189145#692 E: bili.huang@arris.com"/>
    <m/>
    <m/>
    <m/>
    <m/>
    <s v="0"/>
    <s v="0"/>
  </r>
  <r>
    <s v="SJ2"/>
    <s v="5008115"/>
    <s v="CEBRIDGE CONNECTIONS DBA SUDDENLINK"/>
    <s v="EUREKA001"/>
    <s v="R015P52L2"/>
    <s v="SJ2_STAG"/>
    <s v="CEQUEL COMMUNICATIONS DBA SUDDENLINK"/>
    <s v="911 W Wabash Ave"/>
    <s v="CA"/>
    <s v="Eureka"/>
    <s v="95501-2131"/>
    <s v="DT4250N-50-00"/>
    <s v="DGTL XCVR ENH MULTI-MODES OF O"/>
    <s v="20109162"/>
    <s v="10.1"/>
    <x v="339"/>
    <n v="1961350"/>
    <d v="2016-09-02T17:40:03"/>
    <m/>
    <d v="2016-10-26T00:00:00"/>
    <d v="2016-09-02T00:00:00"/>
    <d v="2016-10-26T00:00:00"/>
    <m/>
    <n v="1"/>
    <m/>
    <n v="325"/>
    <m/>
    <s v="N065"/>
    <s v="NWK ACCESS TECH"/>
    <s v="NODE"/>
    <s v="NODE MISC AURORA"/>
    <s v="N06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68L3"/>
    <s v="SJ2_STAG"/>
    <s v="CEQUEL COMMUNICATIONS DBA SUDDENLINK"/>
    <s v="911 W Wabash Ave"/>
    <s v="CA"/>
    <s v="Eureka"/>
    <s v="95501-2131"/>
    <s v="EQ4106"/>
    <s v="LINEAR EQL 4000 SER NODE 6dB 4"/>
    <s v="20109162"/>
    <s v="11.1"/>
    <x v="339"/>
    <n v="1961351"/>
    <d v="2016-09-02T17:40:03"/>
    <m/>
    <d v="2016-10-26T00:00:00"/>
    <d v="2016-09-02T00:00:00"/>
    <d v="2016-10-26T00:00:00"/>
    <m/>
    <n v="1"/>
    <m/>
    <n v="7"/>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EC1"/>
    <s v="SJ2_STAG"/>
    <s v="CEQUEL COMMUNICATIONS DBA SUDDENLINK"/>
    <s v="911 W Wabash Ave"/>
    <s v="CA"/>
    <s v="Eureka"/>
    <s v="95501-2131"/>
    <s v="HT3542H-D-A200-2-AS"/>
    <s v="XMTR DD 1.2GHZ FULL SPECTRUM 7"/>
    <s v="20109162"/>
    <s v="12.1"/>
    <x v="339"/>
    <n v="1961350"/>
    <d v="2016-09-02T17:40:03"/>
    <m/>
    <d v="2016-10-26T00:00:00"/>
    <d v="2016-09-02T00:00:00"/>
    <d v="2016-10-26T00:00:00"/>
    <m/>
    <n v="1"/>
    <m/>
    <n v="2275"/>
    <m/>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2L2"/>
    <s v="SJ2_STAG"/>
    <s v="CEQUEL COMMUNICATIONS DBA SUDDENLINK"/>
    <s v="911 W Wabash Ave"/>
    <s v="CA"/>
    <s v="Eureka"/>
    <s v="95501-2131"/>
    <s v="HT3542H-D-A210-2-AS"/>
    <s v="XMTR DD 1.2GHZ FULL SPECTRUM 7"/>
    <s v="20109162"/>
    <s v="13.1"/>
    <x v="339"/>
    <n v="1961350"/>
    <d v="2016-09-02T17:40:03"/>
    <m/>
    <d v="2016-10-26T00:00:00"/>
    <d v="2016-09-02T00:00:00"/>
    <d v="2016-10-26T00:00:00"/>
    <m/>
    <n v="1"/>
    <m/>
    <n v="2275"/>
    <m/>
    <s v="HE64"/>
    <s v="NWK ACCESS TECH"/>
    <s v="HEO"/>
    <s v="TRANSMITTER"/>
    <s v="HT"/>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1L1B02"/>
    <s v="SJ2_STAG"/>
    <s v="CEQUEL COMMUNICATIONS DBA SUDDENLINK"/>
    <s v="911 W Wabash Ave"/>
    <s v="CA"/>
    <s v="Eureka"/>
    <s v="95501-2131"/>
    <s v="JC1113"/>
    <s v="PATCH CORD SC/APC-SC/APC 3MM J"/>
    <s v="20109162"/>
    <s v="15.1"/>
    <x v="339"/>
    <n v="1961351"/>
    <d v="2016-09-02T17:40:03"/>
    <m/>
    <d v="2016-10-26T00:00:00"/>
    <d v="2016-09-02T00:00:00"/>
    <d v="2016-10-26T00:00:00"/>
    <m/>
    <n v="1"/>
    <m/>
    <n v="18"/>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32L1B02"/>
    <s v="SJ2_STAG"/>
    <s v="CEQUEL COMMUNICATIONS DBA SUDDENLINK"/>
    <s v="911 W Wabash Ave"/>
    <s v="CA"/>
    <s v="Eureka"/>
    <s v="95501-2131"/>
    <s v="JC1115"/>
    <s v="PATCH CORD SC/APC-SC/APC 3MM J"/>
    <s v="20109162"/>
    <s v="16.1"/>
    <x v="339"/>
    <n v="1961351"/>
    <d v="2016-09-02T17:40:03"/>
    <m/>
    <d v="2016-10-26T00:00:00"/>
    <d v="2016-09-02T00:00:00"/>
    <d v="2016-10-26T00:00:00"/>
    <m/>
    <n v="1"/>
    <m/>
    <n v="25"/>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17L2B01"/>
    <s v="SJ2_STAG"/>
    <s v="CEQUEL COMMUNICATIONS DBA SUDDENLINK"/>
    <s v="911 W Wabash Ave"/>
    <s v="CA"/>
    <s v="Eureka"/>
    <s v="95501-2131"/>
    <s v="JC1123"/>
    <s v="PATCH CORD SC/APC-LC/UPC 2MM J"/>
    <s v="20109162"/>
    <s v="17.1"/>
    <x v="339"/>
    <n v="1961351"/>
    <d v="2016-09-02T17:40:03"/>
    <m/>
    <d v="2016-10-26T00:00:00"/>
    <d v="2016-09-02T00:00:00"/>
    <d v="2016-10-26T00:00:00"/>
    <m/>
    <n v="1"/>
    <m/>
    <n v="18"/>
    <m/>
    <s v="N223"/>
    <s v="NWK ACCESS TECH"/>
    <s v="OPTICAL PASSIVES"/>
    <s v="INDOOR PASSIVES AURORA"/>
    <s v="N223"/>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47L4"/>
    <s v="SJ2_STAG"/>
    <s v="CEQUEL COMMUNICATIONS DBA SUDDENLINK"/>
    <s v="911 W Wabash Ave"/>
    <s v="CA"/>
    <s v="Eureka"/>
    <s v="95501-2131"/>
    <s v="OA-02-00-AS"/>
    <s v="ATTENUATOR STD OPT SC/APC-SC/A"/>
    <s v="20109162"/>
    <s v="19.1"/>
    <x v="339"/>
    <n v="1961350"/>
    <d v="2016-09-02T17:40:03"/>
    <m/>
    <d v="2016-10-26T00:00:00"/>
    <d v="2016-09-02T00:00:00"/>
    <d v="2016-10-26T00:00:00"/>
    <m/>
    <n v="1"/>
    <m/>
    <n v="29"/>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44L3"/>
    <s v="SJ2_STAG"/>
    <s v="CEQUEL COMMUNICATIONS DBA SUDDENLINK"/>
    <s v="911 W Wabash Ave"/>
    <s v="CA"/>
    <s v="Eureka"/>
    <s v="95501-2131"/>
    <s v="OP34F1D-1610-0-00-AS"/>
    <s v="CWDM FLTR DUAL 1610NM SC/APC 3"/>
    <s v="20109162"/>
    <s v="20.1"/>
    <x v="339"/>
    <n v="1961350"/>
    <d v="2016-09-02T17:40:03"/>
    <m/>
    <d v="2016-10-26T00:00:00"/>
    <d v="2016-09-02T00:00:00"/>
    <d v="2016-10-26T00:00:00"/>
    <m/>
    <n v="1"/>
    <m/>
    <n v="390"/>
    <m/>
    <s v="N156"/>
    <s v="NWK ACCESS TECH"/>
    <s v="ACCESS OTHER"/>
    <s v="OTHER AURORA"/>
    <s v="N15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5L1"/>
    <s v="SJ2_STAG"/>
    <s v="CEQUEL COMMUNICATIONS DBA SUDDENLINK"/>
    <s v="911 W Wabash Ave"/>
    <s v="CA"/>
    <s v="Eureka"/>
    <s v="95501-2131"/>
    <s v="OP95D4-CF1-102-R2-AS"/>
    <s v="DEMUX DWDM 100GHZ 4 CH F-CASE"/>
    <s v="20109162"/>
    <s v="21.1"/>
    <x v="339"/>
    <n v="1961351"/>
    <d v="2016-09-02T17:40:03"/>
    <m/>
    <d v="2016-10-26T00:00:00"/>
    <d v="2016-09-02T00:00:00"/>
    <d v="2016-10-26T00:00:00"/>
    <m/>
    <n v="1"/>
    <m/>
    <n v="845"/>
    <m/>
    <s v="N160"/>
    <s v="NWK ACCESS TECH"/>
    <s v="OPTICAL PASSIVES"/>
    <s v="OUTDOOR PASSIVES AURORA"/>
    <s v="N16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4L5B02"/>
    <s v="SJ2_STAG"/>
    <s v="CEQUEL COMMUNICATIONS DBA SUDDENLINK"/>
    <s v="911 W Wabash Ave"/>
    <s v="CA"/>
    <s v="Eureka"/>
    <s v="95501-2131"/>
    <s v="PS3148D"/>
    <s v="POWER SUPPLY W/DISPLAY -48VDC"/>
    <s v="20109162"/>
    <s v="22.1"/>
    <x v="339"/>
    <n v="1961350"/>
    <d v="2016-09-02T17:40:03"/>
    <m/>
    <d v="2016-10-26T00:00:00"/>
    <d v="2016-09-02T00:00:00"/>
    <d v="2016-10-26T00:00:00"/>
    <m/>
    <n v="1"/>
    <m/>
    <n v="741"/>
    <m/>
    <s v="N204"/>
    <s v="NWK ACCESS TECH"/>
    <s v="ACCESS OTHER"/>
    <s v="OTHER AURORA"/>
    <s v="N20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2P79L3"/>
    <s v="SJ2_STAG"/>
    <s v="CEQUEL COMMUNICATIONS DBA SUDDENLINK"/>
    <s v="911 W Wabash Ave"/>
    <s v="CA"/>
    <s v="Eureka"/>
    <s v="95501-2131"/>
    <s v="RR4000-00-PI"/>
    <s v="RCVR DUAL PLUGGABLE SFP 3 GBPS"/>
    <s v="20109162"/>
    <s v="24.1"/>
    <x v="339"/>
    <n v="1961351"/>
    <d v="2016-09-02T17:40:03"/>
    <m/>
    <d v="2016-10-26T00:00:00"/>
    <d v="2016-09-02T00:00:00"/>
    <d v="2016-10-26T00:00:00"/>
    <m/>
    <n v="1"/>
    <m/>
    <n v="195"/>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26L1"/>
    <s v="SJ2_STAG"/>
    <s v="CEQUEL COMMUNICATIONS DBA SUDDENLINK"/>
    <s v="911 W Wabash Ave"/>
    <s v="CA"/>
    <s v="Eureka"/>
    <s v="95501-2131"/>
    <s v="RS4002-00"/>
    <s v="COMBINER DUAL RETURN PATH PLUG"/>
    <s v="20109162"/>
    <s v="25.1"/>
    <x v="339"/>
    <n v="1961351"/>
    <d v="2016-09-02T17:40:03"/>
    <m/>
    <d v="2016-10-26T00:00:00"/>
    <d v="2016-09-02T00:00:00"/>
    <d v="2016-10-26T00:00:00"/>
    <m/>
    <n v="1"/>
    <m/>
    <n v="20"/>
    <m/>
    <s v="N224"/>
    <s v="NWK ACCESS TECH"/>
    <s v="ACCESS OTHER"/>
    <s v="OTHER AURORA"/>
    <s v="N224"/>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10L4"/>
    <s v="SJ2_STAG"/>
    <s v="CEQUEL COMMUNICATIONS DBA SUDDENLINK"/>
    <s v="911 W Wabash Ave"/>
    <s v="CA"/>
    <s v="Eureka"/>
    <s v="95501-2131"/>
    <s v="TR4440B-1610-PI"/>
    <s v="TRANSCEIVER SFP 60KM CWDM 1610"/>
    <s v="20109162"/>
    <s v="26.1"/>
    <x v="339"/>
    <n v="1961350"/>
    <d v="2016-09-02T17:40:03"/>
    <m/>
    <d v="2016-10-26T00:00:00"/>
    <d v="2016-09-02T00:00:00"/>
    <d v="2016-10-26T00:00:00"/>
    <m/>
    <n v="1"/>
    <m/>
    <n v="390"/>
    <m/>
    <s v="N252"/>
    <s v="NWK ACCESS TECH"/>
    <s v="NODE"/>
    <s v="NODE MISC AURORA"/>
    <s v="N252"/>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5P61L2"/>
    <s v="SJ2_STAG"/>
    <s v="CEQUEL COMMUNICATIONS DBA SUDDENLINK"/>
    <s v="911 W Wabash Ave"/>
    <s v="CA"/>
    <s v="Eureka"/>
    <s v="95501-2131"/>
    <s v="BP3400C-00"/>
    <s v="BACKPLATE 4.25 GB/S 1-FER/2-FE"/>
    <s v="20109162"/>
    <s v="3.1"/>
    <x v="339"/>
    <n v="1961350"/>
    <d v="2016-09-02T17:40:03"/>
    <m/>
    <d v="2016-10-26T00:00:00"/>
    <d v="2016-09-02T00:00:00"/>
    <d v="2016-10-26T00:00:00"/>
    <m/>
    <n v="1"/>
    <m/>
    <n v="520"/>
    <m/>
    <s v="N076"/>
    <s v="NWK ACCESS TECH"/>
    <s v="HEO"/>
    <s v="HEO MISC AURORA"/>
    <s v="N076"/>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60L6"/>
    <s v="SJ2_STAG"/>
    <s v="CEQUEL COMMUNICATIONS DBA SUDDENLINK"/>
    <s v="911 W Wabash Ave"/>
    <s v="CA"/>
    <s v="Eureka"/>
    <s v="95501-2131"/>
    <s v="CA3008"/>
    <s v="CARRIER MODULE HIGH DENSITY"/>
    <s v="20109162"/>
    <s v="4.1"/>
    <x v="339"/>
    <n v="1961350"/>
    <d v="2016-09-02T17:40:03"/>
    <m/>
    <d v="2016-10-26T00:00:00"/>
    <d v="2016-09-02T00:00:00"/>
    <d v="2016-10-26T00:00:00"/>
    <m/>
    <n v="1"/>
    <m/>
    <n v="280"/>
    <m/>
    <s v="N259"/>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4P23L3B01"/>
    <s v="SJ2_STAG"/>
    <s v="CEQUEL COMMUNICATIONS DBA SUDDENLINK"/>
    <s v="911 W Wabash Ave"/>
    <s v="CA"/>
    <s v="Eureka"/>
    <s v="95501-2131"/>
    <s v="CC3008"/>
    <s v="COMM CONTROL MODULE HIGH DENSI"/>
    <s v="20109162"/>
    <s v="5.1"/>
    <x v="339"/>
    <n v="1961352"/>
    <d v="2016-09-02T17:40:03"/>
    <m/>
    <d v="2016-10-26T00:00:00"/>
    <d v="2016-09-02T00:00:00"/>
    <d v="2016-10-26T00:00:00"/>
    <m/>
    <n v="1"/>
    <m/>
    <n v="143"/>
    <m/>
    <s v="N260"/>
    <s v="NWK ACCESS TECH"/>
    <s v="HEO"/>
    <s v="TRANSMITTERS AURORA"/>
    <s v="HDTX"/>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23P73L6"/>
    <s v="SJ2_STAG"/>
    <s v="CEQUEL COMMUNICATIONS DBA SUDDENLINK"/>
    <s v="911 W Wabash Ave"/>
    <s v="CA"/>
    <s v="Eureka"/>
    <s v="95501-2131"/>
    <s v="CX3002"/>
    <s v="COMMUNICATIONS MODULE"/>
    <s v="20109162"/>
    <s v="8.1"/>
    <x v="339"/>
    <n v="1961351"/>
    <d v="2016-09-02T17:40:03"/>
    <m/>
    <d v="2016-10-26T00:00:00"/>
    <d v="2016-09-02T00:00:00"/>
    <d v="2016-10-26T00:00:00"/>
    <m/>
    <n v="1"/>
    <m/>
    <n v="442"/>
    <m/>
    <s v="N080"/>
    <s v="NWK ACCESS TECH"/>
    <s v="HEO"/>
    <s v="HEO MISC AURORA"/>
    <s v="N080"/>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EUREKA001"/>
    <s v="R016P07L2B02"/>
    <s v="SJ2_STAG"/>
    <s v="CEQUEL COMMUNICATIONS DBA SUDDENLINK"/>
    <s v="911 W Wabash Ave"/>
    <s v="CA"/>
    <s v="Eureka"/>
    <s v="95501-2131"/>
    <s v="DR3450N-50-00"/>
    <s v="DIGITAL RECEIVER Q-RX 2.125GBP"/>
    <s v="20109162"/>
    <s v="9.1"/>
    <x v="339"/>
    <n v="1961350"/>
    <d v="2016-09-02T17:40:03"/>
    <m/>
    <d v="2016-10-26T00:00:00"/>
    <d v="2016-09-02T00:00:00"/>
    <d v="2016-10-26T00:00:00"/>
    <m/>
    <n v="1"/>
    <m/>
    <n v="1300"/>
    <m/>
    <s v="N275"/>
    <s v="NWK ACCESS TECH"/>
    <s v="HEO"/>
    <s v="RECEIVERS AURORA"/>
    <s v="N275"/>
    <s v="AS-STANDARD ORDER MIXED"/>
    <s v="A-SURFACE"/>
    <s v="OP"/>
    <n v="1250002"/>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FLAGSTAFF001"/>
    <s v="R016P42L1B01"/>
    <s v="SJ2_STAG"/>
    <s v="CEQUEL COMMUNICATIONS DBA SUDDENLINK"/>
    <s v="1601 S Plaza Way"/>
    <s v="AZ"/>
    <s v="Flagstaff"/>
    <s v="86001-7102"/>
    <s v="CP8016U-02-10"/>
    <s v="CPE RFOG 1550/1610 42MHZ GEPON"/>
    <s v="20112089"/>
    <s v="1.1"/>
    <x v="340"/>
    <n v="1960203"/>
    <d v="2016-09-20T11:22:15"/>
    <m/>
    <d v="2016-10-25T00:00:00"/>
    <d v="2016-09-30T00:00:00"/>
    <d v="2016-10-25T00:00:00"/>
    <m/>
    <n v="16"/>
    <m/>
    <n v="3744"/>
    <m/>
    <s v="N200"/>
    <s v="NWK ACCESS TECH"/>
    <s v="HPON"/>
    <s v="CPE AURORA"/>
    <s v="CPE"/>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FLAGSTAFF001"/>
    <s v="R024P24L5B01"/>
    <s v="SJ2_STAG"/>
    <s v="CEQUEL COMMUNICATIONS DBA SUDDENLINK"/>
    <s v="1601 S Plaza Way"/>
    <s v="AZ"/>
    <s v="Flagstaff"/>
    <s v="86001-7102"/>
    <s v="CP8016U-02-10"/>
    <s v="CPE RFOG 1550/1610 42MHZ GEPON"/>
    <s v="20112089"/>
    <s v="1.1"/>
    <x v="340"/>
    <n v="1960203"/>
    <d v="2016-09-20T11:22:15"/>
    <m/>
    <d v="2016-10-25T00:00:00"/>
    <d v="2016-09-30T00:00:00"/>
    <d v="2016-10-25T00:00:00"/>
    <m/>
    <n v="34"/>
    <m/>
    <n v="7956"/>
    <m/>
    <s v="N200"/>
    <s v="NWK ACCESS TECH"/>
    <s v="HPON"/>
    <s v="CPE AURORA"/>
    <s v="CPE"/>
    <s v="AS-STANDARD ORDER MIXED"/>
    <s v="A-SURFACE"/>
    <s v="OP"/>
    <n v="1249240"/>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AMARILLO001"/>
    <s v="R023P43L3"/>
    <s v="SJ2_STAG"/>
    <s v="CEQUEL COMMUNICATIONS DBA SUDDENLINK"/>
    <s v="5800 WEST 45TH STREET"/>
    <s v="TX"/>
    <s v="AMARILLO"/>
    <s v="79109"/>
    <s v="PL1002"/>
    <s v="CORD POWER 18AWG/3 NEMA 5-15P"/>
    <s v="20113667"/>
    <s v="6.1"/>
    <x v="341"/>
    <n v="1960784"/>
    <d v="2016-09-27T15:44:54"/>
    <m/>
    <d v="2016-10-25T00:00:00"/>
    <d v="2016-10-13T00:00:00"/>
    <d v="2016-10-25T00:00:00"/>
    <m/>
    <n v="2"/>
    <m/>
    <n v="32"/>
    <m/>
    <s v="N224"/>
    <s v="NWK ACCESS TECH"/>
    <s v="ACCESS OTHER"/>
    <s v="OTHER AURORA"/>
    <s v="N224"/>
    <s v="AS-STANDARD ORDER MIXED"/>
    <s v="A-SURFACE"/>
    <s v="OP"/>
    <n v="124966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3P10L4"/>
    <s v="SJ2_STAG"/>
    <s v="CEQUEL COMMUNICATIONS DBA SUDDENLINK"/>
    <s v="2900 Airway Ave"/>
    <s v="AZ"/>
    <s v="Kingman"/>
    <s v="86409-3646"/>
    <s v="TR4440B-1610-PI"/>
    <s v="TRANSCEIVER SFP 60KM CWDM 1610"/>
    <s v="20113670"/>
    <s v="19.1"/>
    <x v="342"/>
    <n v="1961986"/>
    <d v="2016-09-27T15:51:54"/>
    <m/>
    <d v="2016-10-27T00:00:00"/>
    <d v="2016-10-21T00:00:00"/>
    <d v="2016-10-27T00:00:00"/>
    <m/>
    <n v="5"/>
    <m/>
    <n v="1950"/>
    <m/>
    <s v="N252"/>
    <s v="NWK ACCESS TECH"/>
    <s v="NODE"/>
    <s v="NODE MISC AURORA"/>
    <s v="N252"/>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16L2B01"/>
    <s v="SJ2_STAG"/>
    <s v="CEQUEL COMMUNICATIONS DBA SUDDENLINK"/>
    <s v="2900 Airway Ave"/>
    <s v="AZ"/>
    <s v="Kingman"/>
    <s v="86409-3646"/>
    <s v="AR4203G-AS"/>
    <s v="OPTICAL RECEIVER 51-1002MHz FW"/>
    <s v="20113674"/>
    <s v="1.1"/>
    <x v="342"/>
    <n v="1962020"/>
    <d v="2016-09-27T16:02:01"/>
    <m/>
    <d v="2016-10-27T00:00:00"/>
    <d v="2016-09-27T00:00:00"/>
    <d v="2016-10-27T00:00:00"/>
    <m/>
    <n v="2"/>
    <m/>
    <n v="780"/>
    <m/>
    <s v="N222"/>
    <s v="NWK ACCESS TECH"/>
    <s v="HPON"/>
    <s v="VHUB AURORA"/>
    <s v="N222"/>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4P17L2B01"/>
    <s v="SJ2_STAG"/>
    <s v="CEQUEL COMMUNICATIONS DBA SUDDENLINK"/>
    <s v="2900 Airway Ave"/>
    <s v="AZ"/>
    <s v="Kingman"/>
    <s v="86409-3646"/>
    <s v="JC1123"/>
    <s v="PATCH CORD SC/APC-LC/UPC 2MM J"/>
    <s v="20113674"/>
    <s v="10.1"/>
    <x v="342"/>
    <n v="1962020"/>
    <d v="2016-09-27T16:02:01"/>
    <m/>
    <d v="2016-10-27T00:00:00"/>
    <d v="2016-09-27T00:00:00"/>
    <d v="2016-10-27T00:00:00"/>
    <m/>
    <n v="1"/>
    <m/>
    <n v="18"/>
    <m/>
    <s v="N223"/>
    <s v="NWK ACCESS TECH"/>
    <s v="OPTICAL PASSIVES"/>
    <s v="INDOOR PASSIVES AURORA"/>
    <s v="N223"/>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3P47L4"/>
    <s v="SJ2_STAG"/>
    <s v="CEQUEL COMMUNICATIONS DBA SUDDENLINK"/>
    <s v="2900 Airway Ave"/>
    <s v="AZ"/>
    <s v="Kingman"/>
    <s v="86409-3646"/>
    <s v="OA-02-00-AS"/>
    <s v="ATTENUATOR STD OPT SC/APC-SC/A"/>
    <s v="20113674"/>
    <s v="11.1"/>
    <x v="343"/>
    <n v="1963253"/>
    <d v="2016-09-27T16:02:01"/>
    <m/>
    <d v="2016-10-28T00:00:00"/>
    <d v="2016-09-27T00:00:00"/>
    <d v="2016-10-28T00:00:00"/>
    <m/>
    <n v="1"/>
    <m/>
    <n v="29"/>
    <m/>
    <s v="N224"/>
    <s v="NWK ACCESS TECH"/>
    <s v="ACCESS OTHER"/>
    <s v="OTHER AURORA"/>
    <s v="N224"/>
    <s v="AS-STANDARD ORDER MIXED"/>
    <s v="A-SURFACE"/>
    <s v="OP"/>
    <n v="125107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2P79L3"/>
    <s v="SJ2_STAG"/>
    <s v="CEQUEL COMMUNICATIONS DBA SUDDENLINK"/>
    <s v="2900 Airway Ave"/>
    <s v="AZ"/>
    <s v="Kingman"/>
    <s v="86409-3646"/>
    <s v="RR4000-00-PI"/>
    <s v="RCVR DUAL PLUGGABLE SFP 3 GBPS"/>
    <s v="20113674"/>
    <s v="12.1"/>
    <x v="342"/>
    <n v="1962020"/>
    <d v="2016-09-27T16:02:01"/>
    <m/>
    <d v="2016-10-27T00:00:00"/>
    <d v="2016-09-27T00:00:00"/>
    <d v="2016-10-27T00:00:00"/>
    <m/>
    <n v="1"/>
    <m/>
    <n v="195"/>
    <m/>
    <s v="N224"/>
    <s v="NWK ACCESS TECH"/>
    <s v="ACCESS OTHER"/>
    <s v="OTHER AURORA"/>
    <s v="N224"/>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26L1"/>
    <s v="SJ2_STAG"/>
    <s v="CEQUEL COMMUNICATIONS DBA SUDDENLINK"/>
    <s v="2900 Airway Ave"/>
    <s v="AZ"/>
    <s v="Kingman"/>
    <s v="86409-3646"/>
    <s v="RS4002-00"/>
    <s v="COMBINER DUAL RETURN PATH PLUG"/>
    <s v="20113674"/>
    <s v="13.1"/>
    <x v="342"/>
    <n v="1962020"/>
    <d v="2016-09-27T16:02:01"/>
    <m/>
    <d v="2016-10-27T00:00:00"/>
    <d v="2016-09-27T00:00:00"/>
    <d v="2016-10-27T00:00:00"/>
    <m/>
    <n v="2"/>
    <m/>
    <n v="40"/>
    <m/>
    <s v="N224"/>
    <s v="NWK ACCESS TECH"/>
    <s v="ACCESS OTHER"/>
    <s v="OTHER AURORA"/>
    <s v="N224"/>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3P10L4"/>
    <s v="SJ2_STAG"/>
    <s v="CEQUEL COMMUNICATIONS DBA SUDDENLINK"/>
    <s v="2900 Airway Ave"/>
    <s v="AZ"/>
    <s v="Kingman"/>
    <s v="86409-3646"/>
    <s v="TR4440B-1610-PI"/>
    <s v="TRANSCEIVER SFP 60KM CWDM 1610"/>
    <s v="20113674"/>
    <s v="14.1"/>
    <x v="342"/>
    <n v="1961986"/>
    <d v="2016-09-27T16:02:01"/>
    <m/>
    <d v="2016-10-27T00:00:00"/>
    <d v="2016-09-27T00:00:00"/>
    <d v="2016-10-27T00:00:00"/>
    <m/>
    <n v="2"/>
    <m/>
    <n v="780"/>
    <m/>
    <s v="N252"/>
    <s v="NWK ACCESS TECH"/>
    <s v="NODE"/>
    <s v="NODE MISC AURORA"/>
    <s v="N252"/>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6P07L2B02"/>
    <s v="SJ2_STAG"/>
    <s v="CEQUEL COMMUNICATIONS DBA SUDDENLINK"/>
    <s v="2900 Airway Ave"/>
    <s v="AZ"/>
    <s v="Kingman"/>
    <s v="86409-3646"/>
    <s v="DR3450N-50-00"/>
    <s v="DIGITAL RECEIVER Q-RX 2.125GBP"/>
    <s v="20113674"/>
    <s v="2.1"/>
    <x v="342"/>
    <n v="1961986"/>
    <d v="2016-09-27T16:02:01"/>
    <m/>
    <d v="2016-10-27T00:00:00"/>
    <d v="2016-09-27T00:00:00"/>
    <d v="2016-10-27T00:00:00"/>
    <m/>
    <n v="1"/>
    <m/>
    <n v="1300"/>
    <m/>
    <s v="N275"/>
    <s v="NWK ACCESS TECH"/>
    <s v="HEO"/>
    <s v="RECEIVERS AURORA"/>
    <s v="N275"/>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15P52L2"/>
    <s v="SJ2_STAG"/>
    <s v="CEQUEL COMMUNICATIONS DBA SUDDENLINK"/>
    <s v="2900 Airway Ave"/>
    <s v="AZ"/>
    <s v="Kingman"/>
    <s v="86409-3646"/>
    <s v="DT4250N-50-00"/>
    <s v="DGTL XCVR ENH MULTI-MODES OF O"/>
    <s v="20113674"/>
    <s v="3.1"/>
    <x v="342"/>
    <n v="1961986"/>
    <d v="2016-09-27T16:02:01"/>
    <m/>
    <d v="2016-10-27T00:00:00"/>
    <d v="2016-09-27T00:00:00"/>
    <d v="2016-10-27T00:00:00"/>
    <m/>
    <n v="1"/>
    <m/>
    <n v="325"/>
    <m/>
    <s v="N065"/>
    <s v="NWK ACCESS TECH"/>
    <s v="NODE"/>
    <s v="NODE MISC AURORA"/>
    <s v="N065"/>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2P04L6"/>
    <s v="SJ2_STAG"/>
    <s v="CEQUEL COMMUNICATIONS DBA SUDDENLINK"/>
    <s v="2900 Airway Ave"/>
    <s v="AZ"/>
    <s v="Kingman"/>
    <s v="86409-3646"/>
    <s v="AT3535G-21-1-AS"/>
    <s v="TRANSMITTER 1GHZ 80 QAM CHAN 2"/>
    <s v="20113674"/>
    <s v="5.1"/>
    <x v="342"/>
    <n v="1961986"/>
    <d v="2016-09-27T16:02:01"/>
    <m/>
    <d v="2016-10-27T00:00:00"/>
    <d v="2016-09-27T00:00:00"/>
    <d v="2016-10-27T00:00:00"/>
    <m/>
    <n v="1"/>
    <m/>
    <n v="1755"/>
    <m/>
    <s v="N004"/>
    <s v="NWK ACCESS TECH"/>
    <s v="HEO"/>
    <s v="TRANSMITTERS AURORA"/>
    <s v="N004"/>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2P17L3"/>
    <s v="SJ2_STAG"/>
    <s v="CEQUEL COMMUNICATIONS DBA SUDDENLINK"/>
    <s v="2900 Airway Ave"/>
    <s v="AZ"/>
    <s v="Kingman"/>
    <s v="86409-3646"/>
    <s v="BP-A4"/>
    <s v="BACKPLATE RF INP OPTICAL OUT M"/>
    <s v="20113674"/>
    <s v="7.1"/>
    <x v="342"/>
    <n v="1961986"/>
    <d v="2016-09-27T16:02:01"/>
    <m/>
    <d v="2016-10-27T00:00:00"/>
    <d v="2016-09-27T00:00:00"/>
    <d v="2016-10-27T00:00:00"/>
    <m/>
    <n v="2"/>
    <m/>
    <n v="182"/>
    <m/>
    <s v="N224"/>
    <s v="NWK ACCESS TECH"/>
    <s v="ACCESS OTHER"/>
    <s v="OTHER AURORA"/>
    <s v="N224"/>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4P31L1B02"/>
    <s v="SJ2_STAG"/>
    <s v="CEQUEL COMMUNICATIONS DBA SUDDENLINK"/>
    <s v="2900 Airway Ave"/>
    <s v="AZ"/>
    <s v="Kingman"/>
    <s v="86409-3646"/>
    <s v="JC1113"/>
    <s v="PATCH CORD SC/APC-SC/APC 3MM J"/>
    <s v="20113674"/>
    <s v="8.1"/>
    <x v="342"/>
    <n v="1962020"/>
    <d v="2016-09-27T16:02:01"/>
    <m/>
    <d v="2016-10-27T00:00:00"/>
    <d v="2016-09-27T00:00:00"/>
    <d v="2016-10-27T00:00:00"/>
    <m/>
    <n v="1"/>
    <m/>
    <n v="18"/>
    <m/>
    <s v="N223"/>
    <s v="NWK ACCESS TECH"/>
    <s v="OPTICAL PASSIVES"/>
    <s v="INDOOR PASSIVES AURORA"/>
    <s v="N223"/>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KINGMAN001"/>
    <s v="R024P32L1B02"/>
    <s v="SJ2_STAG"/>
    <s v="CEQUEL COMMUNICATIONS DBA SUDDENLINK"/>
    <s v="2900 Airway Ave"/>
    <s v="AZ"/>
    <s v="Kingman"/>
    <s v="86409-3646"/>
    <s v="JC1115"/>
    <s v="PATCH CORD SC/APC-SC/APC 3MM J"/>
    <s v="20113674"/>
    <s v="9.1"/>
    <x v="342"/>
    <n v="1962020"/>
    <d v="2016-09-27T16:02:01"/>
    <m/>
    <d v="2016-10-27T00:00:00"/>
    <d v="2016-09-27T00:00:00"/>
    <d v="2016-10-27T00:00:00"/>
    <m/>
    <n v="1"/>
    <m/>
    <n v="25"/>
    <m/>
    <s v="N223"/>
    <s v="NWK ACCESS TECH"/>
    <s v="OPTICAL PASSIVES"/>
    <s v="INDOOR PASSIVES AURORA"/>
    <s v="N223"/>
    <s v="AS-STANDARD ORDER MIXED"/>
    <s v="A-SURFACE"/>
    <s v="OP"/>
    <n v="1250456"/>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3700"/>
    <s v="17.1"/>
    <x v="344"/>
    <n v="1961088"/>
    <d v="2016-09-27T18:05:16"/>
    <m/>
    <d v="2016-10-26T00:00:00"/>
    <d v="2016-09-28T00:00:00"/>
    <d v="2016-10-26T00:00:00"/>
    <m/>
    <n v="6"/>
    <m/>
    <n v="144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VERNON001"/>
    <s v="R024P33L1B02"/>
    <s v="SJ2_STAG"/>
    <s v="CEQUEL COMMUNICATIONS DBA SUDDENLINK"/>
    <s v="2830 Wilbarger St"/>
    <s v="TX"/>
    <s v="Vernon"/>
    <s v="76384-4570"/>
    <s v="JC1114"/>
    <s v="PATCH CORD SC/APC-SC/APC 3MM J"/>
    <s v="20115058"/>
    <s v="1.1"/>
    <x v="345"/>
    <n v="1960712"/>
    <d v="2016-10-04T16:57:29"/>
    <m/>
    <d v="2016-10-25T00:00:00"/>
    <d v="2016-10-10T00:00:00"/>
    <d v="2016-10-27T00:00:00"/>
    <m/>
    <n v="2"/>
    <m/>
    <n v="36"/>
    <m/>
    <s v="N223"/>
    <s v="NWK ACCESS TECH"/>
    <s v="OPTICAL PASSIVES"/>
    <s v="INDOOR PASSIVES AURORA"/>
    <s v="N223"/>
    <s v="AS-STANDARD ORDER MIXED"/>
    <s v="A-SURFACE"/>
    <s v="OP"/>
    <n v="124958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VERNON001"/>
    <s v="R016P07L2B02"/>
    <s v="SJ2_STAG"/>
    <s v="CEQUEL COMMUNICATIONS DBA SUDDENLINK"/>
    <s v="2830 Wilbarger St"/>
    <s v="TX"/>
    <s v="Vernon"/>
    <s v="76384-4570"/>
    <s v="DR3450N-50-00"/>
    <s v="DIGITAL RECEIVER Q-RX 2.125GBP"/>
    <s v="20115058"/>
    <s v="2.1"/>
    <x v="345"/>
    <n v="1960713"/>
    <d v="2016-10-04T16:57:29"/>
    <m/>
    <d v="2016-10-25T00:00:00"/>
    <d v="2016-10-10T00:00:00"/>
    <d v="2016-10-27T00:00:00"/>
    <m/>
    <n v="1"/>
    <m/>
    <n v="1300"/>
    <m/>
    <s v="N275"/>
    <s v="NWK ACCESS TECH"/>
    <s v="HEO"/>
    <s v="RECEIVERS AURORA"/>
    <s v="N275"/>
    <s v="AS-STANDARD ORDER MIXED"/>
    <s v="A-SURFACE"/>
    <s v="OP"/>
    <n v="124958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VERNON001"/>
    <s v="R022P03L5"/>
    <s v="SJ2_STAG"/>
    <s v="CEQUEL COMMUNICATIONS DBA SUDDENLINK"/>
    <s v="2830 Wilbarger St"/>
    <s v="TX"/>
    <s v="Vernon"/>
    <s v="76384-4570"/>
    <s v="AT3303G-E-1-AS"/>
    <s v="ANLG XMTR 1310nm 1GHz SGL INP"/>
    <s v="20115058"/>
    <s v="3.1"/>
    <x v="345"/>
    <n v="1960712"/>
    <d v="2016-10-04T16:57:29"/>
    <m/>
    <d v="2016-10-25T00:00:00"/>
    <d v="2016-10-10T00:00:00"/>
    <d v="2016-10-27T00:00:00"/>
    <m/>
    <n v="1"/>
    <m/>
    <n v="1365"/>
    <m/>
    <s v="N002"/>
    <s v="NWK ACCESS TECH"/>
    <s v="HEO"/>
    <s v="TRANSMITTERS AURORA"/>
    <s v="N002"/>
    <s v="AS-STANDARD ORDER MIXED"/>
    <s v="A-SURFACE"/>
    <s v="OP"/>
    <n v="124958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VERNON001"/>
    <s v="R016P16L2B01"/>
    <s v="SJ2_STAG"/>
    <s v="CEQUEL COMMUNICATIONS DBA SUDDENLINK"/>
    <s v="2830 Wilbarger St"/>
    <s v="TX"/>
    <s v="Vernon"/>
    <s v="76384-4570"/>
    <s v="AR4203G-AS"/>
    <s v="OPTICAL RECEIVER 51-1002MHz FW"/>
    <s v="20115058"/>
    <s v="4.1"/>
    <x v="345"/>
    <n v="1960712"/>
    <d v="2016-10-04T16:57:29"/>
    <m/>
    <d v="2016-10-25T00:00:00"/>
    <d v="2016-10-10T00:00:00"/>
    <d v="2016-10-27T00:00:00"/>
    <m/>
    <n v="1"/>
    <m/>
    <n v="390"/>
    <m/>
    <s v="N222"/>
    <s v="NWK ACCESS TECH"/>
    <s v="HPON"/>
    <s v="VHUB AURORA"/>
    <s v="N222"/>
    <s v="AS-STANDARD ORDER MIXED"/>
    <s v="A-SURFACE"/>
    <s v="OP"/>
    <n v="124958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VERNON001"/>
    <s v="R015P26L1"/>
    <s v="SJ2_STAG"/>
    <s v="CEQUEL COMMUNICATIONS DBA SUDDENLINK"/>
    <s v="2830 Wilbarger St"/>
    <s v="TX"/>
    <s v="Vernon"/>
    <s v="76384-4570"/>
    <s v="RS4002-00"/>
    <s v="COMBINER DUAL RETURN PATH PLUG"/>
    <s v="20115058"/>
    <s v="5.1"/>
    <x v="345"/>
    <n v="1960712"/>
    <d v="2016-10-04T16:57:29"/>
    <m/>
    <d v="2016-10-25T00:00:00"/>
    <d v="2016-10-10T00:00:00"/>
    <d v="2016-10-27T00:00:00"/>
    <m/>
    <n v="1"/>
    <m/>
    <n v="20"/>
    <m/>
    <s v="N224"/>
    <s v="NWK ACCESS TECH"/>
    <s v="ACCESS OTHER"/>
    <s v="OTHER AURORA"/>
    <s v="N224"/>
    <s v="AS-STANDARD ORDER MIXED"/>
    <s v="A-SURFACE"/>
    <s v="OP"/>
    <n v="1249585"/>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FLAGSTAFF001"/>
    <s v="R022P33L2"/>
    <s v="SJ2_STAG"/>
    <s v="CEQUEL COMMUNICATIONS DBA SUDDENLINK"/>
    <s v="1601 S Plaza Way"/>
    <s v="AZ"/>
    <s v="Flagstaff"/>
    <s v="86001-7102"/>
    <s v="OA-05-00-AS"/>
    <s v="ATTENUATOR STD OPT SC/APC-SC/A"/>
    <s v="20115245"/>
    <s v="13.1"/>
    <x v="346"/>
    <n v="1963192"/>
    <d v="2016-10-05T12:41:59"/>
    <m/>
    <d v="2016-10-28T00:00:00"/>
    <d v="2016-10-14T00:00:00"/>
    <d v="2016-10-28T00:00:00"/>
    <m/>
    <n v="15"/>
    <m/>
    <n v="435"/>
    <m/>
    <s v="N224"/>
    <s v="NWK ACCESS TECH"/>
    <s v="ACCESS OTHER"/>
    <s v="OTHER AURORA"/>
    <s v="N224"/>
    <s v="AS-STANDARD ORDER MIXED"/>
    <s v="A-SURFACE"/>
    <s v="OP"/>
    <n v="125107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16P20L3B01"/>
    <s v="SJ2_STAG"/>
    <s v="CEBRIDGE CONNECTIONS DBA SUDDENLINK"/>
    <s v="3632 Shiloh Rd"/>
    <s v="TX"/>
    <s v="Tyler"/>
    <s v="75707-1910"/>
    <s v="PS1911W-00"/>
    <s v="POWER ADPTR 120VAC-12VDC 525MA"/>
    <s v="20116194"/>
    <s v="6.1"/>
    <x v="344"/>
    <n v="1961088"/>
    <d v="2016-10-10T18:24:13"/>
    <m/>
    <d v="2016-10-26T00:00:00"/>
    <d v="2016-10-10T00:00:00"/>
    <d v="2016-10-26T00:00:00"/>
    <m/>
    <n v="5"/>
    <m/>
    <n v="30"/>
    <m/>
    <s v="N204"/>
    <s v="NWK ACCESS TECH"/>
    <s v="ACCESS OTHER"/>
    <s v="OTHER AURORA"/>
    <s v="N204"/>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TYLER008"/>
    <s v="R024P24L2B01"/>
    <s v="SJ2_STAG"/>
    <s v="CEBRIDGE CONNECTIONS DBA SUDDENLINK"/>
    <s v="3632 Shiloh Rd"/>
    <s v="TX"/>
    <s v="Tyler"/>
    <s v="75707-1910"/>
    <s v="CP8517U-00-10"/>
    <s v="CPE MDU RFOG PREM 1550/1610 5-"/>
    <s v="20116194"/>
    <s v="7.1"/>
    <x v="344"/>
    <n v="1961088"/>
    <d v="2016-10-10T18:24:13"/>
    <m/>
    <d v="2016-10-26T00:00:00"/>
    <d v="2016-10-10T00:00:00"/>
    <d v="2016-10-26T00:00:00"/>
    <m/>
    <n v="5"/>
    <m/>
    <n v="1200"/>
    <m/>
    <s v="N235"/>
    <s v="NWK ACCESS TECH"/>
    <s v="HPON"/>
    <s v="CPE AURORA"/>
    <s v="CPE"/>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LOGANWV"/>
    <s v="R015P48L5"/>
    <s v="SJ2_STAG"/>
    <s v="CEBRIDGE CONNECTIONS DBA SUDDENLINK"/>
    <s v="405 George Kostas Dr"/>
    <s v="WV"/>
    <s v="Logan"/>
    <s v="25601-3747"/>
    <s v="NC4121S2A1-00000000"/>
    <s v="BASE NODE 5-42/51-1GHZ JXP 1"/>
    <s v="20117387"/>
    <s v="1.1"/>
    <x v="347"/>
    <n v="1961130"/>
    <d v="2016-10-18T13:22:18"/>
    <m/>
    <d v="2016-10-26T00:00:00"/>
    <d v="2016-10-18T00:00:00"/>
    <d v="2016-10-26T00:00:00"/>
    <m/>
    <n v="1"/>
    <m/>
    <n v="1742"/>
    <m/>
    <s v="N034"/>
    <s v="NWK ACCESS TECH"/>
    <s v="NODE"/>
    <s v="NC4000 AURORA"/>
    <s v="N034"/>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LOGANWV"/>
    <s v="R015P52L2"/>
    <s v="SJ2_STAG"/>
    <s v="CEBRIDGE CONNECTIONS DBA SUDDENLINK"/>
    <s v="405 George Kostas Dr"/>
    <s v="WV"/>
    <s v="Logan"/>
    <s v="25601-3747"/>
    <s v="DT4250N-50-00"/>
    <s v="DGTL XCVR ENH MULTI-MODES OF O"/>
    <s v="20117387"/>
    <s v="2.1"/>
    <x v="347"/>
    <n v="1961131"/>
    <d v="2016-10-18T13:22:18"/>
    <m/>
    <d v="2016-10-26T00:00:00"/>
    <d v="2016-10-18T00:00:00"/>
    <d v="2016-10-26T00:00:00"/>
    <m/>
    <n v="1"/>
    <m/>
    <n v="325"/>
    <m/>
    <s v="N065"/>
    <s v="NWK ACCESS TECH"/>
    <s v="NODE"/>
    <s v="NODE MISC AURORA"/>
    <s v="N065"/>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LOGANWV"/>
    <s v="R023P46L1"/>
    <s v="SJ2_STAG"/>
    <s v="CEBRIDGE CONNECTIONS DBA SUDDENLINK"/>
    <s v="405 George Kostas Dr"/>
    <s v="WV"/>
    <s v="Logan"/>
    <s v="25601-3747"/>
    <s v="TR4040-PI"/>
    <s v="TRANSCEIVER SFP 40KM"/>
    <s v="20117387"/>
    <s v="3.1"/>
    <x v="347"/>
    <n v="1961130"/>
    <d v="2016-10-18T13:22:18"/>
    <m/>
    <d v="2016-10-26T00:00:00"/>
    <d v="2016-10-18T00:00:00"/>
    <d v="2016-10-26T00:00:00"/>
    <m/>
    <n v="1"/>
    <m/>
    <n v="234"/>
    <m/>
    <s v="N252"/>
    <s v="NWK ACCESS TECH"/>
    <s v="NODE"/>
    <s v="NODE MISC AURORA"/>
    <s v="N252"/>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LOGANWV"/>
    <s v="R024P17L1B02"/>
    <s v="SJ2_STAG"/>
    <s v="CEBRIDGE CONNECTIONS DBA SUDDENLINK"/>
    <s v="405 George Kostas Dr"/>
    <s v="WV"/>
    <s v="Logan"/>
    <s v="25601-3747"/>
    <s v="JC1122"/>
    <s v="PATCH CORD SC/APC-LC/UPC 2MM 0"/>
    <s v="20117387"/>
    <s v="4.1"/>
    <x v="347"/>
    <n v="1961130"/>
    <d v="2016-10-18T13:22:18"/>
    <m/>
    <d v="2016-10-26T00:00:00"/>
    <d v="2016-10-18T00:00:00"/>
    <d v="2016-10-26T00:00:00"/>
    <m/>
    <n v="1"/>
    <m/>
    <n v="18"/>
    <m/>
    <s v="HE64"/>
    <s v="NWK ACCESS TECH"/>
    <s v="HEO"/>
    <s v="TRANSMITTER"/>
    <s v="HT"/>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SHREWSBURY SHIP"/>
    <s v="R015P48L5"/>
    <s v="SJ2_STAG"/>
    <s v="CEBRIDGE CONNECTIONS DBA SUDDENLINK"/>
    <s v="130 UPTON STREET SHREWSBURY"/>
    <s v="WV"/>
    <s v="SHREWSBURY"/>
    <s v="25015"/>
    <s v="NC4121S2A1-00000000"/>
    <s v="BASE NODE 5-42/51-1GHZ JXP 1"/>
    <s v="20117394"/>
    <s v="1.1"/>
    <x v="348"/>
    <n v="1961132"/>
    <d v="2016-10-18T13:44:19"/>
    <m/>
    <d v="2016-10-26T00:00:00"/>
    <d v="2016-10-18T00:00:00"/>
    <d v="2016-10-26T00:00:00"/>
    <m/>
    <n v="1"/>
    <m/>
    <n v="1742"/>
    <m/>
    <s v="N034"/>
    <s v="NWK ACCESS TECH"/>
    <s v="NODE"/>
    <s v="NC4000 AURORA"/>
    <s v="N034"/>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SHREWSBURY SHIP"/>
    <s v="R015P52L2"/>
    <s v="SJ2_STAG"/>
    <s v="CEBRIDGE CONNECTIONS DBA SUDDENLINK"/>
    <s v="130 UPTON STREET SHREWSBURY"/>
    <s v="WV"/>
    <s v="SHREWSBURY"/>
    <s v="25015"/>
    <s v="DT4250N-50-00"/>
    <s v="DGTL XCVR ENH MULTI-MODES OF O"/>
    <s v="20117394"/>
    <s v="2.1"/>
    <x v="348"/>
    <n v="1961133"/>
    <d v="2016-10-18T13:44:19"/>
    <m/>
    <d v="2016-10-26T00:00:00"/>
    <d v="2016-10-18T00:00:00"/>
    <d v="2016-10-26T00:00:00"/>
    <m/>
    <n v="1"/>
    <m/>
    <n v="325"/>
    <m/>
    <s v="N065"/>
    <s v="NWK ACCESS TECH"/>
    <s v="NODE"/>
    <s v="NODE MISC AURORA"/>
    <s v="N065"/>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SHREWSBURY SHIP"/>
    <s v="R023P46L1"/>
    <s v="SJ2_STAG"/>
    <s v="CEBRIDGE CONNECTIONS DBA SUDDENLINK"/>
    <s v="130 UPTON STREET SHREWSBURY"/>
    <s v="WV"/>
    <s v="SHREWSBURY"/>
    <s v="25015"/>
    <s v="TR4040-PI"/>
    <s v="TRANSCEIVER SFP 40KM"/>
    <s v="20117394"/>
    <s v="3.1"/>
    <x v="348"/>
    <n v="1961132"/>
    <d v="2016-10-18T13:44:19"/>
    <m/>
    <d v="2016-10-26T00:00:00"/>
    <d v="2016-10-18T00:00:00"/>
    <d v="2016-10-26T00:00:00"/>
    <m/>
    <n v="1"/>
    <m/>
    <n v="234"/>
    <m/>
    <s v="N252"/>
    <s v="NWK ACCESS TECH"/>
    <s v="NODE"/>
    <s v="NODE MISC AURORA"/>
    <s v="N252"/>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SHREWSBURY SHIP"/>
    <s v="R024P17L1B02"/>
    <s v="SJ2_STAG"/>
    <s v="CEBRIDGE CONNECTIONS DBA SUDDENLINK"/>
    <s v="130 UPTON STREET SHREWSBURY"/>
    <s v="WV"/>
    <s v="SHREWSBURY"/>
    <s v="25015"/>
    <s v="JC1122"/>
    <s v="PATCH CORD SC/APC-LC/UPC 2MM 0"/>
    <s v="20117394"/>
    <s v="4.1"/>
    <x v="348"/>
    <n v="1961132"/>
    <d v="2016-10-18T13:44:19"/>
    <m/>
    <d v="2016-10-26T00:00:00"/>
    <d v="2016-10-18T00:00:00"/>
    <d v="2016-10-26T00:00:00"/>
    <m/>
    <n v="1"/>
    <m/>
    <n v="18"/>
    <m/>
    <s v="HE64"/>
    <s v="NWK ACCESS TECH"/>
    <s v="HEO"/>
    <s v="TRANSMITTER"/>
    <s v="HT"/>
    <s v="AS-STANDARD ORDER MIXED"/>
    <s v="A-SURFACE"/>
    <s v="OP"/>
    <n v="1249843"/>
    <s v="A-SURFACE"/>
    <m/>
    <m/>
    <m/>
    <s v="A-SURFACE"/>
    <s v="LTL"/>
    <s v="EXW"/>
    <s v="3RD PARTY COLLECT"/>
    <m/>
    <m/>
    <s v="150# OR LESS FEDX 392126716 OVER 150# OR PALLET REQUIRED BEST WAY PREPAID/CHARG MULTIPLE PACKAGES W/ COMBINED WEIGHT OF 200# OR LESS FEDX 392126716 N INCLUDE PO ON FEDX REF LINE 1 AND SO ON REF LINE 2 OVER 150# INCLUDE PO AND SO ON BOL"/>
    <m/>
    <m/>
    <m/>
    <m/>
    <s v="0"/>
    <s v="0"/>
  </r>
  <r>
    <s v="SJ2"/>
    <s v="5008115"/>
    <s v="CEBRIDGE CONNECTIONS DBA SUDDENLINK"/>
    <s v="163143"/>
    <s v="R022P15L3"/>
    <s v="SJ2_STAG"/>
    <s v="Cequel Communications"/>
    <s v="2528 S Midkiff Rd"/>
    <s v="TX"/>
    <s v="Midland"/>
    <s v="79701-8800"/>
    <s v="BD35M4-AC1-H02F-2-AS"/>
    <s v="OPT MUX BD 100GHZ A2 ITU CH 20"/>
    <s v="6900332"/>
    <s v="1.1"/>
    <x v="349"/>
    <n v="1963438"/>
    <d v="2016-06-14T00:00:00"/>
    <m/>
    <d v="2016-10-28T00:00:00"/>
    <d v="2016-06-28T00:00:00"/>
    <d v="2016-10-28T00:00:00"/>
    <m/>
    <n v="2"/>
    <m/>
    <n v="4290"/>
    <m/>
    <s v="N258"/>
    <s v="NWK ACCESS TECH"/>
    <s v="HEO"/>
    <s v="TRANSMITTERS AURORA"/>
    <s v="HDTX"/>
    <s v="AUR-STANDARD ORDER MIXED"/>
    <s v="A-SURFACE"/>
    <s v="OP"/>
    <n v="1251239"/>
    <s v="A-SURFACE"/>
    <m/>
    <m/>
    <m/>
    <s v="A-SURFACE"/>
    <s v="LTL"/>
    <s v="EXW"/>
    <s v="Third Party Billing"/>
    <m/>
    <m/>
    <s v="USE FEDEX ACCOUNT #392126716 AND SHIP 3RD PARTY. SHIPMENTS OVER 200LBS OR REQUIRING A PALLET USE PREPAID/CHARGE"/>
    <m/>
    <m/>
    <m/>
    <m/>
    <s v="0"/>
    <s v="0"/>
  </r>
  <r>
    <s v="SJ2"/>
    <s v="5008115"/>
    <s v="CEBRIDGE CONNECTIONS DBA SUDDENLINK"/>
    <s v="163143"/>
    <s v="R023P47L4"/>
    <s v="SJ2_STAG"/>
    <s v="Cequel Communications"/>
    <s v="2528 S Midkiff Rd"/>
    <s v="TX"/>
    <s v="Midland"/>
    <s v="79701-8800"/>
    <s v="OA-02-00-AS"/>
    <s v="ATTENUATOR STD OPT SC/APC-SC/A"/>
    <s v="6900332"/>
    <s v="20.1"/>
    <x v="349"/>
    <n v="1963437"/>
    <d v="2016-06-14T00:00:00"/>
    <m/>
    <d v="2016-10-28T00:00:00"/>
    <d v="2016-06-28T00:00:00"/>
    <d v="2016-10-28T00:00:00"/>
    <m/>
    <n v="1"/>
    <m/>
    <n v="29"/>
    <m/>
    <s v="N224"/>
    <s v="NWK ACCESS TECH"/>
    <s v="ACCESS OTHER"/>
    <s v="OTHER AURORA"/>
    <s v="N224"/>
    <s v="AUR-STANDARD ORDER MIXED"/>
    <s v="A-SURFACE"/>
    <s v="OP"/>
    <n v="1251239"/>
    <s v="A-SURFACE"/>
    <m/>
    <m/>
    <m/>
    <s v="A-SURFACE"/>
    <s v="LTL"/>
    <s v="EXW"/>
    <s v="Third Party Billing"/>
    <m/>
    <m/>
    <s v="USE FEDEX ACCOUNT #392126716 AND SHIP 3RD PARTY. SHIPMENTS OVER 200LBS OR REQUIRING A PALLET USE PREPAID/CHARGE"/>
    <m/>
    <m/>
    <m/>
    <m/>
    <s v="0"/>
    <s v="0"/>
  </r>
  <r>
    <s v="SJ2"/>
    <s v="5008115"/>
    <s v="CEBRIDGE CONNECTIONS DBA SUDDENLINK"/>
    <s v="163143"/>
    <s v="R024P20L2B01"/>
    <s v="SJ2_STAG"/>
    <s v="Cequel Communications"/>
    <s v="2528 S Midkiff Rd"/>
    <s v="TX"/>
    <s v="Midland"/>
    <s v="79701-8800"/>
    <s v="OP91S4D-EQ-R2-MP"/>
    <s v="SPLITTER DUAL 1X4 F-CASE MPO 2"/>
    <s v="6900332"/>
    <s v="23.1"/>
    <x v="349"/>
    <n v="1963437"/>
    <d v="2016-06-14T00:00:00"/>
    <m/>
    <d v="2016-10-28T00:00:00"/>
    <d v="2016-06-28T00:00:00"/>
    <d v="2016-10-28T00:00:00"/>
    <m/>
    <n v="1"/>
    <m/>
    <n v="416"/>
    <m/>
    <s v="N156"/>
    <s v="NWK ACCESS TECH"/>
    <s v="ACCESS OTHER"/>
    <s v="OTHER AURORA"/>
    <s v="N156"/>
    <s v="AUR-STANDARD ORDER MIXED"/>
    <s v="A-SURFACE"/>
    <s v="OP"/>
    <n v="1251239"/>
    <s v="A-SURFACE"/>
    <m/>
    <m/>
    <m/>
    <s v="A-SURFACE"/>
    <s v="LTL"/>
    <s v="EXW"/>
    <s v="Third Party Billing"/>
    <m/>
    <m/>
    <s v="USE FEDEX ACCOUNT #392126716 AND SHIP 3RD PARTY. SHIPMENTS OVER 200LBS OR REQUIRING A PALLET USE PREPAID/CHARGE"/>
    <m/>
    <m/>
    <m/>
    <m/>
    <s v="0"/>
    <s v="0"/>
  </r>
  <r>
    <s v="SJ2"/>
    <s v="5008115"/>
    <s v="CEBRIDGE CONNECTIONS DBA SUDDENLINK"/>
    <s v="163143"/>
    <s v="R016P18L1B01"/>
    <s v="SJ2_STAG"/>
    <s v="Cequel Communications"/>
    <s v="2528 S Midkiff Rd"/>
    <s v="TX"/>
    <s v="Midland"/>
    <s v="79701-8800"/>
    <s v="OP95D4-CF1-102-R1-00"/>
    <s v="DEMUX DWDM 100GHZ 4 CH 02 F-CA"/>
    <s v="6900332"/>
    <s v="35.1"/>
    <x v="349"/>
    <n v="1963438"/>
    <d v="2016-06-14T00:00:00"/>
    <m/>
    <d v="2016-10-28T00:00:00"/>
    <d v="2016-06-14T00:00:00"/>
    <d v="2016-10-28T00:00:00"/>
    <m/>
    <n v="1"/>
    <m/>
    <n v="780"/>
    <m/>
    <s v="N160"/>
    <s v="NWK ACCESS TECH"/>
    <s v="OPTICAL PASSIVES"/>
    <s v="OUTDOOR PASSIVES AURORA"/>
    <s v="N160"/>
    <s v="AUR-STANDARD ORDER MIXED"/>
    <s v="A-SURFACE"/>
    <s v="OP"/>
    <n v="1251239"/>
    <s v="A-SURFACE"/>
    <m/>
    <m/>
    <m/>
    <s v="A-SURFACE"/>
    <s v="LTL"/>
    <s v="EXW"/>
    <s v="Third Party Billing"/>
    <m/>
    <m/>
    <s v="USE FEDEX ACCOUNT #392126716 AND SHIP 3RD PARTY. SHIPMENTS OVER 200LBS OR REQUIRING A PALLET USE PREPAID/CHARGE"/>
    <m/>
    <m/>
    <m/>
    <m/>
    <s v="0"/>
    <s v="0"/>
  </r>
  <r>
    <s v="SJ2"/>
    <s v="5008115"/>
    <s v="CEBRIDGE CONNECTIONS DBA SUDDENLINK"/>
    <s v="163165"/>
    <s v="R023P47L4"/>
    <s v="SJ2_STAG"/>
    <s v="Cequel Communications"/>
    <s v="6710 Hartford Ave"/>
    <s v="TX"/>
    <s v="Lubbock"/>
    <s v="79413-6234"/>
    <s v="OA-02-00-AS"/>
    <s v="ATTENUATOR STD OPT SC/APC-SC/A"/>
    <s v="6900540"/>
    <s v="17.1"/>
    <x v="350"/>
    <n v="1959320"/>
    <d v="2016-05-25T00:00:00"/>
    <m/>
    <d v="2016-10-24T00:00:00"/>
    <d v="2016-05-25T00:00:00"/>
    <d v="2016-10-26T00:00:00"/>
    <m/>
    <n v="1"/>
    <m/>
    <n v="29"/>
    <m/>
    <s v="N224"/>
    <s v="NWK ACCESS TECH"/>
    <s v="ACCESS OTHER"/>
    <s v="OTHER AURORA"/>
    <s v="N224"/>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65"/>
    <s v="R022P03L2"/>
    <s v="SJ2_STAG"/>
    <s v="Cequel Communications"/>
    <s v="6710 Hartford Ave"/>
    <s v="TX"/>
    <s v="Lubbock"/>
    <s v="79413-6234"/>
    <s v="OP91S4D-EQ-R2-MP"/>
    <s v="SPLITTER DUAL 1X4 F-CASE MPO 2"/>
    <s v="6900540"/>
    <s v="20.1"/>
    <x v="350"/>
    <n v="1959319"/>
    <d v="2016-05-25T00:00:00"/>
    <m/>
    <d v="2016-10-24T00:00:00"/>
    <d v="2016-05-25T00:00:00"/>
    <d v="2016-10-26T00:00:00"/>
    <m/>
    <n v="1"/>
    <m/>
    <n v="416"/>
    <m/>
    <s v="N156"/>
    <s v="NWK ACCESS TECH"/>
    <s v="ACCESS OTHER"/>
    <s v="OTHER AURORA"/>
    <s v="N156"/>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65"/>
    <s v="R016P18L1B01"/>
    <s v="SJ2_STAG"/>
    <s v="Cequel Communications"/>
    <s v="6710 Hartford Ave"/>
    <s v="TX"/>
    <s v="Lubbock"/>
    <s v="79413-6234"/>
    <s v="OP95D4-CF1-102-R1-00"/>
    <s v="DEMUX DWDM 100GHZ 4 CH 02 F-CA"/>
    <s v="6900540"/>
    <s v="31.1"/>
    <x v="350"/>
    <n v="1959319"/>
    <d v="2016-05-25T00:00:00"/>
    <m/>
    <d v="2016-10-24T00:00:00"/>
    <d v="2016-05-25T00:00:00"/>
    <d v="2016-10-26T00:00:00"/>
    <m/>
    <n v="1"/>
    <m/>
    <n v="780"/>
    <m/>
    <s v="N160"/>
    <s v="NWK ACCESS TECH"/>
    <s v="OPTICAL PASSIVES"/>
    <s v="OUTDOOR PASSIVES AURORA"/>
    <s v="N160"/>
    <s v="AUR-STANDARD ORDER MIXED"/>
    <s v="A-SURFACE"/>
    <s v="OP"/>
    <n v="1248585"/>
    <s v="A-SURFACE"/>
    <m/>
    <m/>
    <m/>
    <s v="A-SURFACE"/>
    <s v="LTL"/>
    <s v="EXW"/>
    <s v="Third Party Billing"/>
    <m/>
    <m/>
    <s v="USE FEDEX ACCOUNT #392126716 AND SHIP 3RD PARTY. SHIPMENTS OVER 200LBS OR REQUIRING A PALLET USE PREPAID/CHARGE"/>
    <m/>
    <m/>
    <m/>
    <m/>
    <s v="0"/>
    <s v="0"/>
  </r>
  <r>
    <s v="SJ2"/>
    <s v="5008115"/>
    <s v="CEBRIDGE CONNECTIONS DBA SUDDENLINK"/>
    <s v="163195"/>
    <s v="R022P53L7"/>
    <s v="SJ2_STAG"/>
    <s v="Cequel Communications"/>
    <s v="3632 Shiloh Rd"/>
    <s v="TX"/>
    <s v="Tyler"/>
    <s v="75707-1910"/>
    <s v="NH4000-RFP2"/>
    <s v="HOUSING VHUB-RFPON DUAL PWR SP"/>
    <s v="6900615"/>
    <s v="10.1"/>
    <x v="351"/>
    <n v="1957786"/>
    <d v="2016-05-23T00:00:00"/>
    <m/>
    <d v="2016-10-21T00:00:00"/>
    <d v="2016-05-23T00:00:00"/>
    <d v="2016-10-21T00:00:00"/>
    <m/>
    <n v="1"/>
    <m/>
    <n v="1073"/>
    <m/>
    <s v="N224"/>
    <s v="NWK ACCESS TECH"/>
    <s v="ACCESS OTHER"/>
    <s v="OTHER AURORA"/>
    <s v="N224"/>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47L5"/>
    <s v="SJ2_STAG"/>
    <s v="Cequel Communications"/>
    <s v="3632 Shiloh Rd"/>
    <s v="TX"/>
    <s v="Tyler"/>
    <s v="75707-1910"/>
    <s v="AT3545G-24-1-AS"/>
    <s v="TRANSMITTER 1GHZ FULL SPECTRUM"/>
    <s v="6900615"/>
    <s v="3.1"/>
    <x v="351"/>
    <n v="1957786"/>
    <d v="2016-05-23T00:00:00"/>
    <m/>
    <d v="2016-10-21T00:00:00"/>
    <d v="2016-05-23T00:00:00"/>
    <d v="2016-10-21T00:00:00"/>
    <m/>
    <n v="1"/>
    <m/>
    <n v="1950"/>
    <m/>
    <s v="N005"/>
    <s v="NWK ACCESS TECH"/>
    <s v="HEO"/>
    <s v="TRANSMITTERS AURORA"/>
    <s v="N005"/>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95"/>
    <s v="R023P79L1"/>
    <s v="SJ2_STAG"/>
    <s v="Cequel Communications"/>
    <s v="3632 Shiloh Rd"/>
    <s v="TX"/>
    <s v="Tyler"/>
    <s v="75707-1910"/>
    <s v="FA4524S-01-AS"/>
    <s v="EDFA 24DBM FOR VH4000/NC4000 S"/>
    <s v="6900615"/>
    <s v="8.1"/>
    <x v="351"/>
    <n v="1957786"/>
    <d v="2016-05-23T00:00:00"/>
    <m/>
    <d v="2016-10-21T00:00:00"/>
    <d v="2016-05-23T00:00:00"/>
    <d v="2016-10-21T00:00:00"/>
    <m/>
    <n v="1"/>
    <m/>
    <n v="5590"/>
    <m/>
    <s v="N127"/>
    <s v="NWK ACCESS TECH"/>
    <s v="HPON"/>
    <s v="VHUB AURORA"/>
    <s v="N127"/>
    <s v="AUR-STANDARD ORDER MIXED"/>
    <s v="A-SURFACE"/>
    <s v="OP"/>
    <n v="1247018"/>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2L2"/>
    <s v="SJ2_STAG"/>
    <s v="Cequel Communications"/>
    <s v="700 Exchange Ave"/>
    <s v="AR"/>
    <s v="Conway"/>
    <s v="72032-7869"/>
    <s v="AT3545G-21-1-AS"/>
    <s v="TRANSMITTER 1GHZ FULL SPECTRUM"/>
    <s v="6900832"/>
    <s v="12.1"/>
    <x v="352"/>
    <n v="1957531"/>
    <d v="2016-07-13T00:00:00"/>
    <m/>
    <d v="2016-10-21T00:00:00"/>
    <d v="2016-07-22T00:00:00"/>
    <d v="2016-10-21T00:00:00"/>
    <m/>
    <n v="2"/>
    <m/>
    <n v="3900"/>
    <m/>
    <s v="N005"/>
    <s v="NWK ACCESS TECH"/>
    <s v="HEO"/>
    <s v="TRANSMITTERS AURORA"/>
    <s v="N00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15P52L2"/>
    <s v="SJ2_STAG"/>
    <s v="Cequel Communications"/>
    <s v="700 Exchange Ave"/>
    <s v="AR"/>
    <s v="Conway"/>
    <s v="72032-7869"/>
    <s v="DT4250N-50-00"/>
    <s v="DGTL XCVR ENH MULTI-MODES OF O"/>
    <s v="6900832"/>
    <s v="3.1"/>
    <x v="352"/>
    <n v="1957531"/>
    <d v="2016-07-13T00:00:00"/>
    <m/>
    <d v="2016-10-21T00:00:00"/>
    <d v="2016-07-22T00:00:00"/>
    <d v="2016-10-21T00:00:00"/>
    <m/>
    <n v="1"/>
    <m/>
    <n v="325"/>
    <m/>
    <s v="N065"/>
    <s v="NWK ACCESS TECH"/>
    <s v="NODE"/>
    <s v="NODE MISC AURORA"/>
    <s v="N065"/>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78L1"/>
    <s v="SJ2_STAG"/>
    <s v="Cequel Communications"/>
    <s v="700 Exchange Ave"/>
    <s v="AR"/>
    <s v="Conway"/>
    <s v="72032-7869"/>
    <s v="FA4524S-01-AS"/>
    <s v="EDFA 24DBM FOR VH4000/NC4000 S"/>
    <s v="6900832"/>
    <s v="5.1"/>
    <x v="352"/>
    <n v="1957531"/>
    <d v="2016-07-13T00:00:00"/>
    <m/>
    <d v="2016-10-21T00:00:00"/>
    <d v="2016-07-22T00:00:00"/>
    <d v="2016-10-21T00:00:00"/>
    <m/>
    <n v="2"/>
    <m/>
    <n v="11180"/>
    <m/>
    <s v="N127"/>
    <s v="NWK ACCESS TECH"/>
    <s v="HPON"/>
    <s v="VHUB AURORA"/>
    <s v="N127"/>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3L7"/>
    <s v="SJ2_STAG"/>
    <s v="Cequel Communications"/>
    <s v="700 Exchange Ave"/>
    <s v="AR"/>
    <s v="Conway"/>
    <s v="72032-7869"/>
    <s v="NH4000-RFP2"/>
    <s v="HOUSING VHUB-RFPON DUAL PWR SP"/>
    <s v="6900832"/>
    <s v="6.1"/>
    <x v="352"/>
    <n v="1957531"/>
    <d v="2016-07-13T00:00:00"/>
    <m/>
    <d v="2016-10-21T00:00:00"/>
    <d v="2016-07-22T00:00:00"/>
    <d v="2016-10-21T00:00:00"/>
    <m/>
    <n v="1"/>
    <m/>
    <n v="1073"/>
    <m/>
    <s v="N224"/>
    <s v="NWK ACCESS TECH"/>
    <s v="ACCESS OTHER"/>
    <s v="OTHER AURORA"/>
    <s v="N224"/>
    <s v="AUR-STANDARD ORDER MIXED"/>
    <s v="A-SURFACE"/>
    <s v="OP"/>
    <n v="1246854"/>
    <s v="A-SURFACE"/>
    <m/>
    <m/>
    <m/>
    <s v="A-SURFACE"/>
    <s v="LTL"/>
    <s v="EXW"/>
    <s v="Third Party Billing"/>
    <m/>
    <m/>
    <s v="USE FEDEX ACCOUNT #392126716 AND SHIP 3RD PARTY. SHIPMENTS OVER 200LBS OR REQUIRING A PALLET USE PREPAID/CHARGE"/>
    <m/>
    <m/>
    <m/>
    <m/>
    <s v="0"/>
    <s v="0"/>
  </r>
  <r>
    <s v="SJ2"/>
    <s v="5008115"/>
    <s v="CEBRIDGE CONNECTIONS DBA SUDDENLINK"/>
    <s v="163195"/>
    <s v="R022P02L5"/>
    <s v="SJ2_STAG"/>
    <s v="Cequel Communications"/>
    <s v="3632 Shiloh Rd"/>
    <s v="TX"/>
    <s v="Tyler"/>
    <s v="75707-1910"/>
    <s v="NM4002-1"/>
    <s v="NC4 STATUS MONITOR PLUG-IN REV"/>
    <s v="6900866"/>
    <s v="6.2"/>
    <x v="353"/>
    <n v="1961478"/>
    <d v="2016-08-08T00:00:00"/>
    <m/>
    <d v="2016-10-26T00:00:00"/>
    <d v="2016-08-08T00:00:00"/>
    <d v="2016-10-26T00:00:00"/>
    <m/>
    <n v="24"/>
    <n v="24"/>
    <n v="936"/>
    <n v="936"/>
    <s v="N224"/>
    <s v="NWK ACCESS TECH"/>
    <s v="ACCESS OTHER"/>
    <s v="OTHER AURORA"/>
    <s v="N224"/>
    <s v="AUR-STANDARD ORDER MIXED"/>
    <s v="A-SURFACE"/>
    <s v="OP"/>
    <n v="1250097"/>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21L2"/>
    <s v="SJ2_STAG"/>
    <s v="Cequel Communications"/>
    <s v="5800 SW 45th Ave"/>
    <s v="TX"/>
    <s v="Amarillo"/>
    <s v="79109-5206"/>
    <s v="BD35M4-AC1-H02F-1-AS"/>
    <s v="OPT MUX BD 100GHZ A1 ITU CH 20"/>
    <s v="6901085"/>
    <s v="1.1"/>
    <x v="354"/>
    <n v="1960855"/>
    <d v="2016-07-13T00:00:00"/>
    <m/>
    <d v="2016-10-26T00:00:00"/>
    <d v="2016-07-21T00:00:00"/>
    <d v="2016-10-27T00:00:00"/>
    <m/>
    <n v="1"/>
    <m/>
    <n v="2145"/>
    <m/>
    <s v="N258"/>
    <s v="NWK ACCESS TECH"/>
    <s v="HEO"/>
    <s v="TRANSMITTERS AURORA"/>
    <s v="HDTX"/>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03L2"/>
    <s v="SJ2_STAG"/>
    <s v="Cequel Communications"/>
    <s v="5800 SW 45th Ave"/>
    <s v="TX"/>
    <s v="Amarillo"/>
    <s v="79109-5206"/>
    <s v="HT3541H-D-A200-2-AS"/>
    <s v="XMTR DD 1.2GHZ FULL SPECTRUM 3"/>
    <s v="6901085"/>
    <s v="11.1"/>
    <x v="354"/>
    <n v="1960853"/>
    <d v="2016-07-13T00:00:00"/>
    <m/>
    <d v="2016-10-26T00:00:00"/>
    <d v="2016-07-21T00:00:00"/>
    <d v="2016-10-27T00:00:00"/>
    <m/>
    <n v="1"/>
    <m/>
    <n v="2080"/>
    <m/>
    <s v="HE64"/>
    <s v="NWK ACCESS TECH"/>
    <s v="HEO"/>
    <s v="TRANSMITTER"/>
    <s v="HT"/>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4P31L1B02"/>
    <s v="SJ2_STAG"/>
    <s v="Cequel Communications"/>
    <s v="5800 SW 45th Ave"/>
    <s v="TX"/>
    <s v="Amarillo"/>
    <s v="79109-5206"/>
    <s v="JC1113"/>
    <s v="PATCH CORD SC/APC-SC/APC 3MM J"/>
    <s v="6901085"/>
    <s v="12.1"/>
    <x v="354"/>
    <n v="1960854"/>
    <d v="2016-07-13T00:00:00"/>
    <m/>
    <d v="2016-10-26T00:00:00"/>
    <d v="2016-07-21T00:00:00"/>
    <d v="2016-10-27T00:00:00"/>
    <m/>
    <n v="1"/>
    <m/>
    <n v="18"/>
    <m/>
    <s v="N223"/>
    <s v="NWK ACCESS TECH"/>
    <s v="OPTICAL PASSIVES"/>
    <s v="INDOOR PASSIVES AURORA"/>
    <s v="N223"/>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4P32L1B02"/>
    <s v="SJ2_STAG"/>
    <s v="Cequel Communications"/>
    <s v="5800 SW 45th Ave"/>
    <s v="TX"/>
    <s v="Amarillo"/>
    <s v="79109-5206"/>
    <s v="JC1115"/>
    <s v="PATCH CORD SC/APC-SC/APC 3MM J"/>
    <s v="6901085"/>
    <s v="13.1"/>
    <x v="354"/>
    <n v="1960854"/>
    <d v="2016-07-13T00:00:00"/>
    <m/>
    <d v="2016-10-26T00:00:00"/>
    <d v="2016-07-21T00:00:00"/>
    <d v="2016-10-27T00:00:00"/>
    <m/>
    <n v="1"/>
    <m/>
    <n v="25"/>
    <m/>
    <s v="N223"/>
    <s v="NWK ACCESS TECH"/>
    <s v="OPTICAL PASSIVES"/>
    <s v="INDOOR PASSIVES AURORA"/>
    <s v="N223"/>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4P17L2B01"/>
    <s v="SJ2_STAG"/>
    <s v="Cequel Communications"/>
    <s v="5800 SW 45th Ave"/>
    <s v="TX"/>
    <s v="Amarillo"/>
    <s v="79109-5206"/>
    <s v="JC1123"/>
    <s v="PATCH CORD SC/APC-LC/UPC 2MM J"/>
    <s v="6901085"/>
    <s v="14.1"/>
    <x v="354"/>
    <n v="1960854"/>
    <d v="2016-07-13T00:00:00"/>
    <m/>
    <d v="2016-10-26T00:00:00"/>
    <d v="2016-07-21T00:00:00"/>
    <d v="2016-10-27T00:00:00"/>
    <m/>
    <n v="1"/>
    <m/>
    <n v="18"/>
    <m/>
    <s v="N223"/>
    <s v="NWK ACCESS TECH"/>
    <s v="OPTICAL PASSIVES"/>
    <s v="INDOOR PASSIVES AURORA"/>
    <s v="N223"/>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13L3"/>
    <s v="SJ2_STAG"/>
    <s v="Cequel Communications"/>
    <s v="5800 SW 45th Ave"/>
    <s v="TX"/>
    <s v="Amarillo"/>
    <s v="79109-5206"/>
    <s v="JC1443-12"/>
    <s v="PATCH CORD MPO/MALE-MPO/MALE 1"/>
    <s v="6901085"/>
    <s v="15.1"/>
    <x v="354"/>
    <n v="1960853"/>
    <d v="2016-07-13T00:00:00"/>
    <m/>
    <d v="2016-10-26T00:00:00"/>
    <d v="2016-07-21T00:00:00"/>
    <d v="2016-10-27T00:00:00"/>
    <m/>
    <n v="1"/>
    <m/>
    <n v="351"/>
    <m/>
    <s v="N223"/>
    <s v="NWK ACCESS TECH"/>
    <s v="OPTICAL PASSIVES"/>
    <s v="INDOOR PASSIVES AURORA"/>
    <s v="N223"/>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53L4"/>
    <s v="SJ2_STAG"/>
    <s v="Cequel Communications"/>
    <s v="5800 SW 45th Ave"/>
    <s v="TX"/>
    <s v="Amarillo"/>
    <s v="79109-5206"/>
    <s v="OP35D16M-1-00-AS"/>
    <s v="OPT DEMUX 100GHZ ITU CH 20-35"/>
    <s v="6901085"/>
    <s v="18.1"/>
    <x v="354"/>
    <n v="1960853"/>
    <d v="2016-07-13T00:00:00"/>
    <m/>
    <d v="2016-10-26T00:00:00"/>
    <d v="2016-07-21T00:00:00"/>
    <d v="2016-10-27T00:00:00"/>
    <m/>
    <n v="1"/>
    <m/>
    <n v="2730"/>
    <m/>
    <s v="N165"/>
    <s v="NWK ACCESS TECH"/>
    <s v="OPTICAL PASSIVES"/>
    <s v="INDOOR PASSIVES AURORA"/>
    <s v="N165"/>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45L2"/>
    <s v="SJ2_STAG"/>
    <s v="Cequel Communications"/>
    <s v="5800 SW 45th Ave"/>
    <s v="TX"/>
    <s v="Amarillo"/>
    <s v="79109-5206"/>
    <s v="OP91S16S-EQ-R1-00"/>
    <s v="FLD COUPLER 1X16 F-CASE BAL .9"/>
    <s v="6901085"/>
    <s v="19.1"/>
    <x v="354"/>
    <n v="1960854"/>
    <d v="2016-07-13T00:00:00"/>
    <m/>
    <d v="2016-10-26T00:00:00"/>
    <d v="2016-07-21T00:00:00"/>
    <d v="2016-10-27T00:00:00"/>
    <m/>
    <n v="1"/>
    <m/>
    <n v="351"/>
    <m/>
    <s v="N156"/>
    <s v="NWK ACCESS TECH"/>
    <s v="ACCESS OTHER"/>
    <s v="OTHER AURORA"/>
    <s v="N156"/>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15P61L2"/>
    <s v="SJ2_STAG"/>
    <s v="Cequel Communications"/>
    <s v="5800 SW 45th Ave"/>
    <s v="TX"/>
    <s v="Amarillo"/>
    <s v="79109-5206"/>
    <s v="BP3400C-00"/>
    <s v="BACKPLATE 4.25 GB/S 1-FER/2-FE"/>
    <s v="6901085"/>
    <s v="2.1"/>
    <x v="354"/>
    <n v="1960853"/>
    <d v="2016-07-13T00:00:00"/>
    <m/>
    <d v="2016-10-26T00:00:00"/>
    <d v="2016-07-21T00:00:00"/>
    <d v="2016-10-27T00:00:00"/>
    <m/>
    <n v="1"/>
    <m/>
    <n v="520"/>
    <m/>
    <s v="N076"/>
    <s v="NWK ACCESS TECH"/>
    <s v="HEO"/>
    <s v="HEO MISC AURORA"/>
    <s v="N076"/>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43L3"/>
    <s v="SJ2_STAG"/>
    <s v="Cequel Communications"/>
    <s v="5800 SW 45th Ave"/>
    <s v="TX"/>
    <s v="Amarillo"/>
    <s v="79109-5206"/>
    <s v="OP91S32S-EQ-N0-00"/>
    <s v="FIELD COUPLER 1X32 BAL N-CASE"/>
    <s v="6901085"/>
    <s v="20.1"/>
    <x v="354"/>
    <n v="1960853"/>
    <d v="2016-07-13T00:00:00"/>
    <m/>
    <d v="2016-10-26T00:00:00"/>
    <d v="2016-07-21T00:00:00"/>
    <d v="2016-10-27T00:00:00"/>
    <m/>
    <n v="4"/>
    <m/>
    <n v="936"/>
    <m/>
    <s v="N156"/>
    <s v="NWK ACCESS TECH"/>
    <s v="ACCESS OTHER"/>
    <s v="OTHER AURORA"/>
    <s v="N156"/>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54L4"/>
    <s v="SJ2_STAG"/>
    <s v="Cequel Communications"/>
    <s v="5800 SW 45th Ave"/>
    <s v="TX"/>
    <s v="Amarillo"/>
    <s v="79109-5206"/>
    <s v="OR4148H-42-2-MP"/>
    <s v="DIPLXR/RTN RX 1530-65DN 1610+/"/>
    <s v="6901085"/>
    <s v="22.1"/>
    <x v="354"/>
    <n v="1960853"/>
    <d v="2016-07-13T00:00:00"/>
    <m/>
    <d v="2016-10-26T00:00:00"/>
    <d v="2016-07-21T00:00:00"/>
    <d v="2016-10-27T00:00:00"/>
    <m/>
    <n v="1"/>
    <m/>
    <n v="2795"/>
    <m/>
    <s v="N170"/>
    <s v="NWK ACCESS TECH"/>
    <s v="HPON"/>
    <s v="VHUB AURORA"/>
    <s v="N170"/>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15P16L2"/>
    <s v="SJ2_STAG"/>
    <s v="Cequel Communications"/>
    <s v="5800 SW 45th Ave"/>
    <s v="TX"/>
    <s v="Amarillo"/>
    <s v="79109-5206"/>
    <s v="PS3005D"/>
    <s v="POWER SUPPLY 250W CE TUV W/DIS"/>
    <s v="6901085"/>
    <s v="23.1"/>
    <x v="354"/>
    <n v="1960853"/>
    <d v="2016-07-13T00:00:00"/>
    <m/>
    <d v="2016-10-26T00:00:00"/>
    <d v="2016-07-21T00:00:00"/>
    <d v="2016-10-27T00:00:00"/>
    <m/>
    <n v="1"/>
    <m/>
    <n v="650"/>
    <m/>
    <s v="N204"/>
    <s v="NWK ACCESS TECH"/>
    <s v="ACCESS OTHER"/>
    <s v="OTHER AURORA"/>
    <s v="N204"/>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15P39L2"/>
    <s v="SJ2_STAG"/>
    <s v="Cequel Communications"/>
    <s v="5800 SW 45th Ave"/>
    <s v="TX"/>
    <s v="Amarillo"/>
    <s v="79109-5206"/>
    <s v="PS3005N"/>
    <s v="POWER SUPPLY 250W CE TUV W/O D"/>
    <s v="6901085"/>
    <s v="24.1"/>
    <x v="354"/>
    <n v="1960853"/>
    <d v="2016-07-13T00:00:00"/>
    <m/>
    <d v="2016-10-26T00:00:00"/>
    <d v="2016-07-21T00:00:00"/>
    <d v="2016-10-27T00:00:00"/>
    <m/>
    <n v="1"/>
    <m/>
    <n v="546"/>
    <m/>
    <s v="N204"/>
    <s v="NWK ACCESS TECH"/>
    <s v="ACCESS OTHER"/>
    <s v="OTHER AURORA"/>
    <s v="N204"/>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79L3"/>
    <s v="SJ2_STAG"/>
    <s v="Cequel Communications"/>
    <s v="5800 SW 45th Ave"/>
    <s v="TX"/>
    <s v="Amarillo"/>
    <s v="79109-5206"/>
    <s v="RR4000-00-PI"/>
    <s v="RCVR DUAL PLUGGABLE SFP 3 GBPS"/>
    <s v="6901085"/>
    <s v="25.1"/>
    <x v="354"/>
    <n v="1960854"/>
    <d v="2016-07-13T00:00:00"/>
    <m/>
    <d v="2016-10-26T00:00:00"/>
    <d v="2016-07-21T00:00:00"/>
    <d v="2016-10-27T00:00:00"/>
    <m/>
    <n v="1"/>
    <m/>
    <n v="195"/>
    <m/>
    <s v="N224"/>
    <s v="NWK ACCESS TECH"/>
    <s v="ACCESS OTHER"/>
    <s v="OTHER AURORA"/>
    <s v="N224"/>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15P26L1"/>
    <s v="SJ2_STAG"/>
    <s v="Cequel Communications"/>
    <s v="5800 SW 45th Ave"/>
    <s v="TX"/>
    <s v="Amarillo"/>
    <s v="79109-5206"/>
    <s v="RS4002-00"/>
    <s v="COMBINER DUAL RETURN PATH PLUG"/>
    <s v="6901085"/>
    <s v="26.1"/>
    <x v="354"/>
    <n v="1960854"/>
    <d v="2016-07-13T00:00:00"/>
    <m/>
    <d v="2016-10-26T00:00:00"/>
    <d v="2016-07-21T00:00:00"/>
    <d v="2016-10-27T00:00:00"/>
    <m/>
    <n v="1"/>
    <m/>
    <n v="20"/>
    <m/>
    <s v="N224"/>
    <s v="NWK ACCESS TECH"/>
    <s v="ACCESS OTHER"/>
    <s v="OTHER AURORA"/>
    <s v="N224"/>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04L1"/>
    <s v="SJ2_STAG"/>
    <s v="Cequel Communications"/>
    <s v="5800 SW 45th Ave"/>
    <s v="TX"/>
    <s v="Amarillo"/>
    <s v="79109-5206"/>
    <s v="TL3000-EJ-00"/>
    <s v="TOOL EXTRACTOR HANDLE CH3000"/>
    <s v="6901085"/>
    <s v="27.1"/>
    <x v="354"/>
    <n v="1960853"/>
    <d v="2016-07-13T00:00:00"/>
    <m/>
    <d v="2016-10-26T00:00:00"/>
    <d v="2016-07-21T00:00:00"/>
    <d v="2016-10-27T00:00:00"/>
    <m/>
    <n v="1"/>
    <m/>
    <n v="8"/>
    <m/>
    <s v="N185"/>
    <s v="NWK ACCESS TECH"/>
    <s v="ACCESS OTHER"/>
    <s v="OTHER AURORA"/>
    <s v="N185"/>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69L5"/>
    <s v="SJ2_STAG"/>
    <s v="Cequel Communications"/>
    <s v="5800 SW 45th Ave"/>
    <s v="TX"/>
    <s v="Amarillo"/>
    <s v="79109-5206"/>
    <s v="TR4580-20-PI"/>
    <s v="XCVR PLUGGABLE DWDM ITU CH 20"/>
    <s v="6901085"/>
    <s v="28.1"/>
    <x v="354"/>
    <n v="1960853"/>
    <d v="2016-07-13T00:00:00"/>
    <m/>
    <d v="2016-10-26T00:00:00"/>
    <d v="2016-07-21T00:00:00"/>
    <d v="2016-10-27T00:00:00"/>
    <m/>
    <n v="1"/>
    <m/>
    <n v="962"/>
    <m/>
    <s v="N252"/>
    <s v="NWK ACCESS TECH"/>
    <s v="NODE"/>
    <s v="NODE MISC AURORA"/>
    <s v="N252"/>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60L6"/>
    <s v="SJ2_STAG"/>
    <s v="Cequel Communications"/>
    <s v="5800 SW 45th Ave"/>
    <s v="TX"/>
    <s v="Amarillo"/>
    <s v="79109-5206"/>
    <s v="CA3008"/>
    <s v="CARRIER MODULE HIGH DENSITY"/>
    <s v="6901085"/>
    <s v="3.1"/>
    <x v="354"/>
    <n v="1960855"/>
    <d v="2016-07-13T00:00:00"/>
    <m/>
    <d v="2016-10-26T00:00:00"/>
    <d v="2016-07-21T00:00:00"/>
    <d v="2016-10-27T00:00:00"/>
    <m/>
    <n v="1"/>
    <m/>
    <n v="280"/>
    <m/>
    <s v="N259"/>
    <s v="NWK ACCESS TECH"/>
    <s v="HEO"/>
    <s v="TRANSMITTERS AURORA"/>
    <s v="HDTX"/>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2P73L5"/>
    <s v="SJ2_STAG"/>
    <s v="Cequel Communications"/>
    <s v="5800 SW 45th Ave"/>
    <s v="TX"/>
    <s v="Amarillo"/>
    <s v="79109-5206"/>
    <s v="CC3008"/>
    <s v="COMM CONTROL MODULE HIGH DENSI"/>
    <s v="6901085"/>
    <s v="4.1"/>
    <x v="354"/>
    <n v="1960855"/>
    <d v="2016-07-13T00:00:00"/>
    <m/>
    <d v="2016-10-26T00:00:00"/>
    <d v="2016-07-21T00:00:00"/>
    <d v="2016-10-27T00:00:00"/>
    <m/>
    <n v="1"/>
    <m/>
    <n v="143"/>
    <m/>
    <s v="N260"/>
    <s v="NWK ACCESS TECH"/>
    <s v="HEO"/>
    <s v="TRANSMITTERS AURORA"/>
    <s v="HDTX"/>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23P73L6"/>
    <s v="SJ2_STAG"/>
    <s v="Cequel Communications"/>
    <s v="5800 SW 45th Ave"/>
    <s v="TX"/>
    <s v="Amarillo"/>
    <s v="79109-5206"/>
    <s v="CX3002"/>
    <s v="COMMUNICATIONS MODULE"/>
    <s v="6901085"/>
    <s v="7.1"/>
    <x v="354"/>
    <n v="1960854"/>
    <d v="2016-07-13T00:00:00"/>
    <m/>
    <d v="2016-10-26T00:00:00"/>
    <d v="2016-07-21T00:00:00"/>
    <d v="2016-10-27T00:00:00"/>
    <m/>
    <n v="1"/>
    <m/>
    <n v="442"/>
    <m/>
    <s v="N080"/>
    <s v="NWK ACCESS TECH"/>
    <s v="HEO"/>
    <s v="HEO MISC AURORA"/>
    <s v="N080"/>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6"/>
    <s v="R016P07L2B02"/>
    <s v="SJ2_STAG"/>
    <s v="Cequel Communications"/>
    <s v="5800 SW 45th Ave"/>
    <s v="TX"/>
    <s v="Amarillo"/>
    <s v="79109-5206"/>
    <s v="DR3450N-50-00"/>
    <s v="DIGITAL RECEIVER Q-RX 2.125GBP"/>
    <s v="6901085"/>
    <s v="8.1"/>
    <x v="354"/>
    <n v="1960855"/>
    <d v="2016-07-13T00:00:00"/>
    <m/>
    <d v="2016-10-26T00:00:00"/>
    <d v="2016-07-21T00:00:00"/>
    <d v="2016-10-27T00:00:00"/>
    <m/>
    <n v="2"/>
    <m/>
    <n v="2600"/>
    <m/>
    <s v="N275"/>
    <s v="NWK ACCESS TECH"/>
    <s v="HEO"/>
    <s v="RECEIVERS AURORA"/>
    <s v="N275"/>
    <s v="AUR-STANDARD ORDER MIXED"/>
    <s v="A-SURFACE"/>
    <s v="OP"/>
    <n v="124976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6P46L2B01"/>
    <s v="SJ2_STAG"/>
    <s v="Cequel Communications"/>
    <s v="130 Upton Street"/>
    <s v="WV"/>
    <s v="Shrewsbury"/>
    <s v="25015"/>
    <s v="NH4000-VHP2"/>
    <s v="HOUSING VHUB DUAL PWR SPLY FBR"/>
    <s v="6901120"/>
    <s v="1.1"/>
    <x v="355"/>
    <n v="1954628"/>
    <d v="2016-07-28T00:00:00"/>
    <m/>
    <d v="2016-10-19T00:00:00"/>
    <d v="2016-10-19T00:00:00"/>
    <d v="2016-10-19T00:00:00"/>
    <m/>
    <n v="1"/>
    <m/>
    <n v="982"/>
    <m/>
    <s v="N224"/>
    <s v="NWK ACCESS TECH"/>
    <s v="ACCESS OTHER"/>
    <s v="OTHER AURORA"/>
    <s v="N22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4L6"/>
    <s v="SJ2_STAG"/>
    <s v="Cequel Communications"/>
    <s v="130 Upton Street"/>
    <s v="WV"/>
    <s v="Shrewsbury"/>
    <s v="25015"/>
    <s v="AT3535G-21-1-AS"/>
    <s v="TRANSMITTER 1GHZ 80 QAM CHAN 2"/>
    <s v="6901120"/>
    <s v="11.1"/>
    <x v="3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49L4"/>
    <s v="SJ2_STAG"/>
    <s v="Cequel Communications"/>
    <s v="130 Upton Street"/>
    <s v="WV"/>
    <s v="Shrewsbury"/>
    <s v="25015"/>
    <s v="AT3535G-22-1-AS"/>
    <s v="TRANSMITTER 1GHZ 80 QAM CHAN 2"/>
    <s v="6901120"/>
    <s v="12.2"/>
    <x v="3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6L1"/>
    <s v="SJ2_STAG"/>
    <s v="Cequel Communications"/>
    <s v="130 Upton Street"/>
    <s v="WV"/>
    <s v="Shrewsbury"/>
    <s v="25015"/>
    <s v="AT3535G-27-1-AS"/>
    <s v="TRANSMITTER 1GHZ 80 QAM CHAN 2"/>
    <s v="6901120"/>
    <s v="15.1"/>
    <x v="3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41P05L3"/>
    <s v="SJ2_STAG"/>
    <s v="Cequel Communications"/>
    <s v="130 Upton Street"/>
    <s v="WV"/>
    <s v="Shrewsbury"/>
    <s v="25015"/>
    <s v="AT3535G-29-1-AS"/>
    <s v="TRANSMITTER 1GHZ 80 QAM CHAN 2"/>
    <s v="6901120"/>
    <s v="16.2"/>
    <x v="3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10L6"/>
    <s v="SJ2_STAG"/>
    <s v="Cequel Communications"/>
    <s v="130 Upton Street"/>
    <s v="WV"/>
    <s v="Shrewsbury"/>
    <s v="25015"/>
    <s v="OE4130S-01"/>
    <s v="DGTL XCVR MONITOR ONLY FOR NC4"/>
    <s v="6901120"/>
    <s v="2.1"/>
    <x v="355"/>
    <n v="1954623"/>
    <d v="2016-07-28T00:00:00"/>
    <m/>
    <d v="2016-10-19T00:00:00"/>
    <d v="2016-10-19T00:00:00"/>
    <d v="2016-10-19T00:00:00"/>
    <m/>
    <n v="1"/>
    <m/>
    <n v="390"/>
    <m/>
    <s v="N092"/>
    <s v="NWK ACCESS TECH"/>
    <s v="HPON"/>
    <s v="VHUB AURORA"/>
    <s v="N092"/>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5P34L1"/>
    <s v="SJ2_STAG"/>
    <s v="Cequel Communications"/>
    <s v="130 Upton Street"/>
    <s v="WV"/>
    <s v="Shrewsbury"/>
    <s v="25015"/>
    <s v="JC1508-AS-100"/>
    <s v="CABLE SERVICE 8 SC/APC 100FT"/>
    <s v="6901120"/>
    <s v="5.1"/>
    <x v="355"/>
    <n v="1954623"/>
    <d v="2016-07-28T00:00:00"/>
    <m/>
    <d v="2016-10-19T00:00:00"/>
    <d v="2016-10-19T00:00:00"/>
    <d v="2016-10-19T00:00:00"/>
    <m/>
    <n v="1"/>
    <m/>
    <n v="286"/>
    <m/>
    <s v="N223"/>
    <s v="NWK ACCESS TECH"/>
    <s v="OPTICAL PASSIVES"/>
    <s v="INDOOR PASSIVES AURORA"/>
    <s v="N223"/>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1"/>
    <s v="SJ2_STAG"/>
    <s v="Cequel Communications"/>
    <s v="130 Upton Street"/>
    <s v="WV"/>
    <s v="Shrewsbury"/>
    <s v="25015"/>
    <s v="AT3535G-28-1-AS"/>
    <s v="TRANSMITTER 1GHZ 80 QAM CHAN 2"/>
    <s v="6901120"/>
    <s v="7.2"/>
    <x v="355"/>
    <n v="1954623"/>
    <d v="2016-07-28T00:00:00"/>
    <m/>
    <d v="2016-10-19T00:00:00"/>
    <d v="2016-10-19T00:00:00"/>
    <d v="2016-10-21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2P01L4"/>
    <s v="SJ2_STAG"/>
    <s v="Cequel Communications"/>
    <s v="130 Upton Street"/>
    <s v="WV"/>
    <s v="Shrewsbury"/>
    <s v="25015"/>
    <s v="AT3535G-24-1-AS"/>
    <s v="TRANSMITTER 1GHZ 80 QAM CHAN 2"/>
    <s v="6901120"/>
    <s v="8.1"/>
    <x v="356"/>
    <n v="1961619"/>
    <d v="2016-07-28T00:00:00"/>
    <m/>
    <d v="2016-10-26T00:00:00"/>
    <d v="2016-10-19T00:00:00"/>
    <d v="2016-10-26T00:00:00"/>
    <m/>
    <n v="3"/>
    <n v="3"/>
    <n v="5265"/>
    <n v="5265"/>
    <s v="N004"/>
    <s v="NWK ACCESS TECH"/>
    <s v="HEO"/>
    <s v="TRANSMITTERS AURORA"/>
    <s v="N004"/>
    <s v="AUR-STANDARD ORDER MIXED"/>
    <s v="A-SURFACE"/>
    <s v="OP"/>
    <n v="1250201"/>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14P05L2"/>
    <s v="SJ2_STAG"/>
    <s v="Cequel Communications"/>
    <s v="130 Upton Street"/>
    <s v="WV"/>
    <s v="Shrewsbury"/>
    <s v="25015"/>
    <s v="AT3535G-25-1-AS"/>
    <s v="TRANSMITTER 1GHZ 80 QAM CHAN 2"/>
    <s v="6901120"/>
    <s v="9.1"/>
    <x v="355"/>
    <n v="1954623"/>
    <d v="2016-07-28T00:00:00"/>
    <m/>
    <d v="2016-10-19T00:00:00"/>
    <d v="2016-10-19T00:00:00"/>
    <d v="2016-10-19T00:00:00"/>
    <m/>
    <n v="1"/>
    <m/>
    <n v="1755"/>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2"/>
    <s v="R023P04L3"/>
    <s v="SJ2_STAG"/>
    <s v="Cequel Communications"/>
    <s v="130 Upton Street"/>
    <s v="WV"/>
    <s v="Shrewsbury"/>
    <s v="25015"/>
    <s v="AT3535G-25-1-AS"/>
    <s v="TRANSMITTER 1GHZ 80 QAM CHAN 2"/>
    <s v="6901120"/>
    <s v="9.1"/>
    <x v="355"/>
    <n v="1954623"/>
    <d v="2016-07-28T00:00:00"/>
    <m/>
    <d v="2016-10-19T00:00:00"/>
    <d v="2016-10-19T00:00:00"/>
    <d v="2016-10-19T00:00:00"/>
    <m/>
    <n v="2"/>
    <m/>
    <n v="3510"/>
    <m/>
    <s v="N004"/>
    <s v="NWK ACCESS TECH"/>
    <s v="HEO"/>
    <s v="TRANSMITTERS AURORA"/>
    <s v="N004"/>
    <s v="AUR-STANDARD ORDER MIXED"/>
    <s v="A-SURFACE"/>
    <s v="OP"/>
    <n v="1245645"/>
    <s v="A-SURFACE"/>
    <m/>
    <m/>
    <m/>
    <s v="A-SURFACE"/>
    <s v="LTL"/>
    <s v="EXW"/>
    <s v="Third Party Billing"/>
    <m/>
    <m/>
    <s v="USE FEDEX ACCOUNT #392126716 AND SHIP COLLECT 3RD PARTY. SHIPMENTS OVER 200LBS OR REQUIRING A PALLET USE PREPAID/CHARGE"/>
    <m/>
    <m/>
    <m/>
    <m/>
    <s v="0"/>
    <s v="0"/>
  </r>
  <r>
    <s v="SJ2"/>
    <s v="5008115"/>
    <s v="CEBRIDGE CONNECTIONS DBA SUDDENLINK"/>
    <s v="163168"/>
    <s v="R015P31L2"/>
    <s v="SJ2_STAG"/>
    <s v="Cequel Communications"/>
    <s v="700 Exchange Ave"/>
    <s v="AR"/>
    <s v="Conway"/>
    <s v="72032-7869"/>
    <s v="HT3542H-D-A200-2-AS"/>
    <s v="XMTR DD 1.2GHZ FULL SPECTRUM 7"/>
    <s v="6901145"/>
    <s v="10.1"/>
    <x v="357"/>
    <n v="1960458"/>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72L2"/>
    <s v="SJ2_STAG"/>
    <s v="Cequel Communications"/>
    <s v="700 Exchange Ave"/>
    <s v="AR"/>
    <s v="Conway"/>
    <s v="72032-7869"/>
    <s v="HT3542H-D-A210-2-AS"/>
    <s v="XMTR DD 1.2GHZ FULL SPECTRUM 7"/>
    <s v="6901145"/>
    <s v="11.1"/>
    <x v="357"/>
    <n v="1960458"/>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4L3"/>
    <s v="SJ2_STAG"/>
    <s v="Cequel Communications"/>
    <s v="700 Exchange Ave"/>
    <s v="AR"/>
    <s v="Conway"/>
    <s v="72032-7869"/>
    <s v="HT3542H-D-A240-2-AS"/>
    <s v="XMTR DD 1.2GHZ FULL SPECTRUM 7"/>
    <s v="6901145"/>
    <s v="12.1"/>
    <x v="357"/>
    <n v="1960459"/>
    <d v="2016-07-21T00:00:00"/>
    <m/>
    <d v="2016-10-25T00:00:00"/>
    <d v="2016-07-29T00:00:00"/>
    <d v="2016-10-25T00:00:00"/>
    <m/>
    <n v="2"/>
    <m/>
    <n v="4550"/>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57L2"/>
    <s v="SJ2_STAG"/>
    <s v="Cequel Communications"/>
    <s v="700 Exchange Ave"/>
    <s v="AR"/>
    <s v="Conway"/>
    <s v="72032-7869"/>
    <s v="HT3FILD"/>
    <s v="XMTR DOUBLE HT FILLER MODULE"/>
    <s v="6901145"/>
    <s v="15.1"/>
    <x v="357"/>
    <n v="1960458"/>
    <d v="2016-07-21T00:00:00"/>
    <m/>
    <d v="2016-10-25T00:00:00"/>
    <d v="2016-07-29T00:00:00"/>
    <d v="2016-10-25T00:00:00"/>
    <m/>
    <n v="2"/>
    <m/>
    <n v="260"/>
    <m/>
    <s v="N224"/>
    <s v="NWK ACCESS TECH"/>
    <s v="ACCESS OTHER"/>
    <s v="OTHER AURORA"/>
    <s v="N224"/>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2P23L5"/>
    <s v="SJ2_STAG"/>
    <s v="Cequel Communications"/>
    <s v="700 Exchange Ave"/>
    <s v="AR"/>
    <s v="Conway"/>
    <s v="72032-7869"/>
    <s v="EQ2102G"/>
    <s v="&quot;LINEAR EQL NC2000 2dB 45-1GHz"/>
    <s v="6901145"/>
    <s v="22.1"/>
    <x v="357"/>
    <n v="1960458"/>
    <d v="2016-07-21T00:00:00"/>
    <m/>
    <d v="2016-10-25T00:00:00"/>
    <d v="2016-07-29T00:00:00"/>
    <d v="2016-10-25T00:00:00"/>
    <m/>
    <n v="1"/>
    <m/>
    <n v="5"/>
    <m/>
    <s v="N224"/>
    <s v="NWK ACCESS TECH"/>
    <s v="ACCESS OTHER"/>
    <s v="OTHER AURORA"/>
    <s v="N224"/>
    <s v="AUR-STANDARD ORDER MIXED"/>
    <s v="A-SURFACE"/>
    <s v="OP"/>
    <n v="1249405"/>
    <s v="A-SURFACE"/>
    <m/>
    <m/>
    <m/>
    <s v="A-SURFACE"/>
    <s v="LTL"/>
    <s v="EXW"/>
    <s v="Third Party Billing"/>
    <m/>
    <m/>
    <s v="USE FEDEX ACCOUNT #392126716 AND SHIP 3RD PARTY. SHIPMENTS OVER 200LBS OR REQUIRING A PALLET USE PREPAID/CHARGE"/>
    <m/>
    <m/>
    <m/>
    <m/>
    <s v="0"/>
    <s v="0"/>
  </r>
  <r>
    <s v="SJ2"/>
    <s v="5008115"/>
    <s v="CEBRIDGE CONNECTIONS DBA SUDDENLINK"/>
    <s v="163168"/>
    <s v="R023P11L2"/>
    <s v="SJ2_STAG"/>
    <s v="Cequel Communications"/>
    <s v="700 Exchange Ave"/>
    <s v="AR"/>
    <s v="Conway"/>
    <s v="72032-7869"/>
    <s v="JC1122"/>
    <s v="PATCH CORD SC/APC-LC/UPC 2MM 0"/>
    <s v="6901145"/>
    <s v="26.1"/>
    <x v="357"/>
    <n v="1960458"/>
    <d v="2016-07-21T00:00:00"/>
    <m/>
    <d v="2016-10-25T00:00:00"/>
    <d v="2016-07-29T00:00:00"/>
    <d v="2016-10-25T00:00:00"/>
    <m/>
    <n v="2"/>
    <m/>
    <n v="36"/>
    <m/>
    <s v="HE64"/>
    <s v="NWK ACCESS TECH"/>
    <s v="HEO"/>
    <s v="TRANSMITTER"/>
    <s v="HT"/>
    <s v="AUR-STANDARD ORDER MIXED"/>
    <s v="A-SURFACE"/>
    <s v="OP"/>
    <n v="1249405"/>
    <s v="A-SURFACE"/>
    <m/>
    <m/>
    <m/>
    <s v="A-SURFACE"/>
    <s v="LTL"/>
    <s v="EXW"/>
    <s v="Third Party Billing"/>
    <m/>
    <m/>
    <s v="USE FEDEX ACCOUNT #392126716 AND SHIP 3RD PARTY. SHIPMENTS OVER 200LBS OR REQUIRING A PALLET USE PREPAID/CHARGE"/>
    <m/>
    <m/>
    <m/>
    <m/>
    <s v="0"/>
    <s v="0"/>
  </r>
  <r>
    <s v="SJ2"/>
    <s v="5011780"/>
    <s v="NEWWAVE COMMUNICATIONS"/>
    <s v="VINCENNES, IN"/>
    <s v="R023P58L1"/>
    <s v="SJ2_STAG"/>
    <s v="NEWWAVE COMM"/>
    <s v="102 N 5th St"/>
    <s v="IN"/>
    <s v="Vincennes"/>
    <s v="47591-2017"/>
    <s v="DP34M08S0BA2S-0LB-AL"/>
    <s v="MUX CWDM 1W 8CH B SINGLE"/>
    <s v="20119136"/>
    <s v="2.1"/>
    <x v="358"/>
    <n v="1962491"/>
    <d v="2016-10-27T11:17:41"/>
    <m/>
    <d v="2016-10-27T00:00:00"/>
    <d v="2016-10-27T00:00:00"/>
    <d v="2016-10-27T00:00:00"/>
    <m/>
    <n v="2"/>
    <n v="2"/>
    <n v="1352"/>
    <n v="1352"/>
    <s v="N159"/>
    <s v="NWK ACCESS TECH"/>
    <s v="OPTICAL PASSIVES"/>
    <s v="DATA PASSIVES AURORA"/>
    <s v="N159"/>
    <s v="AS-STANDARD ORDER MIXED"/>
    <s v="A-SURFACE"/>
    <s v="OP"/>
    <n v="1250671"/>
    <s v="A-SURFACE"/>
    <m/>
    <m/>
    <m/>
    <s v="A-SURFACE"/>
    <s v="LTL"/>
    <s v="EXW"/>
    <s v="Prepay &amp; Add"/>
    <n v="13.44"/>
    <m/>
    <m/>
    <m/>
    <m/>
    <m/>
    <m/>
    <s v="0"/>
    <s v="0"/>
  </r>
  <r>
    <s v="SJ2"/>
    <s v="5011780"/>
    <s v="NEWWAVE COMMUNICATIONS"/>
    <s v="VINCENNES, IN"/>
    <s v="R023P70L3"/>
    <s v="SJ2_STAG"/>
    <s v="NEWWAVE COMM"/>
    <s v="102 N 5th St"/>
    <s v="IN"/>
    <s v="Vincennes"/>
    <s v="47591-2017"/>
    <s v="DP94D08S0BA2S-1MB-00"/>
    <s v="DEMUX CWDM M-CASE 8CH B EXP TP"/>
    <s v="20119136"/>
    <s v="3.1"/>
    <x v="358"/>
    <n v="1962491"/>
    <d v="2016-10-27T11:17:41"/>
    <m/>
    <d v="2016-10-27T00:00:00"/>
    <d v="2016-10-27T00:00:00"/>
    <d v="2016-10-27T00:00:00"/>
    <m/>
    <n v="1"/>
    <n v="1"/>
    <n v="585"/>
    <n v="585"/>
    <s v="N136"/>
    <s v="NWK ACCESS TECH"/>
    <s v="OPTICAL PASSIVES"/>
    <s v="DATA PASSIVES AURORA"/>
    <s v="N136"/>
    <s v="AS-STANDARD ORDER MIXED"/>
    <s v="A-SURFACE"/>
    <s v="OP"/>
    <n v="1250671"/>
    <s v="A-SURFACE"/>
    <m/>
    <m/>
    <m/>
    <s v="A-SURFACE"/>
    <s v="LTL"/>
    <s v="EXW"/>
    <s v="Prepay &amp; Add"/>
    <n v="13.44"/>
    <m/>
    <m/>
    <m/>
    <m/>
    <m/>
    <m/>
    <s v="0"/>
    <s v="0"/>
  </r>
  <r>
    <s v="SJ2"/>
    <s v="5013896"/>
    <s v="CABLE AXION"/>
    <s v="163339"/>
    <s v="R023P08L5"/>
    <s v="SJ2_STAG"/>
    <s v="Cable-Axion Digitel Inc."/>
    <s v="250 CH DE L'AXION"/>
    <s v="QC"/>
    <s v="CANTON MAGOG"/>
    <s v="J1X 6J2"/>
    <s v="AT3553A-BA-00-AS"/>
    <s v="ANLG XMTR XMOD 65KM GP A 1563N"/>
    <s v="92002778"/>
    <s v="1.1"/>
    <x v="359"/>
    <n v="1962382"/>
    <d v="2016-10-27T09:14:02"/>
    <m/>
    <d v="2016-10-27T00:00:00"/>
    <d v="2016-10-27T00:00:00"/>
    <d v="2016-10-27T00:00:00"/>
    <m/>
    <n v="1"/>
    <m/>
    <n v="14420"/>
    <m/>
    <s v="N310"/>
    <s v="NWK ACCESS TECH"/>
    <s v="HEO"/>
    <s v="TRANSMITTERS AURORA"/>
    <s v="N310"/>
    <s v="UK-STANDARD ORDER MIXED"/>
    <s v="A-SURFACE"/>
    <s v="OP"/>
    <n v="1250622"/>
    <s v="A-SURFACE"/>
    <m/>
    <m/>
    <m/>
    <s v="A-SURFACE"/>
    <s v="LTL"/>
    <s v="EXW"/>
    <s v="Third Party Billing"/>
    <m/>
    <m/>
    <s v="Contact gabriel.villeneuve@derytelecom.ca Ph:418-544-3358 Ext 5506 with pieces/wt-Skid: CK Logistics Acct#00187747 team1@cklogistics.ca Ph: 877-856-7580 Ext 5290- Parcel: FedEx Acct 532046947 3rd Pty"/>
    <m/>
    <m/>
    <m/>
    <m/>
    <s v="0"/>
    <s v="0"/>
  </r>
  <r>
    <s v="SJ2"/>
    <s v="5017196"/>
    <s v="CHARTER"/>
    <s v="ZILWAUKEE002"/>
    <s v="R023P06L2"/>
    <s v="SJ2_STAG"/>
    <s v="CHARTER COMMUNICATIONS"/>
    <s v="950 Bridgeview N"/>
    <s v="MI"/>
    <s v="Saginaw"/>
    <s v="48604-1166"/>
    <s v="OP35D4J-1-99-AS"/>
    <s v="OPT DEMUX 100GHZ CH 20-23 EXP"/>
    <s v="20106156"/>
    <s v="1.1"/>
    <x v="360"/>
    <n v="1961505"/>
    <d v="2016-08-17T00:00:00"/>
    <s v="20161011 000000"/>
    <d v="2016-10-26T00:00:00"/>
    <d v="2016-10-11T00:00:00"/>
    <d v="2016-10-28T00:00:00"/>
    <m/>
    <n v="1"/>
    <m/>
    <n v="600"/>
    <m/>
    <s v="N165"/>
    <s v="NWK ACCESS TECH"/>
    <s v="OPTICAL PASSIVES"/>
    <s v="INDOOR PASSIVES AURORA"/>
    <s v="N165"/>
    <s v="AS-STANDARD ORDER MIXED"/>
    <s v="A-SURFACE"/>
    <s v="OP"/>
    <n v="1250124"/>
    <s v="A-SURFACE"/>
    <m/>
    <m/>
    <m/>
    <s v="A-SURFACE"/>
    <s v="LTL"/>
    <s v="EXW"/>
    <s v="Prepay &amp; Add"/>
    <m/>
    <m/>
    <m/>
    <m/>
    <m/>
    <m/>
    <m/>
    <s v="0"/>
    <s v="0"/>
  </r>
  <r>
    <s v="SJ2"/>
    <s v="5017196"/>
    <s v="CHARTER"/>
    <s v="SPARKS001"/>
    <s v="R023P63L6"/>
    <s v="SJ2_STAG"/>
    <s v="CHARTER COMMUNICATIONS"/>
    <s v="1031 E Glendale Ave"/>
    <s v="NV"/>
    <s v="Sparks"/>
    <s v="89431-6460"/>
    <s v="TR4440B-1430-PI"/>
    <s v="TRANSCEIVER SFP 60KM CWDM 1430"/>
    <s v="20106428"/>
    <s v="19.1"/>
    <x v="361"/>
    <n v="1960906"/>
    <d v="2016-08-22T00:00:00"/>
    <s v="20161110 000000"/>
    <d v="2016-10-26T00:00:00"/>
    <d v="2016-10-20T00:00:00"/>
    <d v="2016-10-28T00:00:00"/>
    <m/>
    <n v="4"/>
    <m/>
    <n v="126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08L6"/>
    <s v="SJ2_STAG"/>
    <s v="CHARTER COMMUNICATIONS"/>
    <s v="1031 E Glendale Ave"/>
    <s v="NV"/>
    <s v="Sparks"/>
    <s v="89431-6460"/>
    <s v="AT3535G-32-1-AS"/>
    <s v="TRANSMITTER 1GHZ 80 QAM CHAN 3"/>
    <s v="20106429"/>
    <s v="16.1"/>
    <x v="362"/>
    <n v="1954419"/>
    <d v="2016-08-22T00:00:00"/>
    <s v="20161027 000000"/>
    <d v="2016-10-19T00:00:00"/>
    <d v="2016-10-27T00:00:00"/>
    <d v="2016-10-20T00:00:00"/>
    <m/>
    <n v="4"/>
    <m/>
    <n v="5400"/>
    <m/>
    <s v="N004"/>
    <s v="NWK ACCESS TECH"/>
    <s v="HEO"/>
    <s v="TRANSMITTERS AURORA"/>
    <s v="N004"/>
    <s v="AS-STANDARD ORDER MIXED"/>
    <s v="A-SURFACE"/>
    <s v="OP"/>
    <n v="1245590"/>
    <s v="A-SURFACE"/>
    <m/>
    <m/>
    <m/>
    <s v="A-SURFACE"/>
    <s v="LTL"/>
    <s v="EXW"/>
    <s v="Prepay &amp; Add"/>
    <m/>
    <m/>
    <s v="Delivery Instructions-RECEIVING HOURS: 0700-1300"/>
    <m/>
    <m/>
    <m/>
    <m/>
    <s v="0"/>
    <s v="0"/>
  </r>
  <r>
    <s v="SJ2"/>
    <s v="5017196"/>
    <s v="CHARTER"/>
    <s v="SPARKS001"/>
    <s v="R023P08L3"/>
    <s v="SJ2_STAG"/>
    <s v="CHARTER COMMUNICATIONS"/>
    <s v="1031 E Glendale Ave"/>
    <s v="NV"/>
    <s v="Sparks"/>
    <s v="89431-6460"/>
    <s v="AT3545G-42-1-AS"/>
    <s v="TRANSMITTER 1GHZ FULL SPECTRUM"/>
    <s v="20106429"/>
    <s v="2.1"/>
    <x v="363"/>
    <n v="1953986"/>
    <d v="2016-08-22T00:00:00"/>
    <s v="20161027 000000"/>
    <d v="2016-10-18T00:00:00"/>
    <d v="2016-10-27T00:00:00"/>
    <d v="2016-10-20T00:00:00"/>
    <m/>
    <n v="8"/>
    <n v="8"/>
    <n v="12000"/>
    <n v="12000"/>
    <s v="N005"/>
    <s v="NWK ACCESS TECH"/>
    <s v="HEO"/>
    <s v="TRANSMITTERS AURORA"/>
    <s v="N005"/>
    <s v="AS-STANDARD ORDER MIXED"/>
    <s v="A-SURFACE"/>
    <s v="OP"/>
    <n v="1245418"/>
    <s v="A-SURFACE"/>
    <m/>
    <m/>
    <m/>
    <s v="A-SURFACE"/>
    <s v="LTL"/>
    <s v="EXW"/>
    <s v="Prepay &amp; Add"/>
    <n v="12.69"/>
    <m/>
    <s v="Delivery Instructions-RECEIVING HOURS: 0700-1300"/>
    <m/>
    <m/>
    <m/>
    <m/>
    <s v="0"/>
    <s v="0"/>
  </r>
  <r>
    <s v="SJ2"/>
    <s v="5017196"/>
    <s v="CHARTER"/>
    <s v="SPARKS001"/>
    <s v="R022P08L3"/>
    <s v="SJ2_STAG"/>
    <s v="CHARTER COMMUNICATIONS"/>
    <s v="1031 E Glendale Ave"/>
    <s v="NV"/>
    <s v="Sparks"/>
    <s v="89431-6460"/>
    <s v="AT3545G-45-1-AS"/>
    <s v="TRANSMITTER 1GHZ FULL SPECTRUM"/>
    <s v="20106429"/>
    <s v="3.1"/>
    <x v="363"/>
    <n v="1953986"/>
    <d v="2016-08-22T00:00:00"/>
    <s v="20161027 000000"/>
    <d v="2016-10-18T00:00:00"/>
    <d v="2016-10-27T00:00:00"/>
    <d v="2016-10-20T00:00:00"/>
    <m/>
    <n v="1"/>
    <n v="1"/>
    <n v="1500"/>
    <n v="1500"/>
    <s v="N005"/>
    <s v="NWK ACCESS TECH"/>
    <s v="HEO"/>
    <s v="TRANSMITTERS AURORA"/>
    <s v="N005"/>
    <s v="AS-STANDARD ORDER MIXED"/>
    <s v="A-SURFACE"/>
    <s v="OP"/>
    <n v="1245418"/>
    <s v="A-SURFACE"/>
    <m/>
    <m/>
    <m/>
    <s v="A-SURFACE"/>
    <s v="LTL"/>
    <s v="EXW"/>
    <s v="Prepay &amp; Add"/>
    <n v="12.69"/>
    <m/>
    <s v="Delivery Instructions-RECEIVING HOURS: 0700-1300"/>
    <m/>
    <m/>
    <m/>
    <m/>
    <s v="0"/>
    <s v="0"/>
  </r>
  <r>
    <s v="SJ2"/>
    <s v="5017196"/>
    <s v="CHARTER"/>
    <s v="SPARKS001"/>
    <s v="R023P06L7"/>
    <s v="SJ2_STAG"/>
    <s v="CHARTER COMMUNICATIONS"/>
    <s v="1031 E Glendale Ave"/>
    <s v="NV"/>
    <s v="Sparks"/>
    <s v="89431-6460"/>
    <s v="AT3545G-54-1-AS"/>
    <s v="TRANSMITTER 1GHZ FULL SPECTRUM"/>
    <s v="20106429"/>
    <s v="4.1"/>
    <x v="362"/>
    <n v="1954419"/>
    <d v="2016-08-22T00:00:00"/>
    <s v="20161027 000000"/>
    <d v="2016-10-19T00:00:00"/>
    <d v="2016-10-27T00:00:00"/>
    <d v="2016-10-20T00:00:00"/>
    <m/>
    <n v="5"/>
    <m/>
    <n v="7500"/>
    <m/>
    <s v="N005"/>
    <s v="NWK ACCESS TECH"/>
    <s v="HEO"/>
    <s v="TRANSMITTERS AURORA"/>
    <s v="N005"/>
    <s v="AS-STANDARD ORDER MIXED"/>
    <s v="A-SURFACE"/>
    <s v="OP"/>
    <n v="1245590"/>
    <s v="A-SURFACE"/>
    <m/>
    <m/>
    <m/>
    <s v="A-SURFACE"/>
    <s v="LTL"/>
    <s v="EXW"/>
    <s v="Prepay &amp; Add"/>
    <m/>
    <m/>
    <s v="Delivery Instructions-RECEIVING HOURS: 0700-1300"/>
    <m/>
    <m/>
    <m/>
    <m/>
    <s v="0"/>
    <s v="0"/>
  </r>
  <r>
    <s v="SJ2"/>
    <s v="5017196"/>
    <s v="CHARTER"/>
    <s v="FENTON006"/>
    <s v="R015P34L1"/>
    <s v="SJ2_STAG"/>
    <s v="CHARTER COMMUNICATIONS"/>
    <s v="2081 Corporate 44 Dr Bldg 6"/>
    <s v="MO"/>
    <s v="Fenton"/>
    <s v="63026-2517"/>
    <s v="JC1508-AS-100"/>
    <s v="CABLE SERVICE 8 SC/APC 100FT"/>
    <s v="20106469"/>
    <s v="2.1"/>
    <x v="364"/>
    <n v="1960909"/>
    <d v="2016-08-22T00:00:00"/>
    <s v="20161021 000000"/>
    <d v="2016-10-26T00:00:00"/>
    <d v="2016-11-04T00:00:00"/>
    <d v="2016-10-28T00:00:00"/>
    <m/>
    <n v="2"/>
    <m/>
    <n v="528"/>
    <m/>
    <s v="N223"/>
    <s v="NWK ACCESS TECH"/>
    <s v="OPTICAL PASSIVES"/>
    <s v="INDOOR PASSIVES AURORA"/>
    <s v="N223"/>
    <s v="AS-STANDARD ORDER MIXED"/>
    <s v="A-SURFACE"/>
    <s v="OP"/>
    <n v="1249787"/>
    <s v="A-SURFACE"/>
    <m/>
    <m/>
    <m/>
    <s v="A-SURFACE"/>
    <s v="LTL"/>
    <s v="EXW"/>
    <s v="Prepay &amp; Add"/>
    <m/>
    <m/>
    <s v="Delivery Instructions-NANCY YOUNT 314-565-7964;HOURS:0900-1400"/>
    <m/>
    <m/>
    <m/>
    <m/>
    <s v="0"/>
    <s v="0"/>
  </r>
  <r>
    <s v="SJ2"/>
    <s v="5017196"/>
    <s v="CHARTER"/>
    <s v="SPARKS001"/>
    <s v="R022P53L4"/>
    <s v="SJ2_STAG"/>
    <s v="CHARTER COMMUNICATIONS"/>
    <s v="1031 E Glendale Ave"/>
    <s v="NV"/>
    <s v="Sparks"/>
    <s v="89431-6460"/>
    <s v="OP35D16M-1-00-AS"/>
    <s v="OPT DEMUX 100GHZ ITU CH 20-35"/>
    <s v="20106472"/>
    <s v="11.1"/>
    <x v="365"/>
    <n v="1954101"/>
    <d v="2016-08-22T00:00:00"/>
    <s v="20161027 000000"/>
    <d v="2016-10-18T00:00:00"/>
    <d v="2016-10-27T00:00:00"/>
    <d v="2016-10-20T00:00:00"/>
    <m/>
    <n v="2"/>
    <n v="2"/>
    <n v="4200"/>
    <n v="4200"/>
    <s v="N165"/>
    <s v="NWK ACCESS TECH"/>
    <s v="OPTICAL PASSIVES"/>
    <s v="INDOOR PASSIVES AURORA"/>
    <s v="N165"/>
    <s v="AS-STANDARD ORDER MIXED"/>
    <s v="A-SURFACE"/>
    <s v="OP"/>
    <n v="1245467"/>
    <s v="A-SURFACE"/>
    <m/>
    <m/>
    <m/>
    <s v="A-SURFACE"/>
    <s v="LTL"/>
    <s v="EXW"/>
    <s v="Prepay &amp; Add"/>
    <n v="8.56"/>
    <m/>
    <s v="Delivery Instructions-RECEIVING HOURS: 0700-1300;FTL DELIVERY CALL"/>
    <m/>
    <m/>
    <m/>
    <m/>
    <s v="0"/>
    <s v="0"/>
  </r>
  <r>
    <s v="SJ2"/>
    <s v="5017196"/>
    <s v="CHARTER"/>
    <s v="SPARKS001"/>
    <s v="R022P07L4"/>
    <s v="SJ2_STAG"/>
    <s v="CHARTER COMMUNICATIONS"/>
    <s v="1031 E Glendale Ave"/>
    <s v="NV"/>
    <s v="Sparks"/>
    <s v="89431-6460"/>
    <s v="OP94F1S-1610-N0-00"/>
    <s v="FILTER CWDM N-CASE 0.25MM 1610"/>
    <s v="20106472"/>
    <s v="15.3"/>
    <x v="366"/>
    <n v="1960906"/>
    <d v="2016-08-22T00:00:00"/>
    <s v="20161027 000000"/>
    <d v="2016-10-26T00:00:00"/>
    <d v="2016-10-27T00:00:00"/>
    <d v="2016-10-28T00:00:00"/>
    <m/>
    <n v="12"/>
    <m/>
    <n v="1080"/>
    <m/>
    <s v="N156"/>
    <s v="NWK ACCESS TECH"/>
    <s v="ACCESS OTHER"/>
    <s v="OTHER AURORA"/>
    <s v="N156"/>
    <s v="AS-STANDARD ORDER MIXED"/>
    <s v="A-SURFACE"/>
    <s v="OP"/>
    <n v="1249787"/>
    <s v="A-SURFACE"/>
    <m/>
    <m/>
    <m/>
    <s v="A-SURFACE"/>
    <s v="LTL"/>
    <s v="EXW"/>
    <s v="Prepay &amp; Add"/>
    <m/>
    <m/>
    <s v="Delivery Instructions-RECEIVING HOURS: 0700-1300;FTL DELIVERY CALL"/>
    <m/>
    <m/>
    <m/>
    <m/>
    <s v="0"/>
    <s v="0"/>
  </r>
  <r>
    <s v="SJ2"/>
    <s v="5017196"/>
    <s v="CHARTER"/>
    <s v="SPARKS001"/>
    <s v="REC1"/>
    <s v="SJ2_STAG"/>
    <s v="CHARTER COMMUNICATIONS"/>
    <s v="1031 E Glendale Ave"/>
    <s v="NV"/>
    <s v="Sparks"/>
    <s v="89431-6460"/>
    <s v="OP94F1S-1490-R2-AS"/>
    <s v="FILTER CWDM S-CASE 2MM SC/APC"/>
    <s v="20106472"/>
    <s v="18.1"/>
    <x v="367"/>
    <n v="1952893"/>
    <d v="2016-08-22T00:00:00"/>
    <s v="20161027 000000"/>
    <d v="2016-10-18T00:00:00"/>
    <d v="2016-10-27T00:00:00"/>
    <d v="2016-10-20T00:00:00"/>
    <m/>
    <n v="4"/>
    <m/>
    <n v="576"/>
    <m/>
    <s v="N156"/>
    <s v="NWK ACCESS TECH"/>
    <s v="ACCESS OTHER"/>
    <s v="OTHER AURORA"/>
    <s v="N156"/>
    <s v="AS-STANDARD ORDER MIXED"/>
    <s v="A-SURFACE"/>
    <s v="OP"/>
    <n v="1244977"/>
    <s v="A-SURFACE"/>
    <m/>
    <m/>
    <m/>
    <s v="A-SURFACE"/>
    <s v="LTL"/>
    <s v="EXW"/>
    <s v="Prepay &amp; Add"/>
    <m/>
    <m/>
    <s v="Delivery Instructions-RECEIVING HOURS: 0700-1300;FTL DELIVERY CALL"/>
    <m/>
    <m/>
    <m/>
    <m/>
    <s v="0"/>
    <s v="0"/>
  </r>
  <r>
    <s v="SJ2"/>
    <s v="5017196"/>
    <s v="CHARTER"/>
    <s v="SPARKS001"/>
    <s v="R022P06L2"/>
    <s v="SJ2_STAG"/>
    <s v="CHARTER COMMUNICATIONS"/>
    <s v="1031 E Glendale Ave"/>
    <s v="NV"/>
    <s v="Sparks"/>
    <s v="89431-6460"/>
    <s v="OP95F1S-54-N0-00"/>
    <s v="FILTER DWDM N-CASE 0.25MM CH 5"/>
    <s v="20106472"/>
    <s v="19.1"/>
    <x v="368"/>
    <n v="1956200"/>
    <d v="2016-08-22T00:00:00"/>
    <s v="20161027 000000"/>
    <d v="2016-10-20T00:00:00"/>
    <d v="2016-10-27T00:00:00"/>
    <d v="2016-10-20T00:00:00"/>
    <m/>
    <n v="2"/>
    <m/>
    <n v="216"/>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32L2"/>
    <s v="SJ2_STAG"/>
    <s v="CHARTER COMMUNICATIONS"/>
    <s v="1031 E Glendale Ave"/>
    <s v="NV"/>
    <s v="Sparks"/>
    <s v="89431-6460"/>
    <s v="OP95F1S-56-N0-00"/>
    <s v="FILTER DWDM N-CASE 0.25MM CH 5"/>
    <s v="20106472"/>
    <s v="20.1"/>
    <x v="368"/>
    <n v="1956200"/>
    <d v="2016-08-22T00:00:00"/>
    <s v="20161027 000000"/>
    <d v="2016-10-20T00:00:00"/>
    <d v="2016-10-27T00:00:00"/>
    <d v="2016-10-20T00:00:00"/>
    <m/>
    <n v="4"/>
    <m/>
    <n v="432"/>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31L3"/>
    <s v="SJ2_STAG"/>
    <s v="CHARTER COMMUNICATIONS"/>
    <s v="1031 E Glendale Ave"/>
    <s v="NV"/>
    <s v="Sparks"/>
    <s v="89431-6460"/>
    <s v="OP95F1S-57-N0-00"/>
    <s v="FILTER DWDM N-CASE 0.25MM CH 5"/>
    <s v="20106472"/>
    <s v="21.1"/>
    <x v="368"/>
    <n v="1956200"/>
    <d v="2016-08-22T00:00:00"/>
    <s v="20161027 000000"/>
    <d v="2016-10-20T00:00:00"/>
    <d v="2016-10-27T00:00:00"/>
    <d v="2016-10-20T00:00:00"/>
    <m/>
    <n v="3"/>
    <m/>
    <n v="324"/>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29L3"/>
    <s v="SJ2_STAG"/>
    <s v="CHARTER COMMUNICATIONS"/>
    <s v="1031 E Glendale Ave"/>
    <s v="NV"/>
    <s v="Sparks"/>
    <s v="89431-6460"/>
    <s v="OP95F1S-58-N0-00"/>
    <s v="FILTER DWDM N-CASE 0.25MM CH 5"/>
    <s v="20106472"/>
    <s v="22.1"/>
    <x v="368"/>
    <n v="1956200"/>
    <d v="2016-08-22T00:00:00"/>
    <s v="20161027 000000"/>
    <d v="2016-10-20T00:00:00"/>
    <d v="2016-10-27T00:00:00"/>
    <d v="2016-10-20T00:00:00"/>
    <m/>
    <n v="4"/>
    <m/>
    <n v="432"/>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22P13L3"/>
    <s v="SJ2_STAG"/>
    <s v="CHARTER COMMUNICATIONS"/>
    <s v="1031 E Glendale Ave"/>
    <s v="NV"/>
    <s v="Sparks"/>
    <s v="89431-6460"/>
    <s v="OP95F1S-59-N0-00"/>
    <s v="FILTER DWDM N-CASE 0.25MM CH 5"/>
    <s v="20106472"/>
    <s v="23.1"/>
    <x v="368"/>
    <n v="1956200"/>
    <d v="2016-08-22T00:00:00"/>
    <s v="20161027 000000"/>
    <d v="2016-10-20T00:00:00"/>
    <d v="2016-10-27T00:00:00"/>
    <d v="2016-10-20T00:00:00"/>
    <m/>
    <n v="8"/>
    <m/>
    <n v="864"/>
    <m/>
    <s v="N156"/>
    <s v="NWK ACCESS TECH"/>
    <s v="ACCESS OTHER"/>
    <s v="OTHER AURORA"/>
    <s v="N156"/>
    <s v="AS-STANDARD ORDER MIXED"/>
    <s v="A-SURFACE"/>
    <s v="OP"/>
    <n v="1246243"/>
    <s v="A-SURFACE"/>
    <m/>
    <m/>
    <m/>
    <s v="A-SURFACE"/>
    <s v="LTL"/>
    <s v="EXW"/>
    <s v="Prepay &amp; Add"/>
    <m/>
    <m/>
    <s v="Delivery Instructions-RECEIVING HOURS: 0700-1300;FTL DELIVERY CALL"/>
    <m/>
    <m/>
    <m/>
    <m/>
    <s v="0"/>
    <s v="0"/>
  </r>
  <r>
    <s v="SJ2"/>
    <s v="5017196"/>
    <s v="CHARTER"/>
    <s v="SPARKS001"/>
    <s v="R012P10L1"/>
    <s v="SJ2_STAG"/>
    <s v="CHARTER COMMUNICATIONS"/>
    <s v="1031 E Glendale Ave"/>
    <s v="NV"/>
    <s v="Sparks"/>
    <s v="89431-6460"/>
    <s v="DP35M10S04A1S-0LC-AL"/>
    <s v="MUX 100G 1W 10CH 40-49 UPG TP"/>
    <s v="20106472"/>
    <s v="25.1"/>
    <x v="369"/>
    <n v="1956043"/>
    <d v="2016-08-22T00:00:00"/>
    <s v="20161027 000000"/>
    <d v="2016-10-20T00:00:00"/>
    <d v="2016-11-10T00:00:00"/>
    <d v="2016-10-24T00:00:00"/>
    <m/>
    <n v="3"/>
    <m/>
    <n v="3000"/>
    <m/>
    <s v="N135"/>
    <s v="NWK ACCESS TECH"/>
    <s v="OPTICAL PASSIVES"/>
    <s v="DATA PASSIVES AURORA"/>
    <s v="N135"/>
    <s v="AS-STANDARD ORDER MIXED"/>
    <s v="A-SURFACE"/>
    <s v="OP"/>
    <n v="1246186"/>
    <s v="A-SURFACE"/>
    <m/>
    <m/>
    <m/>
    <s v="A-SURFACE"/>
    <s v="LTL"/>
    <s v="EXW"/>
    <s v="Prepay &amp; Add"/>
    <m/>
    <m/>
    <s v="Delivery Instructions-RECEIVING HOURS: 0700-1300;FTL DELIVERY CALL"/>
    <m/>
    <m/>
    <m/>
    <m/>
    <s v="0"/>
    <s v="0"/>
  </r>
  <r>
    <s v="SJ2"/>
    <s v="5017196"/>
    <s v="CHARTER"/>
    <s v="SPARKS001"/>
    <s v="R023P68L9"/>
    <s v="SJ2_STAG"/>
    <s v="CHARTER COMMUNICATIONS"/>
    <s v="1031 E Glendale Ave"/>
    <s v="NV"/>
    <s v="Sparks"/>
    <s v="89431-6460"/>
    <s v="DP35M10S04A1S-0LC-AL"/>
    <s v="MUX 100G 1W 10CH 40-49 UPG TP"/>
    <s v="20106472"/>
    <s v="25.4"/>
    <x v="369"/>
    <n v="1956044"/>
    <d v="2016-08-22T00:00:00"/>
    <s v="20161027 000000"/>
    <d v="2016-10-20T00:00:00"/>
    <d v="2016-11-10T00:00:00"/>
    <d v="2016-10-21T00:00:00"/>
    <m/>
    <n v="1"/>
    <m/>
    <n v="1000"/>
    <m/>
    <s v="N135"/>
    <s v="NWK ACCESS TECH"/>
    <s v="OPTICAL PASSIVES"/>
    <s v="DATA PASSIVES AURORA"/>
    <s v="N135"/>
    <s v="AS-STANDARD ORDER MIXED"/>
    <s v="A-SURFACE"/>
    <s v="OP"/>
    <n v="1246186"/>
    <s v="A-SURFACE"/>
    <m/>
    <m/>
    <m/>
    <s v="A-SURFACE"/>
    <s v="LTL"/>
    <s v="EXW"/>
    <s v="Prepay &amp; Add"/>
    <m/>
    <m/>
    <s v="Delivery Instructions-RECEIVING HOURS: 0700-1300;FTL DELIVERY CALL"/>
    <m/>
    <m/>
    <m/>
    <m/>
    <s v="0"/>
    <s v="0"/>
  </r>
  <r>
    <s v="SJ2"/>
    <s v="5017196"/>
    <s v="CHARTER"/>
    <s v="SPARKS001"/>
    <s v="R024P07L5B02"/>
    <s v="SJ2_STAG"/>
    <s v="CHARTER COMMUNICATIONS"/>
    <s v="1031 E Glendale Ave"/>
    <s v="NV"/>
    <s v="Sparks"/>
    <s v="89431-6460"/>
    <s v="CH3000C"/>
    <s v="CHASSIS WITH COVERS 3RU"/>
    <s v="20106472"/>
    <s v="3.1"/>
    <x v="367"/>
    <n v="1952893"/>
    <d v="2016-08-22T00:00:00"/>
    <s v="20161027 000000"/>
    <d v="2016-10-18T00:00:00"/>
    <d v="2016-10-27T00:00:00"/>
    <d v="2016-10-20T00:00:00"/>
    <m/>
    <n v="2"/>
    <m/>
    <n v="528"/>
    <m/>
    <s v="N199"/>
    <s v="NWK ACCESS TECH"/>
    <s v="HEO"/>
    <s v="HEO MISC AURORA"/>
    <s v="N199"/>
    <s v="AS-STANDARD ORDER MIXED"/>
    <s v="A-SURFACE"/>
    <s v="OP"/>
    <n v="1244977"/>
    <s v="A-SURFACE"/>
    <m/>
    <m/>
    <m/>
    <s v="A-SURFACE"/>
    <s v="LTL"/>
    <s v="EXW"/>
    <s v="Prepay &amp; Add"/>
    <m/>
    <m/>
    <s v="Delivery Instructions-RECEIVING HOURS: 0700-1300;FTL DELIVERY CALL"/>
    <m/>
    <m/>
    <m/>
    <m/>
    <s v="0"/>
    <s v="0"/>
  </r>
  <r>
    <s v="SJ2"/>
    <s v="5017196"/>
    <s v="CHARTER"/>
    <s v="SPARKS001"/>
    <s v="R023P06L2"/>
    <s v="SJ2_STAG"/>
    <s v="CHARTER COMMUNICATIONS"/>
    <s v="1031 E Glendale Ave"/>
    <s v="NV"/>
    <s v="Sparks"/>
    <s v="89431-6460"/>
    <s v="OP35D4J-1-99-AS"/>
    <s v="OPT DEMUX 100GHZ CH 20-23 EXP"/>
    <s v="20106873"/>
    <s v="4.1"/>
    <x v="370"/>
    <n v="1961506"/>
    <d v="2016-08-25T00:00:00"/>
    <s v="20161011 000000"/>
    <d v="2016-10-26T00:00:00"/>
    <d v="2016-10-11T00:00:00"/>
    <d v="2016-10-28T00:00:00"/>
    <m/>
    <n v="1"/>
    <m/>
    <n v="600"/>
    <m/>
    <s v="N165"/>
    <s v="NWK ACCESS TECH"/>
    <s v="OPTICAL PASSIVES"/>
    <s v="INDOOR PASSIVES AURORA"/>
    <s v="N165"/>
    <s v="AS-STANDARD ORDER MIXED"/>
    <s v="A-SURFACE"/>
    <s v="OP"/>
    <n v="1250124"/>
    <s v="A-SURFACE"/>
    <m/>
    <m/>
    <m/>
    <s v="A-SURFACE"/>
    <s v="LTL"/>
    <s v="EXW"/>
    <s v="Prepay &amp; Add"/>
    <m/>
    <m/>
    <s v="Delivery Instructions-RECEIVING HOURS: 0700-1300"/>
    <m/>
    <m/>
    <m/>
    <m/>
    <s v="0"/>
    <s v="0"/>
  </r>
  <r>
    <s v="SJ2"/>
    <s v="5017196"/>
    <s v="CHARTER"/>
    <s v="SPARTANBURG001"/>
    <s v="R023P03L2"/>
    <s v="SJ2_STAG"/>
    <s v="CHARTER COMMUNICATIONS"/>
    <s v="110 Commercial Rd"/>
    <s v="SC"/>
    <s v="Spartanburg"/>
    <s v="29303-6349"/>
    <s v="OP95F1S-31-R2-AS"/>
    <s v="FILTER DWDM S-CASE 2MM SC/APC"/>
    <s v="20107275"/>
    <s v="1.1"/>
    <x v="371"/>
    <n v="1963190"/>
    <d v="2016-08-24T00:00:00"/>
    <s v="20161017 000000"/>
    <d v="2016-10-28T00:00:00"/>
    <d v="2016-10-17T00:00:00"/>
    <d v="2016-10-28T00:00:00"/>
    <m/>
    <n v="2"/>
    <m/>
    <n v="312"/>
    <m/>
    <s v="N156"/>
    <s v="NWK ACCESS TECH"/>
    <s v="ACCESS OTHER"/>
    <s v="OTHER AURORA"/>
    <s v="N156"/>
    <s v="AS-STANDARD ORDER MIXED"/>
    <s v="A-SURFACE"/>
    <s v="OP"/>
    <n v="1251073"/>
    <s v="A-SURFACE"/>
    <m/>
    <m/>
    <m/>
    <s v="A-SURFACE"/>
    <s v="LTL"/>
    <s v="EXW"/>
    <s v="Prepay &amp; Add"/>
    <m/>
    <m/>
    <m/>
    <m/>
    <m/>
    <m/>
    <m/>
    <s v="0"/>
    <s v="0"/>
  </r>
  <r>
    <s v="SJ2"/>
    <s v="5017196"/>
    <s v="CHARTER"/>
    <s v="FENTON006"/>
    <s v="R022P53L7"/>
    <s v="SJ2_STAG"/>
    <s v="CHARTER COMMUNICATIONS"/>
    <s v="2081 Corporate 44 Dr Bldg 6"/>
    <s v="MO"/>
    <s v="Fenton"/>
    <s v="63026-2517"/>
    <s v="BD31A4-100-H12F-0-AS"/>
    <s v="OPT PASSTHRU BD 4 XMTR 4 BC 4"/>
    <s v="20107315"/>
    <s v="12.1"/>
    <x v="372"/>
    <n v="1960950"/>
    <d v="2016-08-24T00:00:00"/>
    <s v="20161028 000000"/>
    <d v="2016-10-26T00:00:00"/>
    <d v="2016-11-04T00:00:00"/>
    <d v="2016-10-28T00:00:00"/>
    <m/>
    <n v="1"/>
    <m/>
    <n v="550"/>
    <m/>
    <s v="N258"/>
    <s v="NWK ACCESS TECH"/>
    <s v="HEO"/>
    <s v="TRANSMITTERS AURORA"/>
    <s v="HDTX"/>
    <s v="AS-STANDARD ORDER MIXED"/>
    <s v="A-SURFACE"/>
    <s v="OP"/>
    <n v="1249787"/>
    <s v="A-SURFACE"/>
    <m/>
    <m/>
    <m/>
    <s v="A-SURFACE"/>
    <s v="LTL"/>
    <s v="EXW"/>
    <s v="Prepay &amp; Add"/>
    <m/>
    <m/>
    <s v="Delivery Instructions-NANCY YOUNT 314-565-7964;HOURS:0900-1400"/>
    <m/>
    <m/>
    <m/>
    <m/>
    <s v="0"/>
    <s v="0"/>
  </r>
  <r>
    <s v="SJ2"/>
    <s v="5017196"/>
    <s v="CHARTER"/>
    <s v="SPARTANBURG001"/>
    <s v="REC1"/>
    <s v="SJ2_STAG"/>
    <s v="CHARTER COMMUNICATIONS"/>
    <s v="110 Commercial Rd"/>
    <s v="SC"/>
    <s v="Spartanburg"/>
    <s v="29303-6349"/>
    <s v="OP95F1S-45-N0-00"/>
    <s v="FILTER DWDM N-CASE 0.25MM CH 4"/>
    <s v="20107355"/>
    <s v="3.1"/>
    <x v="373"/>
    <n v="1957506"/>
    <d v="2016-08-25T00:00:00"/>
    <s v="20161101 000000"/>
    <d v="2016-10-21T00:00:00"/>
    <d v="2016-11-01T00:00:00"/>
    <d v="2016-10-25T00:00:00"/>
    <m/>
    <n v="2"/>
    <m/>
    <n v="216"/>
    <m/>
    <s v="N156"/>
    <s v="NWK ACCESS TECH"/>
    <s v="ACCESS OTHER"/>
    <s v="OTHER AURORA"/>
    <s v="N156"/>
    <s v="AS-STANDARD ORDER MIXED"/>
    <s v="A-SURFACE"/>
    <s v="OP"/>
    <n v="1246854"/>
    <s v="A-SURFACE"/>
    <m/>
    <m/>
    <m/>
    <s v="A-SURFACE"/>
    <s v="LTL"/>
    <s v="EXW"/>
    <s v="Prepay &amp; Add"/>
    <m/>
    <m/>
    <m/>
    <m/>
    <m/>
    <m/>
    <m/>
    <s v="0"/>
    <s v="0"/>
  </r>
  <r>
    <s v="SJ2"/>
    <s v="5017196"/>
    <s v="CHARTER"/>
    <s v="SPARKS001"/>
    <s v="R022P33L5"/>
    <s v="SJ2_STAG"/>
    <s v="CHARTER COMMUNICATIONS"/>
    <s v="1031 E Glendale Ave"/>
    <s v="NV"/>
    <s v="Sparks"/>
    <s v="89431-6460"/>
    <s v="DP95D10S04A0S-1MC-00"/>
    <s v="DEMUX 100G M-CASE 10CH 40-49 U"/>
    <s v="20107385"/>
    <s v="1.1"/>
    <x v="374"/>
    <n v="1955256"/>
    <d v="2016-08-25T00:00:00"/>
    <s v="20161012 000000"/>
    <d v="2016-10-19T00:00:00"/>
    <d v="2016-10-12T00:00:00"/>
    <d v="2016-10-19T00:00:00"/>
    <m/>
    <n v="2"/>
    <n v="2"/>
    <n v="1800"/>
    <n v="1800"/>
    <s v="N137"/>
    <s v="NWK ACCESS TECH"/>
    <s v="OPTICAL PASSIVES"/>
    <s v="DATA PASSIVES AURORA"/>
    <s v="N137"/>
    <s v="AS-STANDARD ORDER MIXED"/>
    <s v="CR-FEDEX-Ground"/>
    <s v="OP"/>
    <n v="1245887"/>
    <s v="A-SURFACE"/>
    <m/>
    <m/>
    <m/>
    <s v="FEDERAL EXPRESS"/>
    <s v="ECO"/>
    <s v="EXW"/>
    <s v="Prepay &amp; Add"/>
    <n v="7.86"/>
    <m/>
    <s v="Delivery Instructions-RECEIVING HOURS: 0700-1300"/>
    <m/>
    <n v="4"/>
    <n v="4"/>
    <m/>
    <s v="0"/>
    <s v="0"/>
  </r>
  <r>
    <s v="SJ2"/>
    <s v="5017196"/>
    <s v="CHARTER"/>
    <s v="SPARKS001"/>
    <s v="REC1"/>
    <s v="SJ2_STAG"/>
    <s v="CHARTER COMMUNICATIONS"/>
    <s v="1031 E Glendale Ave"/>
    <s v="NV"/>
    <s v="Sparks"/>
    <s v="89431-6460"/>
    <s v="DP95D10S04A0S-1MC-00"/>
    <s v="DEMUX 100G M-CASE 10CH 40-49 U"/>
    <s v="20107385"/>
    <s v="1.1"/>
    <x v="374"/>
    <n v="1955256"/>
    <d v="2016-08-25T00:00:00"/>
    <s v="20161012 000000"/>
    <d v="2016-10-19T00:00:00"/>
    <d v="2016-10-12T00:00:00"/>
    <d v="2016-10-19T00:00:00"/>
    <m/>
    <n v="2"/>
    <n v="2"/>
    <n v="1800"/>
    <n v="1800"/>
    <s v="N137"/>
    <s v="NWK ACCESS TECH"/>
    <s v="OPTICAL PASSIVES"/>
    <s v="DATA PASSIVES AURORA"/>
    <s v="N137"/>
    <s v="AS-STANDARD ORDER MIXED"/>
    <s v="CR-FEDEX-Ground"/>
    <s v="OP"/>
    <n v="1245887"/>
    <s v="A-SURFACE"/>
    <m/>
    <m/>
    <m/>
    <s v="FEDERAL EXPRESS"/>
    <s v="ECO"/>
    <s v="EXW"/>
    <s v="Prepay &amp; Add"/>
    <n v="7.86"/>
    <m/>
    <s v="Delivery Instructions-RECEIVING HOURS: 0700-1300"/>
    <m/>
    <n v="4"/>
    <n v="4"/>
    <m/>
    <s v="0"/>
    <s v="0"/>
  </r>
  <r>
    <s v="SJ2"/>
    <s v="5017196"/>
    <s v="CHARTER"/>
    <s v="SPARKS001"/>
    <s v="R015P25L3"/>
    <s v="SJ2_STAG"/>
    <s v="CHARTER COMMUNICATIONS"/>
    <s v="1031 E Glendale Ave"/>
    <s v="NV"/>
    <s v="Sparks"/>
    <s v="89431-6460"/>
    <s v="OP95D8U-1-00-R2-00"/>
    <s v="DEMUX DWDM 100GHZ CH 52-59 F-C"/>
    <s v="20107385"/>
    <s v="3.1"/>
    <x v="375"/>
    <n v="1961506"/>
    <d v="2016-08-25T00:00:00"/>
    <s v="20161012 000000"/>
    <d v="2016-10-26T00:00:00"/>
    <d v="2016-10-12T00:00:00"/>
    <d v="2016-10-28T00:00:00"/>
    <m/>
    <n v="2"/>
    <m/>
    <n v="2880"/>
    <m/>
    <s v="N165"/>
    <s v="NWK ACCESS TECH"/>
    <s v="OPTICAL PASSIVES"/>
    <s v="INDOOR PASSIVES AURORA"/>
    <s v="N165"/>
    <s v="AS-STANDARD ORDER MIXED"/>
    <s v="A-SURFACE"/>
    <s v="OP"/>
    <n v="1250124"/>
    <s v="A-SURFACE"/>
    <m/>
    <m/>
    <m/>
    <s v="A-SURFACE"/>
    <s v="LTL"/>
    <s v="EXW"/>
    <s v="Prepay &amp; Add"/>
    <m/>
    <m/>
    <s v="Delivery Instructions-RECEIVING HOURS: 0700-1300"/>
    <m/>
    <m/>
    <m/>
    <m/>
    <s v="0"/>
    <s v="0"/>
  </r>
  <r>
    <s v="SJ2"/>
    <s v="5017196"/>
    <s v="CHARTER"/>
    <s v="SPARKS001"/>
    <s v="R024P18L1B01"/>
    <s v="SJ2_STAG"/>
    <s v="CHARTER COMMUNICATIONS"/>
    <s v="1031 E Glendale Ave"/>
    <s v="NV"/>
    <s v="Sparks"/>
    <s v="89431-6460"/>
    <s v="OP95D8U-1-00-R2-00"/>
    <s v="DEMUX DWDM 100GHZ CH 52-59 F-C"/>
    <s v="20107385"/>
    <s v="3.1"/>
    <x v="375"/>
    <n v="1961506"/>
    <d v="2016-08-25T00:00:00"/>
    <s v="20161012 000000"/>
    <d v="2016-10-26T00:00:00"/>
    <d v="2016-10-12T00:00:00"/>
    <d v="2016-10-28T00:00:00"/>
    <m/>
    <n v="1"/>
    <m/>
    <n v="1440"/>
    <m/>
    <s v="N165"/>
    <s v="NWK ACCESS TECH"/>
    <s v="OPTICAL PASSIVES"/>
    <s v="INDOOR PASSIVES AURORA"/>
    <s v="N165"/>
    <s v="AS-STANDARD ORDER MIXED"/>
    <s v="A-SURFACE"/>
    <s v="OP"/>
    <n v="1250124"/>
    <s v="A-SURFACE"/>
    <m/>
    <m/>
    <m/>
    <s v="A-SURFACE"/>
    <s v="LTL"/>
    <s v="EXW"/>
    <s v="Prepay &amp; Add"/>
    <m/>
    <m/>
    <s v="Delivery Instructions-RECEIVING HOURS: 0700-1300"/>
    <m/>
    <m/>
    <m/>
    <m/>
    <s v="0"/>
    <s v="0"/>
  </r>
  <r>
    <s v="SJ2"/>
    <s v="5017196"/>
    <s v="CHARTER"/>
    <s v="SPARKS001"/>
    <s v="CHRTR"/>
    <s v="SJ2_STAG"/>
    <s v="CHARTER COMMUNICATIONS"/>
    <s v="1031 E Glendale Ave"/>
    <s v="NV"/>
    <s v="Sparks"/>
    <s v="89431-6460"/>
    <s v="OP95F1S-28-N0-00"/>
    <s v="FILTER DWDM N-CASE 0.25MM CH 2"/>
    <s v="20107386"/>
    <s v="6.1"/>
    <x v="376"/>
    <n v="1952090"/>
    <d v="2016-08-25T00:00:00"/>
    <s v="20161006 000000"/>
    <d v="2016-10-17T00:00:00"/>
    <d v="2016-10-06T00:00:00"/>
    <d v="2016-10-19T00:00:00"/>
    <m/>
    <n v="16"/>
    <m/>
    <n v="1728"/>
    <m/>
    <s v="N156"/>
    <s v="NWK ACCESS TECH"/>
    <s v="ACCESS OTHER"/>
    <s v="OTHER AURORA"/>
    <s v="N156"/>
    <s v="AS-STANDARD ORDER MIXED"/>
    <s v="A-SURFACE"/>
    <s v="OP"/>
    <n v="1244366"/>
    <s v="A-SURFACE"/>
    <m/>
    <m/>
    <m/>
    <s v="A-SURFACE"/>
    <s v="LTL"/>
    <s v="EXW"/>
    <s v="Prepay &amp; Add"/>
    <m/>
    <m/>
    <s v="Delivery Instructions-RECEIVING HOURS: 0700-1300"/>
    <m/>
    <m/>
    <m/>
    <m/>
    <s v="0"/>
    <s v="0"/>
  </r>
  <r>
    <s v="SJ2"/>
    <s v="5017196"/>
    <s v="CHARTER"/>
    <s v="SPARKS001"/>
    <s v="R022P01L3"/>
    <s v="SJ2_STAG"/>
    <s v="CHARTER COMMUNICATIONS"/>
    <s v="1031 E Glendale Ave"/>
    <s v="NV"/>
    <s v="Sparks"/>
    <s v="89431-6460"/>
    <s v="OP95M8P-1-00-R2-00"/>
    <s v="MUX DWDM 100GHZ CH 36-43 F-CAS"/>
    <s v="20107386"/>
    <s v="9.1"/>
    <x v="377"/>
    <n v="1960906"/>
    <d v="2016-08-25T00:00:00"/>
    <s v="20161006 000000"/>
    <d v="2016-10-26T00:00:00"/>
    <d v="2016-10-06T00:00:00"/>
    <d v="2016-10-28T00:00:00"/>
    <m/>
    <n v="1"/>
    <m/>
    <n v="1440"/>
    <m/>
    <s v="N165"/>
    <s v="NWK ACCESS TECH"/>
    <s v="OPTICAL PASSIVES"/>
    <s v="INDOOR PASSIVES AURORA"/>
    <s v="N165"/>
    <s v="AS-STANDARD ORDER MIXED"/>
    <s v="A-SURFACE"/>
    <s v="OP"/>
    <n v="1249787"/>
    <s v="A-SURFACE"/>
    <m/>
    <m/>
    <m/>
    <s v="A-SURFACE"/>
    <s v="LTL"/>
    <s v="EXW"/>
    <s v="Prepay &amp; Add"/>
    <m/>
    <m/>
    <s v="Delivery Instructions-RECEIVING HOURS: 0700-1300"/>
    <m/>
    <m/>
    <m/>
    <m/>
    <s v="0"/>
    <s v="0"/>
  </r>
  <r>
    <s v="SJ2"/>
    <s v="5017196"/>
    <s v="CHARTER"/>
    <s v="SPARKS001"/>
    <s v="R022P34L3"/>
    <s v="SJ2_STAG"/>
    <s v="CHARTER COMMUNICATIONS"/>
    <s v="1031 E Glendale Ave"/>
    <s v="NV"/>
    <s v="Sparks"/>
    <s v="89431-6460"/>
    <s v="OP95F1S-35-R2-00"/>
    <s v="FILTER DWDM C-CASE 2MM CH 35"/>
    <s v="20107394"/>
    <s v="12.1"/>
    <x v="378"/>
    <n v="1963189"/>
    <d v="2016-08-24T00:00:00"/>
    <s v="20161006 000000"/>
    <d v="2016-10-28T00:00:00"/>
    <d v="2016-10-06T00:00:00"/>
    <d v="2016-10-28T00:00:00"/>
    <m/>
    <n v="1"/>
    <m/>
    <n v="126"/>
    <m/>
    <s v="N156"/>
    <s v="NWK ACCESS TECH"/>
    <s v="ACCESS OTHER"/>
    <s v="OTHER AURORA"/>
    <s v="N156"/>
    <s v="AS-STANDARD ORDER MIXED"/>
    <s v="A-SURFACE"/>
    <s v="OP"/>
    <n v="1251073"/>
    <s v="A-SURFACE"/>
    <m/>
    <m/>
    <m/>
    <s v="A-SURFACE"/>
    <s v="LTL"/>
    <s v="EXW"/>
    <s v="Prepay &amp; Add"/>
    <m/>
    <m/>
    <s v="Delivery Instructions-RECEIVING HOURS: 0700-1300"/>
    <m/>
    <m/>
    <m/>
    <m/>
    <s v="0"/>
    <s v="0"/>
  </r>
  <r>
    <s v="SJ2"/>
    <s v="5017196"/>
    <s v="CHARTER"/>
    <s v="DULUTH001"/>
    <s v="R022P26L3"/>
    <s v="SJ2_STAG"/>
    <s v="CHARTER COMMUNICATIONS"/>
    <s v="1925 Breckinridge Plz Ste 100"/>
    <s v="GA"/>
    <s v="Duluth"/>
    <s v="30096-8992"/>
    <s v="OP35D4N-1-99-AS"/>
    <s v="OPT DEMUX 100GHZ CH 36-39 EXP"/>
    <s v="20107585"/>
    <s v="2.1"/>
    <x v="379"/>
    <n v="1963191"/>
    <d v="2016-08-26T00:00:00"/>
    <s v="20161016 000000"/>
    <d v="2016-10-28T00:00:00"/>
    <d v="2016-10-17T00:00:00"/>
    <d v="2016-10-28T00:00:00"/>
    <m/>
    <n v="2"/>
    <m/>
    <n v="1200"/>
    <m/>
    <s v="N165"/>
    <s v="NWK ACCESS TECH"/>
    <s v="OPTICAL PASSIVES"/>
    <s v="INDOOR PASSIVES AURORA"/>
    <s v="N165"/>
    <s v="AS-STANDARD ORDER MIXED"/>
    <s v="A-SURFACE"/>
    <s v="OP"/>
    <n v="1251073"/>
    <s v="A-SURFACE"/>
    <m/>
    <m/>
    <m/>
    <s v="A-SURFACE"/>
    <s v="LTL"/>
    <s v="EXW"/>
    <s v="Prepay &amp; Add"/>
    <m/>
    <m/>
    <s v="Delivery Instructions-HOURS: 0700-1200;(678)226-3692"/>
    <m/>
    <m/>
    <m/>
    <m/>
    <s v="0"/>
    <s v="0"/>
  </r>
  <r>
    <s v="SJ2"/>
    <s v="5017196"/>
    <s v="CHARTER"/>
    <s v="COLUMBIA004"/>
    <s v="R023P66L3"/>
    <s v="SJ2_STAG"/>
    <s v="CHARTER COMMUNICATIONS"/>
    <s v="1757 N Pointe Rd"/>
    <s v="TN"/>
    <s v="Columbia"/>
    <s v="38401-0214"/>
    <s v="OP95F1S-49-N0-00"/>
    <s v="FILTER DWDM N-CASE 0.25MM CH 4"/>
    <s v="20107586"/>
    <s v="3.1"/>
    <x v="380"/>
    <n v="1961469"/>
    <d v="2016-08-26T00:00:00"/>
    <s v="20161115 000000"/>
    <d v="2016-10-26T00:00:00"/>
    <d v="2016-11-01T00:00:00"/>
    <d v="2016-10-28T00:00:00"/>
    <m/>
    <n v="1"/>
    <m/>
    <n v="108"/>
    <m/>
    <s v="N156"/>
    <s v="NWK ACCESS TECH"/>
    <s v="ACCESS OTHER"/>
    <s v="OTHER AURORA"/>
    <s v="N156"/>
    <s v="AS-STANDARD ORDER MIXED"/>
    <s v="A-SURFACE"/>
    <s v="OP"/>
    <n v="1250097"/>
    <s v="A-SURFACE"/>
    <m/>
    <m/>
    <m/>
    <s v="A-SURFACE"/>
    <s v="LTL"/>
    <s v="EXW"/>
    <s v="Prepay &amp; Add"/>
    <m/>
    <m/>
    <s v="Delivery Instructions-RECEIVING HOURS ARE;8am-3:30pm"/>
    <m/>
    <m/>
    <m/>
    <m/>
    <s v="0"/>
    <s v="0"/>
  </r>
  <r>
    <s v="SJ2"/>
    <s v="5017196"/>
    <s v="CHARTER"/>
    <s v="COLUMBIA004"/>
    <s v="R022P26L3"/>
    <s v="SJ2_STAG"/>
    <s v="CHARTER COMMUNICATIONS"/>
    <s v="1757 N Pointe Rd"/>
    <s v="TN"/>
    <s v="Columbia"/>
    <s v="38401-0214"/>
    <s v="OP95F1S-49-N0-00"/>
    <s v="FILTER DWDM N-CASE 0.25MM CH 4"/>
    <s v="20107586"/>
    <s v="3.1"/>
    <x v="380"/>
    <n v="1961469"/>
    <d v="2016-08-26T00:00:00"/>
    <s v="20161115 000000"/>
    <d v="2016-10-26T00:00:00"/>
    <d v="2016-11-01T00:00:00"/>
    <d v="2016-10-28T00:00:00"/>
    <m/>
    <n v="1"/>
    <m/>
    <n v="108"/>
    <m/>
    <s v="N156"/>
    <s v="NWK ACCESS TECH"/>
    <s v="ACCESS OTHER"/>
    <s v="OTHER AURORA"/>
    <s v="N156"/>
    <s v="AS-STANDARD ORDER MIXED"/>
    <s v="A-SURFACE"/>
    <s v="OP"/>
    <n v="1250097"/>
    <s v="A-SURFACE"/>
    <m/>
    <m/>
    <m/>
    <s v="A-SURFACE"/>
    <s v="LTL"/>
    <s v="EXW"/>
    <s v="Prepay &amp; Add"/>
    <m/>
    <m/>
    <s v="Delivery Instructions-RECEIVING HOURS ARE;8am-3:30pm"/>
    <m/>
    <m/>
    <m/>
    <m/>
    <s v="0"/>
    <s v="0"/>
  </r>
  <r>
    <s v="SJ2"/>
    <s v="5017196"/>
    <s v="CHARTER"/>
    <s v="SPARTANBURG001"/>
    <s v="R023P03L2"/>
    <s v="SJ2_STAG"/>
    <s v="CHARTER COMMUNICATIONS"/>
    <s v="110 Commercial Rd"/>
    <s v="SC"/>
    <s v="Spartanburg"/>
    <s v="29303-6349"/>
    <s v="OP95F1S-31-R2-AS"/>
    <s v="FILTER DWDM S-CASE 2MM SC/APC"/>
    <s v="20107587"/>
    <s v="1.1"/>
    <x v="381"/>
    <n v="1963190"/>
    <d v="2016-08-26T00:00:00"/>
    <s v="20161101 000000"/>
    <d v="2016-10-28T00:00:00"/>
    <d v="2016-11-01T00:00:00"/>
    <d v="2016-10-28T00:00:00"/>
    <m/>
    <n v="2"/>
    <m/>
    <n v="312"/>
    <m/>
    <s v="N156"/>
    <s v="NWK ACCESS TECH"/>
    <s v="ACCESS OTHER"/>
    <s v="OTHER AURORA"/>
    <s v="N156"/>
    <s v="AS-STANDARD ORDER MIXED"/>
    <s v="A-SURFACE"/>
    <s v="OP"/>
    <n v="1251073"/>
    <s v="A-SURFACE"/>
    <m/>
    <m/>
    <m/>
    <s v="A-SURFACE"/>
    <s v="LTL"/>
    <s v="EXW"/>
    <s v="Prepay &amp; Add"/>
    <m/>
    <m/>
    <m/>
    <m/>
    <m/>
    <m/>
    <m/>
    <s v="0"/>
    <s v="0"/>
  </r>
  <r>
    <s v="SJ2"/>
    <s v="5017196"/>
    <s v="CHARTER"/>
    <s v="BILLINGS751"/>
    <s v="R022P52L4"/>
    <s v="SJ2_STAG"/>
    <s v="CHARTER COMMUNICATIONS"/>
    <s v="751 S 18th St W"/>
    <s v="MT"/>
    <s v="Billings"/>
    <s v="59102-6419"/>
    <s v="OP35D8K-1-99-AS"/>
    <s v="OPT DEMUX 100GHZ ITU CH 20-27"/>
    <s v="20107734"/>
    <s v="1.1"/>
    <x v="382"/>
    <n v="1954113"/>
    <d v="2016-08-26T00:00:00"/>
    <s v="20161103 000000"/>
    <d v="2016-10-18T00:00:00"/>
    <d v="2016-10-19T00:00:00"/>
    <d v="2016-10-18T00:00:00"/>
    <m/>
    <n v="1"/>
    <n v="1"/>
    <n v="1300"/>
    <n v="1300"/>
    <s v="N165"/>
    <s v="NWK ACCESS TECH"/>
    <s v="OPTICAL PASSIVES"/>
    <s v="INDOOR PASSIVES AURORA"/>
    <s v="N165"/>
    <s v="AS-STANDARD ORDER MIXED"/>
    <s v="A-SURFACE"/>
    <s v="OP"/>
    <n v="1245467"/>
    <s v="A-SURFACE"/>
    <m/>
    <m/>
    <m/>
    <s v="A-SURFACE"/>
    <s v="LTL"/>
    <s v="EXW"/>
    <s v="Prepay &amp; Add"/>
    <n v="8.6300000000000008"/>
    <m/>
    <m/>
    <m/>
    <m/>
    <m/>
    <m/>
    <s v="0"/>
    <s v="0"/>
  </r>
  <r>
    <s v="SJ2"/>
    <s v="5017196"/>
    <s v="CHARTER"/>
    <s v="DEFOREST001"/>
    <s v="R022P52L4"/>
    <s v="SJ2_STAG"/>
    <s v="CHARTER COMMUNICATIONS"/>
    <s v="813 Burton Blvd"/>
    <s v="WI"/>
    <s v="De Forest"/>
    <s v="53532-1287"/>
    <s v="OP35D8S-1-99-AS"/>
    <s v="OPT DEMUX 100GHZ ITU CH 44-51"/>
    <s v="20108085"/>
    <s v="1.1"/>
    <x v="383"/>
    <n v="1961890"/>
    <d v="2016-08-29T00:00:00"/>
    <s v="20161106 000000"/>
    <d v="2016-10-27T00:00:00"/>
    <d v="2016-11-07T00:00:00"/>
    <d v="2016-10-31T00:00:00"/>
    <m/>
    <n v="2"/>
    <m/>
    <n v="2600"/>
    <m/>
    <s v="N165"/>
    <s v="NWK ACCESS TECH"/>
    <s v="OPTICAL PASSIVES"/>
    <s v="INDOOR PASSIVES AURORA"/>
    <s v="N165"/>
    <s v="AS-STANDARD ORDER MIXED"/>
    <s v="A-SURFACE"/>
    <s v="OP"/>
    <n v="1250403"/>
    <s v="A-SURFACE"/>
    <m/>
    <m/>
    <m/>
    <s v="A-SURFACE"/>
    <s v="LTL"/>
    <s v="EXW"/>
    <s v="Prepay &amp; Add"/>
    <m/>
    <m/>
    <m/>
    <m/>
    <m/>
    <m/>
    <m/>
    <s v="0"/>
    <s v="0"/>
  </r>
  <r>
    <s v="SJ2"/>
    <s v="5017196"/>
    <s v="CHARTER"/>
    <s v="DEFOREST001"/>
    <s v="R023P09L1"/>
    <s v="SJ2_STAG"/>
    <s v="CHARTER COMMUNICATIONS"/>
    <s v="813 Burton Blvd"/>
    <s v="WI"/>
    <s v="De Forest"/>
    <s v="53532-1287"/>
    <s v="OP95M8S-1-00-R2-00"/>
    <s v="MUX DWDM 100GHZ CH 44-51 F-CAS"/>
    <s v="20108085"/>
    <s v="3.1"/>
    <x v="383"/>
    <n v="1961890"/>
    <d v="2016-08-29T00:00:00"/>
    <s v="20161106 000000"/>
    <d v="2016-10-27T00:00:00"/>
    <d v="2016-11-07T00:00:00"/>
    <d v="2016-10-31T00:00:00"/>
    <m/>
    <n v="1"/>
    <m/>
    <n v="1440"/>
    <m/>
    <s v="N165"/>
    <s v="NWK ACCESS TECH"/>
    <s v="OPTICAL PASSIVES"/>
    <s v="INDOOR PASSIVES AURORA"/>
    <s v="N165"/>
    <s v="AS-STANDARD ORDER MIXED"/>
    <s v="A-SURFACE"/>
    <s v="OP"/>
    <n v="1250403"/>
    <s v="A-SURFACE"/>
    <m/>
    <m/>
    <m/>
    <s v="A-SURFACE"/>
    <s v="LTL"/>
    <s v="EXW"/>
    <s v="Prepay &amp; Add"/>
    <m/>
    <m/>
    <m/>
    <m/>
    <m/>
    <m/>
    <m/>
    <s v="0"/>
    <s v="0"/>
  </r>
  <r>
    <s v="SJ2"/>
    <s v="5017196"/>
    <s v="CHARTER"/>
    <s v="SPARTANBURG001"/>
    <s v="REC1"/>
    <s v="SJ2_STAG"/>
    <s v="CHARTER COMMUNICATIONS"/>
    <s v="110 Commercial Rd"/>
    <s v="SC"/>
    <s v="Spartanburg"/>
    <s v="29303-6349"/>
    <s v="OP94F1S-1430-R3-00"/>
    <s v="FILTER CWDM C-CASE 3MM 1430NM"/>
    <s v="20108198"/>
    <s v="3.2"/>
    <x v="384"/>
    <n v="1955500"/>
    <d v="2016-08-26T00:00:00"/>
    <s v="20161120 000000"/>
    <d v="2016-10-19T00:00:00"/>
    <d v="2016-10-24T00:00:00"/>
    <d v="2016-10-19T00:00:00"/>
    <m/>
    <n v="1"/>
    <m/>
    <n v="108"/>
    <m/>
    <s v="N156"/>
    <s v="NWK ACCESS TECH"/>
    <s v="ACCESS OTHER"/>
    <s v="OTHER AURORA"/>
    <s v="N156"/>
    <s v="AS-STANDARD ORDER MIXED"/>
    <s v="A-SURFACE"/>
    <s v="OP"/>
    <n v="1245965"/>
    <s v="A-SURFACE"/>
    <m/>
    <m/>
    <m/>
    <s v="A-SURFACE"/>
    <s v="LTL"/>
    <s v="EXW"/>
    <s v="Prepay &amp; Add"/>
    <m/>
    <m/>
    <m/>
    <m/>
    <m/>
    <m/>
    <m/>
    <s v="0"/>
    <s v="0"/>
  </r>
  <r>
    <s v="SJ2"/>
    <s v="5017196"/>
    <s v="CHARTER"/>
    <s v="COLUMBIA004"/>
    <s v="R015P27L2"/>
    <s v="SJ2_STAG"/>
    <s v="CHARTER COMMUNICATIONS"/>
    <s v="1757 N Pointe Rd"/>
    <s v="TN"/>
    <s v="Columbia"/>
    <s v="38401-0214"/>
    <s v="OP34D5H-1-99-AS"/>
    <s v="DEMUX CWDM HIGH 5CH 1310 -20TP"/>
    <s v="20108353"/>
    <s v="1.1"/>
    <x v="385"/>
    <n v="1961887"/>
    <d v="2016-08-30T00:00:00"/>
    <s v="20161107 000000"/>
    <d v="2016-10-27T00:00:00"/>
    <d v="2016-11-07T00:00:00"/>
    <d v="2016-10-31T00:00:00"/>
    <m/>
    <n v="1"/>
    <m/>
    <n v="750"/>
    <m/>
    <s v="N165"/>
    <s v="NWK ACCESS TECH"/>
    <s v="OPTICAL PASSIVES"/>
    <s v="INDOOR PASSIVES AURORA"/>
    <s v="N165"/>
    <s v="AS-STANDARD ORDER MIXED"/>
    <s v="A-SURFACE"/>
    <s v="OP"/>
    <n v="1250403"/>
    <s v="A-SURFACE"/>
    <m/>
    <m/>
    <m/>
    <s v="A-SURFACE"/>
    <s v="LTL"/>
    <s v="EXW"/>
    <s v="Prepay &amp; Add"/>
    <m/>
    <m/>
    <s v="Delivery Instructions-RECEIVING HOURS ARE;8am-3:30pm"/>
    <m/>
    <m/>
    <m/>
    <m/>
    <s v="0"/>
    <s v="0"/>
  </r>
  <r>
    <s v="SJ2"/>
    <s v="5017196"/>
    <s v="CHARTER"/>
    <s v="COLUMBIA004"/>
    <s v="R016P18L1B01"/>
    <s v="SJ2_STAG"/>
    <s v="CHARTER COMMUNICATIONS"/>
    <s v="1757 N Pointe Rd"/>
    <s v="TN"/>
    <s v="Columbia"/>
    <s v="38401-0214"/>
    <s v="OP35M4-CF1-1-99-AS"/>
    <s v="OPT MUX4 100GHZ A1 CF1 EXP -20"/>
    <s v="20108353"/>
    <s v="3.1"/>
    <x v="385"/>
    <n v="1961887"/>
    <d v="2016-08-30T00:00:00"/>
    <s v="20161107 000000"/>
    <d v="2016-10-27T00:00:00"/>
    <d v="2016-11-07T00:00:00"/>
    <d v="2016-10-31T00:00:00"/>
    <m/>
    <n v="2"/>
    <m/>
    <n v="1800"/>
    <m/>
    <s v="N160"/>
    <s v="NWK ACCESS TECH"/>
    <s v="OPTICAL PASSIVES"/>
    <s v="OUTDOOR PASSIVES AURORA"/>
    <s v="N160"/>
    <s v="AS-STANDARD ORDER MIXED"/>
    <s v="A-SURFACE"/>
    <s v="OP"/>
    <n v="1250403"/>
    <s v="A-SURFACE"/>
    <m/>
    <m/>
    <m/>
    <s v="A-SURFACE"/>
    <s v="LTL"/>
    <s v="EXW"/>
    <s v="Prepay &amp; Add"/>
    <m/>
    <m/>
    <s v="Delivery Instructions-RECEIVING HOURS ARE;8am-3:30pm"/>
    <m/>
    <m/>
    <m/>
    <m/>
    <s v="0"/>
    <s v="0"/>
  </r>
  <r>
    <s v="SJ2"/>
    <s v="5017196"/>
    <s v="CHARTER"/>
    <s v="COLUMBIA004"/>
    <s v="R015P27L2"/>
    <s v="SJ2_STAG"/>
    <s v="CHARTER COMMUNICATIONS"/>
    <s v="1757 N Pointe Rd"/>
    <s v="TN"/>
    <s v="Columbia"/>
    <s v="38401-0214"/>
    <s v="OP34D5H-1-99-AS"/>
    <s v="DEMUX CWDM HIGH 5CH 1310 -20TP"/>
    <s v="20109578"/>
    <s v="1.1"/>
    <x v="386"/>
    <n v="1961887"/>
    <d v="2016-09-29T00:00:00"/>
    <s v="20161114 000000"/>
    <d v="2016-10-27T00:00:00"/>
    <d v="2016-11-07T00:00:00"/>
    <d v="2016-10-31T00:00:00"/>
    <m/>
    <n v="1"/>
    <m/>
    <n v="750"/>
    <m/>
    <s v="N165"/>
    <s v="NWK ACCESS TECH"/>
    <s v="OPTICAL PASSIVES"/>
    <s v="INDOOR PASSIVES AURORA"/>
    <s v="N165"/>
    <s v="AS-STANDARD ORDER MIXED"/>
    <s v="A-SURFACE"/>
    <s v="OP"/>
    <n v="1250403"/>
    <s v="A-SURFACE"/>
    <m/>
    <m/>
    <m/>
    <s v="A-SURFACE"/>
    <s v="LTL"/>
    <s v="EXW"/>
    <s v="Prepay &amp; Add"/>
    <m/>
    <m/>
    <s v="Delivery Instructions-RECEIVING HOURS ARE;8am-3:30pm"/>
    <m/>
    <m/>
    <m/>
    <m/>
    <s v="0"/>
    <s v="0"/>
  </r>
  <r>
    <s v="SJ2"/>
    <s v="5017196"/>
    <s v="CHARTER"/>
    <s v="BILLINGS751"/>
    <s v="R023P77L1"/>
    <s v="SJ2_STAG"/>
    <s v="CHARTER COMMUNICATIONS"/>
    <s v="751 S 18th St W"/>
    <s v="MT"/>
    <s v="Billings"/>
    <s v="59102-6419"/>
    <s v="OP95D4-CF1-103-R2-AS"/>
    <s v="DEMUX DWDM 100GHZ 4 CH 03 F-CA"/>
    <s v="20109800"/>
    <s v="1.1"/>
    <x v="387"/>
    <n v="1960247"/>
    <d v="2016-09-07T00:00:00"/>
    <s v="20161102 000000"/>
    <d v="2016-10-25T00:00:00"/>
    <d v="2016-11-02T00:00:00"/>
    <d v="2016-10-26T00:00:00"/>
    <m/>
    <n v="2"/>
    <n v="2"/>
    <n v="1560"/>
    <n v="1560"/>
    <s v="N160"/>
    <s v="NWK ACCESS TECH"/>
    <s v="OPTICAL PASSIVES"/>
    <s v="OUTDOOR PASSIVES AURORA"/>
    <s v="N160"/>
    <s v="AS-STANDARD ORDER MIXED"/>
    <s v="A-SURFACE"/>
    <s v="OP"/>
    <n v="1249240"/>
    <s v="A-SURFACE"/>
    <m/>
    <m/>
    <m/>
    <s v="A-SURFACE"/>
    <s v="LTL"/>
    <s v="EXW"/>
    <s v="Prepay &amp; Add"/>
    <n v="8.6300000000000008"/>
    <m/>
    <m/>
    <m/>
    <m/>
    <m/>
    <m/>
    <s v="0"/>
    <s v="0"/>
  </r>
  <r>
    <s v="SJ2"/>
    <s v="5017196"/>
    <s v="CHARTER"/>
    <s v="SPARKS001"/>
    <s v="R023P69L3"/>
    <s v="SJ2_STAG"/>
    <s v="CHARTER COMMUNICATIONS"/>
    <s v="1031 E Glendale Ave"/>
    <s v="NV"/>
    <s v="Sparks"/>
    <s v="89431-6460"/>
    <s v="DP35M10S05A1S-0LC-AL"/>
    <s v="MUX 100G 1W 10CH 50-59 UPG TP"/>
    <s v="20109872"/>
    <s v="3.1"/>
    <x v="388"/>
    <n v="1961997"/>
    <d v="2016-09-13T00:00:00"/>
    <s v="20161101 000000"/>
    <d v="2016-10-27T00:00:00"/>
    <d v="2016-11-01T00:00:00"/>
    <d v="2016-10-27T00:00:00"/>
    <m/>
    <n v="2"/>
    <n v="2"/>
    <n v="2000"/>
    <n v="2000"/>
    <s v="N135"/>
    <s v="NWK ACCESS TECH"/>
    <s v="OPTICAL PASSIVES"/>
    <s v="DATA PASSIVES AURORA"/>
    <s v="N135"/>
    <s v="AS-STANDARD ORDER MIXED"/>
    <s v="A-SURFACE"/>
    <s v="OP"/>
    <n v="1250456"/>
    <s v="A-SURFACE"/>
    <m/>
    <m/>
    <m/>
    <s v="A-SURFACE"/>
    <s v="LTL"/>
    <s v="EXW"/>
    <s v="Prepay &amp; Add"/>
    <n v="8.35"/>
    <m/>
    <s v="Delivery Instructions-RECEIVING HOURS: 0700-1300"/>
    <m/>
    <m/>
    <m/>
    <m/>
    <s v="0"/>
    <s v="0"/>
  </r>
  <r>
    <s v="SJ2"/>
    <s v="5017196"/>
    <s v="CHARTER"/>
    <s v="SPARKS001"/>
    <s v="R022P21L2"/>
    <s v="SJ2_STAG"/>
    <s v="CHARTER COMMUNICATIONS"/>
    <s v="1031 E Glendale Ave"/>
    <s v="NV"/>
    <s v="Sparks"/>
    <s v="89431-6460"/>
    <s v="DP35M10S05A1S-0LC-AL"/>
    <s v="MUX 100G 1W 10CH 50-59 UPG TP"/>
    <s v="20109872"/>
    <s v="3.1"/>
    <x v="388"/>
    <n v="1961997"/>
    <d v="2016-09-13T00:00:00"/>
    <s v="20161101 000000"/>
    <d v="2016-10-27T00:00:00"/>
    <d v="2016-11-01T00:00:00"/>
    <d v="2016-10-27T00:00:00"/>
    <m/>
    <n v="1"/>
    <n v="1"/>
    <n v="1000"/>
    <n v="1000"/>
    <s v="N135"/>
    <s v="NWK ACCESS TECH"/>
    <s v="OPTICAL PASSIVES"/>
    <s v="DATA PASSIVES AURORA"/>
    <s v="N135"/>
    <s v="AS-STANDARD ORDER MIXED"/>
    <s v="A-SURFACE"/>
    <s v="OP"/>
    <n v="1250456"/>
    <s v="A-SURFACE"/>
    <m/>
    <m/>
    <m/>
    <s v="A-SURFACE"/>
    <s v="LTL"/>
    <s v="EXW"/>
    <s v="Prepay &amp; Add"/>
    <n v="8.35"/>
    <m/>
    <s v="Delivery Instructions-RECEIVING HOURS: 0700-1300"/>
    <m/>
    <m/>
    <m/>
    <m/>
    <s v="0"/>
    <s v="0"/>
  </r>
  <r>
    <s v="SJ2"/>
    <s v="5017196"/>
    <s v="CHARTER"/>
    <s v="SPARKS001"/>
    <s v="R022P18L2"/>
    <s v="SJ2_STAG"/>
    <s v="CHARTER COMMUNICATIONS"/>
    <s v="1031 E Glendale Ave"/>
    <s v="NV"/>
    <s v="Sparks"/>
    <s v="89431-6460"/>
    <s v="DP35M10S05A1S-0LC-AL"/>
    <s v="MUX 100G 1W 10CH 50-59 UPG TP"/>
    <s v="20109872"/>
    <s v="3.1"/>
    <x v="388"/>
    <n v="1961997"/>
    <d v="2016-09-13T00:00:00"/>
    <s v="20161101 000000"/>
    <d v="2016-10-27T00:00:00"/>
    <d v="2016-11-01T00:00:00"/>
    <d v="2016-10-27T00:00:00"/>
    <m/>
    <n v="1"/>
    <n v="1"/>
    <n v="1000"/>
    <n v="1000"/>
    <s v="N135"/>
    <s v="NWK ACCESS TECH"/>
    <s v="OPTICAL PASSIVES"/>
    <s v="DATA PASSIVES AURORA"/>
    <s v="N135"/>
    <s v="AS-STANDARD ORDER MIXED"/>
    <s v="A-SURFACE"/>
    <s v="OP"/>
    <n v="1250456"/>
    <s v="A-SURFACE"/>
    <m/>
    <m/>
    <m/>
    <s v="A-SURFACE"/>
    <s v="LTL"/>
    <s v="EXW"/>
    <s v="Prepay &amp; Add"/>
    <n v="8.35"/>
    <m/>
    <s v="Delivery Instructions-RECEIVING HOURS: 0700-1300"/>
    <m/>
    <m/>
    <m/>
    <m/>
    <s v="0"/>
    <s v="0"/>
  </r>
  <r>
    <s v="SJ2"/>
    <s v="5017196"/>
    <s v="CHARTER"/>
    <s v="SPARKS001"/>
    <s v="R022P20L6"/>
    <s v="SJ2_STAG"/>
    <s v="CHARTER COMMUNICATIONS"/>
    <s v="1031 E Glendale Ave"/>
    <s v="NV"/>
    <s v="Sparks"/>
    <s v="89431-6460"/>
    <s v="OP95D8S-1-00-R2-00"/>
    <s v="DEMUX DWDM 100GHZ CH 44-51 F-C"/>
    <s v="20109872"/>
    <s v="4.1"/>
    <x v="389"/>
    <n v="1963189"/>
    <d v="2016-09-13T00:00:00"/>
    <s v="20161101 000000"/>
    <d v="2016-10-28T00:00:00"/>
    <d v="2016-11-01T00:00:00"/>
    <d v="2016-10-28T00:00:00"/>
    <m/>
    <n v="2"/>
    <m/>
    <n v="2880"/>
    <m/>
    <s v="N165"/>
    <s v="NWK ACCESS TECH"/>
    <s v="OPTICAL PASSIVES"/>
    <s v="INDOOR PASSIVES AURORA"/>
    <s v="N165"/>
    <s v="AS-STANDARD ORDER MIXED"/>
    <s v="A-SURFACE"/>
    <s v="OP"/>
    <n v="1251073"/>
    <s v="A-SURFACE"/>
    <m/>
    <m/>
    <m/>
    <s v="A-SURFACE"/>
    <s v="LTL"/>
    <s v="EXW"/>
    <s v="Prepay &amp; Add"/>
    <m/>
    <m/>
    <s v="Delivery Instructions-RECEIVING HOURS: 0700-1300"/>
    <m/>
    <m/>
    <m/>
    <m/>
    <s v="0"/>
    <s v="0"/>
  </r>
  <r>
    <s v="SJ2"/>
    <s v="5017196"/>
    <s v="CHARTER"/>
    <s v="SPARKS001"/>
    <s v="R023P13L2"/>
    <s v="SJ2_STAG"/>
    <s v="CHARTER COMMUNICATIONS"/>
    <s v="1031 E Glendale Ave"/>
    <s v="NV"/>
    <s v="Sparks"/>
    <s v="89431-6460"/>
    <s v="OA-03-00-AL"/>
    <s v="ATTENUATOR STD OPT LC/APC 3DB"/>
    <s v="20109923"/>
    <s v="15.1"/>
    <x v="390"/>
    <n v="1950257"/>
    <d v="2016-09-13T00:00:00"/>
    <s v="20161110 000000"/>
    <d v="2016-10-13T00:00:00"/>
    <d v="2016-10-20T00:00:00"/>
    <d v="2016-10-13T00:00:00"/>
    <m/>
    <n v="1"/>
    <n v="1"/>
    <n v="156"/>
    <n v="156"/>
    <s v="N224"/>
    <s v="NWK ACCESS TECH"/>
    <s v="ACCESS OTHER"/>
    <s v="OTHER AURORA"/>
    <s v="N224"/>
    <s v="AS-STANDARD ORDER MIXED"/>
    <s v="A-SURFACE"/>
    <s v="OP"/>
    <n v="1242390"/>
    <s v="A-SURFACE"/>
    <m/>
    <m/>
    <m/>
    <s v="A-SURFACE"/>
    <s v="LTL"/>
    <s v="EXW"/>
    <s v="Prepay &amp; Add"/>
    <n v="6.76"/>
    <m/>
    <s v="Delivery Instructions-RECEIVING HOURS: 0700-1300"/>
    <m/>
    <m/>
    <m/>
    <m/>
    <s v="0"/>
    <s v="0"/>
  </r>
  <r>
    <s v="SJ2"/>
    <s v="5017196"/>
    <s v="CHARTER"/>
    <s v="SPARKS001"/>
    <s v="R012P10L1"/>
    <s v="SJ2_STAG"/>
    <s v="CHARTER COMMUNICATIONS"/>
    <s v="1031 E Glendale Ave"/>
    <s v="NV"/>
    <s v="Sparks"/>
    <s v="89431-6460"/>
    <s v="CX3002"/>
    <s v="COMMUNICATIONS MODULE"/>
    <s v="20109923"/>
    <s v="17.1"/>
    <x v="391"/>
    <n v="1950931"/>
    <d v="2016-09-13T00:00:00"/>
    <s v="20161110 000000"/>
    <d v="2016-10-14T00:00:00"/>
    <d v="2016-11-10T00:00:00"/>
    <d v="2016-10-17T00:00:00"/>
    <m/>
    <n v="2"/>
    <m/>
    <n v="612"/>
    <m/>
    <s v="N080"/>
    <s v="NWK ACCESS TECH"/>
    <s v="HEO"/>
    <s v="HEO MISC AURORA"/>
    <s v="N080"/>
    <s v="AS-STANDARD ORDER MIXED"/>
    <s v="A-SURFACE"/>
    <s v="OP"/>
    <n v="1242838"/>
    <s v="A-SURFACE"/>
    <m/>
    <m/>
    <m/>
    <s v="A-SURFACE"/>
    <s v="LTL"/>
    <s v="EXW"/>
    <s v="Prepay &amp; Add"/>
    <m/>
    <m/>
    <s v="Delivery Instructions-RECEIVING HOURS: 0700-1300"/>
    <m/>
    <m/>
    <m/>
    <m/>
    <s v="0"/>
    <s v="0"/>
  </r>
  <r>
    <s v="SJ2"/>
    <s v="5017196"/>
    <s v="CHARTER"/>
    <s v="SPARKS001"/>
    <s v="R012P06L1"/>
    <s v="SJ2_STAG"/>
    <s v="CHARTER COMMUNICATIONS"/>
    <s v="1031 E Glendale Ave"/>
    <s v="NV"/>
    <s v="Sparks"/>
    <s v="89431-6460"/>
    <s v="BP-A4"/>
    <s v="BACKPLATE RF INP OPTICAL OUT M"/>
    <s v="20109923"/>
    <s v="5.1"/>
    <x v="391"/>
    <n v="1950931"/>
    <d v="2016-09-13T00:00:00"/>
    <s v="20161110 000000"/>
    <d v="2016-10-14T00:00:00"/>
    <d v="2016-10-17T00:00:00"/>
    <d v="2016-10-17T00:00:00"/>
    <m/>
    <n v="2"/>
    <m/>
    <n v="140"/>
    <m/>
    <s v="N224"/>
    <s v="NWK ACCESS TECH"/>
    <s v="ACCESS OTHER"/>
    <s v="OTHER AURORA"/>
    <s v="N224"/>
    <s v="AS-STANDARD ORDER MIXED"/>
    <s v="A-SURFACE"/>
    <s v="OP"/>
    <n v="1242838"/>
    <s v="A-SURFACE"/>
    <m/>
    <m/>
    <m/>
    <s v="A-SURFACE"/>
    <s v="LTL"/>
    <s v="EXW"/>
    <s v="Prepay &amp; Add"/>
    <m/>
    <m/>
    <s v="Delivery Instructions-RECEIVING HOURS: 0700-1300"/>
    <m/>
    <m/>
    <m/>
    <m/>
    <s v="0"/>
    <s v="0"/>
  </r>
  <r>
    <s v="SJ2"/>
    <s v="5017196"/>
    <s v="CHARTER"/>
    <s v="ZILWAUKEE002"/>
    <s v="R022P52L4"/>
    <s v="SJ2_STAG"/>
    <s v="CHARTER COMMUNICATIONS"/>
    <s v="950 Bridgeview N"/>
    <s v="MI"/>
    <s v="Saginaw"/>
    <s v="48604-1166"/>
    <s v="OP35D8K-1-99-AS"/>
    <s v="OPT DEMUX 100GHZ ITU CH 20-27"/>
    <s v="20109924"/>
    <s v="3.1"/>
    <x v="392"/>
    <n v="1954115"/>
    <d v="2016-09-13T00:00:00"/>
    <s v="20161031 000000"/>
    <d v="2016-10-18T00:00:00"/>
    <d v="2016-10-19T00:00:00"/>
    <d v="2016-10-18T00:00:00"/>
    <m/>
    <n v="1"/>
    <n v="1"/>
    <n v="1300"/>
    <n v="1300"/>
    <s v="N165"/>
    <s v="NWK ACCESS TECH"/>
    <s v="OPTICAL PASSIVES"/>
    <s v="INDOOR PASSIVES AURORA"/>
    <s v="N165"/>
    <s v="AS-STANDARD ORDER MIXED"/>
    <s v="A-SURFACE"/>
    <s v="OP"/>
    <n v="1245467"/>
    <s v="A-SURFACE"/>
    <m/>
    <m/>
    <m/>
    <s v="A-SURFACE"/>
    <s v="LTL"/>
    <s v="EXW"/>
    <s v="Prepay &amp; Add"/>
    <n v="9.83"/>
    <m/>
    <m/>
    <m/>
    <m/>
    <m/>
    <m/>
    <s v="0"/>
    <s v="0"/>
  </r>
  <r>
    <s v="SJ2"/>
    <s v="5017196"/>
    <s v="CHARTER"/>
    <s v="SPARKS001"/>
    <s v="R023P13L3"/>
    <s v="SJ2_STAG"/>
    <s v="CHARTER COMMUNICATIONS"/>
    <s v="1031 E Glendale Ave"/>
    <s v="NV"/>
    <s v="Sparks"/>
    <s v="89431-6460"/>
    <s v="OP35M8K-1-99-AS"/>
    <s v="OPT MUX 100GHZ ITU CH 20-27 EX"/>
    <s v="20109940"/>
    <s v="7.1"/>
    <x v="393"/>
    <n v="1961620"/>
    <d v="2016-09-13T00:00:00"/>
    <s v="20161101 000000"/>
    <d v="2016-10-26T00:00:00"/>
    <d v="2016-10-19T00:00:00"/>
    <d v="2016-10-28T00:00:00"/>
    <m/>
    <n v="2"/>
    <m/>
    <n v="2600"/>
    <m/>
    <s v="N165"/>
    <s v="NWK ACCESS TECH"/>
    <s v="OPTICAL PASSIVES"/>
    <s v="INDOOR PASSIVES AURORA"/>
    <s v="N165"/>
    <s v="AS-STANDARD ORDER MIXED"/>
    <s v="A-SURFACE"/>
    <s v="OP"/>
    <n v="1250201"/>
    <s v="A-SURFACE"/>
    <m/>
    <m/>
    <m/>
    <s v="A-SURFACE"/>
    <s v="LTL"/>
    <s v="EXW"/>
    <s v="Prepay &amp; Add"/>
    <m/>
    <m/>
    <s v="Delivery Instructions-RECEIVING HOURS: 0700-1300"/>
    <m/>
    <m/>
    <m/>
    <m/>
    <s v="0"/>
    <s v="0"/>
  </r>
  <r>
    <s v="SJ2"/>
    <s v="5017196"/>
    <s v="CHARTER"/>
    <s v="PORTAGE001"/>
    <s v="R012P05L1"/>
    <s v="SJ2_STAG"/>
    <s v="CHARTER COMMUNICATIONS"/>
    <s v="4176 Commercial Ave"/>
    <s v="MI"/>
    <s v="Portage"/>
    <s v="49002-9700"/>
    <s v="OP94F1S-1430-R2-00"/>
    <s v="FILTER CWDM C-CASE 2MM 1430NM"/>
    <s v="20110168"/>
    <s v="2.1"/>
    <x v="394"/>
    <n v="1963188"/>
    <d v="2016-09-08T00:00:00"/>
    <s v="20160922 000000"/>
    <d v="2016-10-28T00:00:00"/>
    <d v="2016-09-22T00:00:00"/>
    <d v="2016-10-28T00:00:00"/>
    <m/>
    <n v="1"/>
    <m/>
    <n v="108"/>
    <m/>
    <s v="N156"/>
    <s v="NWK ACCESS TECH"/>
    <s v="ACCESS OTHER"/>
    <s v="OTHER AURORA"/>
    <s v="N156"/>
    <s v="AS-STANDARD ORDER MIXED"/>
    <s v="A-SURFACE"/>
    <s v="OP"/>
    <n v="1251073"/>
    <s v="A-SURFACE"/>
    <m/>
    <m/>
    <m/>
    <s v="A-SURFACE"/>
    <s v="LTL"/>
    <s v="EXW"/>
    <s v="Prepay &amp; Add"/>
    <m/>
    <m/>
    <s v="Delivery Instructions-RECEIVING HOURS 7a-3:30p M-F"/>
    <m/>
    <m/>
    <m/>
    <m/>
    <s v="0"/>
    <s v="0"/>
  </r>
  <r>
    <s v="SJ2"/>
    <s v="5017196"/>
    <s v="CHARTER"/>
    <s v="RICHLAND HILLS001"/>
    <s v="R022P25L5"/>
    <s v="SJ2_STAG"/>
    <s v="CHARTER COMMUNICATIONS"/>
    <s v="7400 Whitehall St"/>
    <s v="TX"/>
    <s v="Richland Hills"/>
    <s v="76118-6426"/>
    <s v="TR4580-29-PI"/>
    <s v="XCVR PLUGGABLE DWDM ITU CH 29"/>
    <s v="20110653"/>
    <s v="1.1"/>
    <x v="395"/>
    <n v="1961888"/>
    <d v="2016-09-19T00:00:00"/>
    <s v="20161106 000000"/>
    <d v="2016-10-27T00:00:00"/>
    <d v="2016-11-07T00:00:00"/>
    <d v="2016-10-31T00:00:00"/>
    <m/>
    <n v="1"/>
    <m/>
    <n v="740"/>
    <m/>
    <s v="N252"/>
    <s v="NWK ACCESS TECH"/>
    <s v="NODE"/>
    <s v="NODE MISC AURORA"/>
    <s v="N252"/>
    <s v="AS-STANDARD ORDER MIXED"/>
    <s v="A-SURFACE"/>
    <s v="OP"/>
    <n v="1250403"/>
    <s v="A-SURFACE"/>
    <m/>
    <m/>
    <m/>
    <s v="A-SURFACE"/>
    <s v="LTL"/>
    <s v="EXW"/>
    <s v="Prepay &amp; Add"/>
    <m/>
    <m/>
    <s v="Delivery Instructions-HOURS: 0800-1200"/>
    <m/>
    <m/>
    <m/>
    <m/>
    <s v="0"/>
    <s v="0"/>
  </r>
  <r>
    <s v="SJ2"/>
    <s v="5017196"/>
    <s v="CHARTER"/>
    <s v="COLUMBIA004"/>
    <s v="REC1"/>
    <s v="SJ2_STAG"/>
    <s v="CHARTER COMMUNICATIONS"/>
    <s v="1757 N Pointe Rd"/>
    <s v="TN"/>
    <s v="Columbia"/>
    <s v="38401-0214"/>
    <s v="DX3515-44-1-1-AS"/>
    <s v="DGTL XPNDR 100KM 100GHZ 2.5GBP"/>
    <s v="20111015"/>
    <s v="1.1"/>
    <x v="396"/>
    <n v="1961887"/>
    <d v="2016-09-13T00:00:00"/>
    <s v="20161107 000000"/>
    <d v="2016-10-27T00:00:00"/>
    <d v="2016-11-07T00:00:00"/>
    <d v="2016-10-31T00:00:00"/>
    <m/>
    <n v="1"/>
    <m/>
    <n v="1100"/>
    <m/>
    <s v="N056"/>
    <s v="NWK ACCESS TECH"/>
    <s v="HEO"/>
    <s v="HEO MISC AURORA"/>
    <s v="N056"/>
    <s v="AS-STANDARD ORDER MIXED"/>
    <s v="A-SURFACE"/>
    <s v="OP"/>
    <n v="1250403"/>
    <s v="A-SURFACE"/>
    <m/>
    <m/>
    <m/>
    <s v="A-SURFACE"/>
    <s v="LTL"/>
    <s v="EXW"/>
    <s v="Prepay &amp; Add"/>
    <m/>
    <m/>
    <s v="Delivery Instructions-RECEIVING HOURS ARE;8am-3:30pm"/>
    <m/>
    <m/>
    <m/>
    <m/>
    <s v="0"/>
    <s v="0"/>
  </r>
  <r>
    <s v="SJ2"/>
    <s v="5017196"/>
    <s v="CHARTER"/>
    <s v="SPARKS001"/>
    <s v="R023P64L4"/>
    <s v="SJ2_STAG"/>
    <s v="CHARTER COMMUNICATIONS"/>
    <s v="1031 E Glendale Ave"/>
    <s v="NV"/>
    <s v="Sparks"/>
    <s v="89431-6460"/>
    <s v="TR4540-0000-PI"/>
    <s v="TRANSCEIVER SFP 1550nm 40km"/>
    <s v="20111017"/>
    <s v="11.1"/>
    <x v="397"/>
    <n v="1960906"/>
    <d v="2016-09-13T00:00:00"/>
    <s v="20161124 000000"/>
    <d v="2016-10-26T00:00:00"/>
    <d v="2016-10-20T00:00:00"/>
    <d v="2016-10-28T00:00:00"/>
    <m/>
    <n v="2"/>
    <m/>
    <n v="52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12P05L1"/>
    <s v="SJ2_STAG"/>
    <s v="CHARTER COMMUNICATIONS"/>
    <s v="1031 E Glendale Ave"/>
    <s v="NV"/>
    <s v="Sparks"/>
    <s v="89431-6460"/>
    <s v="TR4440B-1430-PI"/>
    <s v="TRANSCEIVER SFP 60KM CWDM 1430"/>
    <s v="20111017"/>
    <s v="8.1"/>
    <x v="397"/>
    <n v="1960905"/>
    <d v="2016-09-13T00:00:00"/>
    <s v="20161124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12P04L2B12"/>
    <s v="SJ2_STAG"/>
    <s v="CHARTER COMMUNICATIONS"/>
    <s v="1031 E Glendale Ave"/>
    <s v="NV"/>
    <s v="Sparks"/>
    <s v="89431-6460"/>
    <s v="TR4440B-1450-PI"/>
    <s v="TRANSCEIVER SFP 60KM CWDM 1450"/>
    <s v="20111017"/>
    <s v="9.1"/>
    <x v="397"/>
    <n v="1960905"/>
    <d v="2016-09-13T00:00:00"/>
    <s v="20161124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17L3"/>
    <s v="SJ2_STAG"/>
    <s v="CHARTER COMMUNICATIONS"/>
    <s v="1031 E Glendale Ave"/>
    <s v="NV"/>
    <s v="Sparks"/>
    <s v="89431-6460"/>
    <s v="BP-A4"/>
    <s v="BACKPLATE RF INP OPTICAL OUT M"/>
    <s v="20111018"/>
    <s v="1.1"/>
    <x v="398"/>
    <n v="1960983"/>
    <d v="2016-09-13T00:00:00"/>
    <s v="20161117 000000"/>
    <d v="2016-10-26T00:00:00"/>
    <d v="2016-10-20T00:00:00"/>
    <d v="2016-10-28T00:00:00"/>
    <m/>
    <n v="2"/>
    <m/>
    <n v="14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2P47L3"/>
    <s v="SJ2_STAG"/>
    <s v="CHARTER COMMUNICATIONS"/>
    <s v="1031 E Glendale Ave"/>
    <s v="NV"/>
    <s v="Sparks"/>
    <s v="89431-6460"/>
    <s v="OA-10-00-LC"/>
    <s v="ATTENUATOR STD OPT LC/UPC 10DB"/>
    <s v="20111054"/>
    <s v="3.1"/>
    <x v="399"/>
    <n v="1961885"/>
    <d v="2016-09-13T00:00:00"/>
    <s v="20161121 000000"/>
    <d v="2016-10-27T00:00:00"/>
    <d v="2016-11-07T00:00:00"/>
    <d v="2016-10-31T00:00:00"/>
    <m/>
    <n v="9"/>
    <m/>
    <n v="351"/>
    <m/>
    <s v="N224"/>
    <s v="NWK ACCESS TECH"/>
    <s v="ACCESS OTHER"/>
    <s v="OTHER AURORA"/>
    <s v="N224"/>
    <s v="AS-STANDARD ORDER MIXED"/>
    <s v="A-SURFACE"/>
    <s v="OP"/>
    <n v="1250403"/>
    <s v="A-SURFACE"/>
    <m/>
    <m/>
    <m/>
    <s v="A-SURFACE"/>
    <s v="LTL"/>
    <s v="EXW"/>
    <s v="Prepay &amp; Add"/>
    <m/>
    <m/>
    <s v="Delivery Instructions-RECEIVING HOURS: 0700-1300"/>
    <m/>
    <m/>
    <m/>
    <m/>
    <s v="0"/>
    <s v="0"/>
  </r>
  <r>
    <s v="SJ2"/>
    <s v="5017196"/>
    <s v="CHARTER"/>
    <s v="RIVERSIDE001"/>
    <s v="R023P64L2"/>
    <s v="SJ2_STAG"/>
    <s v="CHARTER COMMUNICATIONS"/>
    <s v="7337 Central Ave"/>
    <s v="CA"/>
    <s v="Riverside"/>
    <s v="92504-1440"/>
    <s v="DP35D10S03A1S-0LC-AL"/>
    <s v="DEMUX 100G 1W 10CH 30-39 UPG T"/>
    <s v="20111063"/>
    <s v="1.1"/>
    <x v="400"/>
    <n v="1963054"/>
    <d v="2016-09-14T00:00:00"/>
    <s v="20161108 000000"/>
    <d v="2016-10-28T00:00:00"/>
    <d v="2016-11-08T00:00:00"/>
    <d v="2016-11-01T00:00:00"/>
    <m/>
    <n v="1"/>
    <m/>
    <n v="1000"/>
    <m/>
    <s v="N135"/>
    <s v="NWK ACCESS TECH"/>
    <s v="OPTICAL PASSIVES"/>
    <s v="DATA PASSIVES AURORA"/>
    <s v="N135"/>
    <s v="AS-STANDARD ORDER MIXED"/>
    <s v="A-SURFACE"/>
    <s v="OP"/>
    <n v="1251017"/>
    <s v="A-SURFACE"/>
    <m/>
    <m/>
    <m/>
    <s v="A-SURFACE"/>
    <s v="LTL"/>
    <s v="EXW"/>
    <s v="Prepay &amp; Add"/>
    <m/>
    <m/>
    <m/>
    <m/>
    <m/>
    <m/>
    <m/>
    <s v="0"/>
    <s v="0"/>
  </r>
  <r>
    <s v="SJ2"/>
    <s v="5017196"/>
    <s v="CHARTER"/>
    <s v="SPARKS001"/>
    <s v="R022P17L3"/>
    <s v="SJ2_STAG"/>
    <s v="CHARTER COMMUNICATIONS"/>
    <s v="1031 E Glendale Ave"/>
    <s v="NV"/>
    <s v="Sparks"/>
    <s v="89431-6460"/>
    <s v="BP-A4"/>
    <s v="BACKPLATE RF INP OPTICAL OUT M"/>
    <s v="20112605"/>
    <s v="32.1"/>
    <x v="401"/>
    <n v="1960983"/>
    <d v="2016-09-21T00:00:00"/>
    <s v="20161222 000000"/>
    <d v="2016-10-26T00:00:00"/>
    <d v="2016-10-20T00:00:00"/>
    <d v="2016-10-28T00:00:00"/>
    <m/>
    <n v="1"/>
    <m/>
    <n v="7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RICHLAND HILLS001"/>
    <s v="R012P06L1"/>
    <s v="SJ2_STAG"/>
    <s v="CHARTER COMMUNICATIONS"/>
    <s v="7400 Whitehall St"/>
    <s v="TX"/>
    <s v="Richland Hills"/>
    <s v="76118-6426"/>
    <s v="SC-PS-10F"/>
    <s v="CABLE DB9F-3.5MM RTANG 10FT RO"/>
    <s v="20112674"/>
    <s v="7.1"/>
    <x v="402"/>
    <n v="1957823"/>
    <d v="2016-09-26T10:46:00"/>
    <m/>
    <d v="2016-10-21T00:00:00"/>
    <d v="2016-10-20T00:00:00"/>
    <d v="2016-10-24T00:00:00"/>
    <m/>
    <n v="1"/>
    <m/>
    <n v="9"/>
    <m/>
    <s v="N224"/>
    <s v="NWK ACCESS TECH"/>
    <s v="ACCESS OTHER"/>
    <s v="OTHER AURORA"/>
    <s v="N224"/>
    <s v="AS-STANDARD ORDER MIXED"/>
    <s v="A-SURFACE"/>
    <s v="OP"/>
    <n v="1247040"/>
    <s v="A-SURFACE"/>
    <m/>
    <m/>
    <m/>
    <s v="A-SURFACE"/>
    <s v="LTL"/>
    <s v="EXW"/>
    <s v="Prepay &amp; Add"/>
    <m/>
    <m/>
    <s v="HOURS: 0800-1200"/>
    <m/>
    <m/>
    <m/>
    <m/>
    <s v="0"/>
    <s v="0"/>
  </r>
  <r>
    <s v="SJ2"/>
    <s v="5017196"/>
    <s v="CHARTER"/>
    <s v="RICHLAND HILLS001"/>
    <s v="R012P06L1"/>
    <s v="SJ2_STAG"/>
    <s v="CHARTER COMMUNICATIONS"/>
    <s v="7400 Whitehall St"/>
    <s v="TX"/>
    <s v="Richland Hills"/>
    <s v="76118-6426"/>
    <s v="SC-PS-10F"/>
    <s v="CABLE DB9F-3.5MM RTANG 10FT RO"/>
    <s v="20112797"/>
    <s v="7.1"/>
    <x v="403"/>
    <n v="1957823"/>
    <d v="2016-09-26T16:53:00"/>
    <m/>
    <d v="2016-10-21T00:00:00"/>
    <d v="2016-10-20T00:00:00"/>
    <d v="2016-10-24T00:00:00"/>
    <m/>
    <n v="1"/>
    <m/>
    <n v="9"/>
    <m/>
    <s v="N224"/>
    <s v="NWK ACCESS TECH"/>
    <s v="ACCESS OTHER"/>
    <s v="OTHER AURORA"/>
    <s v="N224"/>
    <s v="AS-STANDARD ORDER MIXED"/>
    <s v="A-SURFACE"/>
    <s v="OP"/>
    <n v="1247040"/>
    <s v="A-SURFACE"/>
    <m/>
    <m/>
    <m/>
    <s v="A-SURFACE"/>
    <s v="LTL"/>
    <s v="EXW"/>
    <s v="Prepay &amp; Add"/>
    <m/>
    <m/>
    <m/>
    <m/>
    <m/>
    <m/>
    <m/>
    <s v="0"/>
    <s v="0"/>
  </r>
  <r>
    <s v="SJ2"/>
    <s v="5017196"/>
    <s v="CHARTER"/>
    <s v="SPARKS001"/>
    <s v="R023P75L2"/>
    <s v="SJ2_STAG"/>
    <s v="CHARTER COMMUNICATIONS"/>
    <s v="1031 E Glendale Ave"/>
    <s v="NV"/>
    <s v="Sparks"/>
    <s v="89431-6460"/>
    <s v="FA4517S-02-AS"/>
    <s v="EDFA 17DBM FOR NC4000/NC2000 A"/>
    <s v="20113005"/>
    <s v="2.1"/>
    <x v="404"/>
    <n v="1960911"/>
    <d v="2016-09-21T00:00:00"/>
    <s v="20161215 000000"/>
    <d v="2016-10-26T00:00:00"/>
    <d v="2016-10-20T00:00:00"/>
    <d v="2016-10-28T00:00:00"/>
    <m/>
    <n v="4"/>
    <m/>
    <n v="11400"/>
    <m/>
    <s v="N127"/>
    <s v="NWK ACCESS TECH"/>
    <s v="HPON"/>
    <s v="VHUB AURORA"/>
    <s v="N127"/>
    <s v="AS-STANDARD ORDER MIXED"/>
    <s v="A-SURFACE"/>
    <s v="OP"/>
    <n v="1249787"/>
    <s v="A-SURFACE"/>
    <m/>
    <m/>
    <m/>
    <s v="A-SURFACE"/>
    <s v="LTL"/>
    <s v="EXW"/>
    <s v="Prepay &amp; Add"/>
    <m/>
    <m/>
    <s v="Delivery Instructions-RECEIVING HOURS: 0700-1300"/>
    <m/>
    <m/>
    <m/>
    <m/>
    <s v="0"/>
    <s v="0"/>
  </r>
  <r>
    <s v="SJ2"/>
    <s v="5017196"/>
    <s v="CHARTER"/>
    <s v="SPARKS001"/>
    <s v="R023P64L4"/>
    <s v="SJ2_STAG"/>
    <s v="CHARTER COMMUNICATIONS"/>
    <s v="1031 E Glendale Ave"/>
    <s v="NV"/>
    <s v="Sparks"/>
    <s v="89431-6460"/>
    <s v="TR4540-0000-PI"/>
    <s v="TRANSCEIVER SFP 1550nm 40km"/>
    <s v="20113005"/>
    <s v="22.1"/>
    <x v="404"/>
    <n v="1960906"/>
    <d v="2016-09-21T00:00:00"/>
    <s v="20161215 000000"/>
    <d v="2016-10-26T00:00:00"/>
    <d v="2016-10-20T00:00:00"/>
    <d v="2016-10-28T00:00:00"/>
    <m/>
    <n v="18"/>
    <m/>
    <n v="468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17L3"/>
    <s v="SJ2_STAG"/>
    <s v="CHARTER COMMUNICATIONS"/>
    <s v="1031 E Glendale Ave"/>
    <s v="NV"/>
    <s v="Sparks"/>
    <s v="89431-6460"/>
    <s v="BP-A4"/>
    <s v="BACKPLATE RF INP OPTICAL OUT M"/>
    <s v="20113005"/>
    <s v="4.1"/>
    <x v="404"/>
    <n v="1960983"/>
    <d v="2016-09-21T00:00:00"/>
    <s v="20161215 000000"/>
    <d v="2016-10-26T00:00:00"/>
    <d v="2016-10-20T00:00:00"/>
    <d v="2016-10-28T00:00:00"/>
    <m/>
    <n v="17"/>
    <m/>
    <n v="119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RICHLAND HILLS001"/>
    <s v="R023P13L2"/>
    <s v="SJ2_STAG"/>
    <s v="CHARTER COMMUNICATIONS"/>
    <s v="7400 Whitehall St"/>
    <s v="TX"/>
    <s v="Richland Hills"/>
    <s v="76118-6426"/>
    <s v="HT3541H-D-A290-2-AS"/>
    <s v="XMTR DD 1.2GHZ FULL SPECTRUM 3"/>
    <s v="20113588"/>
    <s v="5.1"/>
    <x v="405"/>
    <n v="1950537"/>
    <d v="2016-09-26T12:23:00"/>
    <m/>
    <d v="2016-10-14T00:00:00"/>
    <d v="2016-10-25T00:00:00"/>
    <d v="2016-10-18T00:00:00"/>
    <m/>
    <n v="1"/>
    <n v="1"/>
    <n v="1440"/>
    <n v="1440"/>
    <s v="HE64"/>
    <s v="NWK ACCESS TECH"/>
    <s v="HEO"/>
    <s v="TRANSMITTER"/>
    <s v="HT"/>
    <s v="AS-STANDARD ORDER MIXED"/>
    <s v="A-SURFACE"/>
    <s v="OP"/>
    <n v="1242587"/>
    <s v="A-SURFACE"/>
    <m/>
    <m/>
    <m/>
    <s v="A-SURFACE"/>
    <s v="LTL"/>
    <s v="EXW"/>
    <s v="Prepay &amp; Add"/>
    <n v="8.4700000000000006"/>
    <m/>
    <s v="HOURS: 0800-1200"/>
    <m/>
    <m/>
    <m/>
    <m/>
    <s v="0"/>
    <s v="0"/>
  </r>
  <r>
    <s v="SJ2"/>
    <s v="5017196"/>
    <s v="CHARTER"/>
    <s v="COLUMBIA004"/>
    <s v="R022P26L3"/>
    <s v="SJ2_STAG"/>
    <s v="CHARTER COMMUNICATIONS"/>
    <s v="1757 N Pointe Rd"/>
    <s v="TN"/>
    <s v="Columbia"/>
    <s v="38401-0214"/>
    <s v="OP95F1S-49-N0-00"/>
    <s v="FILTER DWDM N-CASE 0.25MM CH 4"/>
    <s v="20113709"/>
    <s v="5.1"/>
    <x v="406"/>
    <n v="1963248"/>
    <d v="2016-10-13T00:00:00"/>
    <s v="20161023 000000"/>
    <d v="2016-10-28T00:00:00"/>
    <d v="2016-10-10T00:00:00"/>
    <d v="2016-10-28T00:00:00"/>
    <m/>
    <n v="2"/>
    <m/>
    <n v="216"/>
    <m/>
    <s v="N156"/>
    <s v="NWK ACCESS TECH"/>
    <s v="ACCESS OTHER"/>
    <s v="OTHER AURORA"/>
    <s v="N156"/>
    <s v="AS-STANDARD ORDER MIXED"/>
    <s v="A-SURFACE"/>
    <s v="OP"/>
    <n v="1251073"/>
    <s v="A-SURFACE"/>
    <m/>
    <m/>
    <m/>
    <s v="A-SURFACE"/>
    <s v="LTL"/>
    <s v="EXW"/>
    <s v="Prepay &amp; Add"/>
    <m/>
    <m/>
    <s v="Delivery Instructions-RECEIVING HOURS ARE;8am-3:30pm"/>
    <m/>
    <m/>
    <m/>
    <m/>
    <s v="0"/>
    <s v="0"/>
  </r>
  <r>
    <s v="SJ2"/>
    <s v="5017196"/>
    <s v="CHARTER"/>
    <s v="SPARKS001"/>
    <s v="R024P11L5B02"/>
    <s v="SJ2_STAG"/>
    <s v="CHARTER COMMUNICATIONS"/>
    <s v="1031 E Glendale Ave"/>
    <s v="NV"/>
    <s v="Sparks"/>
    <s v="89431-6460"/>
    <s v="JC1524-MP-AS8-100"/>
    <s v="CABLE SERVICE 2 MPO 8 SC/APC 1"/>
    <s v="20113710"/>
    <s v="10.1"/>
    <x v="407"/>
    <n v="1960906"/>
    <d v="2016-09-27T00:00:00"/>
    <s v="20161215 000000"/>
    <d v="2016-10-26T00:00:00"/>
    <d v="2016-11-04T00:00:00"/>
    <d v="2016-10-28T00:00:00"/>
    <m/>
    <n v="1"/>
    <m/>
    <n v="720"/>
    <m/>
    <s v="N223"/>
    <s v="NWK ACCESS TECH"/>
    <s v="OPTICAL PASSIVES"/>
    <s v="INDOOR PASSIVES AURORA"/>
    <s v="N223"/>
    <s v="AS-STANDARD ORDER MIXED"/>
    <s v="A-SURFACE"/>
    <s v="OP"/>
    <n v="1249787"/>
    <s v="A-SURFACE"/>
    <m/>
    <m/>
    <m/>
    <s v="A-SURFACE"/>
    <s v="LTL"/>
    <s v="EXW"/>
    <s v="Prepay &amp; Add"/>
    <m/>
    <m/>
    <s v="Delivery Instructions-RECEIVING HOURS: 0700-1300"/>
    <m/>
    <m/>
    <m/>
    <m/>
    <s v="0"/>
    <s v="0"/>
  </r>
  <r>
    <s v="SJ2"/>
    <s v="5017196"/>
    <s v="CHARTER"/>
    <s v="SPARKS001"/>
    <s v="R012P03L2B12"/>
    <s v="SJ2_STAG"/>
    <s v="CHARTER COMMUNICATIONS"/>
    <s v="1031 E Glendale Ave"/>
    <s v="NV"/>
    <s v="Sparks"/>
    <s v="89431-6460"/>
    <s v="TR4440B-1430-PI"/>
    <s v="TRANSCEIVER SFP 60KM CWDM 1430"/>
    <s v="20113710"/>
    <s v="14.1"/>
    <x v="407"/>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12P04L2B12"/>
    <s v="SJ2_STAG"/>
    <s v="CHARTER COMMUNICATIONS"/>
    <s v="1031 E Glendale Ave"/>
    <s v="NV"/>
    <s v="Sparks"/>
    <s v="89431-6460"/>
    <s v="TR4440B-1450-PI"/>
    <s v="TRANSCEIVER SFP 60KM CWDM 1450"/>
    <s v="20113710"/>
    <s v="15.1"/>
    <x v="407"/>
    <n v="1960905"/>
    <d v="2016-09-27T00:00:00"/>
    <s v="20161215 000000"/>
    <d v="2016-10-26T00:00:00"/>
    <d v="2016-10-20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80L4"/>
    <s v="SJ2_STAG"/>
    <s v="CHARTER COMMUNICATIONS"/>
    <s v="1031 E Glendale Ave"/>
    <s v="NV"/>
    <s v="Sparks"/>
    <s v="89431-6460"/>
    <s v="TR4440B-1490-PI"/>
    <s v="TRANSCEIVER SFP 60KM CWDM 1490"/>
    <s v="20113710"/>
    <s v="16.1"/>
    <x v="407"/>
    <n v="1960911"/>
    <d v="2016-09-27T00:00:00"/>
    <s v="20161215 000000"/>
    <d v="2016-10-26T00:00:00"/>
    <d v="2016-11-04T00:00:00"/>
    <d v="2016-10-28T00:00:00"/>
    <m/>
    <n v="1"/>
    <m/>
    <n v="30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3P04L3"/>
    <s v="SJ2_STAG"/>
    <s v="CHARTER COMMUNICATIONS"/>
    <s v="1031 E Glendale Ave"/>
    <s v="NV"/>
    <s v="Sparks"/>
    <s v="89431-6460"/>
    <s v="HT3306H-D-1310-2-AS"/>
    <s v="XMTR DD 1.2GHZ 1310NM D-IN 6DB"/>
    <s v="20113710"/>
    <s v="19.1"/>
    <x v="407"/>
    <n v="1960906"/>
    <d v="2016-09-27T00:00:00"/>
    <s v="20161215 000000"/>
    <d v="2016-10-26T00:00:00"/>
    <d v="2016-11-04T00:00:00"/>
    <d v="2016-10-28T00:00:00"/>
    <m/>
    <n v="2"/>
    <m/>
    <n v="171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73L5"/>
    <s v="SJ2_STAG"/>
    <s v="CHARTER COMMUNICATIONS"/>
    <s v="1031 E Glendale Ave"/>
    <s v="NV"/>
    <s v="Sparks"/>
    <s v="89431-6460"/>
    <s v="HT3FILD"/>
    <s v="XMTR DOUBLE HT FILLER MODULE"/>
    <s v="20113710"/>
    <s v="2.1"/>
    <x v="407"/>
    <n v="1960983"/>
    <d v="2016-09-27T00:00:00"/>
    <s v="20161215 000000"/>
    <d v="2016-10-26T00:00:00"/>
    <d v="2016-11-04T00:00:00"/>
    <d v="2016-10-28T00:00:00"/>
    <m/>
    <n v="11"/>
    <m/>
    <n v="121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76L1"/>
    <s v="SJ2_STAG"/>
    <s v="CHARTER COMMUNICATIONS"/>
    <s v="1031 E Glendale Ave"/>
    <s v="NV"/>
    <s v="Sparks"/>
    <s v="89431-6460"/>
    <s v="HT3FILD"/>
    <s v="XMTR DOUBLE HT FILLER MODULE"/>
    <s v="20113710"/>
    <s v="2.1"/>
    <x v="407"/>
    <n v="1960997"/>
    <d v="2016-09-27T00:00:00"/>
    <s v="20161215 000000"/>
    <d v="2016-10-26T00:00:00"/>
    <d v="2016-11-04T00:00:00"/>
    <d v="2016-10-28T00:00:00"/>
    <m/>
    <n v="10"/>
    <m/>
    <n v="110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66L5"/>
    <s v="SJ2_STAG"/>
    <s v="CHARTER COMMUNICATIONS"/>
    <s v="1031 E Glendale Ave"/>
    <s v="NV"/>
    <s v="Sparks"/>
    <s v="89431-6460"/>
    <s v="HT3541H-D-A210-2-AS"/>
    <s v="XMTR DD 1.2GHZ FULL SPECTRUM 3"/>
    <s v="20113710"/>
    <s v="20.1"/>
    <x v="407"/>
    <n v="1960983"/>
    <d v="2016-09-27T00:00:00"/>
    <s v="20161215 000000"/>
    <d v="2016-10-26T00:00:00"/>
    <d v="2016-11-04T00:00:00"/>
    <d v="2016-10-28T00:00:00"/>
    <m/>
    <n v="6"/>
    <m/>
    <n v="86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48L3"/>
    <s v="SJ2_STAG"/>
    <s v="CHARTER COMMUNICATIONS"/>
    <s v="1031 E Glendale Ave"/>
    <s v="NV"/>
    <s v="Sparks"/>
    <s v="89431-6460"/>
    <s v="HT3541H-D-A210-2-AS"/>
    <s v="XMTR DD 1.2GHZ FULL SPECTRUM 3"/>
    <s v="20113710"/>
    <s v="20.1"/>
    <x v="407"/>
    <n v="1960983"/>
    <d v="2016-09-27T00:00:00"/>
    <s v="20161215 000000"/>
    <d v="2016-10-26T00:00:00"/>
    <d v="2016-11-04T00:00:00"/>
    <d v="2016-10-28T00:00:00"/>
    <m/>
    <n v="2"/>
    <m/>
    <n v="288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2"/>
    <s v="SJ2_STAG"/>
    <s v="CHARTER COMMUNICATIONS"/>
    <s v="1031 E Glendale Ave"/>
    <s v="NV"/>
    <s v="Sparks"/>
    <s v="89431-6460"/>
    <s v="HT3541H-D-A350-2-AS"/>
    <s v="XMTR DD 1.2GHZ FULL SPECTRUM 3"/>
    <s v="20113710"/>
    <s v="21.1"/>
    <x v="407"/>
    <n v="1960983"/>
    <d v="2016-09-27T00:00:00"/>
    <s v="20161215 000000"/>
    <d v="2016-10-26T00:00:00"/>
    <d v="2016-11-04T00:00:00"/>
    <d v="2016-10-28T00:00:00"/>
    <m/>
    <n v="1"/>
    <m/>
    <n v="1440"/>
    <m/>
    <s v="HE64"/>
    <s v="NWK ACCESS TECH"/>
    <s v="HEO"/>
    <s v="TRANSMITTER"/>
    <s v="HT"/>
    <s v="AS-STANDARD ORDER MIXED"/>
    <s v="A-SURFACE"/>
    <s v="OP"/>
    <n v="1249787"/>
    <s v="A-SURFACE"/>
    <m/>
    <m/>
    <m/>
    <s v="A-SURFACE"/>
    <s v="LTL"/>
    <s v="EXW"/>
    <s v="Prepay &amp; Add"/>
    <m/>
    <m/>
    <s v="Delivery Instructions-RECEIVING HOURS: 0700-1300"/>
    <m/>
    <m/>
    <m/>
    <m/>
    <s v="0"/>
    <s v="0"/>
  </r>
  <r>
    <s v="SJ2"/>
    <s v="5017196"/>
    <s v="CHARTER"/>
    <s v="SPARKS001"/>
    <s v="R023P07L3"/>
    <s v="SJ2_STAG"/>
    <s v="CHARTER COMMUNICATIONS"/>
    <s v="1031 E Glendale Ave"/>
    <s v="NV"/>
    <s v="Sparks"/>
    <s v="89431-6460"/>
    <s v="DT3515C-20-1-2-65-AS"/>
    <s v="DGTL XMTR 200KM 100GHZ 2X5-65M"/>
    <s v="20113710"/>
    <s v="22.1"/>
    <x v="407"/>
    <n v="1960911"/>
    <d v="2016-09-27T00:00:00"/>
    <s v="20161215 000000"/>
    <d v="2016-10-26T00:00:00"/>
    <d v="2016-11-04T00:00:00"/>
    <d v="2016-10-28T00:00:00"/>
    <m/>
    <n v="1"/>
    <m/>
    <n v="1584"/>
    <m/>
    <s v="N063"/>
    <s v="NWK ACCESS TECH"/>
    <s v="HEO"/>
    <s v="TRANSMITTERS AURORA"/>
    <s v="N063"/>
    <s v="AS-STANDARD ORDER MIXED"/>
    <s v="A-SURFACE"/>
    <s v="OP"/>
    <n v="1249787"/>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3710"/>
    <s v="3.1"/>
    <x v="407"/>
    <n v="1960983"/>
    <d v="2016-09-27T00:00:00"/>
    <s v="20161215 000000"/>
    <d v="2016-10-26T00:00:00"/>
    <d v="2016-11-04T00:00:00"/>
    <d v="2016-10-28T00:00:00"/>
    <m/>
    <n v="2"/>
    <m/>
    <n v="242"/>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04L1"/>
    <s v="SJ2_STAG"/>
    <s v="CHARTER COMMUNICATIONS"/>
    <s v="1031 E Glendale Ave"/>
    <s v="NV"/>
    <s v="Sparks"/>
    <s v="89431-6460"/>
    <s v="TL3000-EJ-00"/>
    <s v="TOOL EXTRACTOR HANDLE CH3000"/>
    <s v="20113710"/>
    <s v="4.1"/>
    <x v="407"/>
    <n v="1960983"/>
    <d v="2016-09-27T00:00:00"/>
    <s v="20161215 000000"/>
    <d v="2016-10-26T00:00:00"/>
    <d v="2016-11-04T00:00:00"/>
    <d v="2016-10-28T00:00:00"/>
    <m/>
    <n v="1"/>
    <m/>
    <n v="6"/>
    <m/>
    <s v="N185"/>
    <s v="NWK ACCESS TECH"/>
    <s v="ACCESS OTHER"/>
    <s v="OTHER AURORA"/>
    <s v="N185"/>
    <s v="AS-STANDARD ORDER MIXED"/>
    <s v="A-SURFACE"/>
    <s v="OP"/>
    <n v="1249787"/>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3710"/>
    <s v="7.1"/>
    <x v="407"/>
    <n v="1960911"/>
    <d v="2016-09-27T00:00:00"/>
    <s v="20161215 000000"/>
    <d v="2016-10-26T00:00:00"/>
    <d v="2016-11-04T00:00:00"/>
    <d v="2016-10-28T00:00:00"/>
    <m/>
    <n v="1"/>
    <m/>
    <n v="979"/>
    <m/>
    <s v="N133"/>
    <s v="NWK ACCESS TECH"/>
    <s v="HEO"/>
    <s v="HEO MISC AURORA"/>
    <s v="N133"/>
    <s v="AS-STANDARD ORDER MIXED"/>
    <s v="A-SURFACE"/>
    <s v="OP"/>
    <n v="1249787"/>
    <s v="A-SURFACE"/>
    <m/>
    <m/>
    <m/>
    <s v="A-SURFACE"/>
    <s v="LTL"/>
    <s v="EXW"/>
    <s v="Prepay &amp; Add"/>
    <m/>
    <m/>
    <s v="Delivery Instructions-RECEIVING HOURS: 0700-1300"/>
    <m/>
    <m/>
    <m/>
    <m/>
    <s v="0"/>
    <s v="0"/>
  </r>
  <r>
    <s v="SJ2"/>
    <s v="5017196"/>
    <s v="CHARTER"/>
    <s v="SPARKS001"/>
    <s v="R023P46L1"/>
    <s v="SJ2_STAG"/>
    <s v="CHARTER COMMUNICATIONS"/>
    <s v="1031 E Glendale Ave"/>
    <s v="NV"/>
    <s v="Sparks"/>
    <s v="89431-6460"/>
    <s v="AR3001-AS"/>
    <s v="ANALOG RETURN RX DUAL 5-225MHz"/>
    <s v="20113710"/>
    <s v="9.1"/>
    <x v="407"/>
    <n v="1960911"/>
    <d v="2016-09-27T00:00:00"/>
    <s v="20161215 000000"/>
    <d v="2016-10-26T00:00:00"/>
    <d v="2016-11-04T00:00:00"/>
    <d v="2016-10-28T00:00:00"/>
    <m/>
    <n v="1"/>
    <m/>
    <n v="540"/>
    <m/>
    <s v="N023"/>
    <s v="NWK ACCESS TECH"/>
    <s v="HEO"/>
    <s v="RECEIVERS AURORA"/>
    <s v="N023"/>
    <s v="AS-STANDARD ORDER MIXED"/>
    <s v="A-SURFACE"/>
    <s v="OP"/>
    <n v="1249787"/>
    <s v="A-SURFACE"/>
    <m/>
    <m/>
    <m/>
    <s v="A-SURFACE"/>
    <s v="LTL"/>
    <s v="EXW"/>
    <s v="Prepay &amp; Add"/>
    <m/>
    <m/>
    <s v="Delivery Instructions-RECEIVING HOURS: 0700-1300"/>
    <m/>
    <m/>
    <m/>
    <m/>
    <s v="0"/>
    <s v="0"/>
  </r>
  <r>
    <s v="SJ2"/>
    <s v="5017196"/>
    <s v="CHARTER"/>
    <s v="SPARKS001"/>
    <s v="R022P17L3"/>
    <s v="SJ2_STAG"/>
    <s v="CHARTER COMMUNICATIONS"/>
    <s v="1031 E Glendale Ave"/>
    <s v="NV"/>
    <s v="Sparks"/>
    <s v="89431-6460"/>
    <s v="BP-A4"/>
    <s v="BACKPLATE RF INP OPTICAL OUT M"/>
    <s v="20113806"/>
    <s v="7.1"/>
    <x v="408"/>
    <n v="1960983"/>
    <d v="2016-09-27T00:00:00"/>
    <s v="20161208 000000"/>
    <d v="2016-10-26T00:00:00"/>
    <d v="2016-10-20T00:00:00"/>
    <d v="2016-10-28T00:00:00"/>
    <m/>
    <n v="1"/>
    <m/>
    <n v="7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3P13L3"/>
    <s v="SJ2_STAG"/>
    <s v="CHARTER COMMUNICATIONS"/>
    <s v="1031 E Glendale Ave"/>
    <s v="NV"/>
    <s v="Sparks"/>
    <s v="89431-6460"/>
    <s v="OP35M8K-1-99-AS"/>
    <s v="OPT MUX 100GHZ ITU CH 20-27 EX"/>
    <s v="20113837"/>
    <s v="16.1"/>
    <x v="409"/>
    <n v="1961620"/>
    <d v="2016-09-21T00:00:00"/>
    <s v="20161222 000000"/>
    <d v="2016-10-26T00:00:00"/>
    <d v="2016-10-26T00:00:00"/>
    <d v="2016-10-28T00:00:00"/>
    <m/>
    <n v="7"/>
    <m/>
    <n v="9100"/>
    <m/>
    <s v="N165"/>
    <s v="NWK ACCESS TECH"/>
    <s v="OPTICAL PASSIVES"/>
    <s v="INDOOR PASSIVES AURORA"/>
    <s v="N165"/>
    <s v="AS-STANDARD ORDER MIXED"/>
    <s v="A-SURFACE"/>
    <s v="OP"/>
    <n v="1250201"/>
    <s v="A-SURFACE"/>
    <m/>
    <m/>
    <m/>
    <s v="A-SURFACE"/>
    <s v="LTL"/>
    <s v="EXW"/>
    <s v="Prepay &amp; Add"/>
    <m/>
    <m/>
    <s v="Delivery Instructions-RECEIVING HOURS: 0700-1300"/>
    <m/>
    <m/>
    <m/>
    <m/>
    <s v="0"/>
    <s v="0"/>
  </r>
  <r>
    <s v="SJ2"/>
    <s v="5017196"/>
    <s v="CHARTER"/>
    <s v="SPARKS001"/>
    <s v="R022P78L3"/>
    <s v="SJ2_STAG"/>
    <s v="CHARTER COMMUNICATIONS"/>
    <s v="1031 E Glendale Ave"/>
    <s v="NV"/>
    <s v="Sparks"/>
    <s v="89431-6460"/>
    <s v="RR4000-00-PI"/>
    <s v="RCVR DUAL PLUGGABLE SFP 3 GBPS"/>
    <s v="20114145"/>
    <s v="10.1"/>
    <x v="410"/>
    <n v="1956062"/>
    <d v="2016-09-29T00:00:00"/>
    <s v="20161030 000000"/>
    <d v="2016-10-20T00:00:00"/>
    <d v="2016-10-31T00:00:00"/>
    <d v="2016-10-24T00:00:00"/>
    <m/>
    <n v="18"/>
    <m/>
    <n v="3240"/>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23P64L2"/>
    <s v="SJ2_STAG"/>
    <s v="CHARTER COMMUNICATIONS"/>
    <s v="1031 E Glendale Ave"/>
    <s v="NV"/>
    <s v="Sparks"/>
    <s v="89431-6460"/>
    <s v="SC-PS-10F"/>
    <s v="CABLE DB9F-3.5MM RTANG 10FT RO"/>
    <s v="20114145"/>
    <s v="11.1"/>
    <x v="411"/>
    <n v="1960788"/>
    <d v="2016-09-29T00:00:00"/>
    <s v="20161030 000000"/>
    <d v="2016-10-25T00:00:00"/>
    <d v="2016-10-31T00:00:00"/>
    <d v="2016-10-25T00:00:00"/>
    <m/>
    <n v="3"/>
    <m/>
    <n v="27"/>
    <m/>
    <s v="N224"/>
    <s v="NWK ACCESS TECH"/>
    <s v="ACCESS OTHER"/>
    <s v="OTHER AURORA"/>
    <s v="N224"/>
    <s v="AS-STANDARD ORDER MIXED"/>
    <s v="A-SURFACE"/>
    <s v="OP"/>
    <n v="1249665"/>
    <s v="A-SURFACE"/>
    <m/>
    <m/>
    <m/>
    <s v="A-SURFACE"/>
    <s v="LTL"/>
    <s v="EXW"/>
    <s v="Prepay &amp; Add"/>
    <m/>
    <m/>
    <s v="Delivery Instructions-RECEIVING HOURS: 0700-1300"/>
    <m/>
    <m/>
    <m/>
    <m/>
    <s v="0"/>
    <s v="0"/>
  </r>
  <r>
    <s v="SJ2"/>
    <s v="5017196"/>
    <s v="CHARTER"/>
    <s v="SPARKS001"/>
    <s v="R022P01L2"/>
    <s v="SJ2_STAG"/>
    <s v="CHARTER COMMUNICATIONS"/>
    <s v="1031 E Glendale Ave"/>
    <s v="NV"/>
    <s v="Sparks"/>
    <s v="89431-6460"/>
    <s v="OP31S8S-EQ-00-AS"/>
    <s v="OPT SPLITTER 1X8 SGL PKG BAL O"/>
    <s v="20114145"/>
    <s v="16.1"/>
    <x v="410"/>
    <n v="1956044"/>
    <d v="2016-09-29T00:00:00"/>
    <s v="20161030 000000"/>
    <d v="2016-10-20T00:00:00"/>
    <d v="2016-10-31T00:00:00"/>
    <d v="2016-10-24T00:00:00"/>
    <m/>
    <n v="1"/>
    <m/>
    <n v="400"/>
    <m/>
    <s v="N156"/>
    <s v="NWK ACCESS TECH"/>
    <s v="ACCESS OTHER"/>
    <s v="OTHER AURORA"/>
    <s v="N156"/>
    <s v="AS-STANDARD ORDER MIXED"/>
    <s v="A-SURFACE"/>
    <s v="OP"/>
    <n v="1246186"/>
    <s v="A-SURFACE"/>
    <m/>
    <m/>
    <m/>
    <s v="A-SURFACE"/>
    <s v="LTL"/>
    <s v="EXW"/>
    <s v="Prepay &amp; Add"/>
    <m/>
    <m/>
    <s v="Delivery Instructions-RECEIVING HOURS: 0700-1300"/>
    <m/>
    <m/>
    <m/>
    <m/>
    <s v="0"/>
    <s v="0"/>
  </r>
  <r>
    <s v="SJ2"/>
    <s v="5017196"/>
    <s v="CHARTER"/>
    <s v="SPARKS001"/>
    <s v="R017P59L5"/>
    <s v="SJ2_STAG"/>
    <s v="CHARTER COMMUNICATIONS"/>
    <s v="1031 E Glendale Ave"/>
    <s v="NV"/>
    <s v="Sparks"/>
    <s v="89431-6460"/>
    <s v="PF3000N-FM-00"/>
    <s v="PASSIVE FRAME 4RU FBR MGT NO C"/>
    <s v="20114145"/>
    <s v="2.1"/>
    <x v="410"/>
    <n v="1956044"/>
    <d v="2016-09-29T00:00:00"/>
    <s v="20161030 000000"/>
    <d v="2016-10-20T00:00:00"/>
    <d v="2016-10-31T00:00:00"/>
    <d v="2016-10-24T00:00:00"/>
    <m/>
    <n v="3"/>
    <m/>
    <n v="363"/>
    <m/>
    <s v="N224"/>
    <s v="NWK ACCESS TECH"/>
    <s v="ACCESS OTHER"/>
    <s v="OTHER AURORA"/>
    <s v="N224"/>
    <s v="AS-STANDARD ORDER MIXED"/>
    <s v="A-SURFACE"/>
    <s v="OP"/>
    <n v="1246186"/>
    <s v="A-SURFACE"/>
    <m/>
    <m/>
    <m/>
    <s v="A-SURFACE"/>
    <s v="LTL"/>
    <s v="EXW"/>
    <s v="Prepay &amp; Add"/>
    <m/>
    <m/>
    <s v="Delivery Instructions-RECEIVING HOURS: 0700-1300"/>
    <m/>
    <m/>
    <m/>
    <m/>
    <s v="0"/>
    <s v="0"/>
  </r>
  <r>
    <s v="SJ2"/>
    <s v="5017196"/>
    <s v="CHARTER"/>
    <s v="SPARKS001"/>
    <s v="R016P18L1B01"/>
    <s v="SJ2_STAG"/>
    <s v="CHARTER COMMUNICATIONS"/>
    <s v="1031 E Glendale Ave"/>
    <s v="NV"/>
    <s v="Sparks"/>
    <s v="89431-6460"/>
    <s v="OP35M4-CF1-1-99-AS"/>
    <s v="OPT MUX4 100GHZ A1 CF1 EXP -20"/>
    <s v="20114145"/>
    <s v="3.1"/>
    <x v="410"/>
    <n v="1956044"/>
    <d v="2016-09-29T00:00:00"/>
    <s v="20161030 000000"/>
    <d v="2016-10-20T00:00:00"/>
    <d v="2016-10-31T00:00:00"/>
    <d v="2016-10-24T00:00:00"/>
    <m/>
    <n v="3"/>
    <m/>
    <n v="2700"/>
    <m/>
    <s v="N160"/>
    <s v="NWK ACCESS TECH"/>
    <s v="OPTICAL PASSIVES"/>
    <s v="OUTDOOR PASSIVES AURORA"/>
    <s v="N160"/>
    <s v="AS-STANDARD ORDER MIXED"/>
    <s v="A-SURFACE"/>
    <s v="OP"/>
    <n v="1246186"/>
    <s v="A-SURFACE"/>
    <m/>
    <m/>
    <m/>
    <s v="A-SURFACE"/>
    <s v="LTL"/>
    <s v="EXW"/>
    <s v="Prepay &amp; Add"/>
    <m/>
    <m/>
    <s v="Delivery Instructions-RECEIVING HOURS: 0700-1300"/>
    <m/>
    <m/>
    <m/>
    <m/>
    <s v="0"/>
    <s v="0"/>
  </r>
  <r>
    <s v="SJ2"/>
    <s v="5017196"/>
    <s v="CHARTER"/>
    <s v="SPARKS001"/>
    <s v="R023P62L9"/>
    <s v="SJ2_STAG"/>
    <s v="CHARTER COMMUNICATIONS"/>
    <s v="1031 E Glendale Ave"/>
    <s v="NV"/>
    <s v="Sparks"/>
    <s v="89431-6460"/>
    <s v="BP-35M4-CF3-1-003-AS"/>
    <s v="OPT MUX BP 100GHZ D ITU CH 23"/>
    <s v="20114145"/>
    <s v="8.1"/>
    <x v="410"/>
    <n v="1956062"/>
    <d v="2016-09-29T00:00:00"/>
    <s v="20161030 000000"/>
    <d v="2016-10-20T00:00:00"/>
    <d v="2016-10-31T00:00:00"/>
    <d v="2016-10-24T00:00:00"/>
    <m/>
    <n v="1"/>
    <m/>
    <n v="979"/>
    <m/>
    <s v="N133"/>
    <s v="NWK ACCESS TECH"/>
    <s v="HEO"/>
    <s v="HEO MISC AURORA"/>
    <s v="N133"/>
    <s v="AS-STANDARD ORDER MIXED"/>
    <s v="A-SURFACE"/>
    <s v="OP"/>
    <n v="1246186"/>
    <s v="A-SURFACE"/>
    <m/>
    <m/>
    <m/>
    <s v="A-SURFACE"/>
    <s v="LTL"/>
    <s v="EXW"/>
    <s v="Prepay &amp; Add"/>
    <m/>
    <m/>
    <s v="Delivery Instructions-RECEIVING HOURS: 0700-1300"/>
    <m/>
    <m/>
    <m/>
    <m/>
    <s v="0"/>
    <s v="0"/>
  </r>
  <r>
    <s v="SJ2"/>
    <s v="5017196"/>
    <s v="CHARTER"/>
    <s v="SPARKS001"/>
    <s v="R023P18L1"/>
    <s v="SJ2_STAG"/>
    <s v="CHARTER COMMUNICATIONS"/>
    <s v="1031 E Glendale Ave"/>
    <s v="NV"/>
    <s v="Sparks"/>
    <s v="89431-6460"/>
    <s v="AR3001-AS"/>
    <s v="ANALOG RETURN RX DUAL 5-225MHz"/>
    <s v="20114145"/>
    <s v="9.1"/>
    <x v="410"/>
    <n v="1956044"/>
    <d v="2016-09-29T00:00:00"/>
    <s v="20161030 000000"/>
    <d v="2016-10-20T00:00:00"/>
    <d v="2016-10-31T00:00:00"/>
    <d v="2016-10-24T00:00:00"/>
    <m/>
    <n v="6"/>
    <m/>
    <n v="3240"/>
    <m/>
    <s v="N023"/>
    <s v="NWK ACCESS TECH"/>
    <s v="HEO"/>
    <s v="RECEIVERS AURORA"/>
    <s v="N023"/>
    <s v="AS-STANDARD ORDER MIXED"/>
    <s v="A-SURFACE"/>
    <s v="OP"/>
    <n v="1246186"/>
    <s v="A-SURFACE"/>
    <m/>
    <m/>
    <m/>
    <s v="A-SURFACE"/>
    <s v="LTL"/>
    <s v="EXW"/>
    <s v="Prepay &amp; Add"/>
    <m/>
    <m/>
    <s v="Delivery Instructions-RECEIVING HOURS: 0700-1300"/>
    <m/>
    <m/>
    <m/>
    <m/>
    <s v="0"/>
    <s v="0"/>
  </r>
  <r>
    <s v="SJ2"/>
    <s v="5017196"/>
    <s v="CHARTER"/>
    <s v="SPARKS001"/>
    <s v="R012P03L2B14"/>
    <s v="SJ2_STAG"/>
    <s v="CHARTER COMMUNICATIONS"/>
    <s v="1031 E Glendale Ave"/>
    <s v="NV"/>
    <s v="Sparks"/>
    <s v="89431-6460"/>
    <s v="TR4540-0000-PI"/>
    <s v="TRANSCEIVER SFP 1550nm 40km"/>
    <s v="20115047"/>
    <s v="14.1"/>
    <x v="412"/>
    <n v="1960905"/>
    <d v="2016-10-04T00:00:00"/>
    <s v="20161129 000000"/>
    <d v="2016-10-26T00:00:00"/>
    <d v="2016-10-20T00:00:00"/>
    <d v="2016-10-28T00:00:00"/>
    <m/>
    <n v="1"/>
    <m/>
    <n v="260"/>
    <m/>
    <s v="N252"/>
    <s v="NWK ACCESS TECH"/>
    <s v="NODE"/>
    <s v="NODE MISC AURORA"/>
    <s v="N252"/>
    <s v="AS-STANDARD ORDER MIXED"/>
    <s v="A-SURFACE"/>
    <s v="OP"/>
    <n v="1249787"/>
    <s v="A-SURFACE"/>
    <m/>
    <m/>
    <m/>
    <s v="A-SURFACE"/>
    <s v="LTL"/>
    <s v="EXW"/>
    <s v="Prepay &amp; Add"/>
    <m/>
    <m/>
    <s v="Delivery Instructions-RECEIVING HOURS: 0700-1300"/>
    <m/>
    <m/>
    <m/>
    <m/>
    <s v="0"/>
    <s v="0"/>
  </r>
  <r>
    <s v="SJ2"/>
    <s v="5017196"/>
    <s v="CHARTER"/>
    <s v="SPARKS001"/>
    <s v="R022P17L3"/>
    <s v="SJ2_STAG"/>
    <s v="CHARTER COMMUNICATIONS"/>
    <s v="1031 E Glendale Ave"/>
    <s v="NV"/>
    <s v="Sparks"/>
    <s v="89431-6460"/>
    <s v="BP-A4"/>
    <s v="BACKPLATE RF INP OPTICAL OUT M"/>
    <s v="20115048"/>
    <s v="4.1"/>
    <x v="413"/>
    <n v="1960997"/>
    <d v="2016-10-04T00:00:00"/>
    <s v="20161220 000000"/>
    <d v="2016-10-26T00:00:00"/>
    <d v="2016-10-20T00:00:00"/>
    <d v="2016-10-28T00:00:00"/>
    <m/>
    <n v="1"/>
    <m/>
    <n v="70"/>
    <m/>
    <s v="N224"/>
    <s v="NWK ACCESS TECH"/>
    <s v="ACCESS OTHER"/>
    <s v="OTHER AURORA"/>
    <s v="N224"/>
    <s v="AS-STANDARD ORDER MIXED"/>
    <s v="A-SURFACE"/>
    <s v="OP"/>
    <n v="1249787"/>
    <s v="A-SURFACE"/>
    <m/>
    <m/>
    <m/>
    <s v="A-SURFACE"/>
    <s v="LTL"/>
    <s v="EXW"/>
    <s v="Prepay &amp; Add"/>
    <m/>
    <m/>
    <s v="Delivery Instructions-RECEIVING HOURS: 0700-1300"/>
    <m/>
    <m/>
    <m/>
    <m/>
    <s v="0"/>
    <s v="0"/>
  </r>
  <r>
    <s v="SJ2"/>
    <s v="5017196"/>
    <s v="CHARTER"/>
    <s v="SPARKS001"/>
    <s v="R022P17L3"/>
    <s v="SJ2_STAG"/>
    <s v="CHARTER COMMUNICATIONS"/>
    <s v="1031 E Glendale Ave"/>
    <s v="NV"/>
    <s v="Sparks"/>
    <s v="89431-6460"/>
    <s v="BP-A4"/>
    <s v="BACKPLATE RF INP OPTICAL OUT M"/>
    <s v="20115161"/>
    <s v="2.1"/>
    <x v="414"/>
    <n v="1960997"/>
    <d v="2016-10-04T00:00:00"/>
    <s v="20161229 000000"/>
    <d v="2016-10-26T00:00:00"/>
    <d v="2016-10-20T00:00:00"/>
    <d v="2016-10-28T00:00:00"/>
    <m/>
    <n v="2"/>
    <m/>
    <n v="140"/>
    <m/>
    <s v="N224"/>
    <s v="NWK ACCESS TECH"/>
    <s v="ACCESS OTHER"/>
    <s v="OTHER AURORA"/>
    <s v="N224"/>
    <s v="AS-STANDARD ORDER MIXED"/>
    <s v="A-SURFACE"/>
    <s v="OP"/>
    <n v="1249787"/>
    <s v="A-SURFACE"/>
    <m/>
    <m/>
    <m/>
    <s v="A-SURFACE"/>
    <s v="LTL"/>
    <s v="EXW"/>
    <s v="Prepay &amp; Add"/>
    <m/>
    <m/>
    <s v="Delivery Instructions-RECEIVING HOURS: 0700-1300"/>
    <s v="`"/>
    <m/>
    <m/>
    <m/>
    <s v="0"/>
    <s v="0"/>
  </r>
  <r>
    <s v="SJ2"/>
    <s v="5017196"/>
    <s v="CHARTER"/>
    <s v="SPARTANBURG001"/>
    <m/>
    <s v="SJ2_STAG"/>
    <s v="CHARTER COMMUNICATIONS"/>
    <s v="110 Commercial Rd"/>
    <s v="SC"/>
    <s v="Spartanburg"/>
    <s v="29303-6349"/>
    <s v="DP35M04D0NB2S-0LB-UL"/>
    <s v="MUX 100GHZ 1W 4CH 36-39 UPG EX"/>
    <s v="20115900"/>
    <s v="1.1"/>
    <x v="415"/>
    <n v="1961083"/>
    <d v="2016-10-07T00:00:00"/>
    <s v="20161228 000000"/>
    <d v="2016-10-26T00:00:00"/>
    <d v="2016-11-02T00:00:00"/>
    <d v="2016-10-26T00:00:00"/>
    <m/>
    <n v="1"/>
    <m/>
    <n v="920"/>
    <m/>
    <s v="N135"/>
    <s v="NWK ACCESS TECH"/>
    <s v="OPTICAL PASSIVES"/>
    <s v="DATA PASSIVES AURORA"/>
    <s v="N135"/>
    <s v="AS-STANDARD ORDER MIXED"/>
    <s v="A-SURFACE"/>
    <s v="OP"/>
    <n v="1249843"/>
    <s v="A-SURFACE"/>
    <m/>
    <m/>
    <m/>
    <s v="A-SURFACE"/>
    <s v="LTL"/>
    <s v="EXW"/>
    <s v="Prepay &amp; Add"/>
    <m/>
    <m/>
    <m/>
    <m/>
    <m/>
    <m/>
    <m/>
    <s v="0"/>
    <s v="0"/>
  </r>
  <r>
    <s v="SJ2"/>
    <s v="5017196"/>
    <s v="CHARTER"/>
    <s v="ZILWAUKEE002"/>
    <s v="R022P18L3"/>
    <s v="SJ2_STAG"/>
    <s v="CHARTER COMMUNICATIONS"/>
    <s v="950 Bridgeview N"/>
    <s v="MI"/>
    <s v="Saginaw"/>
    <s v="48604-1166"/>
    <s v="HT3541H-D-A210-2-AS"/>
    <s v="XMTR DD 1.2GHZ FULL SPECTRUM 3"/>
    <s v="20115901"/>
    <s v="10.1"/>
    <x v="416"/>
    <n v="1963262"/>
    <d v="2016-10-07T00:00:00"/>
    <s v="20161013 000000"/>
    <d v="2016-10-28T00:00:00"/>
    <d v="2016-10-13T00:00:00"/>
    <d v="2016-10-28T00:00:00"/>
    <m/>
    <n v="1"/>
    <m/>
    <n v="1440"/>
    <m/>
    <s v="HE64"/>
    <s v="NWK ACCESS TECH"/>
    <s v="HEO"/>
    <s v="TRANSMITTER"/>
    <s v="HT"/>
    <s v="AS-STANDARD ORDER MIXED"/>
    <s v="A-SURFACE"/>
    <s v="OP"/>
    <n v="1251073"/>
    <s v="A-SURFACE"/>
    <m/>
    <m/>
    <m/>
    <s v="A-SURFACE"/>
    <s v="LTL"/>
    <s v="EXW"/>
    <s v="Prepay &amp; Add"/>
    <m/>
    <m/>
    <m/>
    <m/>
    <m/>
    <m/>
    <m/>
    <s v="0"/>
    <s v="0"/>
  </r>
  <r>
    <s v="SJ2"/>
    <s v="5017196"/>
    <s v="CHARTER"/>
    <s v="ZILWAUKEE002"/>
    <s v="R024P22L2B01"/>
    <s v="SJ2_STAG"/>
    <s v="CHARTER COMMUNICATIONS"/>
    <s v="950 Bridgeview N"/>
    <s v="MI"/>
    <s v="Saginaw"/>
    <s v="48604-1166"/>
    <s v="TR4580-21-PI"/>
    <s v="XCVR PLUGGABLE DWDM ITU CH 21"/>
    <s v="20115901"/>
    <s v="25.1"/>
    <x v="416"/>
    <n v="1963262"/>
    <d v="2016-10-07T00:00:00"/>
    <s v="20161013 000000"/>
    <d v="2016-10-28T00:00:00"/>
    <d v="2016-10-13T00:00:00"/>
    <d v="2016-10-28T00:00:00"/>
    <m/>
    <n v="1"/>
    <m/>
    <n v="740"/>
    <m/>
    <s v="N252"/>
    <s v="NWK ACCESS TECH"/>
    <s v="NODE"/>
    <s v="NODE MISC AURORA"/>
    <s v="N252"/>
    <s v="AS-STANDARD ORDER MIXED"/>
    <s v="A-SURFACE"/>
    <s v="OP"/>
    <n v="1251073"/>
    <s v="A-SURFACE"/>
    <m/>
    <m/>
    <m/>
    <s v="A-SURFACE"/>
    <s v="LTL"/>
    <s v="EXW"/>
    <s v="Prepay &amp; Add"/>
    <m/>
    <m/>
    <m/>
    <m/>
    <m/>
    <m/>
    <m/>
    <s v="0"/>
    <s v="0"/>
  </r>
  <r>
    <s v="SJ2"/>
    <s v="5017196"/>
    <s v="CHARTER"/>
    <s v="PORTAGE001"/>
    <s v="R022P26L3"/>
    <s v="SJ2_STAG"/>
    <s v="CHARTER COMMUNICATIONS"/>
    <s v="4176 Commercial Ave"/>
    <s v="MI"/>
    <s v="Portage"/>
    <s v="49002-9700"/>
    <s v="OP35D4N-1-99-AS"/>
    <s v="OPT DEMUX 100GHZ CH 36-39 EXP"/>
    <s v="20116190"/>
    <s v="15.1"/>
    <x v="417"/>
    <n v="1963240"/>
    <d v="2016-10-10T00:00:00"/>
    <s v="20161020 000000"/>
    <d v="2016-10-28T00:00:00"/>
    <d v="2016-10-20T00:00:00"/>
    <d v="2016-10-28T00:00:00"/>
    <m/>
    <n v="1"/>
    <m/>
    <n v="600"/>
    <m/>
    <s v="N165"/>
    <s v="NWK ACCESS TECH"/>
    <s v="OPTICAL PASSIVES"/>
    <s v="INDOOR PASSIVES AURORA"/>
    <s v="N165"/>
    <s v="AS-STANDARD ORDER MIXED"/>
    <s v="A-SURFACE"/>
    <s v="OP"/>
    <n v="1251073"/>
    <s v="A-SURFACE"/>
    <m/>
    <m/>
    <m/>
    <s v="A-SURFACE"/>
    <s v="LTL"/>
    <s v="EXW"/>
    <s v="Prepay &amp; Add"/>
    <m/>
    <m/>
    <s v="Delivery Instructions-RECEIVING HOURS 7a-3:30p M-F"/>
    <m/>
    <m/>
    <m/>
    <m/>
    <s v="0"/>
    <s v="0"/>
  </r>
  <r>
    <s v="SJ2"/>
    <s v="5017196"/>
    <s v="CHARTER"/>
    <s v="RICHLAND HILLS001"/>
    <s v="R016P20L3B01"/>
    <s v="SJ2_STAG"/>
    <s v="CHARTER COMMUNICATIONS"/>
    <s v="7400 Whitehall St"/>
    <s v="TX"/>
    <s v="Richland Hills"/>
    <s v="76118-6426"/>
    <s v="PS1911W-00"/>
    <s v="POWER ADPTR 120VAC-12VDC 525MA"/>
    <s v="20116577"/>
    <s v="2.1"/>
    <x v="418"/>
    <n v="1956095"/>
    <d v="2016-10-12T00:00:00"/>
    <s v="20161030 000000"/>
    <d v="2016-10-20T00:00:00"/>
    <d v="2016-10-31T00:00:00"/>
    <d v="2016-10-24T00:00:00"/>
    <m/>
    <n v="4"/>
    <m/>
    <n v="24"/>
    <m/>
    <s v="N204"/>
    <s v="NWK ACCESS TECH"/>
    <s v="ACCESS OTHER"/>
    <s v="OTHER AURORA"/>
    <s v="N204"/>
    <s v="AS-STANDARD ORDER MIXED"/>
    <s v="A-SURFACE"/>
    <s v="OP"/>
    <n v="1246186"/>
    <s v="A-SURFACE"/>
    <m/>
    <m/>
    <m/>
    <s v="A-SURFACE"/>
    <s v="LTL"/>
    <s v="EXW"/>
    <s v="Prepay &amp; Add"/>
    <m/>
    <m/>
    <s v="Delivery Instructions-HOURS: 0800-1200"/>
    <m/>
    <m/>
    <m/>
    <m/>
    <s v="0"/>
    <s v="0"/>
  </r>
  <r>
    <s v="SJ2"/>
    <s v="5017196"/>
    <s v="CHARTER"/>
    <s v="ENGLEWOOD001"/>
    <s v="R022P39L2"/>
    <s v="SJ2_STAG"/>
    <s v="CHARTER COMMUNICATIONS"/>
    <s v="14810 Grasslands Dr"/>
    <s v="CO"/>
    <s v="Englewood"/>
    <s v="80112-7138"/>
    <s v="OA-01.0-02-AS"/>
    <s v="ATTENUATOR PRCN OPT SC/APC-SC/"/>
    <s v="20117166"/>
    <s v="3.1"/>
    <x v="419"/>
    <n v="1963261"/>
    <d v="2016-10-17T11:34:07"/>
    <m/>
    <d v="2016-10-28T00:00:00"/>
    <d v="2016-10-17T00:00:00"/>
    <d v="2016-10-28T00:00:00"/>
    <m/>
    <n v="1"/>
    <m/>
    <n v="0"/>
    <m/>
    <s v="N224"/>
    <s v="NWK ACCESS TECH"/>
    <s v="ACCESS OTHER"/>
    <s v="OTHER AURORA"/>
    <s v="N224"/>
    <s v="AS-CUSTOMER DEMO SAMPLE"/>
    <s v="A-AIR O/N"/>
    <s v="OP"/>
    <n v="1251073"/>
    <s v="A-AIR"/>
    <m/>
    <m/>
    <m/>
    <s v="A-AIR"/>
    <s v="1DA"/>
    <s v="EXW"/>
    <s v="Prepaid"/>
    <m/>
    <m/>
    <m/>
    <s v="RON WOLFE"/>
    <m/>
    <m/>
    <m/>
    <s v="0"/>
    <s v="0"/>
  </r>
  <r>
    <s v="SJ2"/>
    <s v="5017196"/>
    <s v="CHARTER"/>
    <s v="MEDFORD1341"/>
    <s v="R023P61L2"/>
    <s v="SJ2_STAG"/>
    <s v="CHARTER COMMUNICATIONS"/>
    <s v="1341 Center Dr Unit C"/>
    <s v="OR"/>
    <s v="Medford"/>
    <s v="97501-7947"/>
    <s v="DX3515-43-1-1-AS"/>
    <s v="DGTL XPNDR 100KM 100GHZ 2.5GBP"/>
    <s v="20118076"/>
    <s v="3.1"/>
    <x v="420"/>
    <n v="1961554"/>
    <d v="2016-10-25T00:00:00"/>
    <s v="20161104 000000"/>
    <d v="2016-10-26T00:00:00"/>
    <d v="2016-11-04T00:00:00"/>
    <d v="2016-10-28T00:00:00"/>
    <m/>
    <n v="1"/>
    <m/>
    <n v="1100"/>
    <m/>
    <s v="N056"/>
    <s v="NWK ACCESS TECH"/>
    <s v="HEO"/>
    <s v="HEO MISC AURORA"/>
    <s v="N056"/>
    <s v="AS-STANDARD ORDER MIXED"/>
    <s v="A-SURFACE"/>
    <s v="OP"/>
    <n v="1250147"/>
    <s v="A-SURFACE"/>
    <m/>
    <m/>
    <m/>
    <s v="A-SURFACE"/>
    <s v="LTL"/>
    <s v="EXW"/>
    <s v="Prepay &amp; Add"/>
    <m/>
    <m/>
    <m/>
    <m/>
    <m/>
    <m/>
    <m/>
    <s v="0"/>
    <s v="0"/>
  </r>
  <r>
    <s v="SJ2"/>
    <s v="5017196"/>
    <s v="CHARTER"/>
    <s v="MEPOR04-TWC-PORTLAND"/>
    <s v="R016P17L1B01"/>
    <s v="SJ2_STAG"/>
    <s v="TIME WARNER"/>
    <s v="118 Johnson Rd"/>
    <s v="ME"/>
    <s v="Portland"/>
    <s v="04102-1976"/>
    <s v="CH3000U-FM-00"/>
    <s v="ADAPTER FIBER MGT FOR CH3000 C"/>
    <s v="20118078"/>
    <s v="2.1"/>
    <x v="421"/>
    <n v="1961000"/>
    <d v="2016-10-18T00:00:00"/>
    <s v="20161106 000000"/>
    <d v="2016-10-26T00:00:00"/>
    <d v="2016-11-06T00:00:00"/>
    <d v="2016-10-28T00:00:00"/>
    <m/>
    <n v="1"/>
    <m/>
    <n v="55"/>
    <m/>
    <s v="N199"/>
    <s v="NWK ACCESS TECH"/>
    <s v="HEO"/>
    <s v="HEO MISC AURORA"/>
    <s v="N199"/>
    <s v="AS-STANDARD ORDER MIXED"/>
    <s v="A-SURFACE"/>
    <s v="OP"/>
    <n v="1249787"/>
    <s v="A-SURFACE"/>
    <m/>
    <m/>
    <m/>
    <s v="A-SURFACE"/>
    <s v="LTL"/>
    <s v="EXW"/>
    <s v="Prepay &amp; Add"/>
    <m/>
    <m/>
    <m/>
    <m/>
    <m/>
    <m/>
    <m/>
    <s v="0"/>
    <s v="0"/>
  </r>
  <r>
    <s v="SJ2"/>
    <s v="5017196"/>
    <s v="CHARTER"/>
    <s v="MEPOR04-TWC-PORTLAND"/>
    <s v="R022P33L1"/>
    <s v="SJ2_STAG"/>
    <s v="TIME WARNER"/>
    <s v="118 Johnson Rd"/>
    <s v="ME"/>
    <s v="Portland"/>
    <s v="04102-1976"/>
    <s v="PF3000C-FM-00"/>
    <s v="PASSIVE FRAME 4RU FBR MGT COVE"/>
    <s v="20118078"/>
    <s v="3.1"/>
    <x v="421"/>
    <n v="1960990"/>
    <d v="2016-10-18T00:00:00"/>
    <s v="20161106 000000"/>
    <d v="2016-10-26T00:00:00"/>
    <d v="2016-11-06T00:00:00"/>
    <d v="2016-10-28T00:00:00"/>
    <m/>
    <n v="1"/>
    <m/>
    <n v="198"/>
    <m/>
    <s v="N224"/>
    <s v="NWK ACCESS TECH"/>
    <s v="ACCESS OTHER"/>
    <s v="OTHER AURORA"/>
    <s v="N224"/>
    <s v="AS-STANDARD ORDER MIXED"/>
    <s v="A-SURFACE"/>
    <s v="OP"/>
    <n v="1249787"/>
    <s v="A-SURFACE"/>
    <m/>
    <m/>
    <m/>
    <s v="A-SURFACE"/>
    <s v="LTL"/>
    <s v="EXW"/>
    <s v="Prepay &amp; Add"/>
    <m/>
    <m/>
    <m/>
    <m/>
    <m/>
    <m/>
    <m/>
    <s v="0"/>
    <s v="0"/>
  </r>
  <r>
    <s v="SJ2"/>
    <s v="5017196"/>
    <s v="CHARTER"/>
    <s v="OHDAY03-TWC-DAYTON"/>
    <s v="R022P07L4"/>
    <s v="SJ2_STAG"/>
    <s v="TIME WARNER"/>
    <s v="3691 Turner Rd"/>
    <s v="OH"/>
    <s v="Dayton"/>
    <s v="45415-3690"/>
    <s v="OP94F1S-1470-N0-00"/>
    <s v="FILTER CWDM N-CASE 0.25MM 1470"/>
    <s v="20118157"/>
    <s v="1.1"/>
    <x v="422"/>
    <n v="1960915"/>
    <d v="2016-10-22T00:00:00"/>
    <s v="20161023 000000"/>
    <d v="2016-10-26T00:00:00"/>
    <d v="2016-10-24T00:00:00"/>
    <d v="2016-10-28T00:00:00"/>
    <m/>
    <n v="20"/>
    <m/>
    <n v="1800"/>
    <m/>
    <s v="N156"/>
    <s v="NWK ACCESS TECH"/>
    <s v="ACCESS OTHER"/>
    <s v="OTHER AURORA"/>
    <s v="N156"/>
    <s v="AS-STANDARD ORDER MIXED"/>
    <s v="A-SURFACE"/>
    <s v="OP"/>
    <n v="1249787"/>
    <s v="A-SURFACE"/>
    <m/>
    <m/>
    <m/>
    <s v="A-SURFACE"/>
    <s v="LTL"/>
    <s v="EXW"/>
    <s v="Prepay &amp; Add"/>
    <m/>
    <m/>
    <m/>
    <m/>
    <m/>
    <m/>
    <m/>
    <s v="0"/>
    <s v="0"/>
  </r>
  <r>
    <s v="SJ2"/>
    <s v="5017196"/>
    <s v="CHARTER"/>
    <s v="CAVNY03-TWC-VAN NUYS"/>
    <s v="R022P30L5"/>
    <s v="SJ2_STAG"/>
    <s v="TIME WARNER"/>
    <s v="14221 Covello St"/>
    <s v="CA"/>
    <s v="Van Nuys"/>
    <s v="91405-1496"/>
    <s v="EQ2105G"/>
    <s v="LINEAR EQL NC2000 5DB 45-1GHZ"/>
    <s v="20118162"/>
    <s v="1.1"/>
    <x v="423"/>
    <n v="1961776"/>
    <d v="2016-10-22T00:00:00"/>
    <s v="20161023 000000"/>
    <d v="2016-10-26T00:00:00"/>
    <d v="2016-10-24T00:00:00"/>
    <d v="2016-10-26T00:00:00"/>
    <m/>
    <n v="70"/>
    <n v="70"/>
    <n v="350"/>
    <n v="350"/>
    <s v="HE64"/>
    <s v="NWK ACCESS TECH"/>
    <s v="HEO"/>
    <s v="TRANSMITTER"/>
    <s v="HT"/>
    <s v="AS-STANDARD ORDER MIXED"/>
    <s v="A-SURFACE"/>
    <s v="OP"/>
    <n v="1250302"/>
    <s v="A-SURFACE"/>
    <m/>
    <m/>
    <m/>
    <s v="A-SURFACE"/>
    <s v="LTL"/>
    <s v="EXW"/>
    <s v="Prepay &amp; Add"/>
    <n v="6.76"/>
    <m/>
    <m/>
    <m/>
    <m/>
    <m/>
    <m/>
    <s v="0"/>
    <s v="0"/>
  </r>
  <r>
    <s v="SJ2"/>
    <s v="5017196"/>
    <s v="CHARTER"/>
    <s v="TXDLS01-TWC-DALLAS"/>
    <s v="R022P46L6"/>
    <s v="SJ2_STAG"/>
    <s v="TIME WARNER"/>
    <s v="10155 Technology Blvd E"/>
    <s v="TX"/>
    <s v="Dallas"/>
    <s v="75220-4324"/>
    <s v="OP93D4N-1-00-R2-00"/>
    <s v="LCWDM DEMUX 4CH F-CASE 2MM NO"/>
    <s v="20118838"/>
    <s v="1.1"/>
    <x v="424"/>
    <n v="1962490"/>
    <d v="2016-10-22T00:00:00"/>
    <s v="20161023 000000"/>
    <d v="2016-10-27T00:00:00"/>
    <d v="2016-10-24T00:00:00"/>
    <d v="2016-10-28T00:00:00"/>
    <m/>
    <n v="37"/>
    <m/>
    <n v="35520"/>
    <m/>
    <s v="N164"/>
    <s v="NWK ACCESS TECH"/>
    <s v="OPTICAL PASSIVES"/>
    <s v="INDOOR PASSIVES AURORA"/>
    <s v="N164"/>
    <s v="AS-STANDARD ORDER MIXED"/>
    <s v="A-SURFACE"/>
    <s v="OP"/>
    <n v="1250671"/>
    <s v="A-SURFACE"/>
    <m/>
    <m/>
    <m/>
    <s v="A-SURFACE"/>
    <s v="LTL"/>
    <s v="EXW"/>
    <s v="Prepay &amp; Add"/>
    <m/>
    <m/>
    <m/>
    <m/>
    <m/>
    <m/>
    <m/>
    <s v="0"/>
    <s v="0"/>
  </r>
  <r>
    <s v="SJ2"/>
    <s v="5017196"/>
    <s v="CHARTER"/>
    <s v="IDCDA01-TWC-COEUR D' ALENE"/>
    <s v="R022P01L3"/>
    <s v="SJ2_STAG"/>
    <s v="TIME WARNER"/>
    <s v="2305 WEST KATHLEEN AVE."/>
    <s v="ID"/>
    <s v="COEUR D'ALENE"/>
    <s v="83815"/>
    <s v="OP95D4-CF1-102-R2-AS"/>
    <s v="DEMUX DWDM 100GHZ 4 CH F-CASE"/>
    <s v="20118852"/>
    <s v="1.1"/>
    <x v="425"/>
    <n v="1962545"/>
    <d v="2016-10-22T00:00:00"/>
    <s v="20161023 000000"/>
    <d v="2016-10-27T00:00:00"/>
    <d v="2016-10-24T00:00:00"/>
    <d v="2016-10-28T00:00:00"/>
    <m/>
    <n v="7"/>
    <n v="7"/>
    <n v="5460"/>
    <n v="5460"/>
    <s v="N160"/>
    <s v="NWK ACCESS TECH"/>
    <s v="OPTICAL PASSIVES"/>
    <s v="OUTDOOR PASSIVES AURORA"/>
    <s v="N160"/>
    <s v="AS-STANDARD ORDER MIXED"/>
    <s v="A-SURFACE"/>
    <s v="OP"/>
    <n v="1250692"/>
    <s v="A-SURFACE"/>
    <m/>
    <m/>
    <m/>
    <s v="A-SURFACE"/>
    <s v="LTL"/>
    <s v="EXW"/>
    <s v="Prepay &amp; Add"/>
    <n v="18.559999999999999"/>
    <m/>
    <m/>
    <m/>
    <m/>
    <m/>
    <m/>
    <s v="0"/>
    <s v="0"/>
  </r>
  <r>
    <s v="SJ2"/>
    <s v="5017196"/>
    <s v="CHARTER"/>
    <s v="IDCDA01-TWC-COEUR D' ALENE"/>
    <s v="R022P75L1"/>
    <s v="SJ2_STAG"/>
    <s v="TIME WARNER"/>
    <s v="2305 WEST KATHLEEN AVE."/>
    <s v="ID"/>
    <s v="COEUR D'ALENE"/>
    <s v="83815"/>
    <s v="OP95D4-CF1-102-R2-AS"/>
    <s v="DEMUX DWDM 100GHZ 4 CH F-CASE"/>
    <s v="20118852"/>
    <s v="1.1"/>
    <x v="425"/>
    <n v="1962544"/>
    <d v="2016-10-22T00:00:00"/>
    <s v="20161023 000000"/>
    <d v="2016-10-27T00:00:00"/>
    <d v="2016-10-24T00:00:00"/>
    <d v="2016-10-28T00:00:00"/>
    <m/>
    <n v="7"/>
    <n v="7"/>
    <n v="5460"/>
    <n v="5460"/>
    <s v="N160"/>
    <s v="NWK ACCESS TECH"/>
    <s v="OPTICAL PASSIVES"/>
    <s v="OUTDOOR PASSIVES AURORA"/>
    <s v="N160"/>
    <s v="AS-STANDARD ORDER MIXED"/>
    <s v="A-SURFACE"/>
    <s v="OP"/>
    <n v="1250692"/>
    <s v="A-SURFACE"/>
    <m/>
    <m/>
    <m/>
    <s v="A-SURFACE"/>
    <s v="LTL"/>
    <s v="EXW"/>
    <s v="Prepay &amp; Add"/>
    <n v="18.559999999999999"/>
    <m/>
    <m/>
    <m/>
    <m/>
    <m/>
    <m/>
    <s v="0"/>
    <s v="0"/>
  </r>
  <r>
    <s v="SJ2"/>
    <s v="5017196"/>
    <s v="CHARTER"/>
    <s v="IDCDA01-TWC-COEUR D' ALENE"/>
    <s v="R022P45L1"/>
    <s v="SJ2_STAG"/>
    <s v="TIME WARNER"/>
    <s v="2305 WEST KATHLEEN AVE."/>
    <s v="ID"/>
    <s v="COEUR D'ALENE"/>
    <s v="83815"/>
    <s v="OP95D4-CF1-102-R2-AS"/>
    <s v="DEMUX DWDM 100GHZ 4 CH F-CASE"/>
    <s v="20118852"/>
    <s v="1.1"/>
    <x v="425"/>
    <n v="1962545"/>
    <d v="2016-10-22T00:00:00"/>
    <s v="20161023 000000"/>
    <d v="2016-10-27T00:00:00"/>
    <d v="2016-10-24T00:00:00"/>
    <d v="2016-10-28T00:00:00"/>
    <m/>
    <n v="26"/>
    <n v="26"/>
    <n v="20280"/>
    <n v="20280"/>
    <s v="N160"/>
    <s v="NWK ACCESS TECH"/>
    <s v="OPTICAL PASSIVES"/>
    <s v="OUTDOOR PASSIVES AURORA"/>
    <s v="N160"/>
    <s v="AS-STANDARD ORDER MIXED"/>
    <s v="A-SURFACE"/>
    <s v="OP"/>
    <n v="1250692"/>
    <s v="A-SURFACE"/>
    <m/>
    <m/>
    <m/>
    <s v="A-SURFACE"/>
    <s v="LTL"/>
    <s v="EXW"/>
    <s v="Prepay &amp; Add"/>
    <n v="18.559999999999999"/>
    <m/>
    <m/>
    <m/>
    <m/>
    <m/>
    <m/>
    <s v="0"/>
    <s v="0"/>
  </r>
  <r>
    <s v="SJ2"/>
    <s v="5017196"/>
    <s v="CHARTER"/>
    <s v="MEPOR04-TWC-PORTLAND"/>
    <s v="R023P50L3"/>
    <s v="SJ2_STAG"/>
    <s v="TIME WARNER"/>
    <s v="118 Johnson Rd"/>
    <s v="ME"/>
    <s v="Portland"/>
    <s v="04102-1976"/>
    <s v="TR4440B-1270-PI"/>
    <s v="XCVR PLUGGABLE 60KM CWDM1270 D"/>
    <s v="20119107"/>
    <s v="1.1"/>
    <x v="426"/>
    <n v="1962821"/>
    <d v="2016-10-25T00:00:00"/>
    <s v="20161107 000000"/>
    <d v="2016-10-27T00:00:00"/>
    <d v="2016-11-07T00:00:00"/>
    <d v="2016-10-31T00:00:00"/>
    <m/>
    <n v="3"/>
    <m/>
    <n v="960"/>
    <m/>
    <s v="N252"/>
    <s v="NWK ACCESS TECH"/>
    <s v="NODE"/>
    <s v="NODE MISC AURORA"/>
    <s v="N252"/>
    <s v="AS-STANDARD ORDER MIXED"/>
    <s v="A-SURFACE"/>
    <s v="OP"/>
    <n v="1250862"/>
    <s v="A-SURFACE"/>
    <m/>
    <m/>
    <m/>
    <s v="A-SURFACE"/>
    <s v="LTL"/>
    <s v="EXW"/>
    <s v="Prepay &amp; Add"/>
    <m/>
    <m/>
    <m/>
    <m/>
    <m/>
    <m/>
    <m/>
    <s v="0"/>
    <s v="0"/>
  </r>
  <r>
    <s v="SJ2"/>
    <s v="5017196"/>
    <s v="CHARTER"/>
    <s v="163063"/>
    <s v="R022P21L6"/>
    <s v="SJ2_STAG"/>
    <s v="Charter Communications"/>
    <s v="1031 E Glendale Ave"/>
    <s v="NV"/>
    <s v="Sparks"/>
    <s v="89431-6460"/>
    <s v="FA3521F-00-AS"/>
    <s v="FBROPT AMPL SGL 21DBM GAIN FLA"/>
    <s v="6900126"/>
    <s v="2.1"/>
    <x v="427"/>
    <n v="1963222"/>
    <d v="2016-06-22T00:00:00"/>
    <m/>
    <d v="2016-10-28T00:00:00"/>
    <d v="2016-09-14T00:00:00"/>
    <d v="2016-10-28T00:00:00"/>
    <m/>
    <n v="4"/>
    <m/>
    <n v="18000"/>
    <m/>
    <s v="N125"/>
    <s v="NWK ACCESS TECH"/>
    <s v="HEO"/>
    <s v="HEO MISC AURORA"/>
    <s v="EDFA"/>
    <s v="AUR-STANDARD ORDER MIXED"/>
    <s v="A-SURFACE"/>
    <s v="OP"/>
    <n v="1251073"/>
    <s v="A-SURFACE"/>
    <m/>
    <m/>
    <m/>
    <s v="A-SURFACE"/>
    <s v="LTL"/>
    <s v="EXW"/>
    <s v="Prepay &amp; Add"/>
    <m/>
    <m/>
    <m/>
    <m/>
    <m/>
    <m/>
    <m/>
    <s v="0"/>
    <s v="0"/>
  </r>
  <r>
    <s v="SJ2"/>
    <s v="5017196"/>
    <s v="CHARTER"/>
    <s v="163063"/>
    <s v="R022P21L6"/>
    <s v="SJ2_STAG"/>
    <s v="Charter Communications"/>
    <s v="1031 E Glendale Ave"/>
    <s v="NV"/>
    <s v="Sparks"/>
    <s v="89431-6460"/>
    <s v="FA3521F-00-AS"/>
    <s v="FBROPT AMPL SGL 21DBM GAIN FLA"/>
    <s v="6900235"/>
    <s v="2.1"/>
    <x v="428"/>
    <n v="1963222"/>
    <d v="2016-07-01T00:00:00"/>
    <m/>
    <d v="2016-10-28T00:00:00"/>
    <d v="2016-09-21T00:00:00"/>
    <d v="2016-10-28T00:00:00"/>
    <m/>
    <n v="2"/>
    <m/>
    <n v="9000"/>
    <m/>
    <s v="N125"/>
    <s v="NWK ACCESS TECH"/>
    <s v="HEO"/>
    <s v="HEO MISC AURORA"/>
    <s v="EDFA"/>
    <s v="AUR-STANDARD ORDER MIXED"/>
    <s v="A-SURFACE"/>
    <s v="OP"/>
    <n v="1251073"/>
    <s v="A-SURFACE"/>
    <m/>
    <m/>
    <m/>
    <s v="A-SURFACE"/>
    <s v="LTL"/>
    <s v="EXW"/>
    <s v="Prepay &amp; Add"/>
    <m/>
    <m/>
    <m/>
    <m/>
    <m/>
    <m/>
    <m/>
    <s v="0"/>
    <s v="0"/>
  </r>
  <r>
    <s v="SJ2"/>
    <s v="5017196"/>
    <s v="CHARTER"/>
    <s v="163063"/>
    <s v="R022P21L6"/>
    <s v="SJ2_STAG"/>
    <s v="Charter Communications"/>
    <s v="1031 E Glendale Ave"/>
    <s v="NV"/>
    <s v="Sparks"/>
    <s v="89431-6460"/>
    <s v="FA3521F-00-AS"/>
    <s v="FBROPT AMPL SGL 21DBM GAIN FLA"/>
    <s v="6900737"/>
    <s v="3.1"/>
    <x v="429"/>
    <n v="1963222"/>
    <d v="2016-07-01T00:00:00"/>
    <m/>
    <d v="2016-10-28T00:00:00"/>
    <d v="2016-09-05T00:00:00"/>
    <d v="2016-10-28T00:00:00"/>
    <m/>
    <n v="1"/>
    <m/>
    <n v="4500"/>
    <m/>
    <s v="N125"/>
    <s v="NWK ACCESS TECH"/>
    <s v="HEO"/>
    <s v="HEO MISC AURORA"/>
    <s v="EDFA"/>
    <s v="AUR-STANDARD ORDER MIXED"/>
    <s v="A-SURFACE"/>
    <s v="OP"/>
    <n v="1251073"/>
    <s v="A-SURFACE"/>
    <m/>
    <m/>
    <m/>
    <s v="A-SURFACE"/>
    <s v="LTL"/>
    <s v="EXW"/>
    <s v="Prepay &amp; Add"/>
    <m/>
    <m/>
    <m/>
    <m/>
    <m/>
    <m/>
    <m/>
    <s v="0"/>
    <s v="0"/>
  </r>
  <r>
    <s v="SJ2"/>
    <s v="5017196"/>
    <s v="CHARTER"/>
    <s v="163063"/>
    <s v="R022P33L5"/>
    <s v="SJ2_STAG"/>
    <s v="Charter Communications"/>
    <s v="1031 E Glendale Ave"/>
    <s v="NV"/>
    <s v="Sparks"/>
    <s v="89431-6460"/>
    <s v="OP15D40U-0-99-AS"/>
    <s v="OPT DEMUX 100GHZ CH 20-59 1RU"/>
    <s v="6900751"/>
    <s v="18.2"/>
    <x v="430"/>
    <n v="1960931"/>
    <d v="2016-07-28T00:00:00"/>
    <m/>
    <d v="2016-10-26T00:00:00"/>
    <d v="2016-09-22T00:00:00"/>
    <d v="2016-10-28T00:00:00"/>
    <m/>
    <n v="5"/>
    <n v="5"/>
    <n v="31725"/>
    <n v="31725"/>
    <s v="N157"/>
    <s v="NWK ACCESS TECH"/>
    <s v="OPTICAL PASSIVES"/>
    <s v="INDOOR PASSIVES AURORA"/>
    <s v="N157"/>
    <s v="AUR-STANDARD ORDER MIXED"/>
    <s v="A-SURFACE"/>
    <s v="OP"/>
    <n v="1249787"/>
    <s v="A-SURFACE"/>
    <m/>
    <m/>
    <m/>
    <s v="A-SURFACE"/>
    <s v="LTL"/>
    <s v="EXW"/>
    <s v="Prepay &amp; Add"/>
    <n v="43.85"/>
    <m/>
    <m/>
    <m/>
    <m/>
    <m/>
    <m/>
    <s v="0"/>
    <s v="0"/>
  </r>
  <r>
    <s v="SJ2"/>
    <s v="5017196"/>
    <s v="CHARTER"/>
    <s v="163043"/>
    <s v="R024P07L2B02"/>
    <s v="SJ2_STAG"/>
    <s v="Charter Communications"/>
    <s v="2081 Corporate 44 Dr"/>
    <s v="MO"/>
    <s v="Fenton"/>
    <s v="63026-2517"/>
    <s v="NC411A1H3D9-00000000"/>
    <s v="NODE FD 45/54-1GHZ UHG AUTO"/>
    <s v="6900796"/>
    <s v="1.1"/>
    <x v="431"/>
    <n v="1956259"/>
    <d v="2016-08-06T00:00:00"/>
    <m/>
    <d v="2016-10-20T00:00:00"/>
    <d v="2016-09-29T00:00:00"/>
    <d v="2016-10-20T00:00:00"/>
    <m/>
    <n v="1"/>
    <m/>
    <n v="1863"/>
    <m/>
    <s v="N032"/>
    <s v="NWK ACCESS TECH"/>
    <s v="NODE"/>
    <s v="NC4000 AURORA"/>
    <s v="N032"/>
    <s v="AUR-STANDARD ORDER MIXED"/>
    <s v="A-SURFACE"/>
    <s v="OP"/>
    <n v="1246243"/>
    <s v="A-SURFACE"/>
    <m/>
    <m/>
    <m/>
    <s v="A-SURFACE"/>
    <s v="LTL"/>
    <s v="EXW"/>
    <s v="Prepay &amp; Add"/>
    <m/>
    <m/>
    <m/>
    <m/>
    <m/>
    <m/>
    <m/>
    <s v="0"/>
    <s v="0"/>
  </r>
  <r>
    <s v="SJ2"/>
    <s v="5017196"/>
    <s v="CHARTER"/>
    <s v="163063"/>
    <s v="R016P02L3B01"/>
    <s v="SJ2_STAG"/>
    <s v="Charter Communications"/>
    <s v="1031 E Glendale Ave"/>
    <s v="NV"/>
    <s v="Sparks"/>
    <s v="89431-6460"/>
    <s v="DR3450N-50-00"/>
    <s v="DIGITAL RECEIVER Q-RX 2.125GBP"/>
    <s v="6900799"/>
    <s v="16.1"/>
    <x v="432"/>
    <n v="1949558"/>
    <d v="2016-07-26T00:00:00"/>
    <m/>
    <d v="2016-10-13T00:00:00"/>
    <d v="2016-10-17T00:00:00"/>
    <d v="2016-10-17T00:00:00"/>
    <m/>
    <n v="8"/>
    <n v="8"/>
    <n v="9600"/>
    <n v="9600"/>
    <s v="N275"/>
    <s v="NWK ACCESS TECH"/>
    <s v="HEO"/>
    <s v="RECEIVERS AURORA"/>
    <s v="N275"/>
    <s v="AUR-STANDARD ORDER MIXED"/>
    <s v="A-SURFACE"/>
    <s v="OP"/>
    <n v="1241987"/>
    <s v="A-SURFACE"/>
    <m/>
    <m/>
    <m/>
    <s v="A-SURFACE"/>
    <s v="LTL"/>
    <s v="EXW"/>
    <s v="Prepay &amp; Add"/>
    <n v="20.76"/>
    <m/>
    <m/>
    <m/>
    <m/>
    <m/>
    <m/>
    <s v="0"/>
    <s v="0"/>
  </r>
  <r>
    <s v="SJ2"/>
    <s v="5017196"/>
    <s v="CHARTER"/>
    <s v="163063"/>
    <s v="R023P13L2"/>
    <s v="SJ2_STAG"/>
    <s v="Charter Communications"/>
    <s v="1031 E Glendale Ave"/>
    <s v="NV"/>
    <s v="Sparks"/>
    <s v="89431-6460"/>
    <s v="HT3541H-D-A210-2-AS"/>
    <s v="XMTR DD 1.2GHZ FULL SPECTRUM 3"/>
    <s v="6900799"/>
    <s v="23.1"/>
    <x v="432"/>
    <n v="1949534"/>
    <d v="2016-07-26T00:00:00"/>
    <m/>
    <d v="2016-10-13T00:00:00"/>
    <d v="2016-10-17T00:00:00"/>
    <d v="2016-10-17T00:00:00"/>
    <m/>
    <n v="1"/>
    <n v="1"/>
    <n v="1520"/>
    <n v="1520"/>
    <s v="HE64"/>
    <s v="NWK ACCESS TECH"/>
    <s v="HEO"/>
    <s v="TRANSMITTER"/>
    <s v="HT"/>
    <s v="AUR-STANDARD ORDER MIXED"/>
    <s v="A-SURFACE"/>
    <s v="OP"/>
    <n v="1241987"/>
    <s v="A-SURFACE"/>
    <m/>
    <m/>
    <m/>
    <s v="A-SURFACE"/>
    <s v="LTL"/>
    <s v="EXW"/>
    <s v="Prepay &amp; Add"/>
    <n v="20.76"/>
    <m/>
    <m/>
    <m/>
    <m/>
    <m/>
    <m/>
    <s v="0"/>
    <s v="0"/>
  </r>
  <r>
    <s v="SJ2"/>
    <s v="5017196"/>
    <s v="CHARTER"/>
    <s v="163063"/>
    <s v="R023P14L4"/>
    <s v="SJ2_STAG"/>
    <s v="Charter Communications"/>
    <s v="1031 E Glendale Ave"/>
    <s v="NV"/>
    <s v="Sparks"/>
    <s v="89431-6460"/>
    <s v="HT3541H-D-A210-2-AS"/>
    <s v="XMTR DD 1.2GHZ FULL SPECTRUM 3"/>
    <s v="6900799"/>
    <s v="23.1"/>
    <x v="432"/>
    <n v="1949534"/>
    <d v="2016-07-26T00:00:00"/>
    <m/>
    <d v="2016-10-13T00:00:00"/>
    <d v="2016-10-17T00:00:00"/>
    <d v="2016-10-17T00:00:00"/>
    <m/>
    <n v="6"/>
    <n v="6"/>
    <n v="9120"/>
    <n v="9120"/>
    <s v="HE64"/>
    <s v="NWK ACCESS TECH"/>
    <s v="HEO"/>
    <s v="TRANSMITTER"/>
    <s v="HT"/>
    <s v="AUR-STANDARD ORDER MIXED"/>
    <s v="A-SURFACE"/>
    <s v="OP"/>
    <n v="1241987"/>
    <s v="A-SURFACE"/>
    <m/>
    <m/>
    <m/>
    <s v="A-SURFACE"/>
    <s v="LTL"/>
    <s v="EXW"/>
    <s v="Prepay &amp; Add"/>
    <n v="20.76"/>
    <m/>
    <m/>
    <m/>
    <m/>
    <m/>
    <m/>
    <s v="0"/>
    <s v="0"/>
  </r>
  <r>
    <s v="SJ2"/>
    <s v="5017196"/>
    <s v="CHARTER"/>
    <s v="163073"/>
    <s v="R022P07L4"/>
    <s v="SJ2_STAG"/>
    <s v="Charter Communications"/>
    <s v="301 Barber Ave"/>
    <s v="MA"/>
    <s v="Worcester"/>
    <s v="01606-2475"/>
    <s v="OP94F1S-1450-N0-00"/>
    <s v="FILTER CWDM N-CASE 0.25MM 1450"/>
    <s v="6900830"/>
    <s v="1.1"/>
    <x v="433"/>
    <n v="1960960"/>
    <d v="2016-07-20T00:00:00"/>
    <m/>
    <d v="2016-10-26T00:00:00"/>
    <d v="2016-09-26T00:00:00"/>
    <d v="2016-10-28T00:00:00"/>
    <m/>
    <n v="2"/>
    <n v="2"/>
    <n v="180"/>
    <n v="180"/>
    <s v="N156"/>
    <s v="NWK ACCESS TECH"/>
    <s v="ACCESS OTHER"/>
    <s v="OTHER AURORA"/>
    <s v="N156"/>
    <s v="AUR-STANDARD ORDER MIXED"/>
    <s v="A-SURFACE"/>
    <s v="OP"/>
    <n v="1249787"/>
    <s v="A-SURFACE"/>
    <m/>
    <m/>
    <m/>
    <s v="A-SURFACE"/>
    <s v="LTL"/>
    <s v="EXW"/>
    <s v="Prepay &amp; Add"/>
    <n v="7.73"/>
    <m/>
    <m/>
    <m/>
    <m/>
    <m/>
    <m/>
    <s v="0"/>
    <s v="0"/>
  </r>
  <r>
    <s v="SJ2"/>
    <s v="5017196"/>
    <s v="CHARTER"/>
    <s v="163012"/>
    <s v="R022P23L6"/>
    <s v="SJ2_STAG"/>
    <s v="Charter Communications"/>
    <s v="110 Commercial Rd"/>
    <s v="SC"/>
    <s v="Spartanburg"/>
    <s v="29303-6349"/>
    <s v="OP35F1D-20-0-00-AS"/>
    <s v="DWDM FILTER DUAL ITU CH 20 SC/"/>
    <s v="6900852"/>
    <s v="1.1"/>
    <x v="434"/>
    <n v="1962584"/>
    <d v="2016-08-04T00:00:00"/>
    <m/>
    <d v="2016-10-27T00:00:00"/>
    <d v="2016-10-11T00:00:00"/>
    <d v="2016-10-28T00:00:00"/>
    <m/>
    <n v="1"/>
    <n v="1"/>
    <n v="390"/>
    <n v="390"/>
    <s v="N156"/>
    <s v="NWK ACCESS TECH"/>
    <s v="ACCESS OTHER"/>
    <s v="OTHER AURORA"/>
    <s v="N156"/>
    <s v="AUR-STANDARD ORDER MIXED"/>
    <s v="A-SURFACE"/>
    <s v="OP"/>
    <n v="1250721"/>
    <s v="A-SURFACE"/>
    <m/>
    <m/>
    <m/>
    <s v="A-SURFACE"/>
    <s v="LTL"/>
    <s v="EXW"/>
    <s v="Prepay &amp; Add"/>
    <n v="8.89"/>
    <m/>
    <m/>
    <m/>
    <m/>
    <m/>
    <m/>
    <s v="0"/>
    <s v="0"/>
  </r>
  <r>
    <s v="SJ2"/>
    <s v="5017196"/>
    <s v="CHARTER"/>
    <s v="163062"/>
    <s v="REC1"/>
    <s v="SJ2_STAG"/>
    <s v="Charter Communications"/>
    <s v="1757 N Pointe Rd"/>
    <s v="TN"/>
    <s v="Columbia"/>
    <s v="38401-0214"/>
    <s v="OP95F1S-45-N0-00"/>
    <s v="FILTER DWDM N-CASE 0.25MM CH 4"/>
    <s v="6900900"/>
    <s v="2.1"/>
    <x v="435"/>
    <n v="1961663"/>
    <d v="2016-07-20T00:00:00"/>
    <m/>
    <d v="2016-10-26T00:00:00"/>
    <d v="2016-09-26T00:00:00"/>
    <d v="2016-10-26T00:00:00"/>
    <m/>
    <n v="2"/>
    <m/>
    <n v="216"/>
    <m/>
    <s v="N156"/>
    <s v="NWK ACCESS TECH"/>
    <s v="ACCESS OTHER"/>
    <s v="OTHER AURORA"/>
    <s v="N156"/>
    <s v="AUR-STANDARD ORDER MIXED"/>
    <s v="A-SURFACE"/>
    <s v="OP"/>
    <n v="1250226"/>
    <s v="A-SURFACE"/>
    <m/>
    <m/>
    <m/>
    <s v="A-SURFACE"/>
    <s v="LTL"/>
    <s v="EXW"/>
    <s v="Prepay &amp; Add"/>
    <m/>
    <m/>
    <m/>
    <m/>
    <m/>
    <m/>
    <m/>
    <s v="0"/>
    <s v="0"/>
  </r>
  <r>
    <s v="SJ2"/>
    <s v="5017196"/>
    <s v="CHARTER"/>
    <s v="163062"/>
    <s v="R022P26L3"/>
    <s v="SJ2_STAG"/>
    <s v="Charter Communications"/>
    <s v="1757 N Pointe Rd"/>
    <s v="TN"/>
    <s v="Columbia"/>
    <s v="38401-0214"/>
    <s v="OP95F1S-47-N0-00"/>
    <s v="FILTER DWDM N-CASE 0.25MM CH 4"/>
    <s v="6900900"/>
    <s v="3.2"/>
    <x v="436"/>
    <n v="1961473"/>
    <d v="2016-07-20T00:00:00"/>
    <m/>
    <d v="2016-10-26T00:00:00"/>
    <d v="2016-09-26T00:00:00"/>
    <d v="2016-10-27T00:00:00"/>
    <m/>
    <n v="1"/>
    <n v="1"/>
    <n v="108"/>
    <n v="108"/>
    <s v="N156"/>
    <s v="NWK ACCESS TECH"/>
    <s v="ACCESS OTHER"/>
    <s v="OTHER AURORA"/>
    <s v="N156"/>
    <s v="AUR-STANDARD ORDER MIXED"/>
    <s v="A-SURFACE"/>
    <s v="OP"/>
    <n v="1250097"/>
    <s v="A-SURFACE"/>
    <m/>
    <m/>
    <m/>
    <s v="A-SURFACE"/>
    <s v="LTL"/>
    <s v="EXW"/>
    <s v="Prepay &amp; Add"/>
    <n v="7.73"/>
    <m/>
    <m/>
    <m/>
    <m/>
    <m/>
    <m/>
    <s v="0"/>
    <s v="0"/>
  </r>
  <r>
    <s v="SJ2"/>
    <s v="5017196"/>
    <s v="CHARTER"/>
    <s v="163062"/>
    <m/>
    <s v="SJ2_STAG"/>
    <s v="Charter Communications"/>
    <s v="1757 N Pointe Rd"/>
    <s v="TN"/>
    <s v="Columbia"/>
    <s v="38401-0214"/>
    <s v="OP95D4-CF3-100-R2-AS"/>
    <s v="DEMUX DWDM 100GHZ 4 CH F-CASE"/>
    <s v="6900902"/>
    <s v="3.1"/>
    <x v="437"/>
    <n v="1957147"/>
    <d v="2016-08-03T00:00:00"/>
    <m/>
    <d v="2016-10-20T00:00:00"/>
    <d v="2016-09-26T00:00:00"/>
    <d v="2016-09-26T00:00:00"/>
    <m/>
    <n v="1"/>
    <m/>
    <n v="780"/>
    <m/>
    <s v="N160"/>
    <s v="NWK ACCESS TECH"/>
    <s v="OPTICAL PASSIVES"/>
    <s v="OUTDOOR PASSIVES AURORA"/>
    <s v="N160"/>
    <s v="AUR-STANDARD ORDER MIXED"/>
    <m/>
    <s v="OP"/>
    <n v="1246651"/>
    <s v="A-SURFACE"/>
    <m/>
    <m/>
    <m/>
    <s v="A-SURFACE"/>
    <m/>
    <s v="EXW"/>
    <s v="Prepay &amp; Add"/>
    <m/>
    <m/>
    <m/>
    <m/>
    <m/>
    <m/>
    <m/>
    <s v="0"/>
    <s v="0"/>
  </r>
  <r>
    <s v="SJ2"/>
    <s v="5017196"/>
    <s v="CHARTER"/>
    <s v="163063"/>
    <s v="R012P10L1"/>
    <s v="SJ2_STAG"/>
    <s v="Charter Communications"/>
    <s v="1031 E Glendale Ave"/>
    <s v="NV"/>
    <s v="Sparks"/>
    <s v="89431-6460"/>
    <s v="DT4250N-50-00-REP"/>
    <s v="UNIV DGTL RTN XCVR N 50 &amp; 100"/>
    <s v="6900903"/>
    <s v="18.1"/>
    <x v="438"/>
    <n v="1963658"/>
    <d v="2016-08-03T00:00:00"/>
    <m/>
    <d v="2016-10-28T00:00:00"/>
    <d v="2016-09-14T00:00:00"/>
    <d v="2016-10-28T00:00:00"/>
    <m/>
    <n v="3"/>
    <m/>
    <n v="957"/>
    <m/>
    <s v="N065"/>
    <s v="NWK ACCESS TECH"/>
    <s v="NODE"/>
    <s v="NODE MISC AURORA"/>
    <s v="N065"/>
    <s v="AUR-STANDARD ORDER MIXED"/>
    <s v="A-SURFACE"/>
    <s v="OP"/>
    <n v="1251369"/>
    <s v="A-SURFACE"/>
    <m/>
    <m/>
    <m/>
    <s v="A-SURFACE"/>
    <s v="LTL"/>
    <s v="EXW"/>
    <s v="Prepay &amp; Add"/>
    <m/>
    <m/>
    <m/>
    <m/>
    <m/>
    <m/>
    <m/>
    <s v="0"/>
    <s v="0"/>
  </r>
  <r>
    <s v="SJ2"/>
    <s v="5017196"/>
    <s v="CHARTER"/>
    <s v="163012"/>
    <s v="R023P66L3"/>
    <s v="SJ2_STAG"/>
    <s v="Charter Communications"/>
    <s v="110 Commercial Rd"/>
    <s v="SC"/>
    <s v="Spartanburg"/>
    <s v="29303-6349"/>
    <s v="OP95F1S-49-N0-00"/>
    <s v="FILTER DWDM N-CASE 0.25MM CH 4"/>
    <s v="6900936"/>
    <s v="10.1"/>
    <x v="439"/>
    <n v="1961078"/>
    <d v="2016-07-28T00:00:00"/>
    <m/>
    <d v="2016-10-26T00:00:00"/>
    <d v="2016-09-26T00:00:00"/>
    <d v="2016-10-26T00:00:00"/>
    <m/>
    <n v="2"/>
    <n v="2"/>
    <n v="216"/>
    <n v="216"/>
    <s v="N156"/>
    <s v="NWK ACCESS TECH"/>
    <s v="ACCESS OTHER"/>
    <s v="OTHER AURORA"/>
    <s v="N156"/>
    <s v="AUR-STANDARD ORDER MIXED"/>
    <s v="A-SURFACE"/>
    <s v="OP"/>
    <n v="1249843"/>
    <s v="A-SURFACE"/>
    <m/>
    <m/>
    <m/>
    <s v="A-SURFACE"/>
    <s v="LTL"/>
    <s v="EXW"/>
    <s v="Prepay &amp; Add"/>
    <n v="7.73"/>
    <m/>
    <m/>
    <m/>
    <m/>
    <m/>
    <m/>
    <s v="0"/>
    <s v="0"/>
  </r>
  <r>
    <s v="SJ2"/>
    <s v="5017196"/>
    <s v="CHARTER"/>
    <s v="163012"/>
    <s v="R022P51L2"/>
    <s v="SJ2_STAG"/>
    <s v="Charter Communications"/>
    <s v="110 Commercial Rd"/>
    <s v="SC"/>
    <s v="Spartanburg"/>
    <s v="29303-6349"/>
    <s v="OP95F1S-45-N0-00"/>
    <s v="FILTER DWDM N-CASE 0.25MM CH 4"/>
    <s v="6900936"/>
    <s v="6.1"/>
    <x v="440"/>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3012"/>
    <s v="REC1"/>
    <s v="SJ2_STAG"/>
    <s v="Charter Communications"/>
    <s v="110 Commercial Rd"/>
    <s v="SC"/>
    <s v="Spartanburg"/>
    <s v="29303-6349"/>
    <s v="OP95F1S-45-N0-00"/>
    <s v="FILTER DWDM N-CASE 0.25MM CH 4"/>
    <s v="6900936"/>
    <s v="6.1"/>
    <x v="440"/>
    <n v="1961667"/>
    <d v="2016-07-28T00:00:00"/>
    <m/>
    <d v="2016-10-26T00:00:00"/>
    <d v="2016-10-04T00:00:00"/>
    <d v="2016-10-26T00:00:00"/>
    <m/>
    <n v="1"/>
    <m/>
    <n v="108"/>
    <m/>
    <s v="N156"/>
    <s v="NWK ACCESS TECH"/>
    <s v="ACCESS OTHER"/>
    <s v="OTHER AURORA"/>
    <s v="N156"/>
    <s v="AUR-STANDARD ORDER MIXED"/>
    <s v="A-SURFACE"/>
    <s v="OP"/>
    <n v="1250226"/>
    <s v="A-SURFACE"/>
    <m/>
    <m/>
    <m/>
    <s v="A-SURFACE"/>
    <s v="LTL"/>
    <s v="EXW"/>
    <s v="Prepay &amp; Add"/>
    <m/>
    <m/>
    <m/>
    <m/>
    <m/>
    <m/>
    <m/>
    <s v="0"/>
    <s v="0"/>
  </r>
  <r>
    <s v="SJ2"/>
    <s v="5017196"/>
    <s v="CHARTER"/>
    <s v="163043"/>
    <s v="R022P05L3"/>
    <s v="SJ2_STAG"/>
    <s v="Charter Communications"/>
    <s v="2081 Corporate 44 Dr"/>
    <s v="MO"/>
    <s v="Fenton"/>
    <s v="63026-2517"/>
    <s v="OP4528K-0-00-AS"/>
    <s v="COMBINER BC/NC 100GHz CH 20-27"/>
    <s v="6900976"/>
    <s v="1.1"/>
    <x v="441"/>
    <n v="1960979"/>
    <d v="2016-08-03T00:00:00"/>
    <m/>
    <d v="2016-10-26T00:00:00"/>
    <d v="2016-10-30T00:00:00"/>
    <d v="2016-10-28T00:00:00"/>
    <m/>
    <n v="1"/>
    <m/>
    <n v="8280"/>
    <m/>
    <s v="N162"/>
    <s v="NWK ACCESS TECH"/>
    <s v="HPON"/>
    <s v="VHUB AURORA"/>
    <s v="N162"/>
    <s v="AUR-STANDARD ORDER MIXED"/>
    <s v="A-SURFACE"/>
    <s v="OP"/>
    <n v="1249787"/>
    <s v="A-SURFACE"/>
    <m/>
    <m/>
    <m/>
    <s v="A-SURFACE"/>
    <s v="LTL"/>
    <s v="EXW"/>
    <s v="Prepay &amp; Add"/>
    <m/>
    <m/>
    <m/>
    <m/>
    <m/>
    <m/>
    <m/>
    <s v="0"/>
    <s v="0"/>
  </r>
  <r>
    <s v="SJ2"/>
    <s v="5017196"/>
    <s v="CHARTER"/>
    <s v="163043"/>
    <s v="R020P17L5"/>
    <s v="SJ2_STAG"/>
    <s v="Charter Communications"/>
    <s v="2081 Corporate 44 Dr"/>
    <s v="MO"/>
    <s v="Fenton"/>
    <s v="63026-2517"/>
    <s v="JC1512-MP-AS4-100"/>
    <s v="CABLE SERVICE (M)MPO/APC 4 SC/"/>
    <s v="6900976"/>
    <s v="2.1"/>
    <x v="441"/>
    <n v="1960914"/>
    <d v="2016-08-03T00:00:00"/>
    <m/>
    <d v="2016-10-26T00:00:00"/>
    <d v="2016-10-30T00:00:00"/>
    <d v="2016-10-28T00:00:00"/>
    <m/>
    <n v="2"/>
    <m/>
    <n v="720"/>
    <m/>
    <s v="N223"/>
    <s v="NWK ACCESS TECH"/>
    <s v="OPTICAL PASSIVES"/>
    <s v="INDOOR PASSIVES AURORA"/>
    <s v="N223"/>
    <s v="AUR-STANDARD ORDER MIXED"/>
    <s v="A-SURFACE"/>
    <s v="OP"/>
    <n v="1249787"/>
    <s v="A-SURFACE"/>
    <m/>
    <m/>
    <m/>
    <s v="A-SURFACE"/>
    <s v="LTL"/>
    <s v="EXW"/>
    <s v="Prepay &amp; Add"/>
    <m/>
    <m/>
    <m/>
    <m/>
    <m/>
    <m/>
    <m/>
    <s v="0"/>
    <s v="0"/>
  </r>
  <r>
    <s v="SJ2"/>
    <s v="5017196"/>
    <s v="CHARTER"/>
    <s v="163043"/>
    <s v="R015P68L3"/>
    <s v="SJ2_STAG"/>
    <s v="Charter Communications"/>
    <s v="2081 Corporate 44 Dr"/>
    <s v="MO"/>
    <s v="Fenton"/>
    <s v="63026-2517"/>
    <s v="JC1516-MP-AS8-100"/>
    <s v="CABLE SERVICE (M)MPO/APC 8 SC/"/>
    <s v="6900976"/>
    <s v="3.1"/>
    <x v="441"/>
    <n v="1960914"/>
    <d v="2016-08-03T00:00:00"/>
    <m/>
    <d v="2016-10-26T00:00:00"/>
    <d v="2016-10-30T00:00:00"/>
    <d v="2016-10-28T00:00:00"/>
    <m/>
    <n v="1"/>
    <m/>
    <n v="576"/>
    <m/>
    <s v="N223"/>
    <s v="NWK ACCESS TECH"/>
    <s v="OPTICAL PASSIVES"/>
    <s v="INDOOR PASSIVES AURORA"/>
    <s v="N223"/>
    <s v="AUR-STANDARD ORDER MIXED"/>
    <s v="A-SURFACE"/>
    <s v="OP"/>
    <n v="1249787"/>
    <s v="A-SURFACE"/>
    <m/>
    <m/>
    <m/>
    <s v="A-SURFACE"/>
    <s v="LTL"/>
    <s v="EXW"/>
    <s v="Prepay &amp; Add"/>
    <m/>
    <m/>
    <m/>
    <m/>
    <m/>
    <m/>
    <m/>
    <s v="0"/>
    <s v="0"/>
  </r>
  <r>
    <s v="SJ2"/>
    <s v="5017196"/>
    <s v="CHARTER"/>
    <s v="163069"/>
    <s v="R023P64L2"/>
    <s v="SJ2_STAG"/>
    <s v="Charter Communications"/>
    <s v="813 Burton Blvd Ste 200"/>
    <s v="WI"/>
    <s v="Deforest"/>
    <s v="53532-1212"/>
    <s v="DP35D10S03A1S-0LC-AL"/>
    <s v="DEMUX 100G 1W 10CH 30-39 UPG T"/>
    <s v="6900994"/>
    <s v="1.1"/>
    <x v="442"/>
    <n v="1960928"/>
    <d v="2016-08-08T00:00:00"/>
    <m/>
    <d v="2016-10-26T00:00:00"/>
    <d v="2016-10-30T00:00:00"/>
    <d v="2016-10-28T00:00:00"/>
    <m/>
    <n v="2"/>
    <m/>
    <n v="2000"/>
    <m/>
    <s v="N135"/>
    <s v="NWK ACCESS TECH"/>
    <s v="OPTICAL PASSIVES"/>
    <s v="DATA PASSIVES AURORA"/>
    <s v="N135"/>
    <s v="AUR-STANDARD ORDER MIXED"/>
    <s v="A-SURFACE"/>
    <s v="OP"/>
    <n v="1249787"/>
    <s v="A-SURFACE"/>
    <m/>
    <m/>
    <m/>
    <s v="A-SURFACE"/>
    <s v="LTL"/>
    <s v="EXW"/>
    <s v="Prepay &amp; Add"/>
    <m/>
    <m/>
    <m/>
    <m/>
    <m/>
    <m/>
    <m/>
    <s v="0"/>
    <s v="0"/>
  </r>
  <r>
    <s v="SJ2"/>
    <s v="5017196"/>
    <s v="CHARTER"/>
    <s v="163069"/>
    <s v="R023P12L4"/>
    <s v="SJ2_STAG"/>
    <s v="Charter Communications"/>
    <s v="813 Burton Blvd Ste 200"/>
    <s v="WI"/>
    <s v="Deforest"/>
    <s v="53532-1212"/>
    <s v="DP95M10S04A0S-1MC-00"/>
    <s v="MUX 100GHZ M-CASE 10CH 40-49 U"/>
    <s v="6900994"/>
    <s v="3.1"/>
    <x v="442"/>
    <n v="1960928"/>
    <d v="2016-08-08T00:00:00"/>
    <m/>
    <d v="2016-10-26T00:00:00"/>
    <d v="2016-10-30T00:00:00"/>
    <d v="2016-10-28T00:00:00"/>
    <m/>
    <n v="3"/>
    <m/>
    <n v="2700"/>
    <m/>
    <s v="N137"/>
    <s v="NWK ACCESS TECH"/>
    <s v="OPTICAL PASSIVES"/>
    <s v="DATA PASSIVES AURORA"/>
    <s v="N137"/>
    <s v="AUR-STANDARD ORDER MIXED"/>
    <s v="A-SURFACE"/>
    <s v="OP"/>
    <n v="1249787"/>
    <s v="A-SURFACE"/>
    <m/>
    <m/>
    <m/>
    <s v="A-SURFACE"/>
    <s v="LTL"/>
    <s v="EXW"/>
    <s v="Prepay &amp; Add"/>
    <m/>
    <m/>
    <m/>
    <m/>
    <m/>
    <m/>
    <m/>
    <s v="0"/>
    <s v="0"/>
  </r>
  <r>
    <s v="SJ2"/>
    <s v="5017196"/>
    <s v="CHARTER"/>
    <s v="163069"/>
    <s v="R022P33L5"/>
    <s v="SJ2_STAG"/>
    <s v="Charter Communications"/>
    <s v="813 Burton Blvd Ste 200"/>
    <s v="WI"/>
    <s v="Deforest"/>
    <s v="53532-1212"/>
    <s v="DP95D10S04A0S-1MC-00"/>
    <s v="DEMUX 100G M-CASE 10CH 40-49 U"/>
    <s v="6900994"/>
    <s v="4.1"/>
    <x v="442"/>
    <n v="1960928"/>
    <d v="2016-08-08T00:00:00"/>
    <m/>
    <d v="2016-10-26T00:00:00"/>
    <d v="2016-10-30T00:00:00"/>
    <d v="2016-10-28T00:00:00"/>
    <m/>
    <n v="2"/>
    <m/>
    <n v="1800"/>
    <m/>
    <s v="N137"/>
    <s v="NWK ACCESS TECH"/>
    <s v="OPTICAL PASSIVES"/>
    <s v="DATA PASSIVES AURORA"/>
    <s v="N137"/>
    <s v="AUR-STANDARD ORDER MIXED"/>
    <s v="A-SURFACE"/>
    <s v="OP"/>
    <n v="1249787"/>
    <s v="A-SURFACE"/>
    <m/>
    <m/>
    <m/>
    <s v="A-SURFACE"/>
    <s v="LTL"/>
    <s v="EXW"/>
    <s v="Prepay &amp; Add"/>
    <m/>
    <m/>
    <m/>
    <m/>
    <m/>
    <m/>
    <m/>
    <s v="0"/>
    <s v="0"/>
  </r>
  <r>
    <s v="SJ2"/>
    <s v="5017196"/>
    <s v="CHARTER"/>
    <s v="163069"/>
    <s v="R022P20L3"/>
    <s v="SJ2_STAG"/>
    <s v="Charter Communications"/>
    <s v="813 Burton Blvd Ste 200"/>
    <s v="WI"/>
    <s v="Deforest"/>
    <s v="53532-1212"/>
    <s v="DP35M10S02A1S-0LC-AL"/>
    <s v="MUX 100G 1W 10CH 20-29 UPG TP"/>
    <s v="6900994"/>
    <s v="5.1"/>
    <x v="442"/>
    <n v="1960928"/>
    <d v="2016-08-08T00:00:00"/>
    <m/>
    <d v="2016-10-26T00:00:00"/>
    <d v="2016-10-30T00:00:00"/>
    <d v="2016-10-28T00:00:00"/>
    <m/>
    <n v="2"/>
    <m/>
    <n v="2000"/>
    <m/>
    <s v="N135"/>
    <s v="NWK ACCESS TECH"/>
    <s v="OPTICAL PASSIVES"/>
    <s v="DATA PASSIVES AURORA"/>
    <s v="N135"/>
    <s v="AUR-STANDARD ORDER MIXED"/>
    <s v="A-SURFACE"/>
    <s v="OP"/>
    <n v="1249787"/>
    <s v="A-SURFACE"/>
    <m/>
    <m/>
    <m/>
    <s v="A-SURFACE"/>
    <s v="LTL"/>
    <s v="EXW"/>
    <s v="Prepay &amp; Add"/>
    <m/>
    <m/>
    <m/>
    <m/>
    <m/>
    <m/>
    <m/>
    <s v="0"/>
    <s v="0"/>
  </r>
  <r>
    <s v="SJ2"/>
    <s v="5017196"/>
    <s v="CHARTER"/>
    <s v="163062"/>
    <s v="REC1"/>
    <s v="SJ2_STAG"/>
    <s v="Charter Communications"/>
    <s v="1757 N Pointe Rd"/>
    <s v="TN"/>
    <s v="Columbia"/>
    <s v="38401-0214"/>
    <s v="OP94F1S-1490-R2-AS"/>
    <s v="FILTER CWDM S-CASE 2MM SC/APC"/>
    <s v="6901169"/>
    <s v="2.1"/>
    <x v="443"/>
    <n v="1949537"/>
    <d v="2016-08-10T00:00:00"/>
    <m/>
    <d v="2016-10-13T00:00:00"/>
    <d v="2016-10-17T00:00:00"/>
    <d v="2016-10-17T00:00:00"/>
    <m/>
    <n v="1"/>
    <m/>
    <n v="144"/>
    <m/>
    <s v="N156"/>
    <s v="NWK ACCESS TECH"/>
    <s v="ACCESS OTHER"/>
    <s v="OTHER AURORA"/>
    <s v="N156"/>
    <s v="AUR-STANDARD ORDER MIXED"/>
    <s v="A-SURFACE"/>
    <s v="OP"/>
    <n v="1241987"/>
    <s v="A-SURFACE"/>
    <m/>
    <m/>
    <m/>
    <s v="A-SURFACE"/>
    <s v="LTL"/>
    <s v="EXW"/>
    <s v="Prepay &amp; Add"/>
    <m/>
    <m/>
    <m/>
    <m/>
    <m/>
    <m/>
    <m/>
    <s v="0"/>
    <s v="0"/>
  </r>
  <r>
    <s v="SJ2"/>
    <s v="5017196"/>
    <s v="CHARTER"/>
    <s v="163062"/>
    <s v="R016P41L3B01"/>
    <s v="SJ2_STAG"/>
    <s v="Charter Communications"/>
    <s v="1757 N Pointe Rd"/>
    <s v="TN"/>
    <s v="Columbia"/>
    <s v="38401-0214"/>
    <s v="NC4121S255-U0000000"/>
    <s v="NODE 5-42/51-870MHZ JXP 1X2SEG"/>
    <s v="6901169"/>
    <s v="6.1"/>
    <x v="443"/>
    <n v="1949539"/>
    <d v="2016-08-10T00:00:00"/>
    <m/>
    <d v="2016-10-13T00:00:00"/>
    <d v="2016-10-17T00:00:00"/>
    <d v="2016-10-17T00:00:00"/>
    <m/>
    <n v="3"/>
    <m/>
    <n v="5679"/>
    <m/>
    <s v="N034"/>
    <s v="NWK ACCESS TECH"/>
    <s v="NODE"/>
    <s v="NC4000 AURORA"/>
    <s v="N034"/>
    <s v="AUR-STANDARD ORDER MIXED"/>
    <s v="A-SURFACE"/>
    <s v="OP"/>
    <n v="1241987"/>
    <s v="A-SURFACE"/>
    <m/>
    <m/>
    <m/>
    <s v="A-SURFACE"/>
    <s v="LTL"/>
    <s v="EXW"/>
    <s v="Prepay &amp; Add"/>
    <m/>
    <m/>
    <m/>
    <m/>
    <m/>
    <m/>
    <m/>
    <s v="0"/>
    <s v="0"/>
  </r>
  <r>
    <s v="SJ2"/>
    <s v="5017196"/>
    <s v="CHARTER"/>
    <s v="163063"/>
    <s v="R022P21L6"/>
    <s v="SJ2_STAG"/>
    <s v="Charter Communications"/>
    <s v="1031 E Glendale Ave"/>
    <s v="NV"/>
    <s v="Sparks"/>
    <s v="89431-6460"/>
    <s v="FA3521F-00-AS"/>
    <s v="FBROPT AMPL SGL 21DBM GAIN FLA"/>
    <s v="6901429"/>
    <s v="18.1"/>
    <x v="444"/>
    <n v="1963222"/>
    <d v="2016-06-20T00:00:00"/>
    <m/>
    <d v="2016-10-28T00:00:00"/>
    <d v="2016-09-16T00:00:00"/>
    <d v="2016-10-28T00:00:00"/>
    <m/>
    <n v="20"/>
    <m/>
    <n v="90000"/>
    <m/>
    <s v="N125"/>
    <s v="NWK ACCESS TECH"/>
    <s v="HEO"/>
    <s v="HEO MISC AURORA"/>
    <s v="EDFA"/>
    <s v="AUR-STANDARD ORDER MIXED"/>
    <s v="A-SURFACE"/>
    <s v="OP"/>
    <n v="1251073"/>
    <s v="A-SURFACE"/>
    <m/>
    <m/>
    <m/>
    <s v="A-SURFACE"/>
    <s v="LTL"/>
    <s v="EXW"/>
    <s v="Prepay &amp; Add"/>
    <m/>
    <m/>
    <m/>
    <m/>
    <m/>
    <m/>
    <m/>
    <s v="0"/>
    <s v="0"/>
  </r>
  <r>
    <s v="SJ2"/>
    <s v="5018679"/>
    <s v="ARRIS SOLUTIONS, INC."/>
    <s v="CAR - CARY, NC -DISTRIBUTION"/>
    <s v="R024P23L3B01"/>
    <s v="SJ2_STAG"/>
    <s v="ARRIS SOLUTIONS, INC."/>
    <s v="101 Stamford Dr"/>
    <s v="NC"/>
    <s v="Cary"/>
    <s v="27513-9503"/>
    <s v="CC3008"/>
    <s v="COMM CONTROL MODULE HIGH DENSI"/>
    <s v="90710912"/>
    <s v="4.1"/>
    <x v="445"/>
    <n v="1962111"/>
    <d v="2016-10-11T17:57:11"/>
    <m/>
    <d v="2016-10-27T00:00:00"/>
    <d v="2016-10-14T00:00:00"/>
    <d v="2016-10-27T00:00:00"/>
    <m/>
    <n v="24"/>
    <n v="24"/>
    <n v="2409.6"/>
    <n v="2409.6"/>
    <s v="N260"/>
    <s v="NWK ACCESS TECH"/>
    <s v="HEO"/>
    <s v="TRANSMITTERS AURORA"/>
    <s v="HDTX"/>
    <s v="OM-INTERNAL ORDER"/>
    <s v="A-SURFACE"/>
    <s v="OP"/>
    <n v="1250456"/>
    <s v="A-SURFACE"/>
    <m/>
    <m/>
    <m/>
    <s v="A-SURFACE"/>
    <s v="LTL"/>
    <s v="EXW"/>
    <s v="Prepaid"/>
    <m/>
    <m/>
    <s v="**Less than 10 pallets Use UPS freight line, on Consolidate shipment over than 10 pallets use KSC freight FTL truckload**"/>
    <m/>
    <m/>
    <m/>
    <m/>
    <s v="0"/>
    <s v="0"/>
  </r>
  <r>
    <s v="SJ2"/>
    <s v="5022557"/>
    <s v="TDS Telecom"/>
    <s v="SAINT GEORGE002"/>
    <s v="R015P46L5"/>
    <s v="SJ2_STAG"/>
    <s v="BAJA-ST GEORGE WHSE"/>
    <s v="1236 N 1210 W"/>
    <s v="UT"/>
    <s v="Saint George"/>
    <s v="84770-4850"/>
    <s v="CH3000N"/>
    <s v="CHASSIS NO COVERS 3RU"/>
    <s v="20115199"/>
    <s v="1.1"/>
    <x v="446"/>
    <n v="1960992"/>
    <d v="2016-10-05T10:52:07"/>
    <m/>
    <d v="2016-10-26T00:00:00"/>
    <d v="2016-11-04T00:00:00"/>
    <d v="2016-10-28T00:00:00"/>
    <m/>
    <n v="1"/>
    <m/>
    <n v="260"/>
    <m/>
    <s v="N199"/>
    <s v="NWK ACCESS TECH"/>
    <s v="HEO"/>
    <s v="HEO MISC AURORA"/>
    <s v="N199"/>
    <s v="AS-STANDARD ORDER MIXED"/>
    <s v="A-SURFACE"/>
    <s v="OP"/>
    <n v="1249787"/>
    <s v="A-SURFACE"/>
    <m/>
    <m/>
    <m/>
    <s v="A-SURFACE"/>
    <s v="LTL"/>
    <s v="EXW"/>
    <s v="Prepay &amp; Add"/>
    <m/>
    <m/>
    <m/>
    <m/>
    <m/>
    <m/>
    <m/>
    <s v="0"/>
    <s v="0"/>
  </r>
  <r>
    <s v="SJ2"/>
    <s v="5022557"/>
    <s v="TDS Telecom"/>
    <s v="SAINT GEORGE002"/>
    <s v="R017P59L5"/>
    <s v="SJ2_STAG"/>
    <s v="BAJA-ST GEORGE WHSE"/>
    <s v="1236 N 1210 W"/>
    <s v="UT"/>
    <s v="Saint George"/>
    <s v="84770-4850"/>
    <s v="PF3000N-FM-00"/>
    <s v="PASSIVE FRAME 4RU FBR MGT NO C"/>
    <s v="20115199"/>
    <s v="10.1"/>
    <x v="446"/>
    <n v="1960921"/>
    <d v="2016-10-05T10:52:07"/>
    <m/>
    <d v="2016-10-26T00:00:00"/>
    <d v="2016-11-04T00:00:00"/>
    <d v="2016-10-28T00:00:00"/>
    <m/>
    <n v="1"/>
    <m/>
    <n v="143"/>
    <m/>
    <s v="N224"/>
    <s v="NWK ACCESS TECH"/>
    <s v="ACCESS OTHER"/>
    <s v="OTHER AURORA"/>
    <s v="N224"/>
    <s v="AS-STANDARD ORDER MIXED"/>
    <s v="A-SURFACE"/>
    <s v="OP"/>
    <n v="1249787"/>
    <s v="A-SURFACE"/>
    <m/>
    <m/>
    <m/>
    <s v="A-SURFACE"/>
    <s v="LTL"/>
    <s v="EXW"/>
    <s v="Prepay &amp; Add"/>
    <m/>
    <m/>
    <m/>
    <m/>
    <m/>
    <m/>
    <m/>
    <s v="0"/>
    <s v="0"/>
  </r>
  <r>
    <s v="SJ2"/>
    <s v="5022557"/>
    <s v="TDS Telecom"/>
    <s v="SAINT GEORGE002"/>
    <s v="R022P02L2"/>
    <s v="SJ2_STAG"/>
    <s v="BAJA-ST GEORGE WHSE"/>
    <s v="1236 N 1210 W"/>
    <s v="UT"/>
    <s v="Saint George"/>
    <s v="84770-4850"/>
    <s v="EX3005A-00-00"/>
    <s v="ETHERNET SWITCH 4 10/100 RJ-4"/>
    <s v="20115199"/>
    <s v="11.1"/>
    <x v="446"/>
    <n v="1960917"/>
    <d v="2016-10-05T10:52:07"/>
    <m/>
    <d v="2016-10-26T00:00:00"/>
    <d v="2016-11-04T00:00:00"/>
    <d v="2016-10-28T00:00:00"/>
    <m/>
    <n v="1"/>
    <m/>
    <n v="507"/>
    <m/>
    <s v="N185"/>
    <s v="NWK ACCESS TECH"/>
    <s v="ACCESS OTHER"/>
    <s v="OTHER AURORA"/>
    <s v="N185"/>
    <s v="AS-STANDARD ORDER MIXED"/>
    <s v="A-SURFACE"/>
    <s v="OP"/>
    <n v="1249787"/>
    <s v="A-SURFACE"/>
    <m/>
    <m/>
    <m/>
    <s v="A-SURFACE"/>
    <s v="LTL"/>
    <s v="EXW"/>
    <s v="Prepay &amp; Add"/>
    <m/>
    <m/>
    <m/>
    <m/>
    <m/>
    <m/>
    <m/>
    <s v="0"/>
    <s v="0"/>
  </r>
  <r>
    <s v="SJ2"/>
    <s v="5022557"/>
    <s v="TDS Telecom"/>
    <s v="SAINT GEORGE002"/>
    <s v="R016P07L2B02"/>
    <s v="SJ2_STAG"/>
    <s v="BAJA-ST GEORGE WHSE"/>
    <s v="1236 N 1210 W"/>
    <s v="UT"/>
    <s v="Saint George"/>
    <s v="84770-4850"/>
    <s v="DR3450N-50-00"/>
    <s v="DIGITAL RECEIVER Q-RX 2.125GBP"/>
    <s v="20115199"/>
    <s v="13.1"/>
    <x v="446"/>
    <n v="1960992"/>
    <d v="2016-10-05T10:52:07"/>
    <m/>
    <d v="2016-10-26T00:00:00"/>
    <d v="2016-11-04T00:00:00"/>
    <d v="2016-10-28T00:00:00"/>
    <m/>
    <n v="1"/>
    <m/>
    <n v="1300"/>
    <m/>
    <s v="N275"/>
    <s v="NWK ACCESS TECH"/>
    <s v="HEO"/>
    <s v="RECEIVERS AURORA"/>
    <s v="N275"/>
    <s v="AS-STANDARD ORDER MIXED"/>
    <s v="A-SURFACE"/>
    <s v="OP"/>
    <n v="1249787"/>
    <s v="A-SURFACE"/>
    <m/>
    <m/>
    <m/>
    <s v="A-SURFACE"/>
    <s v="LTL"/>
    <s v="EXW"/>
    <s v="Prepay &amp; Add"/>
    <m/>
    <m/>
    <m/>
    <m/>
    <m/>
    <m/>
    <m/>
    <s v="0"/>
    <s v="0"/>
  </r>
  <r>
    <s v="SJ2"/>
    <s v="5022557"/>
    <s v="TDS Telecom"/>
    <s v="SAINT GEORGE002"/>
    <s v="R022P79L3"/>
    <s v="SJ2_STAG"/>
    <s v="BAJA-ST GEORGE WHSE"/>
    <s v="1236 N 1210 W"/>
    <s v="UT"/>
    <s v="Saint George"/>
    <s v="84770-4850"/>
    <s v="RR4000-00-PI"/>
    <s v="RCVR DUAL PLUGGABLE SFP 3 GBPS"/>
    <s v="20115199"/>
    <s v="14.1"/>
    <x v="446"/>
    <n v="1960917"/>
    <d v="2016-10-05T10:52:07"/>
    <m/>
    <d v="2016-10-26T00:00:00"/>
    <d v="2016-11-04T00:00:00"/>
    <d v="2016-10-28T00:00:00"/>
    <m/>
    <n v="1"/>
    <m/>
    <n v="195"/>
    <m/>
    <s v="N224"/>
    <s v="NWK ACCESS TECH"/>
    <s v="ACCESS OTHER"/>
    <s v="OTHER AURORA"/>
    <s v="N224"/>
    <s v="AS-STANDARD ORDER MIXED"/>
    <s v="A-SURFACE"/>
    <s v="OP"/>
    <n v="1249787"/>
    <s v="A-SURFACE"/>
    <m/>
    <m/>
    <m/>
    <s v="A-SURFACE"/>
    <s v="LTL"/>
    <s v="EXW"/>
    <s v="Prepay &amp; Add"/>
    <m/>
    <m/>
    <m/>
    <m/>
    <m/>
    <m/>
    <m/>
    <s v="0"/>
    <s v="0"/>
  </r>
  <r>
    <s v="SJ2"/>
    <s v="5022557"/>
    <s v="TDS Telecom"/>
    <s v="SAINT GEORGE002"/>
    <s v="R015P46L5"/>
    <s v="SJ2_STAG"/>
    <s v="BAJA-ST GEORGE WHSE"/>
    <s v="1236 N 1210 W"/>
    <s v="UT"/>
    <s v="Saint George"/>
    <s v="84770-4850"/>
    <s v="CH3000N"/>
    <s v="CHASSIS NO COVERS 3RU"/>
    <s v="20115199"/>
    <s v="15.1"/>
    <x v="446"/>
    <n v="1960992"/>
    <d v="2016-10-05T10:52:07"/>
    <m/>
    <d v="2016-10-26T00:00:00"/>
    <d v="2016-11-04T00:00:00"/>
    <d v="2016-10-28T00:00:00"/>
    <m/>
    <n v="1"/>
    <m/>
    <n v="260"/>
    <m/>
    <s v="N199"/>
    <s v="NWK ACCESS TECH"/>
    <s v="HEO"/>
    <s v="HEO MISC AURORA"/>
    <s v="N199"/>
    <s v="AS-STANDARD ORDER MIXED"/>
    <s v="A-SURFACE"/>
    <s v="OP"/>
    <n v="1249787"/>
    <s v="A-SURFACE"/>
    <m/>
    <m/>
    <m/>
    <s v="A-SURFACE"/>
    <s v="LTL"/>
    <s v="EXW"/>
    <s v="Prepay &amp; Add"/>
    <m/>
    <m/>
    <m/>
    <m/>
    <m/>
    <m/>
    <m/>
    <s v="0"/>
    <s v="0"/>
  </r>
  <r>
    <s v="SJ2"/>
    <s v="5022557"/>
    <s v="TDS Telecom"/>
    <s v="SAINT GEORGE002"/>
    <s v="R016P17L1B01"/>
    <s v="SJ2_STAG"/>
    <s v="BAJA-ST GEORGE WHSE"/>
    <s v="1236 N 1210 W"/>
    <s v="UT"/>
    <s v="Saint George"/>
    <s v="84770-4850"/>
    <s v="CH3000U-FM-00"/>
    <s v="ADAPTER FIBER MGT FOR CH3000 C"/>
    <s v="20115199"/>
    <s v="16.1"/>
    <x v="446"/>
    <n v="1960992"/>
    <d v="2016-10-05T10:52:07"/>
    <m/>
    <d v="2016-10-26T00:00:00"/>
    <d v="2016-11-04T00:00:00"/>
    <d v="2016-10-28T00:00:00"/>
    <m/>
    <n v="1"/>
    <m/>
    <n v="65"/>
    <m/>
    <s v="N199"/>
    <s v="NWK ACCESS TECH"/>
    <s v="HEO"/>
    <s v="HEO MISC AURORA"/>
    <s v="N199"/>
    <s v="AS-STANDARD ORDER MIXED"/>
    <s v="A-SURFACE"/>
    <s v="OP"/>
    <n v="1249787"/>
    <s v="A-SURFACE"/>
    <m/>
    <m/>
    <m/>
    <s v="A-SURFACE"/>
    <s v="LTL"/>
    <s v="EXW"/>
    <s v="Prepay &amp; Add"/>
    <m/>
    <m/>
    <m/>
    <m/>
    <m/>
    <m/>
    <m/>
    <s v="0"/>
    <s v="0"/>
  </r>
  <r>
    <s v="SJ2"/>
    <s v="5022557"/>
    <s v="TDS Telecom"/>
    <s v="SAINT GEORGE002"/>
    <s v="R016P12L1B01"/>
    <s v="SJ2_STAG"/>
    <s v="BAJA-ST GEORGE WHSE"/>
    <s v="1236 N 1210 W"/>
    <s v="UT"/>
    <s v="Saint George"/>
    <s v="84770-4850"/>
    <s v="PS3148N"/>
    <s v="POWER SUPPLY NO DISPLAY -48VDC"/>
    <s v="20115199"/>
    <s v="18.1"/>
    <x v="446"/>
    <n v="1960992"/>
    <d v="2016-10-05T10:52:07"/>
    <m/>
    <d v="2016-10-26T00:00:00"/>
    <d v="2016-11-04T00:00:00"/>
    <d v="2016-10-28T00:00:00"/>
    <m/>
    <n v="1"/>
    <m/>
    <n v="637"/>
    <m/>
    <s v="N204"/>
    <s v="NWK ACCESS TECH"/>
    <s v="ACCESS OTHER"/>
    <s v="OTHER AURORA"/>
    <s v="N204"/>
    <s v="AS-STANDARD ORDER MIXED"/>
    <s v="A-SURFACE"/>
    <s v="OP"/>
    <n v="1249787"/>
    <s v="A-SURFACE"/>
    <m/>
    <m/>
    <m/>
    <s v="A-SURFACE"/>
    <s v="LTL"/>
    <s v="EXW"/>
    <s v="Prepay &amp; Add"/>
    <m/>
    <m/>
    <m/>
    <m/>
    <m/>
    <m/>
    <m/>
    <s v="0"/>
    <s v="0"/>
  </r>
  <r>
    <s v="SJ2"/>
    <s v="5022557"/>
    <s v="TDS Telecom"/>
    <s v="SAINT GEORGE002"/>
    <s v="R023P73L6"/>
    <s v="SJ2_STAG"/>
    <s v="BAJA-ST GEORGE WHSE"/>
    <s v="1236 N 1210 W"/>
    <s v="UT"/>
    <s v="Saint George"/>
    <s v="84770-4850"/>
    <s v="CX3002"/>
    <s v="COMMUNICATIONS MODULE"/>
    <s v="20115199"/>
    <s v="19.1"/>
    <x v="446"/>
    <n v="1960917"/>
    <d v="2016-10-05T10:52:07"/>
    <m/>
    <d v="2016-10-26T00:00:00"/>
    <d v="2016-11-04T00:00:00"/>
    <d v="2016-10-28T00:00:00"/>
    <m/>
    <n v="1"/>
    <m/>
    <n v="442"/>
    <m/>
    <s v="N080"/>
    <s v="NWK ACCESS TECH"/>
    <s v="HEO"/>
    <s v="HEO MISC AURORA"/>
    <s v="N080"/>
    <s v="AS-STANDARD ORDER MIXED"/>
    <s v="A-SURFACE"/>
    <s v="OP"/>
    <n v="1249787"/>
    <s v="A-SURFACE"/>
    <m/>
    <m/>
    <m/>
    <s v="A-SURFACE"/>
    <s v="LTL"/>
    <s v="EXW"/>
    <s v="Prepay &amp; Add"/>
    <m/>
    <m/>
    <m/>
    <m/>
    <m/>
    <m/>
    <m/>
    <s v="0"/>
    <s v="0"/>
  </r>
  <r>
    <s v="SJ2"/>
    <s v="5022557"/>
    <s v="TDS Telecom"/>
    <s v="SAINT GEORGE002"/>
    <s v="R016P17L1B01"/>
    <s v="SJ2_STAG"/>
    <s v="BAJA-ST GEORGE WHSE"/>
    <s v="1236 N 1210 W"/>
    <s v="UT"/>
    <s v="Saint George"/>
    <s v="84770-4850"/>
    <s v="CH3000U-FM-00"/>
    <s v="ADAPTER FIBER MGT FOR CH3000 C"/>
    <s v="20115199"/>
    <s v="2.1"/>
    <x v="446"/>
    <n v="1960992"/>
    <d v="2016-10-05T10:52:07"/>
    <m/>
    <d v="2016-10-26T00:00:00"/>
    <d v="2016-11-04T00:00:00"/>
    <d v="2016-10-28T00:00:00"/>
    <m/>
    <n v="1"/>
    <m/>
    <n v="65"/>
    <m/>
    <s v="N199"/>
    <s v="NWK ACCESS TECH"/>
    <s v="HEO"/>
    <s v="HEO MISC AURORA"/>
    <s v="N199"/>
    <s v="AS-STANDARD ORDER MIXED"/>
    <s v="A-SURFACE"/>
    <s v="OP"/>
    <n v="1249787"/>
    <s v="A-SURFACE"/>
    <m/>
    <m/>
    <m/>
    <s v="A-SURFACE"/>
    <s v="LTL"/>
    <s v="EXW"/>
    <s v="Prepay &amp; Add"/>
    <m/>
    <m/>
    <m/>
    <m/>
    <m/>
    <m/>
    <m/>
    <s v="0"/>
    <s v="0"/>
  </r>
  <r>
    <s v="SJ2"/>
    <s v="5022557"/>
    <s v="TDS Telecom"/>
    <s v="SAINT GEORGE002"/>
    <s v="R023P04L1"/>
    <s v="SJ2_STAG"/>
    <s v="BAJA-ST GEORGE WHSE"/>
    <s v="1236 N 1210 W"/>
    <s v="UT"/>
    <s v="Saint George"/>
    <s v="84770-4850"/>
    <s v="TL3000-EJ-00"/>
    <s v="TOOL EXTRACTOR HANDLE CH3000"/>
    <s v="20115199"/>
    <s v="21.1"/>
    <x v="446"/>
    <n v="1960921"/>
    <d v="2016-10-05T10:52:07"/>
    <m/>
    <d v="2016-10-26T00:00:00"/>
    <d v="2016-11-04T00:00:00"/>
    <d v="2016-10-28T00:00:00"/>
    <m/>
    <n v="1"/>
    <m/>
    <n v="7"/>
    <m/>
    <s v="N185"/>
    <s v="NWK ACCESS TECH"/>
    <s v="ACCESS OTHER"/>
    <s v="OTHER AURORA"/>
    <s v="N185"/>
    <s v="AS-STANDARD ORDER MIXED"/>
    <s v="A-SURFACE"/>
    <s v="OP"/>
    <n v="1249787"/>
    <s v="A-SURFACE"/>
    <m/>
    <m/>
    <m/>
    <s v="A-SURFACE"/>
    <s v="LTL"/>
    <s v="EXW"/>
    <s v="Prepay &amp; Add"/>
    <m/>
    <m/>
    <m/>
    <m/>
    <m/>
    <m/>
    <m/>
    <s v="0"/>
    <s v="0"/>
  </r>
  <r>
    <s v="SJ2"/>
    <s v="5022557"/>
    <s v="TDS Telecom"/>
    <s v="SAINT GEORGE002"/>
    <s v="R023P49L2"/>
    <s v="SJ2_STAG"/>
    <s v="BAJA-ST GEORGE WHSE"/>
    <s v="1236 N 1210 W"/>
    <s v="UT"/>
    <s v="Saint George"/>
    <s v="84770-4850"/>
    <s v="FA3527M-08-00-AS"/>
    <s v="FBROPT AMPL SINGLE 27DBM 8X18"/>
    <s v="20115199"/>
    <s v="22.1"/>
    <x v="446"/>
    <n v="1960921"/>
    <d v="2016-10-05T10:52:07"/>
    <m/>
    <d v="2016-10-26T00:00:00"/>
    <d v="2016-11-04T00:00:00"/>
    <d v="2016-10-28T00:00:00"/>
    <m/>
    <n v="1"/>
    <m/>
    <n v="13650"/>
    <m/>
    <s v="N126"/>
    <s v="NWK ACCESS TECH"/>
    <s v="HEO"/>
    <s v="HEO MISC AURORA"/>
    <s v="EDFA"/>
    <s v="AS-STANDARD ORDER MIXED"/>
    <s v="A-SURFACE"/>
    <s v="OP"/>
    <n v="1249787"/>
    <s v="A-SURFACE"/>
    <m/>
    <m/>
    <m/>
    <s v="A-SURFACE"/>
    <s v="LTL"/>
    <s v="EXW"/>
    <s v="Prepay &amp; Add"/>
    <m/>
    <m/>
    <m/>
    <m/>
    <m/>
    <m/>
    <m/>
    <s v="0"/>
    <s v="0"/>
  </r>
  <r>
    <s v="SJ2"/>
    <s v="5022557"/>
    <s v="TDS Telecom"/>
    <s v="SAINT GEORGE002"/>
    <s v="R023P60L2"/>
    <s v="SJ2_STAG"/>
    <s v="BAJA-ST GEORGE WHSE"/>
    <s v="1236 N 1210 W"/>
    <s v="UT"/>
    <s v="Saint George"/>
    <s v="84770-4850"/>
    <s v="OP3178P-1-0-00-AL"/>
    <s v="PON FILTER 10/1G 12770 1310 14"/>
    <s v="20115199"/>
    <s v="23.1"/>
    <x v="446"/>
    <n v="1960917"/>
    <d v="2016-10-05T10:52:07"/>
    <m/>
    <d v="2016-10-26T00:00:00"/>
    <d v="2016-11-04T00:00:00"/>
    <d v="2016-10-28T00:00:00"/>
    <m/>
    <n v="1"/>
    <m/>
    <n v="1951"/>
    <m/>
    <s v="HE33"/>
    <s v="NWK ACCESS TECH"/>
    <s v="OPTICAL PASSIVES"/>
    <s v="INDOOR PASSIVES"/>
    <s v="OPS"/>
    <s v="AS-STANDARD ORDER MIXED"/>
    <s v="A-SURFACE"/>
    <s v="OP"/>
    <n v="1249787"/>
    <s v="A-SURFACE"/>
    <m/>
    <m/>
    <m/>
    <s v="A-SURFACE"/>
    <s v="LTL"/>
    <s v="EXW"/>
    <s v="Prepay &amp; Add"/>
    <m/>
    <m/>
    <m/>
    <m/>
    <m/>
    <m/>
    <m/>
    <s v="0"/>
    <s v="0"/>
  </r>
  <r>
    <s v="SJ2"/>
    <s v="5022557"/>
    <s v="TDS Telecom"/>
    <s v="SAINT GEORGE002"/>
    <s v="R022P78L2"/>
    <s v="SJ2_STAG"/>
    <s v="BAJA-ST GEORGE WHSE"/>
    <s v="1236 N 1210 W"/>
    <s v="UT"/>
    <s v="Saint George"/>
    <s v="84770-4850"/>
    <s v="OR3144H-85-01-01-AL"/>
    <s v="DIPLXR/RTN RCVR 1550/1590 RFOG"/>
    <s v="20115199"/>
    <s v="24.1"/>
    <x v="447"/>
    <n v="1962907"/>
    <d v="2016-10-05T10:52:07"/>
    <m/>
    <d v="2016-10-27T00:00:00"/>
    <d v="2016-11-04T00:00:00"/>
    <d v="2016-10-28T00:00:00"/>
    <m/>
    <n v="2"/>
    <m/>
    <n v="2600"/>
    <m/>
    <s v="N169"/>
    <s v="NWK ACCESS TECH"/>
    <s v="HPON"/>
    <s v="HEADEND RECEIVERS AURORA"/>
    <s v="N169"/>
    <s v="AS-STANDARD ORDER MIXED"/>
    <s v="A-SURFACE"/>
    <s v="OP"/>
    <n v="1250912"/>
    <s v="A-SURFACE"/>
    <m/>
    <m/>
    <m/>
    <s v="A-SURFACE"/>
    <s v="LTL"/>
    <s v="EXW"/>
    <s v="Prepay &amp; Add"/>
    <m/>
    <m/>
    <m/>
    <m/>
    <m/>
    <m/>
    <m/>
    <s v="0"/>
    <s v="0"/>
  </r>
  <r>
    <s v="SJ2"/>
    <s v="5022557"/>
    <s v="TDS Telecom"/>
    <s v="SAINT GEORGE002"/>
    <s v="R022P79L1"/>
    <s v="SJ2_STAG"/>
    <s v="BAJA-ST GEORGE WHSE"/>
    <s v="1236 N 1210 W"/>
    <s v="UT"/>
    <s v="Saint George"/>
    <s v="84770-4850"/>
    <s v="DT3515C-28-1-2-65-AS"/>
    <s v="DGTL XMTR 200km 100GHz 2x5-65M"/>
    <s v="20115199"/>
    <s v="25.1"/>
    <x v="446"/>
    <n v="1960917"/>
    <d v="2016-10-05T10:52:07"/>
    <m/>
    <d v="2016-10-26T00:00:00"/>
    <d v="2016-11-04T00:00:00"/>
    <d v="2016-10-28T00:00:00"/>
    <m/>
    <n v="1"/>
    <m/>
    <n v="1872"/>
    <m/>
    <s v="N063"/>
    <s v="NWK ACCESS TECH"/>
    <s v="HEO"/>
    <s v="TRANSMITTERS AURORA"/>
    <s v="N063"/>
    <s v="AS-STANDARD ORDER MIXED"/>
    <s v="A-SURFACE"/>
    <s v="OP"/>
    <n v="1249787"/>
    <s v="A-SURFACE"/>
    <m/>
    <m/>
    <m/>
    <s v="A-SURFACE"/>
    <s v="LTL"/>
    <s v="EXW"/>
    <s v="Prepay &amp; Add"/>
    <m/>
    <m/>
    <m/>
    <m/>
    <m/>
    <m/>
    <m/>
    <s v="0"/>
    <s v="0"/>
  </r>
  <r>
    <s v="SJ2"/>
    <s v="5022557"/>
    <s v="TDS Telecom"/>
    <s v="SAINT GEORGE002"/>
    <s v="R023P08L3"/>
    <s v="SJ2_STAG"/>
    <s v="BAJA-ST GEORGE WHSE"/>
    <s v="1236 N 1210 W"/>
    <s v="UT"/>
    <s v="Saint George"/>
    <s v="84770-4850"/>
    <s v="BP-A6"/>
    <s v="BACKPLATE RF INP A RF INP B MP"/>
    <s v="20115199"/>
    <s v="26.1"/>
    <x v="446"/>
    <n v="1960921"/>
    <d v="2016-10-05T10:52:07"/>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SAINT GEORGE002"/>
    <s v="R017P59L5"/>
    <s v="SJ2_STAG"/>
    <s v="BAJA-ST GEORGE WHSE"/>
    <s v="1236 N 1210 W"/>
    <s v="UT"/>
    <s v="Saint George"/>
    <s v="84770-4850"/>
    <s v="PF3000N-FM-00"/>
    <s v="PASSIVE FRAME 4RU FBR MGT NO C"/>
    <s v="20115199"/>
    <s v="27.1"/>
    <x v="446"/>
    <n v="1960921"/>
    <d v="2016-10-05T10:52:07"/>
    <m/>
    <d v="2016-10-26T00:00:00"/>
    <d v="2016-11-04T00:00:00"/>
    <d v="2016-10-28T00:00:00"/>
    <m/>
    <n v="1"/>
    <m/>
    <n v="143"/>
    <m/>
    <s v="N224"/>
    <s v="NWK ACCESS TECH"/>
    <s v="ACCESS OTHER"/>
    <s v="OTHER AURORA"/>
    <s v="N224"/>
    <s v="AS-STANDARD ORDER MIXED"/>
    <s v="A-SURFACE"/>
    <s v="OP"/>
    <n v="1249787"/>
    <s v="A-SURFACE"/>
    <m/>
    <m/>
    <m/>
    <s v="A-SURFACE"/>
    <s v="LTL"/>
    <s v="EXW"/>
    <s v="Prepay &amp; Add"/>
    <m/>
    <m/>
    <m/>
    <m/>
    <m/>
    <m/>
    <m/>
    <s v="0"/>
    <s v="0"/>
  </r>
  <r>
    <s v="SJ2"/>
    <s v="5022557"/>
    <s v="TDS Telecom"/>
    <s v="SAINT GEORGE002"/>
    <s v="R022P02L2"/>
    <s v="SJ2_STAG"/>
    <s v="BAJA-ST GEORGE WHSE"/>
    <s v="1236 N 1210 W"/>
    <s v="UT"/>
    <s v="Saint George"/>
    <s v="84770-4850"/>
    <s v="EX3005A-00-00"/>
    <s v="ETHERNET SWITCH 4 10/100 RJ-4"/>
    <s v="20115199"/>
    <s v="28.1"/>
    <x v="446"/>
    <n v="1960917"/>
    <d v="2016-10-05T10:52:07"/>
    <m/>
    <d v="2016-10-26T00:00:00"/>
    <d v="2016-11-04T00:00:00"/>
    <d v="2016-10-28T00:00:00"/>
    <m/>
    <n v="1"/>
    <m/>
    <n v="507"/>
    <m/>
    <s v="N185"/>
    <s v="NWK ACCESS TECH"/>
    <s v="ACCESS OTHER"/>
    <s v="OTHER AURORA"/>
    <s v="N185"/>
    <s v="AS-STANDARD ORDER MIXED"/>
    <s v="A-SURFACE"/>
    <s v="OP"/>
    <n v="1249787"/>
    <s v="A-SURFACE"/>
    <m/>
    <m/>
    <m/>
    <s v="A-SURFACE"/>
    <s v="LTL"/>
    <s v="EXW"/>
    <s v="Prepay &amp; Add"/>
    <m/>
    <m/>
    <m/>
    <m/>
    <m/>
    <m/>
    <m/>
    <s v="0"/>
    <s v="0"/>
  </r>
  <r>
    <s v="SJ2"/>
    <s v="5022557"/>
    <s v="TDS Telecom"/>
    <s v="SAINT GEORGE002"/>
    <s v="R015P16L2"/>
    <s v="SJ2_STAG"/>
    <s v="BAJA-ST GEORGE WHSE"/>
    <s v="1236 N 1210 W"/>
    <s v="UT"/>
    <s v="Saint George"/>
    <s v="84770-4850"/>
    <s v="PS3005D"/>
    <s v="POWER SUPPLY 250W CE TUV W/DIS"/>
    <s v="20115199"/>
    <s v="3.1"/>
    <x v="446"/>
    <n v="1960921"/>
    <d v="2016-10-05T10:52:07"/>
    <m/>
    <d v="2016-10-26T00:00:00"/>
    <d v="2016-11-04T00:00:00"/>
    <d v="2016-10-28T00:00:00"/>
    <m/>
    <n v="1"/>
    <m/>
    <n v="650"/>
    <m/>
    <s v="N204"/>
    <s v="NWK ACCESS TECH"/>
    <s v="ACCESS OTHER"/>
    <s v="OTHER AURORA"/>
    <s v="N204"/>
    <s v="AS-STANDARD ORDER MIXED"/>
    <s v="A-SURFACE"/>
    <s v="OP"/>
    <n v="1249787"/>
    <s v="A-SURFACE"/>
    <m/>
    <m/>
    <m/>
    <s v="A-SURFACE"/>
    <s v="LTL"/>
    <s v="EXW"/>
    <s v="Prepay &amp; Add"/>
    <m/>
    <m/>
    <m/>
    <m/>
    <m/>
    <m/>
    <m/>
    <s v="0"/>
    <s v="0"/>
  </r>
  <r>
    <s v="SJ2"/>
    <s v="5022557"/>
    <s v="TDS Telecom"/>
    <s v="SAINT GEORGE002"/>
    <s v="R015P39L2"/>
    <s v="SJ2_STAG"/>
    <s v="BAJA-ST GEORGE WHSE"/>
    <s v="1236 N 1210 W"/>
    <s v="UT"/>
    <s v="Saint George"/>
    <s v="84770-4850"/>
    <s v="PS3005N"/>
    <s v="POWER SUPPLY 250W CE TUV W/O D"/>
    <s v="20115199"/>
    <s v="4.1"/>
    <x v="446"/>
    <n v="1960921"/>
    <d v="2016-10-05T10:52:07"/>
    <m/>
    <d v="2016-10-26T00:00:00"/>
    <d v="2016-11-04T00:00:00"/>
    <d v="2016-10-28T00:00:00"/>
    <m/>
    <n v="1"/>
    <m/>
    <n v="546"/>
    <m/>
    <s v="N204"/>
    <s v="NWK ACCESS TECH"/>
    <s v="ACCESS OTHER"/>
    <s v="OTHER AURORA"/>
    <s v="N204"/>
    <s v="AS-STANDARD ORDER MIXED"/>
    <s v="A-SURFACE"/>
    <s v="OP"/>
    <n v="1249787"/>
    <s v="A-SURFACE"/>
    <m/>
    <m/>
    <m/>
    <s v="A-SURFACE"/>
    <s v="LTL"/>
    <s v="EXW"/>
    <s v="Prepay &amp; Add"/>
    <m/>
    <m/>
    <m/>
    <m/>
    <m/>
    <m/>
    <m/>
    <s v="0"/>
    <s v="0"/>
  </r>
  <r>
    <s v="SJ2"/>
    <s v="5022557"/>
    <s v="TDS Telecom"/>
    <s v="SAINT GEORGE002"/>
    <s v="R023P73L6"/>
    <s v="SJ2_STAG"/>
    <s v="BAJA-ST GEORGE WHSE"/>
    <s v="1236 N 1210 W"/>
    <s v="UT"/>
    <s v="Saint George"/>
    <s v="84770-4850"/>
    <s v="CX3002"/>
    <s v="COMMUNICATIONS MODULE"/>
    <s v="20115199"/>
    <s v="5.1"/>
    <x v="446"/>
    <n v="1960917"/>
    <d v="2016-10-05T10:52:07"/>
    <m/>
    <d v="2016-10-26T00:00:00"/>
    <d v="2016-11-04T00:00:00"/>
    <d v="2016-10-28T00:00:00"/>
    <m/>
    <n v="1"/>
    <m/>
    <n v="442"/>
    <m/>
    <s v="N080"/>
    <s v="NWK ACCESS TECH"/>
    <s v="HEO"/>
    <s v="HEO MISC AURORA"/>
    <s v="N080"/>
    <s v="AS-STANDARD ORDER MIXED"/>
    <s v="A-SURFACE"/>
    <s v="OP"/>
    <n v="1249787"/>
    <s v="A-SURFACE"/>
    <m/>
    <m/>
    <m/>
    <s v="A-SURFACE"/>
    <s v="LTL"/>
    <s v="EXW"/>
    <s v="Prepay &amp; Add"/>
    <m/>
    <m/>
    <m/>
    <m/>
    <m/>
    <m/>
    <m/>
    <s v="0"/>
    <s v="0"/>
  </r>
  <r>
    <s v="SJ2"/>
    <s v="5022557"/>
    <s v="TDS Telecom"/>
    <s v="SAINT GEORGE002"/>
    <s v="REC1"/>
    <s v="SJ2_STAG"/>
    <s v="BAJA-ST GEORGE WHSE"/>
    <s v="1236 N 1210 W"/>
    <s v="UT"/>
    <s v="Saint George"/>
    <s v="84770-4850"/>
    <s v="AT3552R-29-02-AS"/>
    <s v="ANLG XMTR XMOD LC RFOG GRP A I"/>
    <s v="20115199"/>
    <s v="7.1"/>
    <x v="446"/>
    <n v="1960921"/>
    <d v="2016-10-05T10:52:07"/>
    <m/>
    <d v="2016-10-26T00:00:00"/>
    <d v="2016-11-04T00:00:00"/>
    <d v="2016-10-28T00:00:00"/>
    <m/>
    <n v="1"/>
    <m/>
    <n v="5850"/>
    <m/>
    <s v="N006"/>
    <s v="NWK ACCESS TECH"/>
    <s v="HEO"/>
    <s v="TRANSMITTERS AURORA"/>
    <s v="N006"/>
    <s v="AS-STANDARD ORDER MIXED"/>
    <s v="A-SURFACE"/>
    <s v="OP"/>
    <n v="1249787"/>
    <s v="A-SURFACE"/>
    <m/>
    <m/>
    <m/>
    <s v="A-SURFACE"/>
    <s v="LTL"/>
    <s v="EXW"/>
    <s v="Prepay &amp; Add"/>
    <m/>
    <m/>
    <m/>
    <m/>
    <m/>
    <m/>
    <m/>
    <s v="0"/>
    <s v="0"/>
  </r>
  <r>
    <s v="SJ2"/>
    <s v="5022557"/>
    <s v="TDS Telecom"/>
    <s v="SAINT GEORGE002"/>
    <s v="R023P08L3"/>
    <s v="SJ2_STAG"/>
    <s v="BAJA-ST GEORGE WHSE"/>
    <s v="1236 N 1210 W"/>
    <s v="UT"/>
    <s v="Saint George"/>
    <s v="84770-4850"/>
    <s v="BP-A6"/>
    <s v="BACKPLATE RF INP A RF INP B MP"/>
    <s v="20115199"/>
    <s v="8.1"/>
    <x v="446"/>
    <n v="1960921"/>
    <d v="2016-10-05T10:52:07"/>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SAINT GEORGE002"/>
    <s v="R022P46L3"/>
    <s v="SJ2_STAG"/>
    <s v="BAJA-ST GEORGE WHSE"/>
    <s v="1236 N 1210 W"/>
    <s v="UT"/>
    <s v="Saint George"/>
    <s v="84770-4850"/>
    <s v="FA3514S-00-AS"/>
    <s v="FIBEROPTIC AMPLIFIER SINGLE 14"/>
    <s v="20115199"/>
    <s v="9.1"/>
    <x v="446"/>
    <n v="1960921"/>
    <d v="2016-10-05T10:52:07"/>
    <m/>
    <d v="2016-10-26T00:00:00"/>
    <d v="2016-11-04T00:00:00"/>
    <d v="2016-10-28T00:00:00"/>
    <m/>
    <n v="1"/>
    <m/>
    <n v="3510"/>
    <m/>
    <s v="N125"/>
    <s v="NWK ACCESS TECH"/>
    <s v="HEO"/>
    <s v="HEO MISC AURORA"/>
    <s v="EDFA"/>
    <s v="AS-STANDARD ORDER MIXED"/>
    <s v="A-SURFACE"/>
    <s v="OP"/>
    <n v="1249787"/>
    <s v="A-SURFACE"/>
    <m/>
    <m/>
    <m/>
    <s v="A-SURFACE"/>
    <s v="LTL"/>
    <s v="EXW"/>
    <s v="Prepay &amp; Add"/>
    <m/>
    <m/>
    <m/>
    <m/>
    <m/>
    <m/>
    <m/>
    <s v="0"/>
    <s v="0"/>
  </r>
  <r>
    <s v="SJ2"/>
    <s v="5022557"/>
    <s v="TDS Telecom"/>
    <s v="BEND"/>
    <s v="R022P05L1"/>
    <s v="SJ2_STAG"/>
    <s v="BEND BROADBAND"/>
    <s v="63070 Nels Anderson Rd"/>
    <s v="OR"/>
    <s v="Bend"/>
    <s v="97701-7350"/>
    <s v="DR3421-AS"/>
    <s v="DIGITAL RECEIVER D-CH 3.1875Gb"/>
    <s v="20115382"/>
    <s v="1.1"/>
    <x v="448"/>
    <n v="1960929"/>
    <d v="2016-10-05T18:20:33"/>
    <m/>
    <d v="2016-10-26T00:00:00"/>
    <d v="2016-11-04T00:00:00"/>
    <d v="2016-10-28T00:00:00"/>
    <m/>
    <n v="1"/>
    <m/>
    <n v="884"/>
    <m/>
    <s v="N060"/>
    <s v="NWK ACCESS TECH"/>
    <s v="HEO"/>
    <s v="RECEIVERS AURORA"/>
    <s v="N060"/>
    <s v="AS-STANDARD ORDER MIXED"/>
    <s v="A-SURFACE"/>
    <s v="OP"/>
    <n v="1249787"/>
    <s v="A-SURFACE"/>
    <m/>
    <m/>
    <m/>
    <s v="A-SURFACE"/>
    <s v="LTL"/>
    <s v="EXW"/>
    <s v="Prepay &amp; Add"/>
    <m/>
    <m/>
    <m/>
    <m/>
    <m/>
    <m/>
    <m/>
    <s v="0"/>
    <s v="0"/>
  </r>
  <r>
    <s v="SJ2"/>
    <s v="5022557"/>
    <s v="TDS Telecom"/>
    <s v="BEND"/>
    <s v="R023P04L1"/>
    <s v="SJ2_STAG"/>
    <s v="BEND BROADBAND"/>
    <s v="63070 Nels Anderson Rd"/>
    <s v="OR"/>
    <s v="Bend"/>
    <s v="97701-7350"/>
    <s v="TL3000-EJ-00"/>
    <s v="TOOL EXTRACTOR HANDLE CH3000"/>
    <s v="20115382"/>
    <s v="11.1"/>
    <x v="448"/>
    <n v="1960923"/>
    <d v="2016-10-05T18:20:33"/>
    <m/>
    <d v="2016-10-26T00:00:00"/>
    <d v="2016-11-04T00:00:00"/>
    <d v="2016-10-28T00:00:00"/>
    <m/>
    <n v="1"/>
    <m/>
    <n v="7"/>
    <m/>
    <s v="N185"/>
    <s v="NWK ACCESS TECH"/>
    <s v="ACCESS OTHER"/>
    <s v="OTHER AURORA"/>
    <s v="N185"/>
    <s v="AS-STANDARD ORDER MIXED"/>
    <s v="A-SURFACE"/>
    <s v="OP"/>
    <n v="1249787"/>
    <s v="A-SURFACE"/>
    <m/>
    <m/>
    <m/>
    <s v="A-SURFACE"/>
    <s v="LTL"/>
    <s v="EXW"/>
    <s v="Prepay &amp; Add"/>
    <m/>
    <m/>
    <m/>
    <m/>
    <m/>
    <m/>
    <m/>
    <s v="0"/>
    <s v="0"/>
  </r>
  <r>
    <s v="SJ2"/>
    <s v="5022557"/>
    <s v="TDS Telecom"/>
    <s v="BEND"/>
    <s v="R017P59L5"/>
    <s v="SJ2_STAG"/>
    <s v="BEND BROADBAND"/>
    <s v="63070 Nels Anderson Rd"/>
    <s v="OR"/>
    <s v="Bend"/>
    <s v="97701-7350"/>
    <s v="PF3000N-FM-00"/>
    <s v="PASSIVE FRAME 4RU FBR MGT NO C"/>
    <s v="20115382"/>
    <s v="12.1"/>
    <x v="448"/>
    <n v="1960923"/>
    <d v="2016-10-05T18:20:33"/>
    <m/>
    <d v="2016-10-26T00:00:00"/>
    <d v="2016-11-04T00:00:00"/>
    <d v="2016-10-28T00:00:00"/>
    <m/>
    <n v="1"/>
    <m/>
    <n v="143"/>
    <m/>
    <s v="N224"/>
    <s v="NWK ACCESS TECH"/>
    <s v="ACCESS OTHER"/>
    <s v="OTHER AURORA"/>
    <s v="N224"/>
    <s v="AS-STANDARD ORDER MIXED"/>
    <s v="A-SURFACE"/>
    <s v="OP"/>
    <n v="1249787"/>
    <s v="A-SURFACE"/>
    <m/>
    <m/>
    <m/>
    <s v="A-SURFACE"/>
    <s v="LTL"/>
    <s v="EXW"/>
    <s v="Prepay &amp; Add"/>
    <m/>
    <m/>
    <m/>
    <m/>
    <m/>
    <m/>
    <m/>
    <s v="0"/>
    <s v="0"/>
  </r>
  <r>
    <s v="SJ2"/>
    <s v="5022557"/>
    <s v="TDS Telecom"/>
    <s v="BEND"/>
    <s v="R023P07L2"/>
    <s v="SJ2_STAG"/>
    <s v="BEND BROADBAND"/>
    <s v="63070 Nels Anderson Rd"/>
    <s v="OR"/>
    <s v="Bend"/>
    <s v="97701-7350"/>
    <s v="DT3515C-41-1-2-65-AS"/>
    <s v="DGTL XMTR 200km 100GHz 2x5-65M"/>
    <s v="20115382"/>
    <s v="13.1"/>
    <x v="448"/>
    <n v="1960929"/>
    <d v="2016-10-05T18:20:33"/>
    <m/>
    <d v="2016-10-26T00:00:00"/>
    <d v="2016-11-04T00:00:00"/>
    <d v="2016-10-28T00:00:00"/>
    <m/>
    <n v="1"/>
    <m/>
    <n v="1872"/>
    <m/>
    <s v="N063"/>
    <s v="NWK ACCESS TECH"/>
    <s v="HEO"/>
    <s v="TRANSMITTERS AURORA"/>
    <s v="N063"/>
    <s v="AS-STANDARD ORDER MIXED"/>
    <s v="A-SURFACE"/>
    <s v="OP"/>
    <n v="1249787"/>
    <s v="A-SURFACE"/>
    <m/>
    <m/>
    <m/>
    <s v="A-SURFACE"/>
    <s v="LTL"/>
    <s v="EXW"/>
    <s v="Prepay &amp; Add"/>
    <m/>
    <m/>
    <m/>
    <m/>
    <m/>
    <m/>
    <m/>
    <s v="0"/>
    <s v="0"/>
  </r>
  <r>
    <s v="SJ2"/>
    <s v="5022557"/>
    <s v="TDS Telecom"/>
    <s v="BEND"/>
    <s v="R023P08L3"/>
    <s v="SJ2_STAG"/>
    <s v="BEND BROADBAND"/>
    <s v="63070 Nels Anderson Rd"/>
    <s v="OR"/>
    <s v="Bend"/>
    <s v="97701-7350"/>
    <s v="BP-A6"/>
    <s v="BACKPLATE RF INP A RF INP B MP"/>
    <s v="20115382"/>
    <s v="14.1"/>
    <x v="448"/>
    <n v="1960923"/>
    <d v="2016-10-05T18:20:33"/>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ND"/>
    <s v="R017P62L2"/>
    <s v="SJ2_STAG"/>
    <s v="BEND BROADBAND"/>
    <s v="63070 Nels Anderson Rd"/>
    <s v="OR"/>
    <s v="Bend"/>
    <s v="97701-7350"/>
    <s v="BP-F11"/>
    <s v="BACKPLATE OPT INP OPT OUT 1-8"/>
    <s v="20115382"/>
    <s v="18.1"/>
    <x v="448"/>
    <n v="1960923"/>
    <d v="2016-10-05T18:20:33"/>
    <m/>
    <d v="2016-10-26T00:00:00"/>
    <d v="2016-11-04T00:00:00"/>
    <d v="2016-10-28T00:00:00"/>
    <m/>
    <n v="1"/>
    <m/>
    <n v="98"/>
    <m/>
    <s v="N224"/>
    <s v="NWK ACCESS TECH"/>
    <s v="ACCESS OTHER"/>
    <s v="OTHER AURORA"/>
    <s v="N224"/>
    <s v="AS-STANDARD ORDER MIXED"/>
    <s v="A-SURFACE"/>
    <s v="OP"/>
    <n v="1249787"/>
    <s v="A-SURFACE"/>
    <m/>
    <m/>
    <m/>
    <s v="A-SURFACE"/>
    <s v="LTL"/>
    <s v="EXW"/>
    <s v="Prepay &amp; Add"/>
    <m/>
    <m/>
    <m/>
    <m/>
    <m/>
    <m/>
    <m/>
    <s v="0"/>
    <s v="0"/>
  </r>
  <r>
    <s v="SJ2"/>
    <s v="5022557"/>
    <s v="TDS Telecom"/>
    <s v="BEND"/>
    <s v="R022P79L3"/>
    <s v="SJ2_STAG"/>
    <s v="BEND BROADBAND"/>
    <s v="63070 Nels Anderson Rd"/>
    <s v="OR"/>
    <s v="Bend"/>
    <s v="97701-7350"/>
    <s v="RR4000-00-PI"/>
    <s v="RCVR DUAL PLUGGABLE SFP 3 GBPS"/>
    <s v="20115382"/>
    <s v="2.1"/>
    <x v="448"/>
    <n v="1960929"/>
    <d v="2016-10-05T18:20:33"/>
    <m/>
    <d v="2016-10-26T00:00:00"/>
    <d v="2016-11-04T00:00:00"/>
    <d v="2016-10-28T00:00:00"/>
    <m/>
    <n v="1"/>
    <m/>
    <n v="195"/>
    <m/>
    <s v="N224"/>
    <s v="NWK ACCESS TECH"/>
    <s v="ACCESS OTHER"/>
    <s v="OTHER AURORA"/>
    <s v="N224"/>
    <s v="AS-STANDARD ORDER MIXED"/>
    <s v="A-SURFACE"/>
    <s v="OP"/>
    <n v="1249787"/>
    <s v="A-SURFACE"/>
    <m/>
    <m/>
    <m/>
    <s v="A-SURFACE"/>
    <s v="LTL"/>
    <s v="EXW"/>
    <s v="Prepay &amp; Add"/>
    <m/>
    <m/>
    <m/>
    <m/>
    <m/>
    <m/>
    <m/>
    <s v="0"/>
    <s v="0"/>
  </r>
  <r>
    <s v="SJ2"/>
    <s v="5022557"/>
    <s v="TDS Telecom"/>
    <s v="BEND"/>
    <s v="R022P17L3"/>
    <s v="SJ2_STAG"/>
    <s v="BEND BROADBAND"/>
    <s v="63070 Nels Anderson Rd"/>
    <s v="OR"/>
    <s v="Bend"/>
    <s v="97701-7350"/>
    <s v="BP-A4"/>
    <s v="BACKPLATE RF INP OPTICAL OUT M"/>
    <s v="20115382"/>
    <s v="20.1"/>
    <x v="448"/>
    <n v="1960998"/>
    <d v="2016-10-05T18:20:33"/>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ND"/>
    <s v="R023P07L2"/>
    <s v="SJ2_STAG"/>
    <s v="BEND BROADBAND"/>
    <s v="63070 Nels Anderson Rd"/>
    <s v="OR"/>
    <s v="Bend"/>
    <s v="97701-7350"/>
    <s v="DT3515C-41-1-2-65-AS"/>
    <s v="DGTL XMTR 200km 100GHz 2x5-65M"/>
    <s v="20115382"/>
    <s v="21.1"/>
    <x v="448"/>
    <n v="1960929"/>
    <d v="2016-10-05T18:20:33"/>
    <m/>
    <d v="2016-10-26T00:00:00"/>
    <d v="2016-11-04T00:00:00"/>
    <d v="2016-10-28T00:00:00"/>
    <m/>
    <n v="1"/>
    <m/>
    <n v="1872"/>
    <m/>
    <s v="N063"/>
    <s v="NWK ACCESS TECH"/>
    <s v="HEO"/>
    <s v="TRANSMITTERS AURORA"/>
    <s v="N063"/>
    <s v="AS-STANDARD ORDER MIXED"/>
    <s v="A-SURFACE"/>
    <s v="OP"/>
    <n v="1249787"/>
    <s v="A-SURFACE"/>
    <m/>
    <m/>
    <m/>
    <s v="A-SURFACE"/>
    <s v="LTL"/>
    <s v="EXW"/>
    <s v="Prepay &amp; Add"/>
    <m/>
    <m/>
    <m/>
    <m/>
    <m/>
    <m/>
    <m/>
    <s v="0"/>
    <s v="0"/>
  </r>
  <r>
    <s v="SJ2"/>
    <s v="5022557"/>
    <s v="TDS Telecom"/>
    <s v="BEND"/>
    <s v="R023P08L3"/>
    <s v="SJ2_STAG"/>
    <s v="BEND BROADBAND"/>
    <s v="63070 Nels Anderson Rd"/>
    <s v="OR"/>
    <s v="Bend"/>
    <s v="97701-7350"/>
    <s v="BP-A6"/>
    <s v="BACKPLATE RF INP A RF INP B MP"/>
    <s v="20115382"/>
    <s v="22.1"/>
    <x v="448"/>
    <n v="1960923"/>
    <d v="2016-10-05T18:20:33"/>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ND"/>
    <s v="R022P17L3"/>
    <s v="SJ2_STAG"/>
    <s v="BEND BROADBAND"/>
    <s v="63070 Nels Anderson Rd"/>
    <s v="OR"/>
    <s v="Bend"/>
    <s v="97701-7350"/>
    <s v="BP-A4"/>
    <s v="BACKPLATE RF INP OPTICAL OUT M"/>
    <s v="20115382"/>
    <s v="4.1"/>
    <x v="448"/>
    <n v="1960998"/>
    <d v="2016-10-05T18:20:33"/>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ND"/>
    <s v="R015P46L5"/>
    <s v="SJ2_STAG"/>
    <s v="BEND BROADBAND"/>
    <s v="63070 Nels Anderson Rd"/>
    <s v="OR"/>
    <s v="Bend"/>
    <s v="97701-7350"/>
    <s v="CH3000N"/>
    <s v="CHASSIS NO COVERS 3RU"/>
    <s v="20115382"/>
    <s v="5.1"/>
    <x v="448"/>
    <n v="1960998"/>
    <d v="2016-10-05T18:20:33"/>
    <m/>
    <d v="2016-10-26T00:00:00"/>
    <d v="2016-11-04T00:00:00"/>
    <d v="2016-10-28T00:00:00"/>
    <m/>
    <n v="1"/>
    <m/>
    <n v="260"/>
    <m/>
    <s v="N199"/>
    <s v="NWK ACCESS TECH"/>
    <s v="HEO"/>
    <s v="HEO MISC AURORA"/>
    <s v="N199"/>
    <s v="AS-STANDARD ORDER MIXED"/>
    <s v="A-SURFACE"/>
    <s v="OP"/>
    <n v="1249787"/>
    <s v="A-SURFACE"/>
    <m/>
    <m/>
    <m/>
    <s v="A-SURFACE"/>
    <s v="LTL"/>
    <s v="EXW"/>
    <s v="Prepay &amp; Add"/>
    <m/>
    <m/>
    <m/>
    <m/>
    <m/>
    <m/>
    <m/>
    <s v="0"/>
    <s v="0"/>
  </r>
  <r>
    <s v="SJ2"/>
    <s v="5022557"/>
    <s v="TDS Telecom"/>
    <s v="BEND"/>
    <s v="R016P17L1B01"/>
    <s v="SJ2_STAG"/>
    <s v="BEND BROADBAND"/>
    <s v="63070 Nels Anderson Rd"/>
    <s v="OR"/>
    <s v="Bend"/>
    <s v="97701-7350"/>
    <s v="CH3000U-FM-00"/>
    <s v="ADAPTER FIBER MGT FOR CH3000 C"/>
    <s v="20115382"/>
    <s v="6.1"/>
    <x v="448"/>
    <n v="1960998"/>
    <d v="2016-10-05T18:20:33"/>
    <m/>
    <d v="2016-10-26T00:00:00"/>
    <d v="2016-11-04T00:00:00"/>
    <d v="2016-10-28T00:00:00"/>
    <m/>
    <n v="1"/>
    <m/>
    <n v="65"/>
    <m/>
    <s v="N199"/>
    <s v="NWK ACCESS TECH"/>
    <s v="HEO"/>
    <s v="HEO MISC AURORA"/>
    <s v="N199"/>
    <s v="AS-STANDARD ORDER MIXED"/>
    <s v="A-SURFACE"/>
    <s v="OP"/>
    <n v="1249787"/>
    <s v="A-SURFACE"/>
    <m/>
    <m/>
    <m/>
    <s v="A-SURFACE"/>
    <s v="LTL"/>
    <s v="EXW"/>
    <s v="Prepay &amp; Add"/>
    <m/>
    <m/>
    <m/>
    <m/>
    <m/>
    <m/>
    <m/>
    <s v="0"/>
    <s v="0"/>
  </r>
  <r>
    <s v="SJ2"/>
    <s v="5022557"/>
    <s v="TDS Telecom"/>
    <s v="BEND"/>
    <s v="R016P12L1B01"/>
    <s v="SJ2_STAG"/>
    <s v="BEND BROADBAND"/>
    <s v="63070 Nels Anderson Rd"/>
    <s v="OR"/>
    <s v="Bend"/>
    <s v="97701-7350"/>
    <s v="PS3148N"/>
    <s v="POWER SUPPLY NO DISPLAY -48VDC"/>
    <s v="20115382"/>
    <s v="8.1"/>
    <x v="448"/>
    <n v="1960998"/>
    <d v="2016-10-05T18:20:33"/>
    <m/>
    <d v="2016-10-26T00:00:00"/>
    <d v="2016-11-04T00:00:00"/>
    <d v="2016-10-28T00:00:00"/>
    <m/>
    <n v="1"/>
    <m/>
    <n v="637"/>
    <m/>
    <s v="N204"/>
    <s v="NWK ACCESS TECH"/>
    <s v="ACCESS OTHER"/>
    <s v="OTHER AURORA"/>
    <s v="N204"/>
    <s v="AS-STANDARD ORDER MIXED"/>
    <s v="A-SURFACE"/>
    <s v="OP"/>
    <n v="1249787"/>
    <s v="A-SURFACE"/>
    <m/>
    <m/>
    <m/>
    <s v="A-SURFACE"/>
    <s v="LTL"/>
    <s v="EXW"/>
    <s v="Prepay &amp; Add"/>
    <m/>
    <m/>
    <m/>
    <m/>
    <m/>
    <m/>
    <m/>
    <s v="0"/>
    <s v="0"/>
  </r>
  <r>
    <s v="SJ2"/>
    <s v="5022557"/>
    <s v="TDS Telecom"/>
    <s v="BEND"/>
    <s v="R023P73L6"/>
    <s v="SJ2_STAG"/>
    <s v="BEND BROADBAND"/>
    <s v="63070 Nels Anderson Rd"/>
    <s v="OR"/>
    <s v="Bend"/>
    <s v="97701-7350"/>
    <s v="CX3002"/>
    <s v="COMMUNICATIONS MODULE"/>
    <s v="20115382"/>
    <s v="9.1"/>
    <x v="448"/>
    <n v="1960929"/>
    <d v="2016-10-05T18:20:33"/>
    <m/>
    <d v="2016-10-26T00:00:00"/>
    <d v="2016-11-04T00:00:00"/>
    <d v="2016-10-28T00:00:00"/>
    <m/>
    <n v="1"/>
    <m/>
    <n v="442"/>
    <m/>
    <s v="N080"/>
    <s v="NWK ACCESS TECH"/>
    <s v="HEO"/>
    <s v="HEO MISC AURORA"/>
    <s v="N080"/>
    <s v="AS-STANDARD ORDER MIXED"/>
    <s v="A-SURFACE"/>
    <s v="OP"/>
    <n v="1249787"/>
    <s v="A-SURFACE"/>
    <m/>
    <m/>
    <m/>
    <s v="A-SURFACE"/>
    <s v="LTL"/>
    <s v="EXW"/>
    <s v="Prepay &amp; Add"/>
    <m/>
    <m/>
    <m/>
    <m/>
    <m/>
    <m/>
    <m/>
    <s v="0"/>
    <s v="0"/>
  </r>
  <r>
    <s v="SJ2"/>
    <s v="5022557"/>
    <s v="TDS Telecom"/>
    <s v="BEND"/>
    <s v="R015P46L5"/>
    <s v="SJ2_STAG"/>
    <s v="BEND BROADBAND"/>
    <s v="63070 Nels Anderson Rd"/>
    <s v="OR"/>
    <s v="Bend"/>
    <s v="97701-7350"/>
    <s v="CH3000N"/>
    <s v="CHASSIS NO COVERS 3RU"/>
    <s v="20115521"/>
    <s v="1.1"/>
    <x v="448"/>
    <n v="1960998"/>
    <d v="2016-10-06T13:19:27"/>
    <m/>
    <d v="2016-10-26T00:00:00"/>
    <d v="2016-11-04T00:00:00"/>
    <d v="2016-10-28T00:00:00"/>
    <m/>
    <n v="1"/>
    <m/>
    <n v="260"/>
    <m/>
    <s v="N199"/>
    <s v="NWK ACCESS TECH"/>
    <s v="HEO"/>
    <s v="HEO MISC AURORA"/>
    <s v="N199"/>
    <s v="AS-STANDARD ORDER MIXED"/>
    <s v="A-SURFACE"/>
    <s v="OP"/>
    <n v="1249787"/>
    <s v="A-SURFACE"/>
    <m/>
    <m/>
    <m/>
    <s v="A-SURFACE"/>
    <s v="LTL"/>
    <s v="EXW"/>
    <s v="Prepay &amp; Add"/>
    <m/>
    <m/>
    <m/>
    <m/>
    <m/>
    <m/>
    <m/>
    <s v="0"/>
    <s v="0"/>
  </r>
  <r>
    <s v="SJ2"/>
    <s v="5022557"/>
    <s v="TDS Telecom"/>
    <s v="BEND"/>
    <s v="R017P62L2"/>
    <s v="SJ2_STAG"/>
    <s v="BEND BROADBAND"/>
    <s v="63070 Nels Anderson Rd"/>
    <s v="OR"/>
    <s v="Bend"/>
    <s v="97701-7350"/>
    <s v="BP-F11"/>
    <s v="BACKPLATE OPT INP OPT OUT 1-8"/>
    <s v="20115521"/>
    <s v="11.1"/>
    <x v="448"/>
    <n v="1960923"/>
    <d v="2016-10-06T13:19:27"/>
    <m/>
    <d v="2016-10-26T00:00:00"/>
    <d v="2016-11-04T00:00:00"/>
    <d v="2016-10-28T00:00:00"/>
    <m/>
    <n v="1"/>
    <m/>
    <n v="98"/>
    <m/>
    <s v="N224"/>
    <s v="NWK ACCESS TECH"/>
    <s v="ACCESS OTHER"/>
    <s v="OTHER AURORA"/>
    <s v="N224"/>
    <s v="AS-STANDARD ORDER MIXED"/>
    <s v="A-SURFACE"/>
    <s v="OP"/>
    <n v="1249787"/>
    <s v="A-SURFACE"/>
    <m/>
    <m/>
    <m/>
    <s v="A-SURFACE"/>
    <s v="LTL"/>
    <s v="EXW"/>
    <s v="Prepay &amp; Add"/>
    <m/>
    <m/>
    <m/>
    <m/>
    <m/>
    <m/>
    <m/>
    <s v="0"/>
    <s v="0"/>
  </r>
  <r>
    <s v="SJ2"/>
    <s v="5022557"/>
    <s v="TDS Telecom"/>
    <s v="BEND"/>
    <s v="R016P17L1B01"/>
    <s v="SJ2_STAG"/>
    <s v="BEND BROADBAND"/>
    <s v="63070 Nels Anderson Rd"/>
    <s v="OR"/>
    <s v="Bend"/>
    <s v="97701-7350"/>
    <s v="CH3000U-FM-00"/>
    <s v="ADAPTER FIBER MGT FOR CH3000 C"/>
    <s v="20115521"/>
    <s v="2.1"/>
    <x v="448"/>
    <n v="1960998"/>
    <d v="2016-10-06T13:19:27"/>
    <m/>
    <d v="2016-10-26T00:00:00"/>
    <d v="2016-11-04T00:00:00"/>
    <d v="2016-10-28T00:00:00"/>
    <m/>
    <n v="1"/>
    <m/>
    <n v="65"/>
    <m/>
    <s v="N199"/>
    <s v="NWK ACCESS TECH"/>
    <s v="HEO"/>
    <s v="HEO MISC AURORA"/>
    <s v="N199"/>
    <s v="AS-STANDARD ORDER MIXED"/>
    <s v="A-SURFACE"/>
    <s v="OP"/>
    <n v="1249787"/>
    <s v="A-SURFACE"/>
    <m/>
    <m/>
    <m/>
    <s v="A-SURFACE"/>
    <s v="LTL"/>
    <s v="EXW"/>
    <s v="Prepay &amp; Add"/>
    <m/>
    <m/>
    <m/>
    <m/>
    <m/>
    <m/>
    <m/>
    <s v="0"/>
    <s v="0"/>
  </r>
  <r>
    <s v="SJ2"/>
    <s v="5022557"/>
    <s v="TDS Telecom"/>
    <s v="BEND"/>
    <s v="R015P16L2"/>
    <s v="SJ2_STAG"/>
    <s v="BEND BROADBAND"/>
    <s v="63070 Nels Anderson Rd"/>
    <s v="OR"/>
    <s v="Bend"/>
    <s v="97701-7350"/>
    <s v="PS3005D"/>
    <s v="POWER SUPPLY 250W CE TUV W/DIS"/>
    <s v="20115521"/>
    <s v="3.1"/>
    <x v="448"/>
    <n v="1960923"/>
    <d v="2016-10-06T13:19:27"/>
    <m/>
    <d v="2016-10-26T00:00:00"/>
    <d v="2016-11-04T00:00:00"/>
    <d v="2016-10-28T00:00:00"/>
    <m/>
    <n v="1"/>
    <m/>
    <n v="650"/>
    <m/>
    <s v="N204"/>
    <s v="NWK ACCESS TECH"/>
    <s v="ACCESS OTHER"/>
    <s v="OTHER AURORA"/>
    <s v="N204"/>
    <s v="AS-STANDARD ORDER MIXED"/>
    <s v="A-SURFACE"/>
    <s v="OP"/>
    <n v="1249787"/>
    <s v="A-SURFACE"/>
    <m/>
    <m/>
    <m/>
    <s v="A-SURFACE"/>
    <s v="LTL"/>
    <s v="EXW"/>
    <s v="Prepay &amp; Add"/>
    <m/>
    <m/>
    <m/>
    <m/>
    <m/>
    <m/>
    <m/>
    <s v="0"/>
    <s v="0"/>
  </r>
  <r>
    <s v="SJ2"/>
    <s v="5022557"/>
    <s v="TDS Telecom"/>
    <s v="BEND"/>
    <s v="R015P39L2"/>
    <s v="SJ2_STAG"/>
    <s v="BEND BROADBAND"/>
    <s v="63070 Nels Anderson Rd"/>
    <s v="OR"/>
    <s v="Bend"/>
    <s v="97701-7350"/>
    <s v="PS3005N"/>
    <s v="POWER SUPPLY 250W CE TUV W/O D"/>
    <s v="20115521"/>
    <s v="4.1"/>
    <x v="448"/>
    <n v="1960923"/>
    <d v="2016-10-06T13:19:27"/>
    <m/>
    <d v="2016-10-26T00:00:00"/>
    <d v="2016-11-04T00:00:00"/>
    <d v="2016-10-28T00:00:00"/>
    <m/>
    <n v="1"/>
    <m/>
    <n v="546"/>
    <m/>
    <s v="N204"/>
    <s v="NWK ACCESS TECH"/>
    <s v="ACCESS OTHER"/>
    <s v="OTHER AURORA"/>
    <s v="N204"/>
    <s v="AS-STANDARD ORDER MIXED"/>
    <s v="A-SURFACE"/>
    <s v="OP"/>
    <n v="1249787"/>
    <s v="A-SURFACE"/>
    <m/>
    <m/>
    <m/>
    <s v="A-SURFACE"/>
    <s v="LTL"/>
    <s v="EXW"/>
    <s v="Prepay &amp; Add"/>
    <m/>
    <m/>
    <m/>
    <m/>
    <m/>
    <m/>
    <m/>
    <s v="0"/>
    <s v="0"/>
  </r>
  <r>
    <s v="SJ2"/>
    <s v="5022557"/>
    <s v="TDS Telecom"/>
    <s v="BEND"/>
    <s v="R023P73L6"/>
    <s v="SJ2_STAG"/>
    <s v="BEND BROADBAND"/>
    <s v="63070 Nels Anderson Rd"/>
    <s v="OR"/>
    <s v="Bend"/>
    <s v="97701-7350"/>
    <s v="CX3002"/>
    <s v="COMMUNICATIONS MODULE"/>
    <s v="20115521"/>
    <s v="5.1"/>
    <x v="448"/>
    <n v="1960929"/>
    <d v="2016-10-06T13:19:27"/>
    <m/>
    <d v="2016-10-26T00:00:00"/>
    <d v="2016-11-04T00:00:00"/>
    <d v="2016-10-28T00:00:00"/>
    <m/>
    <n v="1"/>
    <m/>
    <n v="442"/>
    <m/>
    <s v="N080"/>
    <s v="NWK ACCESS TECH"/>
    <s v="HEO"/>
    <s v="HEO MISC AURORA"/>
    <s v="N080"/>
    <s v="AS-STANDARD ORDER MIXED"/>
    <s v="A-SURFACE"/>
    <s v="OP"/>
    <n v="1249787"/>
    <s v="A-SURFACE"/>
    <m/>
    <m/>
    <m/>
    <s v="A-SURFACE"/>
    <s v="LTL"/>
    <s v="EXW"/>
    <s v="Prepay &amp; Add"/>
    <m/>
    <m/>
    <m/>
    <m/>
    <m/>
    <m/>
    <m/>
    <s v="0"/>
    <s v="0"/>
  </r>
  <r>
    <s v="SJ2"/>
    <s v="5022557"/>
    <s v="TDS Telecom"/>
    <s v="BEND"/>
    <s v="R023P04L1"/>
    <s v="SJ2_STAG"/>
    <s v="BEND BROADBAND"/>
    <s v="63070 Nels Anderson Rd"/>
    <s v="OR"/>
    <s v="Bend"/>
    <s v="97701-7350"/>
    <s v="TL3000-EJ-00"/>
    <s v="TOOL EXTRACTOR HANDLE CH3000"/>
    <s v="20115521"/>
    <s v="7.1"/>
    <x v="448"/>
    <n v="1960923"/>
    <d v="2016-10-06T13:19:27"/>
    <m/>
    <d v="2016-10-26T00:00:00"/>
    <d v="2016-11-04T00:00:00"/>
    <d v="2016-10-28T00:00:00"/>
    <m/>
    <n v="1"/>
    <m/>
    <n v="7"/>
    <m/>
    <s v="N185"/>
    <s v="NWK ACCESS TECH"/>
    <s v="ACCESS OTHER"/>
    <s v="OTHER AURORA"/>
    <s v="N185"/>
    <s v="AS-STANDARD ORDER MIXED"/>
    <s v="A-SURFACE"/>
    <s v="OP"/>
    <n v="1249787"/>
    <s v="A-SURFACE"/>
    <m/>
    <m/>
    <m/>
    <s v="A-SURFACE"/>
    <s v="LTL"/>
    <s v="EXW"/>
    <s v="Prepay &amp; Add"/>
    <m/>
    <m/>
    <m/>
    <m/>
    <m/>
    <m/>
    <m/>
    <s v="0"/>
    <s v="0"/>
  </r>
  <r>
    <s v="SJ2"/>
    <s v="5022557"/>
    <s v="TDS Telecom"/>
    <s v="BEND"/>
    <s v="R023P08L3"/>
    <s v="SJ2_STAG"/>
    <s v="BEND BROADBAND"/>
    <s v="63070 Nels Anderson Rd"/>
    <s v="OR"/>
    <s v="Bend"/>
    <s v="97701-7350"/>
    <s v="BP-A6"/>
    <s v="BACKPLATE RF INP A RF INP B MP"/>
    <s v="20115521"/>
    <s v="9.1"/>
    <x v="448"/>
    <n v="1960923"/>
    <d v="2016-10-06T13:19:27"/>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RTHOUD"/>
    <s v="R023P46L2"/>
    <s v="SJ2_STAG"/>
    <s v="TDS-TELECOM"/>
    <s v="266 Basher Dr"/>
    <s v="CO"/>
    <s v="Berthoud"/>
    <s v="80513-9163"/>
    <s v="AT3552R-29-02-AS"/>
    <s v="ANLG XMTR XMOD LC RFOG GRP A I"/>
    <s v="20115582"/>
    <s v="1.1"/>
    <x v="449"/>
    <n v="1960919"/>
    <d v="2016-10-06T16:39:14"/>
    <m/>
    <d v="2016-10-26T00:00:00"/>
    <d v="2016-11-04T00:00:00"/>
    <d v="2016-10-28T00:00:00"/>
    <m/>
    <n v="1"/>
    <m/>
    <n v="5850"/>
    <m/>
    <s v="N006"/>
    <s v="NWK ACCESS TECH"/>
    <s v="HEO"/>
    <s v="TRANSMITTERS AURORA"/>
    <s v="N006"/>
    <s v="AS-STANDARD ORDER MIXED"/>
    <s v="A-SURFACE"/>
    <s v="OP"/>
    <n v="1249787"/>
    <s v="A-SURFACE"/>
    <m/>
    <m/>
    <m/>
    <s v="A-SURFACE"/>
    <s v="LTL"/>
    <s v="EXW"/>
    <s v="Prepay &amp; Add"/>
    <m/>
    <m/>
    <m/>
    <m/>
    <m/>
    <m/>
    <m/>
    <s v="0"/>
    <s v="0"/>
  </r>
  <r>
    <s v="SJ2"/>
    <s v="5022557"/>
    <s v="TDS Telecom"/>
    <s v="BERTHOUD"/>
    <s v="R023P46L1"/>
    <s v="SJ2_STAG"/>
    <s v="TDS-TELECOM"/>
    <s v="266 Basher Dr"/>
    <s v="CO"/>
    <s v="Berthoud"/>
    <s v="80513-9163"/>
    <s v="RR4010-00-PI"/>
    <s v="RCVR DUAL PLUGGABLE SFP 3 GBPS"/>
    <s v="20115582"/>
    <s v="10.1"/>
    <x v="449"/>
    <n v="1960954"/>
    <d v="2016-10-06T16:39:14"/>
    <m/>
    <d v="2016-10-26T00:00:00"/>
    <d v="2016-11-04T00:00:00"/>
    <d v="2016-10-28T00:00:00"/>
    <m/>
    <n v="1"/>
    <m/>
    <n v="325"/>
    <m/>
    <s v="N224"/>
    <s v="NWK ACCESS TECH"/>
    <s v="ACCESS OTHER"/>
    <s v="OTHER AURORA"/>
    <s v="N224"/>
    <s v="AS-STANDARD ORDER MIXED"/>
    <s v="A-SURFACE"/>
    <s v="OP"/>
    <n v="1249787"/>
    <s v="A-SURFACE"/>
    <m/>
    <m/>
    <m/>
    <s v="A-SURFACE"/>
    <s v="LTL"/>
    <s v="EXW"/>
    <s v="Prepay &amp; Add"/>
    <m/>
    <m/>
    <m/>
    <m/>
    <m/>
    <m/>
    <m/>
    <s v="0"/>
    <s v="0"/>
  </r>
  <r>
    <s v="SJ2"/>
    <s v="5022557"/>
    <s v="TDS Telecom"/>
    <s v="BERTHOUD"/>
    <s v="R015P61L2"/>
    <s v="SJ2_STAG"/>
    <s v="TDS-TELECOM"/>
    <s v="266 Basher Dr"/>
    <s v="CO"/>
    <s v="Berthoud"/>
    <s v="80513-9163"/>
    <s v="BP3400C-00"/>
    <s v="BACKPLATE 4.25 GB/S 1-FER/2-FE"/>
    <s v="20115582"/>
    <s v="11.1"/>
    <x v="449"/>
    <n v="1960993"/>
    <d v="2016-10-06T16:39:14"/>
    <m/>
    <d v="2016-10-26T00:00:00"/>
    <d v="2016-11-04T00:00:00"/>
    <d v="2016-10-28T00:00:00"/>
    <m/>
    <n v="1"/>
    <m/>
    <n v="520"/>
    <m/>
    <s v="N076"/>
    <s v="NWK ACCESS TECH"/>
    <s v="HEO"/>
    <s v="HEO MISC AURORA"/>
    <s v="N076"/>
    <s v="AS-STANDARD ORDER MIXED"/>
    <s v="A-SURFACE"/>
    <s v="OP"/>
    <n v="1249787"/>
    <s v="A-SURFACE"/>
    <m/>
    <m/>
    <m/>
    <s v="A-SURFACE"/>
    <s v="LTL"/>
    <s v="EXW"/>
    <s v="Prepay &amp; Add"/>
    <m/>
    <m/>
    <m/>
    <m/>
    <m/>
    <m/>
    <m/>
    <s v="0"/>
    <s v="0"/>
  </r>
  <r>
    <s v="SJ2"/>
    <s v="5022557"/>
    <s v="TDS Telecom"/>
    <s v="BERTHOUD"/>
    <s v="R016P31L3B02"/>
    <s v="SJ2_STAG"/>
    <s v="TDS-TELECOM"/>
    <s v="266 Basher Dr"/>
    <s v="CO"/>
    <s v="Berthoud"/>
    <s v="80513-9163"/>
    <s v="DR3450N-75-00"/>
    <s v="DIGITAL RECEIVER Q-RX 5-65MHZ"/>
    <s v="20115582"/>
    <s v="12.1"/>
    <x v="449"/>
    <n v="1960919"/>
    <d v="2016-10-06T16:39:14"/>
    <m/>
    <d v="2016-10-26T00:00:00"/>
    <d v="2016-11-04T00:00:00"/>
    <d v="2016-10-28T00:00:00"/>
    <m/>
    <n v="1"/>
    <m/>
    <n v="1200"/>
    <m/>
    <s v="N275"/>
    <s v="NWK ACCESS TECH"/>
    <s v="HEO"/>
    <s v="RECEIVERS AURORA"/>
    <s v="N275"/>
    <s v="AS-STANDARD ORDER MIXED"/>
    <s v="A-SURFACE"/>
    <s v="OP"/>
    <n v="1249787"/>
    <s v="A-SURFACE"/>
    <m/>
    <m/>
    <m/>
    <s v="A-SURFACE"/>
    <s v="LTL"/>
    <s v="EXW"/>
    <s v="Prepay &amp; Add"/>
    <m/>
    <m/>
    <m/>
    <m/>
    <m/>
    <m/>
    <m/>
    <s v="0"/>
    <s v="0"/>
  </r>
  <r>
    <s v="SJ2"/>
    <s v="5022557"/>
    <s v="TDS Telecom"/>
    <s v="BERTHOUD"/>
    <s v="R023P68L9"/>
    <s v="SJ2_STAG"/>
    <s v="TDS-TELECOM"/>
    <s v="266 Basher Dr"/>
    <s v="CO"/>
    <s v="Berthoud"/>
    <s v="80513-9163"/>
    <s v="NP35R03S00Z0S-0LA-AS"/>
    <s v="CIR LGX 1550NM 3-PORT SC/APC S"/>
    <s v="20115582"/>
    <s v="15.1"/>
    <x v="449"/>
    <n v="1960919"/>
    <d v="2016-10-06T16:39:14"/>
    <m/>
    <d v="2016-10-26T00:00:00"/>
    <d v="2016-11-04T00:00:00"/>
    <d v="2016-10-28T00:00:00"/>
    <m/>
    <n v="2"/>
    <m/>
    <n v="864"/>
    <m/>
    <s v="N148"/>
    <s v="NWK ACCESS TECH"/>
    <s v="OPTICAL PASSIVES"/>
    <s v="INDOOR PASSIVES AURORA"/>
    <s v="N148"/>
    <s v="AS-STANDARD ORDER MIXED"/>
    <s v="A-SURFACE"/>
    <s v="OP"/>
    <n v="1249787"/>
    <s v="A-SURFACE"/>
    <m/>
    <m/>
    <m/>
    <s v="A-SURFACE"/>
    <s v="LTL"/>
    <s v="EXW"/>
    <s v="Prepay &amp; Add"/>
    <m/>
    <m/>
    <m/>
    <m/>
    <m/>
    <m/>
    <m/>
    <s v="0"/>
    <s v="0"/>
  </r>
  <r>
    <s v="SJ2"/>
    <s v="5022557"/>
    <s v="TDS Telecom"/>
    <s v="BERTHOUD"/>
    <s v="R022P35L7"/>
    <s v="SJ2_STAG"/>
    <s v="TDS-TELECOM"/>
    <s v="266 Basher Dr"/>
    <s v="CO"/>
    <s v="Berthoud"/>
    <s v="80513-9163"/>
    <s v="DC1540-00-0-AS"/>
    <s v="DISPERSION COMPENSATOR 1RU 40K"/>
    <s v="20115582"/>
    <s v="16.1"/>
    <x v="449"/>
    <n v="1960919"/>
    <d v="2016-10-06T16:39:14"/>
    <m/>
    <d v="2016-10-26T00:00:00"/>
    <d v="2016-11-04T00:00:00"/>
    <d v="2016-10-28T00:00:00"/>
    <m/>
    <n v="1"/>
    <m/>
    <n v="7800"/>
    <m/>
    <s v="N123"/>
    <s v="NWK ACCESS TECH"/>
    <s v="OPTICAL PASSIVES"/>
    <s v="INDOOR PASSIVES AURORA"/>
    <s v="N123"/>
    <s v="AS-STANDARD ORDER MIXED"/>
    <s v="A-SURFACE"/>
    <s v="OP"/>
    <n v="1249787"/>
    <s v="A-SURFACE"/>
    <m/>
    <m/>
    <m/>
    <s v="A-SURFACE"/>
    <s v="LTL"/>
    <s v="EXW"/>
    <s v="Prepay &amp; Add"/>
    <m/>
    <m/>
    <m/>
    <m/>
    <m/>
    <m/>
    <m/>
    <s v="0"/>
    <s v="0"/>
  </r>
  <r>
    <s v="SJ2"/>
    <s v="5022557"/>
    <s v="TDS Telecom"/>
    <s v="BERTHOUD"/>
    <s v="R015P46L5"/>
    <s v="SJ2_STAG"/>
    <s v="TDS-TELECOM"/>
    <s v="266 Basher Dr"/>
    <s v="CO"/>
    <s v="Berthoud"/>
    <s v="80513-9163"/>
    <s v="CH3000N"/>
    <s v="CHASSIS NO COVERS 3RU"/>
    <s v="20115582"/>
    <s v="17.1"/>
    <x v="449"/>
    <n v="1960993"/>
    <d v="2016-10-06T16:39:14"/>
    <m/>
    <d v="2016-10-26T00:00:00"/>
    <d v="2016-11-04T00:00:00"/>
    <d v="2016-10-28T00:00:00"/>
    <m/>
    <n v="2"/>
    <m/>
    <n v="520"/>
    <m/>
    <s v="N199"/>
    <s v="NWK ACCESS TECH"/>
    <s v="HEO"/>
    <s v="HEO MISC AURORA"/>
    <s v="N199"/>
    <s v="AS-STANDARD ORDER MIXED"/>
    <s v="A-SURFACE"/>
    <s v="OP"/>
    <n v="1249787"/>
    <s v="A-SURFACE"/>
    <m/>
    <m/>
    <m/>
    <s v="A-SURFACE"/>
    <s v="LTL"/>
    <s v="EXW"/>
    <s v="Prepay &amp; Add"/>
    <m/>
    <m/>
    <m/>
    <m/>
    <m/>
    <m/>
    <m/>
    <s v="0"/>
    <s v="0"/>
  </r>
  <r>
    <s v="SJ2"/>
    <s v="5022557"/>
    <s v="TDS Telecom"/>
    <s v="BERTHOUD"/>
    <s v="R016P17L1B01"/>
    <s v="SJ2_STAG"/>
    <s v="TDS-TELECOM"/>
    <s v="266 Basher Dr"/>
    <s v="CO"/>
    <s v="Berthoud"/>
    <s v="80513-9163"/>
    <s v="CH3000U-FM-00"/>
    <s v="ADAPTER FIBER MGT FOR CH3000 C"/>
    <s v="20115582"/>
    <s v="18.1"/>
    <x v="449"/>
    <n v="1960993"/>
    <d v="2016-10-06T16:39:14"/>
    <m/>
    <d v="2016-10-26T00:00:00"/>
    <d v="2016-11-04T00:00:00"/>
    <d v="2016-10-28T00:00:00"/>
    <m/>
    <n v="2"/>
    <m/>
    <n v="130"/>
    <m/>
    <s v="N199"/>
    <s v="NWK ACCESS TECH"/>
    <s v="HEO"/>
    <s v="HEO MISC AURORA"/>
    <s v="N199"/>
    <s v="AS-STANDARD ORDER MIXED"/>
    <s v="A-SURFACE"/>
    <s v="OP"/>
    <n v="1249787"/>
    <s v="A-SURFACE"/>
    <m/>
    <m/>
    <m/>
    <s v="A-SURFACE"/>
    <s v="LTL"/>
    <s v="EXW"/>
    <s v="Prepay &amp; Add"/>
    <m/>
    <m/>
    <m/>
    <m/>
    <m/>
    <m/>
    <m/>
    <s v="0"/>
    <s v="0"/>
  </r>
  <r>
    <s v="SJ2"/>
    <s v="5022557"/>
    <s v="TDS Telecom"/>
    <s v="BERTHOUD"/>
    <s v="R023P08L3"/>
    <s v="SJ2_STAG"/>
    <s v="TDS-TELECOM"/>
    <s v="266 Basher Dr"/>
    <s v="CO"/>
    <s v="Berthoud"/>
    <s v="80513-9163"/>
    <s v="BP-A6"/>
    <s v="BACKPLATE RF INP A RF INP B MP"/>
    <s v="20115582"/>
    <s v="2.1"/>
    <x v="449"/>
    <n v="1960919"/>
    <d v="2016-10-06T16:39:14"/>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RTHOUD"/>
    <s v="R016P12L1B01"/>
    <s v="SJ2_STAG"/>
    <s v="TDS-TELECOM"/>
    <s v="266 Basher Dr"/>
    <s v="CO"/>
    <s v="Berthoud"/>
    <s v="80513-9163"/>
    <s v="PS3148N"/>
    <s v="POWER SUPPLY NO DISPLAY -48VDC"/>
    <s v="20115582"/>
    <s v="20.1"/>
    <x v="449"/>
    <n v="1960993"/>
    <d v="2016-10-06T16:39:14"/>
    <m/>
    <d v="2016-10-26T00:00:00"/>
    <d v="2016-11-04T00:00:00"/>
    <d v="2016-10-28T00:00:00"/>
    <m/>
    <n v="2"/>
    <m/>
    <n v="1274"/>
    <m/>
    <s v="N204"/>
    <s v="NWK ACCESS TECH"/>
    <s v="ACCESS OTHER"/>
    <s v="OTHER AURORA"/>
    <s v="N204"/>
    <s v="AS-STANDARD ORDER MIXED"/>
    <s v="A-SURFACE"/>
    <s v="OP"/>
    <n v="1249787"/>
    <s v="A-SURFACE"/>
    <m/>
    <m/>
    <m/>
    <s v="A-SURFACE"/>
    <s v="LTL"/>
    <s v="EXW"/>
    <s v="Prepay &amp; Add"/>
    <m/>
    <m/>
    <m/>
    <m/>
    <m/>
    <m/>
    <m/>
    <s v="0"/>
    <s v="0"/>
  </r>
  <r>
    <s v="SJ2"/>
    <s v="5022557"/>
    <s v="TDS Telecom"/>
    <s v="BERTHOUD"/>
    <s v="R023P73L6"/>
    <s v="SJ2_STAG"/>
    <s v="TDS-TELECOM"/>
    <s v="266 Basher Dr"/>
    <s v="CO"/>
    <s v="Berthoud"/>
    <s v="80513-9163"/>
    <s v="CX3002"/>
    <s v="COMMUNICATIONS MODULE"/>
    <s v="20115582"/>
    <s v="21.1"/>
    <x v="449"/>
    <n v="1960954"/>
    <d v="2016-10-06T16:39:14"/>
    <m/>
    <d v="2016-10-26T00:00:00"/>
    <d v="2016-11-04T00:00:00"/>
    <d v="2016-10-28T00:00:00"/>
    <m/>
    <n v="2"/>
    <m/>
    <n v="884"/>
    <m/>
    <s v="N080"/>
    <s v="NWK ACCESS TECH"/>
    <s v="HEO"/>
    <s v="HEO MISC AURORA"/>
    <s v="N080"/>
    <s v="AS-STANDARD ORDER MIXED"/>
    <s v="A-SURFACE"/>
    <s v="OP"/>
    <n v="1249787"/>
    <s v="A-SURFACE"/>
    <m/>
    <m/>
    <m/>
    <s v="A-SURFACE"/>
    <s v="LTL"/>
    <s v="EXW"/>
    <s v="Prepay &amp; Add"/>
    <m/>
    <m/>
    <m/>
    <m/>
    <m/>
    <m/>
    <m/>
    <s v="0"/>
    <s v="0"/>
  </r>
  <r>
    <s v="SJ2"/>
    <s v="5022557"/>
    <s v="TDS Telecom"/>
    <s v="BERTHOUD"/>
    <s v="R023P04L1"/>
    <s v="SJ2_STAG"/>
    <s v="TDS-TELECOM"/>
    <s v="266 Basher Dr"/>
    <s v="CO"/>
    <s v="Berthoud"/>
    <s v="80513-9163"/>
    <s v="TL3000-EJ-00"/>
    <s v="TOOL EXTRACTOR HANDLE CH3000"/>
    <s v="20115582"/>
    <s v="23.1"/>
    <x v="449"/>
    <n v="1960919"/>
    <d v="2016-10-06T16:39:14"/>
    <m/>
    <d v="2016-10-26T00:00:00"/>
    <d v="2016-11-04T00:00:00"/>
    <d v="2016-10-28T00:00:00"/>
    <m/>
    <n v="2"/>
    <m/>
    <n v="14"/>
    <m/>
    <s v="N185"/>
    <s v="NWK ACCESS TECH"/>
    <s v="ACCESS OTHER"/>
    <s v="OTHER AURORA"/>
    <s v="N185"/>
    <s v="AS-STANDARD ORDER MIXED"/>
    <s v="A-SURFACE"/>
    <s v="OP"/>
    <n v="1249787"/>
    <s v="A-SURFACE"/>
    <m/>
    <m/>
    <m/>
    <s v="A-SURFACE"/>
    <s v="LTL"/>
    <s v="EXW"/>
    <s v="Prepay &amp; Add"/>
    <m/>
    <m/>
    <m/>
    <m/>
    <m/>
    <m/>
    <m/>
    <s v="0"/>
    <s v="0"/>
  </r>
  <r>
    <s v="SJ2"/>
    <s v="5022557"/>
    <s v="TDS Telecom"/>
    <s v="BERTHOUD"/>
    <s v="R017P59L5"/>
    <s v="SJ2_STAG"/>
    <s v="TDS-TELECOM"/>
    <s v="266 Basher Dr"/>
    <s v="CO"/>
    <s v="Berthoud"/>
    <s v="80513-9163"/>
    <s v="PF3000N-FM-00"/>
    <s v="PASSIVE FRAME 4RU FBR MGT NO C"/>
    <s v="20115582"/>
    <s v="24.1"/>
    <x v="449"/>
    <n v="1960919"/>
    <d v="2016-10-06T16:39:14"/>
    <m/>
    <d v="2016-10-26T00:00:00"/>
    <d v="2016-11-04T00:00:00"/>
    <d v="2016-10-28T00:00:00"/>
    <m/>
    <n v="1"/>
    <m/>
    <n v="143"/>
    <m/>
    <s v="N224"/>
    <s v="NWK ACCESS TECH"/>
    <s v="ACCESS OTHER"/>
    <s v="OTHER AURORA"/>
    <s v="N224"/>
    <s v="AS-STANDARD ORDER MIXED"/>
    <s v="A-SURFACE"/>
    <s v="OP"/>
    <n v="1249787"/>
    <s v="A-SURFACE"/>
    <m/>
    <m/>
    <m/>
    <s v="A-SURFACE"/>
    <s v="LTL"/>
    <s v="EXW"/>
    <s v="Prepay &amp; Add"/>
    <m/>
    <m/>
    <m/>
    <m/>
    <m/>
    <m/>
    <m/>
    <s v="0"/>
    <s v="0"/>
  </r>
  <r>
    <s v="SJ2"/>
    <s v="5022557"/>
    <s v="TDS Telecom"/>
    <s v="BERTHOUD"/>
    <s v="R017P59L5"/>
    <s v="SJ2_STAG"/>
    <s v="TDS-TELECOM"/>
    <s v="266 Basher Dr"/>
    <s v="CO"/>
    <s v="Berthoud"/>
    <s v="80513-9163"/>
    <s v="PF3000N-FM-00"/>
    <s v="PASSIVE FRAME 4RU FBR MGT NO C"/>
    <m/>
    <s v="26.1"/>
    <x v="449"/>
    <n v="1960993"/>
    <d v="2016-10-06T16:39:14"/>
    <m/>
    <d v="2016-10-26T00:00:00"/>
    <d v="2016-11-04T00:00:00"/>
    <d v="2016-10-28T00:00:00"/>
    <m/>
    <n v="1"/>
    <m/>
    <n v="143"/>
    <m/>
    <s v="N224"/>
    <s v="NWK ACCESS TECH"/>
    <s v="ACCESS OTHER"/>
    <s v="OTHER AURORA"/>
    <s v="N224"/>
    <s v="AS-STANDARD ORDER MIXED"/>
    <s v="A-SURFACE"/>
    <s v="OP"/>
    <n v="1249787"/>
    <s v="A-SURFACE"/>
    <m/>
    <m/>
    <m/>
    <s v="A-SURFACE"/>
    <s v="LTL"/>
    <s v="EXW"/>
    <s v="Prepay &amp; Add"/>
    <m/>
    <m/>
    <m/>
    <m/>
    <m/>
    <m/>
    <m/>
    <s v="0"/>
    <s v="0"/>
  </r>
  <r>
    <s v="SJ2"/>
    <s v="5022557"/>
    <s v="TDS Telecom"/>
    <s v="BERTHOUD"/>
    <s v="R022P78L2"/>
    <s v="SJ2_STAG"/>
    <s v="TDS-TELECOM"/>
    <s v="266 Basher Dr"/>
    <s v="CO"/>
    <s v="Berthoud"/>
    <s v="80513-9163"/>
    <s v="OR3144H-85-01-01-AL"/>
    <s v="DIPLXR/RTN RCVR 1550/1590 RFOG"/>
    <s v="20115582"/>
    <s v="27.1"/>
    <x v="450"/>
    <n v="1963269"/>
    <d v="2016-10-06T16:39:14"/>
    <m/>
    <d v="2016-10-28T00:00:00"/>
    <d v="2016-11-04T00:00:00"/>
    <d v="2016-10-28T00:00:00"/>
    <m/>
    <n v="2"/>
    <m/>
    <n v="2600"/>
    <m/>
    <s v="N169"/>
    <s v="NWK ACCESS TECH"/>
    <s v="HPON"/>
    <s v="HEADEND RECEIVERS AURORA"/>
    <s v="N169"/>
    <s v="AS-STANDARD ORDER MIXED"/>
    <s v="A-SURFACE"/>
    <s v="OP"/>
    <n v="1251073"/>
    <s v="A-SURFACE"/>
    <m/>
    <m/>
    <m/>
    <s v="A-SURFACE"/>
    <s v="LTL"/>
    <s v="EXW"/>
    <s v="Prepay &amp; Add"/>
    <m/>
    <m/>
    <m/>
    <m/>
    <m/>
    <m/>
    <m/>
    <s v="0"/>
    <s v="0"/>
  </r>
  <r>
    <s v="SJ2"/>
    <s v="5022557"/>
    <s v="TDS Telecom"/>
    <s v="BERTHOUD"/>
    <s v="R022P79L1"/>
    <s v="SJ2_STAG"/>
    <s v="TDS-TELECOM"/>
    <s v="266 Basher Dr"/>
    <s v="CO"/>
    <s v="Berthoud"/>
    <s v="80513-9163"/>
    <s v="DT3515C-28-1-2-65-AS"/>
    <s v="DGTL XMTR 200km 100GHz 2x5-65M"/>
    <s v="20115582"/>
    <s v="28.1"/>
    <x v="449"/>
    <n v="1960954"/>
    <d v="2016-10-06T16:39:14"/>
    <m/>
    <d v="2016-10-26T00:00:00"/>
    <d v="2016-11-04T00:00:00"/>
    <d v="2016-10-28T00:00:00"/>
    <m/>
    <n v="1"/>
    <m/>
    <n v="1872"/>
    <m/>
    <s v="N063"/>
    <s v="NWK ACCESS TECH"/>
    <s v="HEO"/>
    <s v="TRANSMITTERS AURORA"/>
    <s v="N063"/>
    <s v="AS-STANDARD ORDER MIXED"/>
    <s v="A-SURFACE"/>
    <s v="OP"/>
    <n v="1249787"/>
    <s v="A-SURFACE"/>
    <m/>
    <m/>
    <m/>
    <s v="A-SURFACE"/>
    <s v="LTL"/>
    <s v="EXW"/>
    <s v="Prepay &amp; Add"/>
    <m/>
    <m/>
    <m/>
    <m/>
    <m/>
    <m/>
    <m/>
    <s v="0"/>
    <s v="0"/>
  </r>
  <r>
    <s v="SJ2"/>
    <s v="5022557"/>
    <s v="TDS Telecom"/>
    <s v="BERTHOUD"/>
    <s v="R023P08L3"/>
    <s v="SJ2_STAG"/>
    <s v="TDS-TELECOM"/>
    <s v="266 Basher Dr"/>
    <s v="CO"/>
    <s v="Berthoud"/>
    <s v="80513-9163"/>
    <s v="BP-A6"/>
    <s v="BACKPLATE RF INP A RF INP B MP"/>
    <s v="20115582"/>
    <s v="29.1"/>
    <x v="449"/>
    <n v="1960919"/>
    <d v="2016-10-06T16:39:14"/>
    <m/>
    <d v="2016-10-26T00:00:00"/>
    <d v="2016-11-04T00:00:00"/>
    <d v="2016-10-28T00:00:00"/>
    <m/>
    <n v="1"/>
    <m/>
    <n v="91"/>
    <m/>
    <s v="N224"/>
    <s v="NWK ACCESS TECH"/>
    <s v="ACCESS OTHER"/>
    <s v="OTHER AURORA"/>
    <s v="N224"/>
    <s v="AS-STANDARD ORDER MIXED"/>
    <s v="A-SURFACE"/>
    <s v="OP"/>
    <n v="1249787"/>
    <s v="A-SURFACE"/>
    <m/>
    <m/>
    <m/>
    <s v="A-SURFACE"/>
    <s v="LTL"/>
    <s v="EXW"/>
    <s v="Prepay &amp; Add"/>
    <m/>
    <m/>
    <m/>
    <m/>
    <m/>
    <m/>
    <m/>
    <s v="0"/>
    <s v="0"/>
  </r>
  <r>
    <s v="SJ2"/>
    <s v="5022557"/>
    <s v="TDS Telecom"/>
    <s v="BERTHOUD"/>
    <s v="R022P02L2"/>
    <s v="SJ2_STAG"/>
    <s v="TDS-TELECOM"/>
    <s v="266 Basher Dr"/>
    <s v="CO"/>
    <s v="Berthoud"/>
    <s v="80513-9163"/>
    <s v="EX3005A-00-00"/>
    <s v="ETHERNET SWITCH 4 10/100 RJ-4"/>
    <s v="20115582"/>
    <s v="30.1"/>
    <x v="449"/>
    <n v="1960954"/>
    <d v="2016-10-06T16:39:14"/>
    <m/>
    <d v="2016-10-26T00:00:00"/>
    <d v="2016-11-04T00:00:00"/>
    <d v="2016-10-28T00:00:00"/>
    <m/>
    <n v="1"/>
    <m/>
    <n v="507"/>
    <m/>
    <s v="N185"/>
    <s v="NWK ACCESS TECH"/>
    <s v="ACCESS OTHER"/>
    <s v="OTHER AURORA"/>
    <s v="N185"/>
    <s v="AS-STANDARD ORDER MIXED"/>
    <s v="A-SURFACE"/>
    <s v="OP"/>
    <n v="1249787"/>
    <s v="A-SURFACE"/>
    <m/>
    <m/>
    <m/>
    <s v="A-SURFACE"/>
    <s v="LTL"/>
    <s v="EXW"/>
    <s v="Prepay &amp; Add"/>
    <m/>
    <m/>
    <m/>
    <m/>
    <m/>
    <m/>
    <m/>
    <s v="0"/>
    <s v="0"/>
  </r>
  <r>
    <s v="SJ2"/>
    <s v="5022557"/>
    <s v="TDS Telecom"/>
    <s v="BERTHOUD"/>
    <s v="R023P47L4"/>
    <s v="SJ2_STAG"/>
    <s v="TDS-TELECOM"/>
    <s v="266 Basher Dr"/>
    <s v="CO"/>
    <s v="Berthoud"/>
    <s v="80513-9163"/>
    <s v="OA-02-00-AS"/>
    <s v="ATTENUATOR STD OPT SC/APC-SC/A"/>
    <s v="20115582"/>
    <s v="5.1"/>
    <x v="449"/>
    <n v="1960993"/>
    <d v="2016-10-06T16:39:14"/>
    <m/>
    <d v="2016-10-26T00:00:00"/>
    <d v="2016-11-04T00:00:00"/>
    <d v="2016-10-28T00:00:00"/>
    <m/>
    <n v="6"/>
    <m/>
    <n v="174"/>
    <m/>
    <s v="N224"/>
    <s v="NWK ACCESS TECH"/>
    <s v="ACCESS OTHER"/>
    <s v="OTHER AURORA"/>
    <s v="N224"/>
    <s v="AS-STANDARD ORDER MIXED"/>
    <s v="A-SURFACE"/>
    <s v="OP"/>
    <n v="1249787"/>
    <s v="A-SURFACE"/>
    <m/>
    <m/>
    <m/>
    <s v="A-SURFACE"/>
    <s v="LTL"/>
    <s v="EXW"/>
    <s v="Prepay &amp; Add"/>
    <m/>
    <m/>
    <m/>
    <m/>
    <m/>
    <m/>
    <m/>
    <s v="0"/>
    <s v="0"/>
  </r>
  <r>
    <s v="SJ2"/>
    <s v="5022557"/>
    <s v="TDS Telecom"/>
    <s v="BERTHOUD"/>
    <s v="R023P44L5"/>
    <s v="SJ2_STAG"/>
    <s v="TDS-TELECOM"/>
    <s v="266 Basher Dr"/>
    <s v="CO"/>
    <s v="Berthoud"/>
    <s v="80513-9163"/>
    <s v="OA-03-00-AS"/>
    <s v="ATTENUATOR STD OPT SC/APC-SC/A"/>
    <s v="20115582"/>
    <s v="6.1"/>
    <x v="449"/>
    <n v="1960919"/>
    <d v="2016-10-06T16:39:14"/>
    <m/>
    <d v="2016-10-26T00:00:00"/>
    <d v="2016-11-04T00:00:00"/>
    <d v="2016-10-28T00:00:00"/>
    <m/>
    <n v="6"/>
    <m/>
    <n v="174"/>
    <m/>
    <s v="N224"/>
    <s v="NWK ACCESS TECH"/>
    <s v="ACCESS OTHER"/>
    <s v="OTHER AURORA"/>
    <s v="N224"/>
    <s v="AS-STANDARD ORDER MIXED"/>
    <s v="A-SURFACE"/>
    <s v="OP"/>
    <n v="1249787"/>
    <s v="A-SURFACE"/>
    <m/>
    <m/>
    <m/>
    <s v="A-SURFACE"/>
    <s v="LTL"/>
    <s v="EXW"/>
    <s v="Prepay &amp; Add"/>
    <m/>
    <m/>
    <m/>
    <m/>
    <m/>
    <m/>
    <m/>
    <s v="0"/>
    <s v="0"/>
  </r>
  <r>
    <s v="SJ2"/>
    <s v="5022557"/>
    <s v="TDS Telecom"/>
    <s v="BERTHOUD"/>
    <s v="R023P63L4"/>
    <s v="SJ2_STAG"/>
    <s v="TDS-TELECOM"/>
    <s v="266 Basher Dr"/>
    <s v="CO"/>
    <s v="Berthoud"/>
    <s v="80513-9163"/>
    <s v="OA-05-00-AS"/>
    <s v="ATTENUATOR STD OPT SC/APC-SC/A"/>
    <s v="20115582"/>
    <s v="7.1"/>
    <x v="449"/>
    <n v="1960919"/>
    <d v="2016-10-06T16:39:14"/>
    <m/>
    <d v="2016-10-26T00:00:00"/>
    <d v="2016-11-04T00:00:00"/>
    <d v="2016-10-28T00:00:00"/>
    <m/>
    <n v="6"/>
    <m/>
    <n v="174"/>
    <m/>
    <s v="N224"/>
    <s v="NWK ACCESS TECH"/>
    <s v="ACCESS OTHER"/>
    <s v="OTHER AURORA"/>
    <s v="N224"/>
    <s v="AS-STANDARD ORDER MIXED"/>
    <s v="A-SURFACE"/>
    <s v="OP"/>
    <n v="1249787"/>
    <s v="A-SURFACE"/>
    <m/>
    <m/>
    <m/>
    <s v="A-SURFACE"/>
    <s v="LTL"/>
    <s v="EXW"/>
    <s v="Prepay &amp; Add"/>
    <m/>
    <m/>
    <m/>
    <m/>
    <m/>
    <m/>
    <m/>
    <s v="0"/>
    <s v="0"/>
  </r>
  <r>
    <s v="SJ2"/>
    <s v="5022557"/>
    <s v="TDS Telecom"/>
    <s v="BERTHOUD"/>
    <s v="R022P02L2"/>
    <s v="SJ2_STAG"/>
    <s v="TDS-TELECOM"/>
    <s v="266 Basher Dr"/>
    <s v="CO"/>
    <s v="Berthoud"/>
    <s v="80513-9163"/>
    <s v="EX3005A-00-00"/>
    <s v="ETHERNET SWITCH 4 10/100 RJ-4"/>
    <s v="20115582"/>
    <s v="8.1"/>
    <x v="449"/>
    <n v="1960954"/>
    <d v="2016-10-06T16:39:14"/>
    <m/>
    <d v="2016-10-26T00:00:00"/>
    <d v="2016-11-04T00:00:00"/>
    <d v="2016-10-28T00:00:00"/>
    <m/>
    <n v="1"/>
    <m/>
    <n v="507"/>
    <m/>
    <s v="N185"/>
    <s v="NWK ACCESS TECH"/>
    <s v="ACCESS OTHER"/>
    <s v="OTHER AURORA"/>
    <s v="N185"/>
    <s v="AS-STANDARD ORDER MIXED"/>
    <s v="A-SURFACE"/>
    <s v="OP"/>
    <n v="1249787"/>
    <s v="A-SURFACE"/>
    <m/>
    <m/>
    <m/>
    <s v="A-SURFACE"/>
    <s v="LTL"/>
    <s v="EXW"/>
    <s v="Prepay &amp; Add"/>
    <m/>
    <m/>
    <m/>
    <m/>
    <m/>
    <m/>
    <m/>
    <s v="0"/>
    <s v="0"/>
  </r>
  <r>
    <s v="SJ2"/>
    <s v="5032236"/>
    <s v="CYO INTERNATIONAL, INC."/>
    <s v="CABLETEK - Telecho HK"/>
    <s v="R015P53L5"/>
    <s v="SJ2_STAG"/>
    <s v="CABLETEK BROADBAND SYSTEMS"/>
    <s v="C/O TELECHO COMMUNICATION LTD."/>
    <m/>
    <s v="KOWLOON"/>
    <m/>
    <s v="CH3000N"/>
    <s v="CHASSIS NO COVERS 3RU"/>
    <s v="20106144"/>
    <s v="1.1"/>
    <x v="451"/>
    <n v="1951644"/>
    <d v="2016-08-22T10:05:29"/>
    <m/>
    <d v="2016-10-15T00:00:00"/>
    <d v="2016-09-16T00:00:00"/>
    <d v="2016-10-18T00:00:00"/>
    <m/>
    <n v="7"/>
    <n v="7"/>
    <n v="1932"/>
    <n v="193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53L5"/>
    <s v="SJ2_STAG"/>
    <s v="CABLETEK BROADBAND SYSTEMS"/>
    <s v="C/O TELECHO COMMUNICATION LTD."/>
    <m/>
    <s v="KOWLOON"/>
    <m/>
    <s v="CH3000N"/>
    <s v="CHASSIS NO COVERS 3RU"/>
    <m/>
    <s v="1.2"/>
    <x v="451"/>
    <n v="1951644"/>
    <d v="2016-08-22T10:05:29"/>
    <m/>
    <d v="2016-10-15T00:00:00"/>
    <d v="2016-10-14T00:00:00"/>
    <d v="2016-10-18T00:00:00"/>
    <m/>
    <n v="8"/>
    <n v="8"/>
    <n v="2208"/>
    <n v="2208"/>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63L4"/>
    <s v="SJ2_STAG"/>
    <s v="CABLETEK BROADBAND SYSTEMS"/>
    <s v="C/O TELECHO COMMUNICATION LTD."/>
    <m/>
    <s v="KOWLOON"/>
    <m/>
    <s v="CA3008"/>
    <s v="CARRIER MODULE HIGH DENSITY"/>
    <s v="20106144"/>
    <s v="17.2"/>
    <x v="451"/>
    <n v="1951643"/>
    <d v="2016-08-22T10:05:29"/>
    <m/>
    <d v="2016-10-15T00:00:00"/>
    <d v="2016-10-14T00:00:00"/>
    <d v="2016-10-18T00:00:00"/>
    <m/>
    <n v="5"/>
    <n v="5"/>
    <n v="1978"/>
    <n v="1978"/>
    <s v="N259"/>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2L5"/>
    <s v="SJ2_STAG"/>
    <s v="CABLETEK BROADBAND SYSTEMS"/>
    <s v="C/O TELECHO COMMUNICATION LTD."/>
    <m/>
    <s v="KOWLOON"/>
    <m/>
    <s v="BD31A4-100-H12F-0-AS"/>
    <s v="OPT PASSTHRU BD 4 XMTR 4 BC 4"/>
    <s v="20106144"/>
    <s v="19.2"/>
    <x v="451"/>
    <n v="1951643"/>
    <d v="2016-08-22T10:05:29"/>
    <m/>
    <d v="2016-10-15T00:00:00"/>
    <d v="2016-10-14T00:00:00"/>
    <d v="2016-10-18T00:00:00"/>
    <m/>
    <n v="3"/>
    <n v="3"/>
    <n v="2760"/>
    <n v="2760"/>
    <s v="N258"/>
    <s v="NWK ACCESS TECH"/>
    <s v="HEO"/>
    <s v="TRANSMITTERS AURORA"/>
    <s v="HDTX"/>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51L1B02"/>
    <s v="SJ2_STAG"/>
    <s v="CABLETEK BROADBAND SYSTEMS"/>
    <s v="C/O TELECHO COMMUNICATION LTD."/>
    <m/>
    <s v="KOWLOON"/>
    <m/>
    <s v="CH3000U-FM-00"/>
    <s v="ADAPTER FIBER MGT FOR CH3000 C"/>
    <s v="20106144"/>
    <s v="2.2"/>
    <x v="451"/>
    <n v="1951645"/>
    <d v="2016-08-22T10:05:29"/>
    <m/>
    <d v="2016-10-15T00:00:00"/>
    <d v="2016-10-14T00:00:00"/>
    <d v="2016-10-18T00:00:00"/>
    <m/>
    <n v="8"/>
    <n v="8"/>
    <n v="552"/>
    <n v="552"/>
    <s v="N199"/>
    <s v="NWK ACCESS TECH"/>
    <s v="HEO"/>
    <s v="HEO MISC AURORA"/>
    <s v="N199"/>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s v="20106144"/>
    <s v="3.1"/>
    <x v="451"/>
    <n v="1951643"/>
    <d v="2016-08-22T10:05:29"/>
    <m/>
    <d v="2016-10-15T00:00:00"/>
    <d v="2016-09-16T00:00:00"/>
    <d v="2016-10-18T00:00:00"/>
    <m/>
    <n v="7"/>
    <n v="7"/>
    <n v="4830"/>
    <n v="483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22L3"/>
    <s v="SJ2_STAG"/>
    <s v="CABLETEK BROADBAND SYSTEMS"/>
    <s v="C/O TELECHO COMMUNICATION LTD."/>
    <m/>
    <s v="KOWLOON"/>
    <m/>
    <s v="PS3005D"/>
    <s v="POWER SUPPLY 250W CE TUV W/DIS"/>
    <m/>
    <s v="3.2"/>
    <x v="451"/>
    <n v="1951643"/>
    <d v="2016-08-22T10:05:29"/>
    <m/>
    <d v="2016-10-15T00:00:00"/>
    <d v="2016-10-14T00:00:00"/>
    <d v="2016-10-18T00:00:00"/>
    <m/>
    <n v="8"/>
    <n v="8"/>
    <n v="5520"/>
    <n v="5520"/>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13L1"/>
    <s v="SJ2_STAG"/>
    <s v="CABLETEK BROADBAND SYSTEMS"/>
    <s v="C/O TELECHO COMMUNICATION LTD."/>
    <m/>
    <s v="KOWLOON"/>
    <m/>
    <s v="HT3541H-D-A540-2-AS"/>
    <s v="XMTR DD 1.2GHZ FULL SPECTRUM 3"/>
    <s v="20106144"/>
    <s v="30.1"/>
    <x v="451"/>
    <n v="1951643"/>
    <d v="2016-08-22T10:05:29"/>
    <m/>
    <d v="2016-10-15T00:00:00"/>
    <d v="2016-09-16T00:00:00"/>
    <d v="2016-10-18T00:00:00"/>
    <m/>
    <n v="2"/>
    <n v="2"/>
    <n v="4416"/>
    <n v="4416"/>
    <s v="HE64"/>
    <s v="NWK ACCESS TECH"/>
    <s v="HEO"/>
    <s v="TRANSMITTER"/>
    <s v="HT"/>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s v="20106144"/>
    <s v="31.1"/>
    <x v="451"/>
    <n v="1951644"/>
    <d v="2016-08-22T10:05:29"/>
    <m/>
    <d v="2016-10-15T00:00:00"/>
    <d v="2016-09-16T00:00:00"/>
    <d v="2016-10-18T00:00:00"/>
    <m/>
    <n v="10"/>
    <n v="10"/>
    <n v="13800"/>
    <n v="138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9L4B01"/>
    <s v="SJ2_STAG"/>
    <s v="CABLETEK BROADBAND SYSTEMS"/>
    <s v="C/O TELECHO COMMUNICATION LTD."/>
    <m/>
    <s v="KOWLOON"/>
    <m/>
    <s v="DR3450N-50-00"/>
    <s v="DIGITAL RECEIVER Q-RX 2.125GBP"/>
    <m/>
    <s v="31.2"/>
    <x v="451"/>
    <n v="1951644"/>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44L3B01"/>
    <s v="SJ2_STAG"/>
    <s v="CABLETEK BROADBAND SYSTEMS"/>
    <s v="C/O TELECHO COMMUNICATION LTD."/>
    <m/>
    <s v="KOWLOON"/>
    <m/>
    <s v="DR3450N-50-00"/>
    <s v="DIGITAL RECEIVER Q-RX 2.125GBP"/>
    <s v="20106144"/>
    <s v="31.2"/>
    <x v="451"/>
    <n v="1951646"/>
    <d v="2016-08-22T10:05:29"/>
    <m/>
    <d v="2016-10-15T00:00:00"/>
    <d v="2016-10-14T00:00:00"/>
    <d v="2016-10-18T00:00:00"/>
    <m/>
    <n v="5"/>
    <n v="5"/>
    <n v="6900"/>
    <n v="6900"/>
    <s v="N275"/>
    <s v="NWK ACCESS TECH"/>
    <s v="HEO"/>
    <s v="RECEIVERS AURORA"/>
    <s v="N27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2P41L1"/>
    <s v="SJ2_STAG"/>
    <s v="CABLETEK BROADBAND SYSTEMS"/>
    <s v="C/O TELECHO COMMUNICATION LTD."/>
    <m/>
    <s v="KOWLOON"/>
    <m/>
    <s v="RR4000-00-PI"/>
    <s v="RCVR DUAL PLUGGABLE SFP 3 GBPS"/>
    <s v="20106144"/>
    <s v="32.2"/>
    <x v="451"/>
    <n v="1951643"/>
    <d v="2016-08-22T10:05:29"/>
    <m/>
    <d v="2016-10-15T00:00:00"/>
    <d v="2016-10-14T00:00:00"/>
    <d v="2016-10-18T00:00:00"/>
    <m/>
    <n v="20"/>
    <n v="20"/>
    <n v="4140"/>
    <n v="4140"/>
    <s v="N224"/>
    <s v="NWK ACCESS TECH"/>
    <s v="ACCESS OTHER"/>
    <s v="OTHER AURORA"/>
    <s v="N22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7L3"/>
    <s v="SJ2_STAG"/>
    <s v="CABLETEK BROADBAND SYSTEMS"/>
    <s v="C/O TELECHO COMMUNICATION LTD."/>
    <m/>
    <s v="KOWLOON"/>
    <m/>
    <s v="NC419A1S2A1-00000000"/>
    <s v="NODE 5-85MHZ RVS 102-1GHZ FWD"/>
    <s v="20106144"/>
    <s v="36.1"/>
    <x v="451"/>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25L1B01"/>
    <s v="SJ2_STAG"/>
    <s v="CABLETEK BROADBAND SYSTEMS"/>
    <s v="C/O TELECHO COMMUNICATION LTD."/>
    <m/>
    <s v="KOWLOON"/>
    <m/>
    <s v="NC419A1S2A1-00000000"/>
    <s v="NODE 5-85MHZ RVS 102-1GHZ FWD"/>
    <s v="20106144"/>
    <s v="36.1"/>
    <x v="451"/>
    <n v="1951644"/>
    <d v="2016-08-22T10:05:29"/>
    <m/>
    <d v="2016-10-15T00:00:00"/>
    <d v="2016-09-16T00:00:00"/>
    <d v="2016-10-18T00:00:00"/>
    <m/>
    <n v="4"/>
    <n v="4"/>
    <n v="7562.4"/>
    <n v="7562.4"/>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2"/>
    <s v="SJ2_STAG"/>
    <s v="CABLETEK BROADBAND SYSTEMS"/>
    <s v="C/O TELECHO COMMUNICATION LTD."/>
    <m/>
    <s v="KOWLOON"/>
    <m/>
    <s v="NC419A1S2A1-00000000"/>
    <s v="NODE 5-85MHZ RVS 102-1GHZ FWD"/>
    <s v="20106144"/>
    <s v="36.1"/>
    <x v="451"/>
    <n v="1951644"/>
    <d v="2016-08-22T10:05:29"/>
    <m/>
    <d v="2016-10-15T00:00:00"/>
    <d v="2016-09-16T00:00:00"/>
    <d v="2016-10-18T00:00:00"/>
    <m/>
    <n v="2"/>
    <n v="1"/>
    <n v="3781.2"/>
    <n v="1890.6"/>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39L3"/>
    <s v="SJ2_STAG"/>
    <s v="CABLETEK BROADBAND SYSTEMS"/>
    <s v="C/O TELECHO COMMUNICATION LTD."/>
    <m/>
    <s v="KOWLOON"/>
    <m/>
    <s v="NC419A1S2A1-00000000"/>
    <s v="NODE 5-85MHZ RVS 102-1GHZ FWD"/>
    <s v="20106144"/>
    <s v="36.1"/>
    <x v="451"/>
    <n v="1951644"/>
    <d v="2016-08-22T10:05:29"/>
    <m/>
    <d v="2016-10-15T00:00:00"/>
    <d v="2016-09-16T00:00:00"/>
    <d v="2016-10-18T00:00:00"/>
    <m/>
    <n v="15"/>
    <n v="15"/>
    <n v="28359"/>
    <n v="28359"/>
    <s v="N044"/>
    <s v="NWK ACCESS TECH"/>
    <s v="NODE"/>
    <s v="NC4000 AURORA"/>
    <s v="N04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s v="20106144"/>
    <s v="37.1"/>
    <x v="451"/>
    <n v="1951644"/>
    <d v="2016-08-22T10:05:29"/>
    <m/>
    <d v="2016-10-15T00:00:00"/>
    <d v="2016-09-16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6P05L1B02"/>
    <s v="SJ2_STAG"/>
    <s v="CABLETEK BROADBAND SYSTEMS"/>
    <s v="C/O TELECHO COMMUNICATION LTD."/>
    <m/>
    <s v="KOWLOON"/>
    <m/>
    <s v="DT4250N-50-00"/>
    <s v="DGTL XCVR ENH MULTI-MODES OF O"/>
    <m/>
    <s v="37.2"/>
    <x v="451"/>
    <n v="1951644"/>
    <d v="2016-08-22T10:05:29"/>
    <m/>
    <d v="2016-10-15T00:00:00"/>
    <d v="2016-10-14T00:00:00"/>
    <d v="2016-10-18T00:00:00"/>
    <m/>
    <n v="40"/>
    <n v="40"/>
    <n v="13800"/>
    <n v="13800"/>
    <s v="N065"/>
    <s v="NWK ACCESS TECH"/>
    <s v="NODE"/>
    <s v="NODE MISC AURORA"/>
    <s v="N06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s v="20106144"/>
    <s v="4.1"/>
    <x v="451"/>
    <n v="1951643"/>
    <d v="2016-08-22T10:05:29"/>
    <m/>
    <d v="2016-10-15T00:00:00"/>
    <d v="2016-09-16T00:00:00"/>
    <d v="2016-10-18T00:00:00"/>
    <m/>
    <n v="7"/>
    <n v="7"/>
    <n v="4057.2"/>
    <n v="4057.2"/>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64L2"/>
    <s v="SJ2_STAG"/>
    <s v="CABLETEK BROADBAND SYSTEMS"/>
    <s v="C/O TELECHO COMMUNICATION LTD."/>
    <m/>
    <s v="KOWLOON"/>
    <m/>
    <s v="PS3005N"/>
    <s v="POWER SUPPLY 250W CE TUV W/O D"/>
    <m/>
    <s v="4.2"/>
    <x v="451"/>
    <n v="1951643"/>
    <d v="2016-08-22T10:05:29"/>
    <m/>
    <d v="2016-10-15T00:00:00"/>
    <d v="2016-10-14T00:00:00"/>
    <d v="2016-10-18T00:00:00"/>
    <m/>
    <n v="8"/>
    <n v="8"/>
    <n v="4636.8"/>
    <n v="4636.8"/>
    <s v="N204"/>
    <s v="NWK ACCESS TECH"/>
    <s v="ACCESS OTHER"/>
    <s v="OTHER AURORA"/>
    <s v="N204"/>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23P04L1"/>
    <s v="SJ2_STAG"/>
    <s v="CABLETEK BROADBAND SYSTEMS"/>
    <s v="C/O TELECHO COMMUNICATION LTD."/>
    <m/>
    <s v="KOWLOON"/>
    <m/>
    <s v="TL3000-EJ-00"/>
    <s v="TOOL EXTRACTOR HANDLE CH3000"/>
    <s v="20106144"/>
    <s v="47.2"/>
    <x v="451"/>
    <n v="1951643"/>
    <d v="2016-08-22T10:05:29"/>
    <m/>
    <d v="2016-10-15T00:00:00"/>
    <d v="2016-10-14T00:00:00"/>
    <d v="2016-10-18T00:00:00"/>
    <m/>
    <n v="5"/>
    <n v="5"/>
    <n v="46"/>
    <n v="46"/>
    <s v="N185"/>
    <s v="NWK ACCESS TECH"/>
    <s v="ACCESS OTHER"/>
    <s v="OTHER AURORA"/>
    <s v="N185"/>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2236"/>
    <s v="CYO INTERNATIONAL, INC."/>
    <s v="CABLETEK - Telecho HK"/>
    <s v="R015P16L3"/>
    <s v="SJ2_STAG"/>
    <s v="CABLETEK BROADBAND SYSTEMS"/>
    <s v="C/O TELECHO COMMUNICATION LTD."/>
    <m/>
    <s v="KOWLOON"/>
    <m/>
    <s v="BP3400C-00"/>
    <s v="BACKPLATE 4.25 GB/S 1-FER/2-FE"/>
    <s v="20106144"/>
    <s v="5.2"/>
    <x v="451"/>
    <n v="1951643"/>
    <d v="2016-08-22T10:05:29"/>
    <m/>
    <d v="2016-10-15T00:00:00"/>
    <d v="2016-10-14T00:00:00"/>
    <d v="2016-10-18T00:00:00"/>
    <m/>
    <n v="5"/>
    <n v="5"/>
    <n v="2760"/>
    <n v="2760"/>
    <s v="N076"/>
    <s v="NWK ACCESS TECH"/>
    <s v="HEO"/>
    <s v="HEO MISC AURORA"/>
    <s v="N076"/>
    <s v="AS-STANDARD ORDER MIXED"/>
    <s v="A-SURFACE"/>
    <s v="OP"/>
    <n v="1243478"/>
    <s v="A-SURFACE"/>
    <m/>
    <m/>
    <m/>
    <s v="A-SURFACE"/>
    <s v="LTL"/>
    <s v="EXW"/>
    <s v="Customer Pick Up"/>
    <m/>
    <m/>
    <s v="FF: Yusen Logistics (Americas) Inc. (RDU) Attn: William J Courtney E-mail / P: 919 465 2101 / E: william.courtney@us.yusen-logistics.com, Any questions, contact Ivy.Lam@arris.com"/>
    <m/>
    <m/>
    <m/>
    <m/>
    <s v="0"/>
    <s v="0"/>
  </r>
  <r>
    <s v="SJ2"/>
    <s v="5033308"/>
    <s v="NSG TECHNOLOGY INC"/>
    <s v="SAN JOSE5062"/>
    <s v="R016P14L2B01"/>
    <s v="SJ2_STAG"/>
    <s v="NSG TECHNOLOGY INC"/>
    <s v="1705 Junction Ct Ste 200"/>
    <s v="CA"/>
    <s v="San Jose"/>
    <s v="95112-1023"/>
    <s v="NRF3142Q-42-NRH3840"/>
    <s v="RF MOD SEG MNLMUTE 42/53 1GHZ"/>
    <s v="20118513"/>
    <s v="1.1"/>
    <x v="452"/>
    <n v="1961067"/>
    <d v="2016-10-24T22:28:57"/>
    <m/>
    <d v="2016-10-26T00:00:00"/>
    <d v="2016-10-26T00:00:00"/>
    <d v="2016-10-26T00:00:00"/>
    <m/>
    <n v="6"/>
    <n v="6"/>
    <n v="2699.58"/>
    <n v="2699.58"/>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6P14L2B01"/>
    <s v="SJ2_STAG"/>
    <s v="NSG TECHNOLOGY INC"/>
    <s v="1705 Junction Ct Ste 200"/>
    <s v="CA"/>
    <s v="San Jose"/>
    <s v="95112-1023"/>
    <s v="NRF3142Q-42-NRH3840"/>
    <s v="RF MOD SEG MNLMUTE 42/53 1GHZ"/>
    <m/>
    <s v="2.1"/>
    <x v="452"/>
    <n v="1961067"/>
    <d v="2016-10-24T22:28:57"/>
    <m/>
    <d v="2016-10-26T00:00:00"/>
    <d v="2016-10-26T00:00:00"/>
    <d v="2016-10-26T00:00:00"/>
    <m/>
    <n v="10"/>
    <n v="10"/>
    <n v="4499.3"/>
    <n v="4499.3"/>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5P62L1"/>
    <s v="SJ2_STAG"/>
    <s v="NSG TECHNOLOGY INC"/>
    <s v="1705 Junction Ct Ste 200"/>
    <s v="CA"/>
    <s v="San Jose"/>
    <s v="95112-1023"/>
    <s v="NRF3142Q-42-NRH3840"/>
    <s v="RF MOD SEG MNLMUTE 42/53 1GHZ"/>
    <s v="20118513"/>
    <s v="3.1"/>
    <x v="452"/>
    <n v="1961067"/>
    <d v="2016-10-24T22:28:57"/>
    <m/>
    <d v="2016-10-26T00:00:00"/>
    <d v="2016-10-26T00:00:00"/>
    <d v="2016-10-26T00:00:00"/>
    <m/>
    <n v="6"/>
    <n v="6"/>
    <n v="2699.58"/>
    <n v="2699.58"/>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6P14L2B01"/>
    <s v="SJ2_STAG"/>
    <s v="NSG TECHNOLOGY INC"/>
    <s v="1705 Junction Ct Ste 200"/>
    <s v="CA"/>
    <s v="San Jose"/>
    <s v="95112-1023"/>
    <s v="NRF3142Q-42-NRH3840"/>
    <s v="RF MOD SEG MNLMUTE 42/53 1GHZ"/>
    <s v="20118513"/>
    <s v="3.1"/>
    <x v="452"/>
    <n v="1961067"/>
    <d v="2016-10-24T22:28:57"/>
    <m/>
    <d v="2016-10-26T00:00:00"/>
    <d v="2016-10-26T00:00:00"/>
    <d v="2016-10-26T00:00:00"/>
    <m/>
    <n v="4"/>
    <n v="4"/>
    <n v="1799.72"/>
    <n v="1799.72"/>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5P58L3"/>
    <s v="SJ2_STAG"/>
    <s v="NSG TECHNOLOGY INC"/>
    <s v="1705 Junction Ct Ste 200"/>
    <s v="CA"/>
    <s v="San Jose"/>
    <s v="95112-1023"/>
    <s v="NRF3142Q-65-NRH3840"/>
    <s v="RF MOD SEG MNLMUTE 65/85 1GHZ"/>
    <s v="20118521"/>
    <s v="2.1"/>
    <x v="453"/>
    <n v="1961093"/>
    <d v="2016-10-24T23:04:08"/>
    <m/>
    <d v="2016-10-26T00:00:00"/>
    <d v="2016-10-26T00:00:00"/>
    <d v="2016-10-26T00:00:00"/>
    <m/>
    <n v="3"/>
    <m/>
    <n v="1349.79"/>
    <m/>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24P34L1B01"/>
    <s v="SJ2_STAG"/>
    <s v="NSG TECHNOLOGY INC"/>
    <s v="1705 Junction Ct Ste 200"/>
    <s v="CA"/>
    <s v="San Jose"/>
    <s v="95112-1023"/>
    <s v="NRF3142Q-65-NRH3840"/>
    <s v="RF MOD SEG MNLMUTE 65/85 1GHZ"/>
    <s v="20118521"/>
    <s v="2.1"/>
    <x v="453"/>
    <n v="1961067"/>
    <d v="2016-10-24T23:04:08"/>
    <m/>
    <d v="2016-10-26T00:00:00"/>
    <d v="2016-10-26T00:00:00"/>
    <d v="2016-10-26T00:00:00"/>
    <m/>
    <n v="8"/>
    <m/>
    <n v="3599.44"/>
    <m/>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6P22L1B01"/>
    <s v="SJ2_STAG"/>
    <s v="NSG TECHNOLOGY INC"/>
    <s v="1705 Junction Ct Ste 200"/>
    <s v="CA"/>
    <s v="San Jose"/>
    <s v="95112-1023"/>
    <s v="NPS3000-4L"/>
    <s v="NPS3000 100W POWER SUPPLY NODE"/>
    <s v="20118539"/>
    <s v="1.1"/>
    <x v="454"/>
    <n v="1960520"/>
    <d v="2016-10-25T01:30:57"/>
    <m/>
    <d v="2016-10-25T00:00:00"/>
    <d v="2016-10-25T00:00:00"/>
    <d v="2016-10-25T00:00:00"/>
    <m/>
    <n v="117"/>
    <m/>
    <n v="12109.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5P62L1"/>
    <s v="SJ2_STAG"/>
    <s v="NSG TECHNOLOGY INC"/>
    <s v="1705 Junction Ct Ste 200"/>
    <s v="CA"/>
    <s v="San Jose"/>
    <s v="95112-1023"/>
    <s v="NRF3142Q-42-NRH3840"/>
    <s v="RF MOD SEG MNLMUTE 42/53 1GHZ"/>
    <s v="20118540"/>
    <s v="1.1"/>
    <x v="455"/>
    <n v="1961067"/>
    <d v="2016-10-25T01:33:59"/>
    <m/>
    <d v="2016-10-26T00:00:00"/>
    <d v="2016-10-26T00:00:00"/>
    <d v="2016-10-26T00:00:00"/>
    <m/>
    <n v="11"/>
    <n v="11"/>
    <n v="4949.2299999999996"/>
    <n v="4949.2299999999996"/>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5P58L3"/>
    <s v="SJ2_STAG"/>
    <s v="NSG TECHNOLOGY INC"/>
    <s v="1705 Junction Ct Ste 200"/>
    <s v="CA"/>
    <s v="San Jose"/>
    <s v="95112-1023"/>
    <s v="NRF3142Q-65-NRH3840"/>
    <s v="RF MOD SEG MNLMUTE 65/85 1GHZ"/>
    <s v="20118540"/>
    <s v="2.1"/>
    <x v="455"/>
    <n v="1961093"/>
    <d v="2016-10-25T01:33:59"/>
    <m/>
    <d v="2016-10-26T00:00:00"/>
    <d v="2016-10-26T00:00:00"/>
    <d v="2016-10-26T00:00:00"/>
    <m/>
    <n v="10"/>
    <n v="10"/>
    <n v="4499.3"/>
    <n v="4499.3"/>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24P34L1B01"/>
    <s v="SJ2_STAG"/>
    <s v="NSG TECHNOLOGY INC"/>
    <s v="1705 Junction Ct Ste 200"/>
    <s v="CA"/>
    <s v="San Jose"/>
    <s v="95112-1023"/>
    <s v="NRM3111B-AS-2L"/>
    <s v="RX MOD NRM3111B-AS-2 1GHZ NODE"/>
    <s v="20118548"/>
    <s v="1.1"/>
    <x v="456"/>
    <n v="1960801"/>
    <d v="2016-10-25T01:50:18"/>
    <m/>
    <d v="2016-10-25T00:00:00"/>
    <d v="2016-10-25T00:00:00"/>
    <d v="2016-10-27T00:00:00"/>
    <m/>
    <n v="4"/>
    <n v="4"/>
    <n v="538.6"/>
    <n v="538.6"/>
    <s v="N151"/>
    <s v="NWK ACCESS TECH"/>
    <s v="NODE"/>
    <s v="HL NODE MISC AURORA"/>
    <s v="N151"/>
    <s v="AS-RAW MATERIAL ORDER"/>
    <s v="A-SURFACE"/>
    <s v="OP"/>
    <n v="1249687"/>
    <s v="A-SURFACE"/>
    <m/>
    <m/>
    <m/>
    <s v="A-SURFACE"/>
    <s v="LTL"/>
    <s v="EXW"/>
    <s v="Prepaid"/>
    <m/>
    <m/>
    <s v="Arris provides transportation to NSG"/>
    <m/>
    <m/>
    <m/>
    <m/>
    <s v="0"/>
    <s v="0"/>
  </r>
  <r>
    <s v="SJ2"/>
    <s v="5033308"/>
    <s v="NSG TECHNOLOGY INC"/>
    <s v="SAN JOSE5062"/>
    <s v="R022P02L2"/>
    <s v="SJ2_STAG"/>
    <s v="NSG TECHNOLOGY INC"/>
    <s v="1705 Junction Ct Ste 200"/>
    <s v="CA"/>
    <s v="San Jose"/>
    <s v="95112-1023"/>
    <s v="NRM3111B-AS-2L"/>
    <s v="RX MOD NRM3111B-AS-2 1GHZ NODE"/>
    <s v="20118548"/>
    <s v="1.1"/>
    <x v="457"/>
    <n v="1960516"/>
    <d v="2016-10-25T01:50:18"/>
    <m/>
    <d v="2016-10-25T00:00:00"/>
    <d v="2016-10-25T00:00:00"/>
    <d v="2016-10-27T00:00:00"/>
    <m/>
    <n v="5"/>
    <m/>
    <n v="673.25"/>
    <m/>
    <s v="N151"/>
    <s v="NWK ACCESS TECH"/>
    <s v="NODE"/>
    <s v="HL NODE MISC AURORA"/>
    <s v="N151"/>
    <s v="AS-RAW MATERIAL ORDER"/>
    <s v="A-SURFACE"/>
    <s v="OP"/>
    <n v="1249460"/>
    <s v="A-SURFACE"/>
    <m/>
    <m/>
    <m/>
    <s v="A-SURFACE"/>
    <s v="LTL"/>
    <s v="EXW"/>
    <s v="Prepaid"/>
    <m/>
    <m/>
    <s v="Arris provides transportation to NSG"/>
    <m/>
    <m/>
    <m/>
    <m/>
    <s v="0"/>
    <s v="0"/>
  </r>
  <r>
    <s v="SJ2"/>
    <s v="5033308"/>
    <s v="NSG TECHNOLOGY INC"/>
    <s v="SAN JOSE5062"/>
    <s v="R024P34L1B01"/>
    <s v="SJ2_STAG"/>
    <s v="NSG TECHNOLOGY INC"/>
    <s v="1705 Junction Ct Ste 200"/>
    <s v="CA"/>
    <s v="San Jose"/>
    <s v="95112-1023"/>
    <s v="NRM3111B-AS-2L"/>
    <s v="RX MOD NRM3111B-AS-2 1GHZ NODE"/>
    <s v="20118550"/>
    <s v="1.1"/>
    <x v="458"/>
    <n v="1960801"/>
    <d v="2016-10-25T01:52:38"/>
    <m/>
    <d v="2016-10-25T00:00:00"/>
    <d v="2016-10-25T00:00:00"/>
    <d v="2016-10-27T00:00:00"/>
    <m/>
    <n v="17"/>
    <n v="17"/>
    <n v="2289.0500000000002"/>
    <n v="2289.0500000000002"/>
    <s v="N151"/>
    <s v="NWK ACCESS TECH"/>
    <s v="NODE"/>
    <s v="HL NODE MISC AURORA"/>
    <s v="N151"/>
    <s v="AS-RAW MATERIAL ORDER"/>
    <s v="A-SURFACE"/>
    <s v="OP"/>
    <n v="1249687"/>
    <s v="A-SURFACE"/>
    <m/>
    <m/>
    <m/>
    <s v="A-SURFACE"/>
    <s v="LTL"/>
    <s v="EXW"/>
    <s v="Prepaid"/>
    <m/>
    <m/>
    <s v="Arris provides transportation to NSG"/>
    <m/>
    <m/>
    <m/>
    <m/>
    <s v="0"/>
    <s v="0"/>
  </r>
  <r>
    <s v="SJ2"/>
    <s v="5033308"/>
    <s v="NSG TECHNOLOGY INC"/>
    <s v="SAN JOSE5062"/>
    <s v="R015P55L2"/>
    <s v="SJ2_STAG"/>
    <s v="NSG TECHNOLOGY INC"/>
    <s v="1705 Junction Ct Ste 200"/>
    <s v="CA"/>
    <s v="San Jose"/>
    <s v="95112-1023"/>
    <s v="NPS3815-15L"/>
    <s v="150W POWER SUPPLY NODE"/>
    <s v="20118557"/>
    <s v="1.1"/>
    <x v="459"/>
    <n v="1960516"/>
    <d v="2016-10-25T02:12:32"/>
    <m/>
    <d v="2016-10-25T00:00:00"/>
    <d v="2016-10-25T00:00:00"/>
    <d v="2016-10-25T00:00:00"/>
    <m/>
    <n v="101"/>
    <m/>
    <n v="12574.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25L1B01"/>
    <s v="SJ2_STAG"/>
    <s v="NSG TECHNOLOGY INC"/>
    <s v="1705 Junction Ct Ste 200"/>
    <s v="CA"/>
    <s v="San Jose"/>
    <s v="95112-1023"/>
    <s v="NPS3815-15L"/>
    <s v="150W POWER SUPPLY NODE"/>
    <s v="20118557"/>
    <s v="1.1"/>
    <x v="459"/>
    <n v="1960516"/>
    <d v="2016-10-25T02:12:32"/>
    <m/>
    <d v="2016-10-25T00:00:00"/>
    <d v="2016-10-25T00:00:00"/>
    <d v="2016-10-25T00:00:00"/>
    <m/>
    <n v="30"/>
    <m/>
    <n v="373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6P18L4B01"/>
    <s v="SJ2_STAG"/>
    <s v="NSG TECHNOLOGY INC"/>
    <s v="1705 Junction Ct Ste 200"/>
    <s v="CA"/>
    <s v="San Jose"/>
    <s v="95112-1023"/>
    <s v="NPS3815-15L"/>
    <s v="150W POWER SUPPLY NODE"/>
    <s v="20118557"/>
    <s v="1.1"/>
    <x v="459"/>
    <n v="1960516"/>
    <d v="2016-10-25T02:12:32"/>
    <m/>
    <d v="2016-10-25T00:00:00"/>
    <d v="2016-10-25T00:00:00"/>
    <d v="2016-10-25T00:00:00"/>
    <m/>
    <n v="69"/>
    <m/>
    <n v="8590.5"/>
    <m/>
    <s v="N224"/>
    <s v="NWK ACCESS TECH"/>
    <s v="ACCESS OTHER"/>
    <s v="OTHER AURORA"/>
    <s v="N224"/>
    <s v="AS-RAW MATERIAL ORDER"/>
    <s v="A-SURFACE"/>
    <s v="OP"/>
    <n v="1249460"/>
    <s v="A-SURFACE"/>
    <m/>
    <m/>
    <m/>
    <s v="A-SURFACE"/>
    <s v="LTL"/>
    <s v="EXW"/>
    <s v="Prepaid"/>
    <m/>
    <m/>
    <s v="Arris provides transportation to NSG"/>
    <m/>
    <m/>
    <m/>
    <m/>
    <s v="0"/>
    <s v="0"/>
  </r>
  <r>
    <s v="SJ2"/>
    <s v="5033308"/>
    <s v="NSG TECHNOLOGY INC"/>
    <s v="SAN JOSE5062"/>
    <s v="R015P44L4"/>
    <s v="SJ2_STAG"/>
    <s v="NSG TECHNOLOGY INC"/>
    <s v="1705 Junction Ct Ste 200"/>
    <s v="CA"/>
    <s v="San Jose"/>
    <s v="95112-1023"/>
    <s v="NRF3142QA-85-NRH3840"/>
    <s v="RF MOD SEG I2CMUTE 85/102 1GHZ"/>
    <s v="20118558"/>
    <s v="7.1"/>
    <x v="460"/>
    <n v="1961067"/>
    <d v="2016-10-25T02:14:35"/>
    <m/>
    <d v="2016-10-26T00:00:00"/>
    <d v="2016-10-26T00:00:00"/>
    <d v="2016-10-26T00:00:00"/>
    <m/>
    <n v="10"/>
    <n v="10"/>
    <n v="4837.7"/>
    <n v="4837.7"/>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15P40L1"/>
    <s v="SJ2_STAG"/>
    <s v="NSG TECHNOLOGY INC"/>
    <s v="1705 Junction Ct Ste 200"/>
    <s v="CA"/>
    <s v="San Jose"/>
    <s v="95112-1023"/>
    <s v="NRF3142QA-85-NRH3840"/>
    <s v="RF MOD SEG I2CMUTE 85/102 1GHZ"/>
    <s v="20118558"/>
    <s v="7.1"/>
    <x v="460"/>
    <n v="1961067"/>
    <d v="2016-10-25T02:14:35"/>
    <m/>
    <d v="2016-10-26T00:00:00"/>
    <d v="2016-10-26T00:00:00"/>
    <d v="2016-10-26T00:00:00"/>
    <m/>
    <n v="1"/>
    <n v="1"/>
    <n v="483.77"/>
    <n v="483.77"/>
    <s v="N224"/>
    <s v="NWK ACCESS TECH"/>
    <s v="ACCESS OTHER"/>
    <s v="OTHER AURORA"/>
    <s v="N224"/>
    <s v="AS-RAW MATERIAL ORDER"/>
    <s v="A-SURFACE"/>
    <s v="OP"/>
    <n v="1249843"/>
    <s v="A-SURFACE"/>
    <m/>
    <m/>
    <m/>
    <s v="A-SURFACE"/>
    <s v="LTL"/>
    <s v="EXW"/>
    <s v="Prepaid"/>
    <m/>
    <m/>
    <s v="Arris provides transportation to NSG"/>
    <m/>
    <m/>
    <m/>
    <m/>
    <s v="0"/>
    <s v="0"/>
  </r>
  <r>
    <s v="SJ2"/>
    <s v="5033308"/>
    <s v="NSG TECHNOLOGY INC"/>
    <s v="SAN JOSE5062"/>
    <s v="R024P06L1B02"/>
    <s v="SJ2_STAG"/>
    <s v="NSG TECHNOLOGY INC"/>
    <s v="1705 Junction Ct Ste 200"/>
    <s v="CA"/>
    <s v="San Jose"/>
    <s v="95112-1023"/>
    <s v="NOM3121A-85"/>
    <s v="RF MOD NOM3121A-85 1GHZ NODE"/>
    <s v="20118562"/>
    <s v="1.1"/>
    <x v="461"/>
    <n v="1961280"/>
    <d v="2016-10-25T02:23:29"/>
    <m/>
    <d v="2016-10-26T00:00:00"/>
    <d v="2016-11-03T00:00:00"/>
    <d v="2016-10-27T00:00:00"/>
    <m/>
    <n v="2"/>
    <m/>
    <n v="401.5"/>
    <m/>
    <s v="CT30"/>
    <s v="NWK ACCESS TECH"/>
    <s v="ACCESS OTHER"/>
    <s v="OTHER AURORA"/>
    <s v="CT30"/>
    <s v="AS-RAW MATERIAL ORDER"/>
    <s v="A-SURFACE"/>
    <s v="OP"/>
    <n v="1249953"/>
    <s v="A-SURFACE"/>
    <m/>
    <m/>
    <m/>
    <s v="A-SURFACE"/>
    <s v="LTL"/>
    <s v="EXW"/>
    <s v="Prepaid"/>
    <m/>
    <m/>
    <s v="Arris provides transportation to NSG"/>
    <m/>
    <m/>
    <m/>
    <m/>
    <s v="0"/>
    <s v="0"/>
  </r>
  <r>
    <s v="SJ2"/>
    <s v="5033308"/>
    <s v="NSG TECHNOLOGY INC"/>
    <s v="SAN JOSE5062"/>
    <s v="R015P48L5"/>
    <s v="SJ2_STAG"/>
    <s v="NSG TECHNOLOGY INC"/>
    <s v="1705 Junction Ct Ste 200"/>
    <s v="CA"/>
    <s v="San Jose"/>
    <s v="95112-1023"/>
    <s v="NC4121S2A1-00000000"/>
    <s v="BASE NODE 5-42/51-1GHZ JXP 1"/>
    <s v="20118562"/>
    <s v="10.1"/>
    <x v="461"/>
    <n v="1961281"/>
    <d v="2016-10-25T02:23:29"/>
    <m/>
    <d v="2016-10-26T00:00:00"/>
    <d v="2016-10-25T00:00:00"/>
    <d v="2016-10-26T00:00:00"/>
    <m/>
    <n v="2"/>
    <m/>
    <n v="2131.92"/>
    <m/>
    <s v="N034"/>
    <s v="NWK ACCESS TECH"/>
    <s v="NODE"/>
    <s v="NC4000 AURORA"/>
    <s v="N034"/>
    <s v="AS-RAW MATERIAL ORDER"/>
    <s v="A-SURFACE"/>
    <s v="OP"/>
    <n v="1249953"/>
    <s v="A-SURFACE"/>
    <m/>
    <m/>
    <m/>
    <s v="A-SURFACE"/>
    <s v="LTL"/>
    <s v="EXW"/>
    <s v="Prepaid"/>
    <m/>
    <m/>
    <s v="Arris provides transportation to NSG"/>
    <m/>
    <m/>
    <m/>
    <m/>
    <s v="0"/>
    <s v="0"/>
  </r>
  <r>
    <s v="SJ2"/>
    <s v="5033308"/>
    <s v="NSG TECHNOLOGY INC"/>
    <s v="SAN JOSE5062"/>
    <s v="R015P12L2"/>
    <s v="SJ2_STAG"/>
    <s v="NSG TECHNOLOGY INC"/>
    <s v="1705 Junction Ct Ste 200"/>
    <s v="CA"/>
    <s v="San Jose"/>
    <s v="95112-1023"/>
    <s v="WH4144"/>
    <s v="WIRING HARNESS 4 X 4 COAX"/>
    <s v="20118562"/>
    <s v="6.1"/>
    <x v="461"/>
    <n v="1961280"/>
    <d v="2016-10-25T02:23:29"/>
    <m/>
    <d v="2016-10-26T00:00:00"/>
    <d v="2016-10-25T00:00:00"/>
    <d v="2016-10-26T00:00:00"/>
    <m/>
    <n v="2"/>
    <m/>
    <n v="147.80000000000001"/>
    <m/>
    <s v="N224"/>
    <s v="NWK ACCESS TECH"/>
    <s v="ACCESS OTHER"/>
    <s v="OTHER AURORA"/>
    <s v="N224"/>
    <s v="AS-RAW MATERIAL ORDER"/>
    <s v="A-SURFACE"/>
    <s v="OP"/>
    <n v="1249953"/>
    <s v="A-SURFACE"/>
    <m/>
    <m/>
    <m/>
    <s v="A-SURFACE"/>
    <s v="LTL"/>
    <s v="EXW"/>
    <s v="Prepaid"/>
    <m/>
    <m/>
    <s v="Arris provides transportation to NSG"/>
    <m/>
    <m/>
    <m/>
    <m/>
    <s v="0"/>
    <s v="0"/>
  </r>
  <r>
    <s v="SJ2"/>
    <s v="5033308"/>
    <s v="NSG TECHNOLOGY INC"/>
    <s v="SAN JOSE5062"/>
    <s v="R015P48L5"/>
    <s v="SJ2_STAG"/>
    <s v="NSG TECHNOLOGY INC"/>
    <s v="1705 Junction Ct Ste 200"/>
    <s v="CA"/>
    <s v="San Jose"/>
    <s v="95112-1023"/>
    <s v="NC4121S2A1-00000000"/>
    <s v="BASE NODE 5-42/51-1GHZ JXP 1"/>
    <s v="20118562"/>
    <s v="7.1"/>
    <x v="461"/>
    <n v="1961281"/>
    <d v="2016-10-25T02:23:29"/>
    <m/>
    <d v="2016-10-26T00:00:00"/>
    <d v="2016-10-25T00:00:00"/>
    <d v="2016-10-26T00:00:00"/>
    <m/>
    <n v="4"/>
    <m/>
    <n v="4263.84"/>
    <m/>
    <s v="N034"/>
    <s v="NWK ACCESS TECH"/>
    <s v="NODE"/>
    <s v="NC4000 AURORA"/>
    <s v="N034"/>
    <s v="AS-RAW MATERIAL ORDER"/>
    <s v="A-SURFACE"/>
    <s v="OP"/>
    <n v="1249953"/>
    <s v="A-SURFACE"/>
    <m/>
    <m/>
    <m/>
    <s v="A-SURFACE"/>
    <s v="LTL"/>
    <s v="EXW"/>
    <s v="Prepaid"/>
    <m/>
    <m/>
    <s v="Arris provides transportation to NSG"/>
    <m/>
    <m/>
    <m/>
    <m/>
    <s v="0"/>
    <s v="0"/>
  </r>
  <r>
    <s v="SJ2"/>
    <s v="5033308"/>
    <s v="NSG TECHNOLOGY INC"/>
    <s v="SAN JOSE5062"/>
    <s v="R015P48L5"/>
    <s v="SJ2_STAG"/>
    <s v="NSG TECHNOLOGY INC"/>
    <s v="1705 Junction Ct Ste 200"/>
    <s v="CA"/>
    <s v="San Jose"/>
    <s v="95112-1023"/>
    <s v="NC4121S2A1-00000000"/>
    <s v="BASE NODE 5-42/51-1GHZ JXP 1"/>
    <m/>
    <s v="8.1"/>
    <x v="461"/>
    <n v="1961281"/>
    <d v="2016-10-25T02:23:29"/>
    <m/>
    <d v="2016-10-26T00:00:00"/>
    <d v="2016-10-25T00:00:00"/>
    <d v="2016-10-26T00:00:00"/>
    <m/>
    <n v="5"/>
    <m/>
    <n v="5329.8"/>
    <m/>
    <s v="N034"/>
    <s v="NWK ACCESS TECH"/>
    <s v="NODE"/>
    <s v="NC4000 AURORA"/>
    <s v="N034"/>
    <s v="AS-RAW MATERIAL ORDER"/>
    <s v="A-SURFACE"/>
    <s v="OP"/>
    <n v="1249953"/>
    <s v="A-SURFACE"/>
    <m/>
    <m/>
    <m/>
    <s v="A-SURFACE"/>
    <s v="LTL"/>
    <s v="EXW"/>
    <s v="Prepaid"/>
    <m/>
    <m/>
    <s v="Arris provides transportation to NSG"/>
    <m/>
    <m/>
    <m/>
    <m/>
    <s v="0"/>
    <s v="0"/>
  </r>
  <r>
    <s v="SJ2"/>
    <s v="5033308"/>
    <s v="NSG TECHNOLOGY INC"/>
    <s v="SAN JOSE5062"/>
    <s v="R015P48L5"/>
    <s v="SJ2_STAG"/>
    <s v="NSG TECHNOLOGY INC"/>
    <s v="1705 Junction Ct Ste 200"/>
    <s v="CA"/>
    <s v="San Jose"/>
    <s v="95112-1023"/>
    <s v="NC4121S2A1-00000000"/>
    <s v="BASE NODE 5-42/51-1GHZ JXP 1"/>
    <m/>
    <s v="9.1"/>
    <x v="461"/>
    <n v="1961281"/>
    <d v="2016-10-25T02:23:29"/>
    <m/>
    <d v="2016-10-26T00:00:00"/>
    <d v="2016-10-25T00:00:00"/>
    <d v="2016-10-26T00:00:00"/>
    <m/>
    <n v="5"/>
    <m/>
    <n v="5329.8"/>
    <m/>
    <s v="N034"/>
    <s v="NWK ACCESS TECH"/>
    <s v="NODE"/>
    <s v="NC4000 AURORA"/>
    <s v="N034"/>
    <s v="AS-RAW MATERIAL ORDER"/>
    <s v="A-SURFACE"/>
    <s v="OP"/>
    <n v="1249953"/>
    <s v="A-SURFACE"/>
    <m/>
    <m/>
    <m/>
    <s v="A-SURFACE"/>
    <s v="LTL"/>
    <s v="EXW"/>
    <s v="Prepaid"/>
    <m/>
    <m/>
    <s v="Arris provides transportation to NSG"/>
    <m/>
    <m/>
    <m/>
    <m/>
    <s v="0"/>
    <s v="0"/>
  </r>
  <r>
    <s v="SJ2"/>
    <s v="5033308"/>
    <s v="NSG TECHNOLOGY INC"/>
    <s v="161827"/>
    <s v="R015P53L2"/>
    <s v="SJ2_STAG"/>
    <s v="NSG Technology, Inc."/>
    <s v="1705 Junction Ct Ste 200"/>
    <s v="CA"/>
    <s v="San Jose"/>
    <s v="95112-1023"/>
    <s v="10-10324-1+"/>
    <s v="ASSY HOUSING 1W AN DX4 RoHS"/>
    <s v="6901039"/>
    <s v="45.1"/>
    <x v="462"/>
    <n v="1961896"/>
    <d v="2016-08-03T00:00:00"/>
    <m/>
    <d v="2016-10-27T00:00:00"/>
    <d v="2016-10-31T00:00:00"/>
    <d v="2016-10-31T00:00:00"/>
    <m/>
    <n v="48"/>
    <m/>
    <n v="288"/>
    <m/>
    <s v="CT30"/>
    <s v="NWK ACCESS TECH"/>
    <s v="ACCESS OTHER"/>
    <s v="OTHER AURORA"/>
    <s v="CT30"/>
    <s v="AUR-RAW MATERIAL ORDER"/>
    <s v="A-SURFACE"/>
    <s v="OP"/>
    <n v="1250403"/>
    <s v="A-SURFACE"/>
    <m/>
    <m/>
    <m/>
    <s v="A-SURFACE"/>
    <s v="LTL"/>
    <s v="EXW"/>
    <s v="Collect"/>
    <m/>
    <m/>
    <s v="Arris provides transportation to NSG"/>
    <m/>
    <m/>
    <m/>
    <m/>
    <s v="0"/>
    <s v="0"/>
  </r>
  <r>
    <s v="SJ2"/>
    <s v="5033308"/>
    <s v="NSG TECHNOLOGY INC"/>
    <s v="161827"/>
    <s v="R023P60L6"/>
    <s v="SJ2_STAG"/>
    <s v="NSG Technology, Inc."/>
    <s v="1705 Junction Ct Ste 200"/>
    <s v="CA"/>
    <s v="San Jose"/>
    <s v="95112-1023"/>
    <s v="240-0054830-3"/>
    <s v="ASSY MECH HD-HI/PWL 1GHZ DWDM"/>
    <s v="6901039"/>
    <s v="7.1"/>
    <x v="462"/>
    <n v="1961896"/>
    <d v="2016-08-03T00:00:00"/>
    <m/>
    <d v="2016-10-27T00:00:00"/>
    <d v="2016-10-31T00:00:00"/>
    <d v="2016-10-31T00:00:00"/>
    <m/>
    <n v="3"/>
    <m/>
    <n v="1336.5"/>
    <m/>
    <s v="MXXX"/>
    <s v="NWK VIDEO SYS"/>
    <s v="COMPRESSION AND ADVERTISING"/>
    <s v="ENCODERS"/>
    <s v="4AC2"/>
    <s v="AUR-RAW MATERIAL ORDER"/>
    <s v="A-SURFACE"/>
    <s v="OP"/>
    <n v="1250403"/>
    <s v="A-SURFACE"/>
    <m/>
    <m/>
    <m/>
    <s v="A-SURFACE"/>
    <s v="LTL"/>
    <s v="EXW"/>
    <s v="Collect"/>
    <m/>
    <m/>
    <s v="Arris provides transportation to NSG"/>
    <m/>
    <m/>
    <m/>
    <m/>
    <s v="0"/>
    <s v="0"/>
  </r>
  <r>
    <s v="SJ2"/>
    <s v="5033308"/>
    <s v="NSG TECHNOLOGY INC"/>
    <s v="161827"/>
    <s v="R022P50L1"/>
    <s v="SJ2_STAG"/>
    <s v="NSG Technology, Inc."/>
    <s v="1705 Junction Ct Ste 200"/>
    <s v="CA"/>
    <s v="San Jose"/>
    <s v="95112-1023"/>
    <s v="10-10324-2+"/>
    <s v="ASSY HOUSING 1W AN AR4 RoHS"/>
    <s v="6901366"/>
    <s v="8.1"/>
    <x v="463"/>
    <n v="1959289"/>
    <d v="2016-06-03T00:00:00"/>
    <m/>
    <d v="2016-10-24T00:00:00"/>
    <d v="2016-10-26T00:00:00"/>
    <d v="2016-10-26T00:00:00"/>
    <m/>
    <n v="1"/>
    <n v="1"/>
    <n v="8"/>
    <n v="8"/>
    <s v="CT30"/>
    <s v="NWK ACCESS TECH"/>
    <s v="ACCESS OTHER"/>
    <s v="OTHER AURORA"/>
    <s v="CT30"/>
    <s v="AUR-RAW MATERIAL ORDER"/>
    <s v="A-SURFACE"/>
    <s v="OP"/>
    <n v="1248585"/>
    <s v="A-SURFACE"/>
    <m/>
    <m/>
    <m/>
    <s v="A-SURFACE"/>
    <s v="LTL"/>
    <s v="EXW"/>
    <s v="Collect"/>
    <m/>
    <m/>
    <s v="Arris provides transportation to NSG"/>
    <m/>
    <m/>
    <m/>
    <m/>
    <s v="0"/>
    <s v="0"/>
  </r>
  <r>
    <s v="SJ2"/>
    <s v="5033308"/>
    <s v="NSG TECHNOLOGY INC"/>
    <s v="161827"/>
    <s v="R022P50L1"/>
    <s v="SJ2_STAG"/>
    <s v="NSG Technology, Inc."/>
    <s v="1705 Junction Ct Ste 200"/>
    <s v="CA"/>
    <s v="San Jose"/>
    <s v="95112-1023"/>
    <s v="10-10324-2+"/>
    <s v="ASSY HOUSING 1W AN AR4 RoHS"/>
    <m/>
    <s v="9.1"/>
    <x v="463"/>
    <n v="1959289"/>
    <d v="2016-06-03T00:00:00"/>
    <m/>
    <d v="2016-10-24T00:00:00"/>
    <d v="2016-10-26T00:00:00"/>
    <d v="2016-10-26T00:00:00"/>
    <m/>
    <n v="14"/>
    <n v="14"/>
    <n v="112"/>
    <n v="112"/>
    <s v="CT30"/>
    <s v="NWK ACCESS TECH"/>
    <s v="ACCESS OTHER"/>
    <s v="OTHER AURORA"/>
    <s v="CT30"/>
    <s v="AUR-RAW MATERIAL ORDER"/>
    <s v="A-SURFACE"/>
    <s v="OP"/>
    <n v="1248585"/>
    <s v="A-SURFACE"/>
    <m/>
    <m/>
    <m/>
    <s v="A-SURFACE"/>
    <s v="LTL"/>
    <s v="EXW"/>
    <s v="Collect"/>
    <m/>
    <m/>
    <s v="Arris provides transportation to NSG"/>
    <m/>
    <m/>
    <m/>
    <m/>
    <s v="0"/>
    <s v="0"/>
  </r>
  <r>
    <s v="SJ2"/>
    <s v="5033308"/>
    <s v="NSG TECHNOLOGY INC"/>
    <s v="161827"/>
    <s v="R017P62L3"/>
    <s v="SJ2_STAG"/>
    <s v="NSG Technology, Inc."/>
    <s v="1705 Junction Ct Ste 200"/>
    <s v="CA"/>
    <s v="San Jose"/>
    <s v="95112-1023"/>
    <s v="NRF3142Q-65-NRH3840"/>
    <s v="RF MOD SEG MNLMUTE 65/85 1GHZ"/>
    <s v="6901379"/>
    <s v="1.1"/>
    <x v="464"/>
    <n v="1960778"/>
    <d v="2016-07-12T00:00:00"/>
    <m/>
    <d v="2016-10-25T00:00:00"/>
    <d v="2016-08-09T00:00:00"/>
    <d v="2016-10-27T00:00:00"/>
    <m/>
    <n v="21"/>
    <m/>
    <n v="9448.5300000000007"/>
    <m/>
    <s v="N224"/>
    <s v="NWK ACCESS TECH"/>
    <s v="ACCESS OTHER"/>
    <s v="OTHER AURORA"/>
    <s v="N224"/>
    <s v="AUR-RAW MATERIAL ORDER"/>
    <s v="A-SURFACE"/>
    <s v="OP"/>
    <n v="1249665"/>
    <s v="A-SURFACE"/>
    <m/>
    <m/>
    <m/>
    <s v="A-SURFACE"/>
    <s v="LTL"/>
    <s v="EXW"/>
    <s v="Collect"/>
    <m/>
    <m/>
    <s v="Arris provides transportation to NSG"/>
    <m/>
    <m/>
    <m/>
    <m/>
    <s v="0"/>
    <s v="0"/>
  </r>
  <r>
    <s v="SJ2"/>
    <s v="5033308"/>
    <s v="NSG TECHNOLOGY INC"/>
    <s v="161827"/>
    <s v="R015P58L3"/>
    <s v="SJ2_STAG"/>
    <s v="NSG Technology, Inc."/>
    <s v="1705 Junction Ct Ste 200"/>
    <s v="CA"/>
    <s v="San Jose"/>
    <s v="95112-1023"/>
    <s v="NRF3142Q-65-NRH3840"/>
    <s v="RF MOD SEG MNLMUTE 65/85 1GHZ"/>
    <s v="6901379"/>
    <s v="1.1"/>
    <x v="464"/>
    <n v="1960778"/>
    <d v="2016-07-12T00:00:00"/>
    <m/>
    <d v="2016-10-25T00:00:00"/>
    <d v="2016-08-09T00:00:00"/>
    <d v="2016-10-27T00:00:00"/>
    <m/>
    <n v="6"/>
    <m/>
    <n v="2699.58"/>
    <m/>
    <s v="N224"/>
    <s v="NWK ACCESS TECH"/>
    <s v="ACCESS OTHER"/>
    <s v="OTHER AURORA"/>
    <s v="N224"/>
    <s v="AUR-RAW MATERIAL ORDER"/>
    <s v="A-SURFACE"/>
    <s v="OP"/>
    <n v="1249665"/>
    <s v="A-SURFACE"/>
    <m/>
    <m/>
    <m/>
    <s v="A-SURFACE"/>
    <s v="LTL"/>
    <s v="EXW"/>
    <s v="Collect"/>
    <m/>
    <m/>
    <s v="Arris provides transportation to NSG"/>
    <m/>
    <m/>
    <m/>
    <m/>
    <s v="0"/>
    <s v="0"/>
  </r>
  <r>
    <s v="SJ2"/>
    <s v="5033308"/>
    <s v="NSG TECHNOLOGY INC"/>
    <s v="161827"/>
    <s v="R015P53L2"/>
    <s v="SJ2_STAG"/>
    <s v="NSG Technology, Inc."/>
    <s v="1705 Junction Ct Ste 200"/>
    <s v="CA"/>
    <s v="San Jose"/>
    <s v="95112-1023"/>
    <s v="10-10324-1+"/>
    <s v="ASSY HOUSING 1W AN DX4 RoHS"/>
    <s v="6901382"/>
    <s v="12.1"/>
    <x v="465"/>
    <n v="1956046"/>
    <d v="2016-07-28T00:00:00"/>
    <m/>
    <d v="2016-10-20T00:00:00"/>
    <d v="2016-10-24T00:00:00"/>
    <d v="2016-10-24T00:00:00"/>
    <m/>
    <n v="37"/>
    <m/>
    <n v="222"/>
    <m/>
    <s v="CT30"/>
    <s v="NWK ACCESS TECH"/>
    <s v="ACCESS OTHER"/>
    <s v="OTHER AURORA"/>
    <s v="CT30"/>
    <s v="AUR-RAW MATERIAL ORDER"/>
    <s v="A-SURFACE"/>
    <s v="OP"/>
    <n v="1246186"/>
    <s v="A-SURFACE"/>
    <m/>
    <m/>
    <m/>
    <s v="A-SURFACE"/>
    <s v="LTL"/>
    <s v="EXW"/>
    <s v="Collect"/>
    <m/>
    <m/>
    <s v="Arris provides transportation to NSG"/>
    <m/>
    <m/>
    <m/>
    <m/>
    <s v="0"/>
    <s v="0"/>
  </r>
  <r>
    <s v="SJ2"/>
    <s v="5033308"/>
    <s v="NSG TECHNOLOGY INC"/>
    <s v="161827"/>
    <s v="R016P18L2B01"/>
    <s v="SJ2_STAG"/>
    <s v="NSG Technology, Inc."/>
    <s v="1705 Junction Ct Ste 200"/>
    <s v="CA"/>
    <s v="San Jose"/>
    <s v="95112-1023"/>
    <s v="70-10151+"/>
    <s v="CONN SEIZURE FEMALE PC MT RoHS"/>
    <s v="6901382"/>
    <s v="14.1"/>
    <x v="465"/>
    <n v="1956045"/>
    <d v="2016-07-28T00:00:00"/>
    <m/>
    <d v="2016-10-20T00:00:00"/>
    <d v="2016-10-24T00:00:00"/>
    <d v="2016-10-24T00:00:00"/>
    <m/>
    <n v="434"/>
    <m/>
    <n v="1953"/>
    <m/>
    <s v="CT30"/>
    <s v="NWK ACCESS TECH"/>
    <s v="ACCESS OTHER"/>
    <s v="OTHER AURORA"/>
    <s v="CT30"/>
    <s v="AUR-RAW MATERIAL ORDER"/>
    <s v="A-SURFACE"/>
    <s v="OP"/>
    <n v="1246186"/>
    <s v="A-SURFACE"/>
    <m/>
    <m/>
    <m/>
    <s v="A-SURFACE"/>
    <s v="LTL"/>
    <s v="EXW"/>
    <s v="Collect"/>
    <m/>
    <m/>
    <s v="Arris provides transportation to NSG"/>
    <m/>
    <m/>
    <m/>
    <m/>
    <s v="0"/>
    <s v="0"/>
  </r>
  <r>
    <s v="SJ2"/>
    <s v="5033308"/>
    <s v="NSG TECHNOLOGY INC"/>
    <s v="161827"/>
    <s v="R024P15L1B02"/>
    <s v="SJ2_STAG"/>
    <s v="NSG Technology, Inc."/>
    <s v="1705 Junction Ct Ste 200"/>
    <s v="CA"/>
    <s v="San Jose"/>
    <s v="95112-1023"/>
    <s v="NRF3142H-65-NRH3840"/>
    <s v="RF MOD SEG MNLMUTE 65/85 1GHZ"/>
    <s v="6901388"/>
    <s v="1.1"/>
    <x v="466"/>
    <n v="1961990"/>
    <d v="2016-08-03T00:00:00"/>
    <m/>
    <d v="2016-10-27T00:00:00"/>
    <d v="2016-08-16T00:00:00"/>
    <d v="2016-10-27T00:00:00"/>
    <m/>
    <n v="12"/>
    <n v="12"/>
    <n v="7450.8"/>
    <n v="7450.8"/>
    <s v="N224"/>
    <s v="NWK ACCESS TECH"/>
    <s v="ACCESS OTHER"/>
    <s v="OTHER AURORA"/>
    <s v="N224"/>
    <s v="AUR-RAW MATERIAL ORDER"/>
    <s v="A-SURFACE"/>
    <s v="OP"/>
    <n v="1250456"/>
    <s v="A-SURFACE"/>
    <m/>
    <m/>
    <m/>
    <s v="A-SURFACE"/>
    <s v="LTL"/>
    <s v="EXW"/>
    <s v="Collect"/>
    <m/>
    <m/>
    <s v="Arris provides transportation to NSG"/>
    <m/>
    <m/>
    <m/>
    <m/>
    <s v="0"/>
    <s v="0"/>
  </r>
  <r>
    <s v="SJ2"/>
    <s v="5033308"/>
    <s v="NSG TECHNOLOGY INC"/>
    <s v="161827"/>
    <s v="R016P16L2B01"/>
    <s v="SJ2_STAG"/>
    <s v="NSG Technology, Inc."/>
    <s v="1705 Junction Ct Ste 200"/>
    <s v="CA"/>
    <s v="San Jose"/>
    <s v="95112-1023"/>
    <s v="AR4203G-AS"/>
    <s v="OPTICAL RECEIVER 51-1002MHz FW"/>
    <s v="6901389"/>
    <s v="39.1"/>
    <x v="467"/>
    <n v="1961893"/>
    <d v="2016-07-14T00:00:00"/>
    <m/>
    <d v="2016-10-27T00:00:00"/>
    <d v="2016-10-31T00:00:00"/>
    <d v="2016-10-31T00:00:00"/>
    <m/>
    <n v="10"/>
    <m/>
    <n v="1300"/>
    <m/>
    <s v="N222"/>
    <s v="NWK ACCESS TECH"/>
    <s v="HPON"/>
    <s v="VHUB AURORA"/>
    <s v="N222"/>
    <s v="AUR-RAW MATERIAL ORDER"/>
    <s v="A-SURFACE"/>
    <s v="OP"/>
    <n v="1250403"/>
    <s v="A-SURFACE"/>
    <m/>
    <m/>
    <m/>
    <s v="A-SURFACE"/>
    <s v="LTL"/>
    <s v="EXW"/>
    <s v="Collect"/>
    <m/>
    <m/>
    <s v="Arris provides transportation to NSG"/>
    <m/>
    <m/>
    <m/>
    <m/>
    <s v="0"/>
    <s v="0"/>
  </r>
  <r>
    <s v="SJ2"/>
    <s v="5033361"/>
    <s v="NELSONVILLE TV CABLE"/>
    <s v="NELSONVILLE4334"/>
    <s v="R015P03L3"/>
    <s v="SJ2_STAG"/>
    <s v="NELSONVILLE TV CABLE"/>
    <s v="1 W Columbus St"/>
    <s v="OH"/>
    <s v="Nelsonville"/>
    <s v="45764-1111"/>
    <s v="CP8013U-02-10"/>
    <s v="CPE RFOG 1550/1310 42MHZ PWR I"/>
    <s v="20119144"/>
    <s v="1.1"/>
    <x v="468"/>
    <n v="1963495"/>
    <d v="2016-10-27T12:08:15"/>
    <m/>
    <d v="2016-10-28T00:00:00"/>
    <d v="2016-10-27T00:00:00"/>
    <d v="2016-10-28T00:00:00"/>
    <m/>
    <n v="25"/>
    <m/>
    <n v="3000"/>
    <m/>
    <s v="N225"/>
    <s v="NWK ACCESS TECH"/>
    <s v="HPON"/>
    <s v="CPE AURORA"/>
    <s v="CPE"/>
    <s v="AS-STANDARD ORDER MIXED"/>
    <s v="A-SURFACE"/>
    <s v="OP"/>
    <n v="1251288"/>
    <s v="A-SURFACE"/>
    <m/>
    <m/>
    <m/>
    <s v="A-SURFACE"/>
    <s v="LTL"/>
    <s v="EXW"/>
    <s v="Prepay &amp; Add"/>
    <m/>
    <m/>
    <m/>
    <m/>
    <m/>
    <m/>
    <m/>
    <s v="0"/>
    <s v="0"/>
  </r>
  <r>
    <s v="SJ2"/>
    <s v="5033537"/>
    <s v="DERY TELECOM"/>
    <s v="LA BAIE"/>
    <s v="R022P45L3"/>
    <s v="SJ2_STAG"/>
    <s v="DERYTELECOM"/>
    <s v="531 RUE ALBERT"/>
    <s v="QC"/>
    <s v="LA BAIE"/>
    <s v="G7B 3L5"/>
    <s v="OA-10-00-AS"/>
    <s v="ATTENUATOR STD OPT SC/APC-SC/A"/>
    <s v="92002565"/>
    <s v="5.1"/>
    <x v="469"/>
    <n v="1963235"/>
    <d v="2016-10-19T13:11:57"/>
    <m/>
    <d v="2016-10-28T00:00:00"/>
    <d v="2016-10-19T00:00:00"/>
    <d v="2016-10-28T00:00:00"/>
    <m/>
    <n v="10"/>
    <m/>
    <n v="310"/>
    <m/>
    <s v="N224"/>
    <s v="NWK ACCESS TECH"/>
    <s v="ACCESS OTHER"/>
    <s v="OTHER AURORA"/>
    <s v="N224"/>
    <s v="UK-STANDARD ORDER MIXED"/>
    <s v="A-SURFACE"/>
    <s v="OP"/>
    <n v="1251073"/>
    <s v="A-SURFACE"/>
    <m/>
    <m/>
    <m/>
    <s v="A-SURFACE"/>
    <s v="LTL"/>
    <s v="EXW"/>
    <s v="Third Party Billing"/>
    <m/>
    <m/>
    <s v="Contact gabriel.villeneuve@derytelecom.ca Ph:418-544-3358 Ext 5506 with pieces/wt-Skid: CK Logistics Acct#00200910 team1@cklogistics.ca Appasone Samonekeo asamonekeo@cklogistics.ca 877-856-7580 ext 3391 or ext 3422-Parcel:UPS Acct #5R0W90"/>
    <m/>
    <m/>
    <m/>
    <m/>
    <s v="0"/>
    <s v="0"/>
  </r>
  <r>
    <s v="SJ2"/>
    <s v="5033537"/>
    <s v="DERY TELECOM"/>
    <s v="LA BAIE"/>
    <s v="R024P14L5B01"/>
    <s v="SJ2_STAG"/>
    <s v="DERYTELECOM"/>
    <s v="531 RUE ALBERT"/>
    <s v="QC"/>
    <s v="LA BAIE"/>
    <s v="G7B 3L5"/>
    <s v="CA3008"/>
    <s v="CARRIER MODULE HIGH DENSITY"/>
    <s v="92002641"/>
    <s v="1.1"/>
    <x v="470"/>
    <n v="1957958"/>
    <d v="2016-10-21T12:26:21"/>
    <m/>
    <d v="2016-10-21T00:00:00"/>
    <d v="2016-10-21T00:00:00"/>
    <d v="2016-10-21T00:00:00"/>
    <m/>
    <n v="4"/>
    <n v="4"/>
    <n v="1204"/>
    <n v="1204"/>
    <s v="N259"/>
    <s v="NWK ACCESS TECH"/>
    <s v="HEO"/>
    <s v="TRANSMITTERS AURORA"/>
    <s v="HDTX"/>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15L1"/>
    <s v="SJ2_STAG"/>
    <s v="DERYTELECOM"/>
    <s v="531 RUE ALBERT"/>
    <s v="QC"/>
    <s v="LA BAIE"/>
    <s v="G7B 3L5"/>
    <s v="CH3000N"/>
    <s v="CHASSIS NO COVERS 3RU"/>
    <s v="92002641"/>
    <s v="10.1"/>
    <x v="470"/>
    <n v="1957958"/>
    <d v="2016-10-21T12:26:21"/>
    <m/>
    <d v="2016-10-21T00:00:00"/>
    <d v="2016-10-21T00:00:00"/>
    <d v="2016-10-21T00:00:00"/>
    <m/>
    <n v="1"/>
    <n v="1"/>
    <n v="280"/>
    <n v="280"/>
    <s v="N199"/>
    <s v="NWK ACCESS TECH"/>
    <s v="HEO"/>
    <s v="HEO MISC AURORA"/>
    <s v="N199"/>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6P17L1B01"/>
    <s v="SJ2_STAG"/>
    <s v="DERYTELECOM"/>
    <s v="531 RUE ALBERT"/>
    <s v="QC"/>
    <s v="LA BAIE"/>
    <s v="G7B 3L5"/>
    <s v="CH3000U-FM-00"/>
    <s v="ADAPTER FIBER MGT FOR CH3000 C"/>
    <s v="92002641"/>
    <s v="11.1"/>
    <x v="470"/>
    <n v="1957958"/>
    <d v="2016-10-21T12:26:21"/>
    <m/>
    <d v="2016-10-21T00:00:00"/>
    <d v="2016-10-21T00:00:00"/>
    <d v="2016-10-21T00:00:00"/>
    <m/>
    <n v="1"/>
    <n v="1"/>
    <n v="70"/>
    <n v="70"/>
    <s v="N199"/>
    <s v="NWK ACCESS TECH"/>
    <s v="HEO"/>
    <s v="HEO MISC AURORA"/>
    <s v="N199"/>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16L2"/>
    <s v="SJ2_STAG"/>
    <s v="DERYTELECOM"/>
    <s v="531 RUE ALBERT"/>
    <s v="QC"/>
    <s v="LA BAIE"/>
    <s v="G7B 3L5"/>
    <s v="PS3005D"/>
    <s v="POWER SUPPLY 250W CE TUV W/DIS"/>
    <s v="92002641"/>
    <s v="13.1"/>
    <x v="470"/>
    <n v="1957958"/>
    <d v="2016-10-21T12:26:21"/>
    <m/>
    <d v="2016-10-21T00:00:00"/>
    <d v="2016-10-21T00:00:00"/>
    <d v="2016-10-21T00:00:00"/>
    <m/>
    <n v="1"/>
    <n v="1"/>
    <n v="700"/>
    <n v="700"/>
    <s v="N204"/>
    <s v="NWK ACCESS TECH"/>
    <s v="ACCESS OTHER"/>
    <s v="OTHER AURORA"/>
    <s v="N20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39L2"/>
    <s v="SJ2_STAG"/>
    <s v="DERYTELECOM"/>
    <s v="531 RUE ALBERT"/>
    <s v="QC"/>
    <s v="LA BAIE"/>
    <s v="G7B 3L5"/>
    <s v="PS3005N"/>
    <s v="POWER SUPPLY 250W CE TUV W/O D"/>
    <s v="92002641"/>
    <s v="14.1"/>
    <x v="470"/>
    <n v="1957958"/>
    <d v="2016-10-21T12:26:21"/>
    <m/>
    <d v="2016-10-21T00:00:00"/>
    <d v="2016-10-21T00:00:00"/>
    <d v="2016-10-21T00:00:00"/>
    <m/>
    <n v="1"/>
    <n v="1"/>
    <n v="588"/>
    <n v="588"/>
    <s v="N204"/>
    <s v="NWK ACCESS TECH"/>
    <s v="ACCESS OTHER"/>
    <s v="OTHER AURORA"/>
    <s v="N20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0P34L1"/>
    <s v="SJ2_STAG"/>
    <s v="DERYTELECOM"/>
    <s v="531 RUE ALBERT"/>
    <s v="QC"/>
    <s v="LA BAIE"/>
    <s v="G7B 3L5"/>
    <s v="AR3002G-1-AS"/>
    <s v="ANALOG FORWARD RX 1GHZ MP INP"/>
    <s v="92002641"/>
    <s v="15.1"/>
    <x v="471"/>
    <n v="1960127"/>
    <d v="2016-10-21T12:26:21"/>
    <m/>
    <d v="2016-10-25T00:00:00"/>
    <d v="2016-10-21T00:00:00"/>
    <d v="2016-10-27T00:00:00"/>
    <m/>
    <n v="2"/>
    <m/>
    <n v="1120"/>
    <m/>
    <s v="N024"/>
    <s v="NWK ACCESS TECH"/>
    <s v="HEO"/>
    <s v="RECEIVERS AURORA"/>
    <s v="N024"/>
    <s v="UK-STANDARD ORDER MIXED"/>
    <s v="A-SURFACE"/>
    <s v="OP"/>
    <n v="1249187"/>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10L1"/>
    <s v="SJ2_STAG"/>
    <s v="DERYTELECOM"/>
    <s v="531 RUE ALBERT"/>
    <s v="QC"/>
    <s v="LA BAIE"/>
    <s v="G7B 3L5"/>
    <s v="AT3312G-A-2-AS"/>
    <s v="ANLG XMTR 1310NM 1GHZ D-IN N-G"/>
    <s v="92002641"/>
    <s v="17.1"/>
    <x v="470"/>
    <n v="1957957"/>
    <d v="2016-10-21T12:26:21"/>
    <m/>
    <d v="2016-10-21T00:00:00"/>
    <d v="2016-10-21T00:00:00"/>
    <d v="2016-10-21T00:00:00"/>
    <m/>
    <n v="1"/>
    <n v="1"/>
    <n v="2177"/>
    <n v="2177"/>
    <s v="HE63"/>
    <s v="NWK ACCESS TECH"/>
    <s v="HEO"/>
    <s v="TRANSMITTER"/>
    <s v="AT"/>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61L2"/>
    <s v="SJ2_STAG"/>
    <s v="DERYTELECOM"/>
    <s v="531 RUE ALBERT"/>
    <s v="QC"/>
    <s v="LA BAIE"/>
    <s v="G7B 3L5"/>
    <s v="BP3400C-00"/>
    <s v="BACKPLATE 4.25 GB/S 1-FER/2-FE"/>
    <s v="92002641"/>
    <s v="18.1"/>
    <x v="470"/>
    <n v="1957958"/>
    <d v="2016-10-21T12:26:21"/>
    <m/>
    <d v="2016-10-21T00:00:00"/>
    <d v="2016-10-21T00:00:00"/>
    <d v="2016-10-21T00:00:00"/>
    <m/>
    <n v="1"/>
    <n v="1"/>
    <n v="560"/>
    <n v="560"/>
    <s v="N076"/>
    <s v="NWK ACCESS TECH"/>
    <s v="HEO"/>
    <s v="HEO MISC AURORA"/>
    <s v="N076"/>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6P06L4B01"/>
    <s v="SJ2_STAG"/>
    <s v="DERYTELECOM"/>
    <s v="531 RUE ALBERT"/>
    <s v="QC"/>
    <s v="LA BAIE"/>
    <s v="G7B 3L5"/>
    <s v="DR3450N-50-00"/>
    <s v="DIGITAL RECEIVER Q-RX 2.125GBP"/>
    <s v="92002641"/>
    <s v="19.1"/>
    <x v="470"/>
    <n v="1957958"/>
    <d v="2016-10-21T12:26:21"/>
    <m/>
    <d v="2016-10-21T00:00:00"/>
    <d v="2016-10-21T00:00:00"/>
    <d v="2016-10-21T00:00:00"/>
    <m/>
    <n v="1"/>
    <n v="1"/>
    <n v="1400"/>
    <n v="1400"/>
    <s v="N275"/>
    <s v="NWK ACCESS TECH"/>
    <s v="HEO"/>
    <s v="RECEIVERS AURORA"/>
    <s v="N275"/>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2L3"/>
    <s v="SJ2_STAG"/>
    <s v="DERYTELECOM"/>
    <s v="531 RUE ALBERT"/>
    <s v="QC"/>
    <s v="LA BAIE"/>
    <s v="G7B 3L5"/>
    <s v="CC3008"/>
    <s v="COMM CONTROL MODULE HIGH DENSI"/>
    <s v="92002641"/>
    <s v="2.1"/>
    <x v="472"/>
    <n v="1962115"/>
    <d v="2016-10-21T12:26:21"/>
    <m/>
    <d v="2016-10-27T00:00:00"/>
    <d v="2016-10-21T00:00:00"/>
    <d v="2016-10-27T00:00:00"/>
    <m/>
    <n v="4"/>
    <n v="4"/>
    <n v="616"/>
    <n v="616"/>
    <s v="N260"/>
    <s v="NWK ACCESS TECH"/>
    <s v="HEO"/>
    <s v="TRANSMITTERS AURORA"/>
    <s v="HDTX"/>
    <s v="UK-STANDARD ORDER MIXED"/>
    <s v="A-SURFACE"/>
    <s v="OP"/>
    <n v="125045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78L3"/>
    <s v="SJ2_STAG"/>
    <s v="DERYTELECOM"/>
    <s v="531 RUE ALBERT"/>
    <s v="QC"/>
    <s v="LA BAIE"/>
    <s v="G7B 3L5"/>
    <s v="RR4000-00-PI"/>
    <s v="RCVR DUAL PLUGGABLE SFP 3 GBPS"/>
    <s v="92002641"/>
    <s v="20.1"/>
    <x v="470"/>
    <n v="1957957"/>
    <d v="2016-10-21T12:26:21"/>
    <m/>
    <d v="2016-10-21T00:00:00"/>
    <d v="2016-10-21T00:00:00"/>
    <d v="2016-10-21T00:00:00"/>
    <m/>
    <n v="1"/>
    <n v="1"/>
    <n v="210"/>
    <n v="210"/>
    <s v="N224"/>
    <s v="NWK ACCESS TECH"/>
    <s v="ACCESS OTHER"/>
    <s v="OTHER AURORA"/>
    <s v="N22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2L1"/>
    <s v="SJ2_STAG"/>
    <s v="DERYTELECOM"/>
    <s v="531 RUE ALBERT"/>
    <s v="QC"/>
    <s v="LA BAIE"/>
    <s v="G7B 3L5"/>
    <s v="BD35M4-A0J-H02F-3-AS"/>
    <s v="OPT MUX BD 100GHZ D ITU CH 20-"/>
    <s v="92002641"/>
    <s v="3.1"/>
    <x v="470"/>
    <n v="1957958"/>
    <d v="2016-10-21T12:26:21"/>
    <m/>
    <d v="2016-10-21T00:00:00"/>
    <d v="2016-10-21T00:00:00"/>
    <d v="2016-10-21T00:00:00"/>
    <m/>
    <n v="2"/>
    <n v="2"/>
    <n v="4620"/>
    <n v="4620"/>
    <s v="N258"/>
    <s v="NWK ACCESS TECH"/>
    <s v="HEO"/>
    <s v="TRANSMITTERS AURORA"/>
    <s v="HDTX"/>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03L2"/>
    <s v="SJ2_STAG"/>
    <s v="DERYTELECOM"/>
    <s v="531 RUE ALBERT"/>
    <s v="QC"/>
    <s v="LA BAIE"/>
    <s v="G7B 3L5"/>
    <s v="HT3541H-D-A200-2-AS"/>
    <s v="XMTR DD 1.2GHZ FULL SPECTRUM 3"/>
    <s v="92002641"/>
    <s v="6.1"/>
    <x v="470"/>
    <n v="1957958"/>
    <d v="2016-10-21T12:26:21"/>
    <m/>
    <d v="2016-10-21T00:00:00"/>
    <d v="2016-10-21T00:00:00"/>
    <d v="2016-10-21T00:00:00"/>
    <m/>
    <n v="2"/>
    <n v="2"/>
    <n v="4480"/>
    <n v="4480"/>
    <s v="HE64"/>
    <s v="NWK ACCESS TECH"/>
    <s v="HEO"/>
    <s v="TRANSMITTER"/>
    <s v="HT"/>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33L3"/>
    <s v="SJ2_STAG"/>
    <s v="DERYTELECOM"/>
    <s v="531 RUE ALBERT"/>
    <s v="QC"/>
    <s v="LA BAIE"/>
    <s v="G7B 3L5"/>
    <s v="HT3541H-D-A240-2-AS"/>
    <s v="XMTR DD 1.2GHZ FULL SPECTRUM 3"/>
    <s v="92002641"/>
    <s v="8.1"/>
    <x v="473"/>
    <n v="1959749"/>
    <d v="2016-10-21T12:26:21"/>
    <m/>
    <d v="2016-10-24T00:00:00"/>
    <d v="2016-10-21T00:00:00"/>
    <d v="2016-10-26T00:00:00"/>
    <m/>
    <n v="2"/>
    <n v="2"/>
    <n v="4480"/>
    <n v="4480"/>
    <s v="HE64"/>
    <s v="NWK ACCESS TECH"/>
    <s v="HEO"/>
    <s v="TRANSMITTER"/>
    <s v="HT"/>
    <s v="UK-STANDARD ORDER MIXED"/>
    <s v="A-SURFACE"/>
    <s v="OP"/>
    <n v="124888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2P78L3"/>
    <s v="SJ2_STAG"/>
    <s v="DERYTELECOM"/>
    <s v="531 RUE ALBERT"/>
    <s v="QC"/>
    <s v="LA BAIE"/>
    <s v="G7B 3L5"/>
    <s v="RR4000-00-PI"/>
    <s v="RCVR DUAL PLUGGABLE SFP 3 GBPS"/>
    <s v="92002641"/>
    <s v="9.1"/>
    <x v="470"/>
    <n v="1957957"/>
    <d v="2016-10-21T12:26:21"/>
    <m/>
    <d v="2016-10-21T00:00:00"/>
    <d v="2016-10-21T00:00:00"/>
    <d v="2016-10-21T00:00:00"/>
    <m/>
    <n v="1"/>
    <n v="1"/>
    <n v="210"/>
    <n v="210"/>
    <s v="N224"/>
    <s v="NWK ACCESS TECH"/>
    <s v="ACCESS OTHER"/>
    <s v="OTHER AURORA"/>
    <s v="N224"/>
    <s v="UK-STANDARD ORDER MIXED"/>
    <s v="A-SURFACE"/>
    <s v="OP"/>
    <n v="1247126"/>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08L3"/>
    <s v="SJ2_STAG"/>
    <s v="DERYTELECOM"/>
    <s v="531 RUE ALBERT"/>
    <s v="QC"/>
    <s v="LA BAIE"/>
    <s v="G7B 3L5"/>
    <s v="BP-A6"/>
    <s v="BACKPLATE RF INP A RF INP B MP"/>
    <s v="92002643"/>
    <s v="1.1"/>
    <x v="474"/>
    <n v="1958752"/>
    <d v="2016-10-21T13:12:53"/>
    <m/>
    <d v="2016-10-22T00:00:00"/>
    <d v="2016-10-21T00:00:00"/>
    <d v="2016-10-24T00:00:00"/>
    <m/>
    <n v="1"/>
    <m/>
    <n v="98"/>
    <m/>
    <s v="N224"/>
    <s v="NWK ACCESS TECH"/>
    <s v="ACCESS OTHER"/>
    <s v="OTHER AURORA"/>
    <s v="N224"/>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48L5"/>
    <s v="SJ2_STAG"/>
    <s v="DERYTELECOM"/>
    <s v="531 RUE ALBERT"/>
    <s v="QC"/>
    <s v="LA BAIE"/>
    <s v="G7B 3L5"/>
    <s v="NC4121S2A1-00000000"/>
    <s v="BASE NODE 5-42/51-1GHZ JXP 1"/>
    <s v="92002643"/>
    <s v="2.1"/>
    <x v="474"/>
    <n v="1958753"/>
    <d v="2016-10-21T13:12:53"/>
    <m/>
    <d v="2016-10-22T00:00:00"/>
    <d v="2016-10-21T00:00:00"/>
    <d v="2016-10-24T00:00:00"/>
    <m/>
    <n v="1"/>
    <m/>
    <n v="1876"/>
    <m/>
    <s v="N034"/>
    <s v="NWK ACCESS TECH"/>
    <s v="NODE"/>
    <s v="NC4000 AURORA"/>
    <s v="N034"/>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15P52L2"/>
    <s v="SJ2_STAG"/>
    <s v="DERYTELECOM"/>
    <s v="531 RUE ALBERT"/>
    <s v="QC"/>
    <s v="LA BAIE"/>
    <s v="G7B 3L5"/>
    <s v="DT4250N-50-00"/>
    <s v="DGTL XCVR ENH MULTI-MODES OF O"/>
    <s v="92002643"/>
    <s v="3.1"/>
    <x v="474"/>
    <n v="1958752"/>
    <d v="2016-10-21T13:12:53"/>
    <m/>
    <d v="2016-10-22T00:00:00"/>
    <d v="2016-10-21T00:00:00"/>
    <d v="2016-10-24T00:00:00"/>
    <m/>
    <n v="1"/>
    <m/>
    <n v="350"/>
    <m/>
    <s v="N065"/>
    <s v="NWK ACCESS TECH"/>
    <s v="NODE"/>
    <s v="NODE MISC AURORA"/>
    <s v="N065"/>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10L6"/>
    <s v="SJ2_STAG"/>
    <s v="DERYTELECOM"/>
    <s v="531 RUE ALBERT"/>
    <s v="QC"/>
    <s v="LA BAIE"/>
    <s v="G7B 3L5"/>
    <s v="OP9401-0-R2-AS"/>
    <s v="FILTER CWDM/1310 S-CASE 2.0MM"/>
    <s v="92002643"/>
    <s v="5.1"/>
    <x v="474"/>
    <n v="1958752"/>
    <d v="2016-10-21T13:12:53"/>
    <m/>
    <d v="2016-10-22T00:00:00"/>
    <d v="2016-10-21T00:00:00"/>
    <d v="2016-10-24T00:00:00"/>
    <m/>
    <n v="1"/>
    <m/>
    <n v="252"/>
    <m/>
    <s v="N156"/>
    <s v="NWK ACCESS TECH"/>
    <s v="ACCESS OTHER"/>
    <s v="OTHER AURORA"/>
    <s v="N156"/>
    <s v="UK-STANDARD ORDER MIXED"/>
    <s v="A-SURFACE"/>
    <s v="OP"/>
    <n v="1247845"/>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537"/>
    <s v="DERY TELECOM"/>
    <s v="LA BAIE"/>
    <s v="R023P46L1"/>
    <s v="SJ2_STAG"/>
    <s v="DERYTELECOM"/>
    <s v="531 RUE ALBERT"/>
    <s v="QC"/>
    <s v="LA BAIE"/>
    <s v="G7B 3L5"/>
    <s v="RR4010-00-PI"/>
    <s v="RCVR DUAL PLUGGABLE SFP 3 GBPS"/>
    <s v="92002645"/>
    <s v="1.1"/>
    <x v="475"/>
    <n v="1962655"/>
    <d v="2016-10-21T13:55:36"/>
    <m/>
    <d v="2016-10-27T00:00:00"/>
    <d v="2016-10-26T00:00:00"/>
    <d v="2016-10-27T00:00:00"/>
    <m/>
    <n v="1"/>
    <m/>
    <n v="350"/>
    <m/>
    <s v="N224"/>
    <s v="NWK ACCESS TECH"/>
    <s v="ACCESS OTHER"/>
    <s v="OTHER AURORA"/>
    <s v="N224"/>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3P11L7"/>
    <s v="SJ2_STAG"/>
    <s v="DERYTELECOM"/>
    <s v="531 RUE ALBERT"/>
    <s v="QC"/>
    <s v="LA BAIE"/>
    <s v="G7B 3L5"/>
    <s v="DR3250N-99-00"/>
    <s v="DIGITAL RECEIVER D-RX 2.125GBP"/>
    <s v="92002645"/>
    <s v="2.1"/>
    <x v="475"/>
    <n v="1962656"/>
    <d v="2016-10-21T13:55:36"/>
    <m/>
    <d v="2016-10-27T00:00:00"/>
    <d v="2016-10-26T00:00:00"/>
    <d v="2016-10-27T00:00:00"/>
    <m/>
    <n v="1"/>
    <m/>
    <n v="1050"/>
    <m/>
    <s v="N062"/>
    <s v="NWK ACCESS TECH"/>
    <s v="HEO"/>
    <s v="RECEIVERS AURORA"/>
    <s v="N062"/>
    <s v="UK-STANDARD ORDER MIXED"/>
    <s v="A-SURFACE"/>
    <s v="OP"/>
    <n v="1250743"/>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15P53L3"/>
    <s v="SJ2_STAG"/>
    <s v="DERYTELECOM"/>
    <s v="531 RUE ALBERT"/>
    <s v="QC"/>
    <s v="LA BAIE"/>
    <s v="G7B 3L5"/>
    <s v="NC4121S2A1-00000000"/>
    <s v="BASE NODE 5-42/51-1GHZ JXP 1"/>
    <s v="92002646"/>
    <s v="1.1"/>
    <x v="476"/>
    <n v="1958021"/>
    <d v="2016-10-21T14:36:16"/>
    <m/>
    <d v="2016-10-21T00:00:00"/>
    <d v="2016-10-21T00:00:00"/>
    <d v="2016-10-21T00:00:00"/>
    <m/>
    <n v="1"/>
    <m/>
    <n v="1876"/>
    <m/>
    <s v="N034"/>
    <s v="NWK ACCESS TECH"/>
    <s v="NODE"/>
    <s v="NC4000 AURORA"/>
    <s v="N034"/>
    <s v="UK-STANDARD ORDER MIXED"/>
    <s v="A-SURFACE"/>
    <s v="OP"/>
    <n v="1247150"/>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0P34L1"/>
    <s v="SJ2_STAG"/>
    <s v="DERYTELECOM"/>
    <s v="531 RUE ALBERT"/>
    <s v="QC"/>
    <s v="LA BAIE"/>
    <s v="G7B 3L5"/>
    <s v="AR3002G-1-AS"/>
    <s v="ANALOG FORWARD RX 1GHZ MP INP"/>
    <s v="92002647"/>
    <s v="1.1"/>
    <x v="477"/>
    <n v="1960127"/>
    <d v="2016-10-21T14:50:06"/>
    <m/>
    <d v="2016-10-25T00:00:00"/>
    <d v="2016-10-21T00:00:00"/>
    <d v="2016-10-27T00:00:00"/>
    <m/>
    <n v="1"/>
    <m/>
    <n v="560"/>
    <m/>
    <s v="N024"/>
    <s v="NWK ACCESS TECH"/>
    <s v="HEO"/>
    <s v="RECEIVERS AURORA"/>
    <s v="N024"/>
    <s v="UK-STANDARD ORDER MIXED"/>
    <s v="A-SURFACE"/>
    <s v="OP"/>
    <n v="1249187"/>
    <s v="A-SURFACE"/>
    <m/>
    <m/>
    <m/>
    <s v="A-SURFACE"/>
    <s v="LTL"/>
    <s v="EXW"/>
    <s v="Third Party Billing"/>
    <m/>
    <m/>
    <s v="Contact gabriel.villeneuve@derytelecom.ca Ph:418-544-3358 Ext 5506 with pieces/wt-Skid: CK Logistics Acct#00200910 team1@cklogistics.ca E-Mail: asamonekeo@cklogistics.ca 877-856-7580 ext 3391 Parcel: FedEx Acct 532046947 3rd Pty"/>
    <m/>
    <m/>
    <m/>
    <m/>
    <s v="0"/>
    <s v="0"/>
  </r>
  <r>
    <s v="SJ2"/>
    <s v="5033537"/>
    <s v="DERY TELECOM"/>
    <s v="LA BAIE"/>
    <s v="R022P59L2"/>
    <s v="SJ2_STAG"/>
    <s v="DERYTELECOM"/>
    <s v="531 RUE ALBERT"/>
    <s v="QC"/>
    <s v="LA BAIE"/>
    <s v="G7B 3L5"/>
    <s v="OP3401D-0-00-AS"/>
    <s v="FLTR CWDM -1310 SINGLE SC/APC"/>
    <s v="92002653"/>
    <s v="1.1"/>
    <x v="478"/>
    <n v="1961100"/>
    <d v="2016-10-21T17:47:46"/>
    <m/>
    <d v="2016-10-26T00:00:00"/>
    <d v="2016-10-21T00:00:00"/>
    <d v="2016-10-26T00:00:00"/>
    <m/>
    <n v="2"/>
    <n v="2"/>
    <n v="1204"/>
    <n v="1204"/>
    <s v="N156"/>
    <s v="NWK ACCESS TECH"/>
    <s v="ACCESS OTHER"/>
    <s v="OTHER AURORA"/>
    <s v="N156"/>
    <s v="UK-STANDARD ORDER MIXED"/>
    <s v="A-SURFACE"/>
    <s v="OP"/>
    <n v="1249843"/>
    <s v="A-SURFACE"/>
    <m/>
    <m/>
    <m/>
    <s v="A-SURFACE"/>
    <s v="LTL"/>
    <s v="EXW"/>
    <s v="Third Party Billing"/>
    <m/>
    <m/>
    <s v="Contact gabriel.villeneuve@derytelecom.ca Ph:418-544-3358 Ext 5506 with pieces/wt-Skid: CK Logistics team1@cklogistics.ca Appasone Samonekeo asamonekeo@cklogistics.ca 877-856-7580 ext 3391-Ph: 514-856-7580 ext 3422-Parcel:UPS Acct #5R0W90"/>
    <m/>
    <m/>
    <m/>
    <m/>
    <s v="0"/>
    <s v="0"/>
  </r>
  <r>
    <s v="SJ2"/>
    <s v="5033706"/>
    <s v="BERMUDA CABLEVISION LTD"/>
    <s v="163501"/>
    <s v="R015P15L1"/>
    <s v="SJ2_STAG"/>
    <s v="Logic Communications"/>
    <s v="19 Laffan Street"/>
    <m/>
    <s v="Hamilton"/>
    <s v="HM 09"/>
    <s v="CH3000N"/>
    <s v="CHASSIS NO COVERS 3RU"/>
    <s v="6901440"/>
    <s v="1.1"/>
    <x v="479"/>
    <n v="1956260"/>
    <d v="2016-04-04T00:00:00"/>
    <m/>
    <d v="2016-10-20T00:00:00"/>
    <d v="2016-10-03T00:00:00"/>
    <d v="2016-10-20T00:00:00"/>
    <m/>
    <n v="4"/>
    <n v="4"/>
    <n v="1088"/>
    <n v="1088"/>
    <s v="N199"/>
    <s v="NWK ACCESS TECH"/>
    <s v="HEO"/>
    <s v="HEO MISC AURORA"/>
    <s v="N199"/>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3P05L1"/>
    <s v="SJ2_STAG"/>
    <s v="Logic Communications"/>
    <s v="19 Laffan Street"/>
    <m/>
    <s v="Hamilton"/>
    <s v="HM 09"/>
    <s v="HT3312H-D-1310-2-AS"/>
    <s v="XMTR DD 1.2GHZ 1310NM D-IN 12D"/>
    <s v="6901440"/>
    <s v="10.1"/>
    <x v="479"/>
    <n v="1956260"/>
    <d v="2016-04-04T00:00:00"/>
    <m/>
    <d v="2016-10-20T00:00:00"/>
    <d v="2016-10-03T00:00:00"/>
    <d v="2016-10-20T00:00:00"/>
    <m/>
    <n v="12"/>
    <n v="12"/>
    <n v="23664"/>
    <n v="23664"/>
    <s v="HE64"/>
    <s v="NWK ACCESS TECH"/>
    <s v="HEO"/>
    <s v="TRANSMITTER"/>
    <s v="HT"/>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3P53L2"/>
    <s v="SJ2_STAG"/>
    <s v="Logic Communications"/>
    <s v="19 Laffan Street"/>
    <m/>
    <s v="Hamilton"/>
    <s v="HM 09"/>
    <s v="HT3315H-D-1310-2-AS"/>
    <s v="XMTR DD 1.2GHZ 1310NM D-IN 15D"/>
    <s v="6901440"/>
    <s v="11.1"/>
    <x v="479"/>
    <n v="1956260"/>
    <d v="2016-04-04T00:00:00"/>
    <m/>
    <d v="2016-10-20T00:00:00"/>
    <d v="2016-10-03T00:00:00"/>
    <d v="2016-10-20T00:00:00"/>
    <m/>
    <n v="22"/>
    <n v="22"/>
    <n v="59840"/>
    <n v="59840"/>
    <s v="HE64"/>
    <s v="NWK ACCESS TECH"/>
    <s v="HEO"/>
    <s v="TRANSMITTER"/>
    <s v="HT"/>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3P58L4"/>
    <s v="SJ2_STAG"/>
    <s v="Logic Communications"/>
    <s v="19 Laffan Street"/>
    <m/>
    <s v="Hamilton"/>
    <s v="HM 09"/>
    <s v="HT3315H-D-1310-2-AS"/>
    <s v="XMTR DD 1.2GHZ 1310NM D-IN 15D"/>
    <s v="6901440"/>
    <s v="11.1"/>
    <x v="479"/>
    <n v="1956260"/>
    <d v="2016-04-04T00:00:00"/>
    <m/>
    <d v="2016-10-20T00:00:00"/>
    <d v="2016-10-03T00:00:00"/>
    <d v="2016-10-20T00:00:00"/>
    <m/>
    <n v="5"/>
    <n v="5"/>
    <n v="13600"/>
    <n v="13600"/>
    <s v="HE64"/>
    <s v="NWK ACCESS TECH"/>
    <s v="HEO"/>
    <s v="TRANSMITTER"/>
    <s v="HT"/>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6P50L3B01"/>
    <s v="SJ2_STAG"/>
    <s v="Logic Communications"/>
    <s v="19 Laffan Street"/>
    <m/>
    <s v="Hamilton"/>
    <s v="HM 09"/>
    <s v="BP3400C-00"/>
    <s v="BACKPLATE 4.25 GB/S 1-FER/2-FE"/>
    <s v="6901440"/>
    <s v="12.1"/>
    <x v="479"/>
    <n v="1956260"/>
    <d v="2016-04-04T00:00:00"/>
    <m/>
    <d v="2016-10-20T00:00:00"/>
    <d v="2016-10-03T00:00:00"/>
    <d v="2016-10-20T00:00:00"/>
    <m/>
    <n v="7"/>
    <n v="7"/>
    <n v="3808"/>
    <n v="3808"/>
    <s v="N076"/>
    <s v="NWK ACCESS TECH"/>
    <s v="HEO"/>
    <s v="HEO MISC AURORA"/>
    <s v="N076"/>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6P06L4B01"/>
    <s v="SJ2_STAG"/>
    <s v="Logic Communications"/>
    <s v="19 Laffan Street"/>
    <m/>
    <s v="Hamilton"/>
    <s v="HM 09"/>
    <s v="DR3450N-50-00"/>
    <s v="DIGITAL RECEIVER Q-RX 2.125GBP"/>
    <s v="6901440"/>
    <s v="13.1"/>
    <x v="479"/>
    <n v="1956262"/>
    <d v="2016-04-04T00:00:00"/>
    <m/>
    <d v="2016-10-20T00:00:00"/>
    <d v="2016-10-03T00:00:00"/>
    <d v="2016-10-20T00:00:00"/>
    <m/>
    <n v="26"/>
    <n v="26"/>
    <n v="35360"/>
    <n v="35360"/>
    <s v="N275"/>
    <s v="NWK ACCESS TECH"/>
    <s v="HEO"/>
    <s v="RECEIVERS AURORA"/>
    <s v="N275"/>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2P78L3"/>
    <s v="SJ2_STAG"/>
    <s v="Logic Communications"/>
    <s v="19 Laffan Street"/>
    <m/>
    <s v="Hamilton"/>
    <s v="HM 09"/>
    <s v="RR4000-00-PI"/>
    <s v="RCVR DUAL PLUGGABLE SFP 3 GBPS"/>
    <s v="6901440"/>
    <s v="14.1"/>
    <x v="479"/>
    <n v="1956261"/>
    <d v="2016-04-04T00:00:00"/>
    <m/>
    <d v="2016-10-20T00:00:00"/>
    <d v="2016-10-03T00:00:00"/>
    <d v="2016-10-20T00:00:00"/>
    <m/>
    <n v="51"/>
    <n v="51"/>
    <n v="10404"/>
    <n v="10404"/>
    <s v="N224"/>
    <s v="NWK ACCESS TECH"/>
    <s v="ACCESS OTHER"/>
    <s v="OTHER AURORA"/>
    <s v="N224"/>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5P24L4"/>
    <s v="SJ2_STAG"/>
    <s v="Logic Communications"/>
    <s v="19 Laffan Street"/>
    <m/>
    <s v="Hamilton"/>
    <s v="HM 09"/>
    <s v="DT4250E-99-00"/>
    <s v="DGTL XCVR ENH 100MHZ 12 BIT &amp;"/>
    <s v="6901440"/>
    <s v="16.1"/>
    <x v="479"/>
    <n v="1956260"/>
    <d v="2016-04-04T00:00:00"/>
    <m/>
    <d v="2016-10-20T00:00:00"/>
    <d v="2016-10-03T00:00:00"/>
    <d v="2016-10-20T00:00:00"/>
    <m/>
    <n v="71"/>
    <n v="71"/>
    <n v="27974"/>
    <n v="27974"/>
    <s v="N065"/>
    <s v="NWK ACCESS TECH"/>
    <s v="NODE"/>
    <s v="NODE MISC AURORA"/>
    <s v="N065"/>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5P37L3"/>
    <s v="SJ2_STAG"/>
    <s v="Logic Communications"/>
    <s v="19 Laffan Street"/>
    <m/>
    <s v="Hamilton"/>
    <s v="HM 09"/>
    <s v="DT4250E-99-00"/>
    <s v="DGTL XCVR ENH 100MHZ 12 BIT &amp;"/>
    <s v="6901440"/>
    <s v="16.1"/>
    <x v="479"/>
    <n v="1956260"/>
    <d v="2016-04-04T00:00:00"/>
    <m/>
    <d v="2016-10-20T00:00:00"/>
    <d v="2016-10-03T00:00:00"/>
    <d v="2016-10-20T00:00:00"/>
    <m/>
    <n v="30"/>
    <n v="30"/>
    <n v="11820"/>
    <n v="11820"/>
    <s v="N065"/>
    <s v="NWK ACCESS TECH"/>
    <s v="NODE"/>
    <s v="NODE MISC AURORA"/>
    <s v="N065"/>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5P22L4"/>
    <s v="SJ2_STAG"/>
    <s v="Logic Communications"/>
    <s v="19 Laffan Street"/>
    <m/>
    <s v="Hamilton"/>
    <s v="HM 09"/>
    <s v="CH3000U-FM-00"/>
    <s v="ADAPTER FIBER MGT FOR CH3000 C"/>
    <s v="6901440"/>
    <s v="2.1"/>
    <x v="479"/>
    <n v="1956260"/>
    <d v="2016-04-04T00:00:00"/>
    <m/>
    <d v="2016-10-20T00:00:00"/>
    <d v="2016-10-03T00:00:00"/>
    <d v="2016-10-20T00:00:00"/>
    <m/>
    <n v="4"/>
    <n v="4"/>
    <n v="272"/>
    <n v="272"/>
    <s v="N199"/>
    <s v="NWK ACCESS TECH"/>
    <s v="HEO"/>
    <s v="HEO MISC AURORA"/>
    <s v="N199"/>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6P28L1B01"/>
    <s v="SJ2_STAG"/>
    <s v="Logic Communications"/>
    <s v="19 Laffan Street"/>
    <m/>
    <s v="Hamilton"/>
    <s v="HM 09"/>
    <s v="PS3148D"/>
    <s v="POWER SUPPLY W/DISPLAY -48VDC"/>
    <s v="6901440"/>
    <s v="3.1"/>
    <x v="479"/>
    <n v="1956260"/>
    <d v="2016-04-04T00:00:00"/>
    <m/>
    <d v="2016-10-20T00:00:00"/>
    <d v="2016-10-03T00:00:00"/>
    <d v="2016-10-20T00:00:00"/>
    <m/>
    <n v="4"/>
    <n v="4"/>
    <n v="3100"/>
    <n v="3100"/>
    <s v="N204"/>
    <s v="NWK ACCESS TECH"/>
    <s v="ACCESS OTHER"/>
    <s v="OTHER AURORA"/>
    <s v="N204"/>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15P07L1"/>
    <s v="SJ2_STAG"/>
    <s v="Logic Communications"/>
    <s v="19 Laffan Street"/>
    <m/>
    <s v="Hamilton"/>
    <s v="HM 09"/>
    <s v="PS3148N"/>
    <s v="POWER SUPPLY NO DISPLAY -48VDC"/>
    <s v="6901440"/>
    <s v="4.1"/>
    <x v="479"/>
    <n v="1956261"/>
    <d v="2016-04-04T00:00:00"/>
    <m/>
    <d v="2016-10-20T00:00:00"/>
    <d v="2016-10-03T00:00:00"/>
    <d v="2016-10-20T00:00:00"/>
    <m/>
    <n v="4"/>
    <n v="4"/>
    <n v="2664"/>
    <n v="2664"/>
    <s v="N204"/>
    <s v="NWK ACCESS TECH"/>
    <s v="ACCESS OTHER"/>
    <s v="OTHER AURORA"/>
    <s v="N204"/>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EC1"/>
    <s v="SJ2_STAG"/>
    <s v="Logic Communications"/>
    <s v="19 Laffan Street"/>
    <m/>
    <s v="Hamilton"/>
    <s v="HM 09"/>
    <s v="CX3002"/>
    <s v="COMMUNICATIONS MODULE"/>
    <s v="6901440"/>
    <s v="5.1"/>
    <x v="479"/>
    <n v="1956262"/>
    <d v="2016-04-04T00:00:00"/>
    <m/>
    <d v="2016-10-20T00:00:00"/>
    <d v="2016-10-03T00:00:00"/>
    <d v="2016-10-20T00:00:00"/>
    <m/>
    <n v="4"/>
    <n v="4"/>
    <n v="1848"/>
    <n v="1848"/>
    <s v="N080"/>
    <s v="NWK ACCESS TECH"/>
    <s v="HEO"/>
    <s v="HEO MISC AURORA"/>
    <s v="N080"/>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4P13L3B02"/>
    <s v="SJ2_STAG"/>
    <s v="Logic Communications"/>
    <s v="19 Laffan Street"/>
    <m/>
    <s v="Hamilton"/>
    <s v="HM 09"/>
    <s v="CA3008"/>
    <s v="CARRIER MODULE HIGH DENSITY"/>
    <s v="6901440"/>
    <s v="6.1"/>
    <x v="479"/>
    <n v="1956260"/>
    <d v="2016-04-04T00:00:00"/>
    <m/>
    <d v="2016-10-20T00:00:00"/>
    <d v="2016-10-03T00:00:00"/>
    <d v="2016-10-20T00:00:00"/>
    <m/>
    <n v="13"/>
    <n v="13"/>
    <n v="3796"/>
    <n v="3796"/>
    <s v="N259"/>
    <s v="NWK ACCESS TECH"/>
    <s v="HEO"/>
    <s v="TRANSMITTERS AURORA"/>
    <s v="HDTX"/>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706"/>
    <s v="BERMUDA CABLEVISION LTD"/>
    <s v="163501"/>
    <s v="R022P53L7"/>
    <s v="SJ2_STAG"/>
    <s v="Logic Communications"/>
    <s v="19 Laffan Street"/>
    <m/>
    <s v="Hamilton"/>
    <s v="HM 09"/>
    <s v="BD31A4-100-H12F-0-AS"/>
    <s v="OPT PASSTHRU BD 4 XMTR 4 BC 4"/>
    <s v="6901440"/>
    <s v="8.1"/>
    <x v="479"/>
    <n v="1956261"/>
    <d v="2016-04-04T00:00:00"/>
    <m/>
    <d v="2016-10-20T00:00:00"/>
    <d v="2016-10-03T00:00:00"/>
    <d v="2016-10-20T00:00:00"/>
    <m/>
    <n v="13"/>
    <n v="13"/>
    <n v="8840"/>
    <n v="8840"/>
    <s v="N258"/>
    <s v="NWK ACCESS TECH"/>
    <s v="HEO"/>
    <s v="TRANSMITTERS AURORA"/>
    <s v="HDTX"/>
    <s v="AUR-STANDARD ORDER MIXED"/>
    <s v="Estes Express-LTL-Ground"/>
    <s v="OP"/>
    <n v="1246243"/>
    <s v="SSI"/>
    <m/>
    <m/>
    <m/>
    <s v="Estes Express Lines"/>
    <s v="GND"/>
    <s v="EXW"/>
    <s v="Collect"/>
    <m/>
    <m/>
    <s v="Freight Forwarder: ED HILL ED@FARNELLFREIGHT.COM FARNELL FREIGHT FORWARDERS, INC 955 TALLEYRAND AVE JACKSONVILLE, FL 32206 VOICE 904 598 1333 FAX 904 598 0119 "/>
    <m/>
    <n v="412"/>
    <n v="412"/>
    <m/>
    <s v="0"/>
    <s v="0"/>
  </r>
  <r>
    <s v="SJ2"/>
    <s v="5033965"/>
    <s v="RITTER COMMUNICATIONS"/>
    <s v="JONESBORO001"/>
    <s v="R024P01L1B01"/>
    <s v="SJ2_FOB"/>
    <s v="RITTER COMMUNICATIONS"/>
    <s v="2400 Ritter Dr"/>
    <s v="AR"/>
    <s v="Jonesboro"/>
    <s v="72401-6241"/>
    <s v="CE8300H-00"/>
    <s v="ENCLOSURE PRIMEX OUTDOOR SINGL"/>
    <s v="20113578"/>
    <s v="2.1"/>
    <x v="480"/>
    <n v="1961089"/>
    <d v="2016-09-27T12:04:04"/>
    <m/>
    <d v="2016-10-26T00:00:00"/>
    <d v="2016-10-26T00:00:00"/>
    <d v="2016-10-26T00:00:00"/>
    <m/>
    <n v="50"/>
    <m/>
    <n v="1800"/>
    <m/>
    <s v="N224"/>
    <s v="NWK ACCESS TECH"/>
    <s v="ACCESS OTHER"/>
    <s v="OTHER AURORA"/>
    <s v="N224"/>
    <s v="AS-STANDARD ORDER MIXED"/>
    <s v="A-SURFACE"/>
    <s v="OP"/>
    <n v="1249843"/>
    <s v="A-SURFACE"/>
    <m/>
    <m/>
    <m/>
    <s v="A-SURFACE"/>
    <s v="LTL"/>
    <s v="DAP"/>
    <s v="Prepay &amp; Add"/>
    <m/>
    <m/>
    <m/>
    <m/>
    <m/>
    <m/>
    <m/>
    <s v="0"/>
    <s v="0"/>
  </r>
  <r>
    <s v="SJ2"/>
    <s v="5033965"/>
    <s v="RITTER COMMUNICATIONS"/>
    <s v="JONESBORO001"/>
    <s v="R016P20L3B01"/>
    <s v="SJ2_FOB"/>
    <s v="RITTER COMMUNICATIONS"/>
    <s v="2400 Ritter Dr"/>
    <s v="AR"/>
    <s v="Jonesboro"/>
    <s v="72401-6241"/>
    <s v="PS1911W-00"/>
    <s v="POWER ADPTR 120VAC-12VDC 525MA"/>
    <s v="20113578"/>
    <s v="3.1"/>
    <x v="480"/>
    <n v="1961089"/>
    <d v="2016-09-27T12:04:04"/>
    <m/>
    <d v="2016-10-26T00:00:00"/>
    <d v="2016-10-26T00:00:00"/>
    <d v="2016-10-26T00:00:00"/>
    <m/>
    <n v="40"/>
    <m/>
    <n v="240"/>
    <m/>
    <s v="N204"/>
    <s v="NWK ACCESS TECH"/>
    <s v="ACCESS OTHER"/>
    <s v="OTHER AURORA"/>
    <s v="N204"/>
    <s v="AS-STANDARD ORDER MIXED"/>
    <s v="A-SURFACE"/>
    <s v="OP"/>
    <n v="1249843"/>
    <s v="A-SURFACE"/>
    <m/>
    <m/>
    <m/>
    <s v="A-SURFACE"/>
    <s v="LTL"/>
    <s v="DAP"/>
    <s v="Prepay &amp; Add"/>
    <m/>
    <m/>
    <m/>
    <m/>
    <m/>
    <m/>
    <m/>
    <s v="0"/>
    <s v="0"/>
  </r>
  <r>
    <s v="SJ2"/>
    <s v="5037777"/>
    <s v="SCSK CORPORATION"/>
    <s v="SCSK C/O NEC NETWORK"/>
    <m/>
    <s v="SJ2_FOB"/>
    <s v="SCSK CORPORATION"/>
    <s v="NEC NETWORKS &amp; SYSTEM INTECGRATION CORPORATION"/>
    <s v="TOKYO"/>
    <s v="KOTO-KU"/>
    <s v="135-0053"/>
    <s v="OA4324HG-60"/>
    <s v="RF MODULE GAN FD 2X2 5-60MHZ R"/>
    <s v="20116211"/>
    <s v="2.1"/>
    <x v="481"/>
    <n v="1957893"/>
    <d v="2016-10-11T04:25:53"/>
    <m/>
    <d v="2016-10-21T00:00:00"/>
    <d v="2016-10-11T00:00:00"/>
    <d v="2016-10-11T00:00:00"/>
    <m/>
    <n v="2"/>
    <n v="2"/>
    <n v="3000"/>
    <n v="3000"/>
    <s v="CT30"/>
    <s v="NWK ACCESS TECH"/>
    <s v="ACCESS OTHER"/>
    <s v="OTHER AURORA"/>
    <s v="CT30"/>
    <s v="AS-DEFECTIVE MIXED"/>
    <m/>
    <s v="OP"/>
    <n v="1247096"/>
    <s v="FEDEX"/>
    <m/>
    <m/>
    <m/>
    <s v="FEDERAL EXPRESS"/>
    <m/>
    <s v="DDP"/>
    <s v="Prepaid"/>
    <m/>
    <m/>
    <s v="This is DOA replacement order. Please ship the order via FEDEX Economy Service using ARRIS Account#."/>
    <m/>
    <m/>
    <m/>
    <m/>
    <s v="0"/>
    <s v="0"/>
  </r>
  <r>
    <s v="SJ2"/>
    <s v="5037777"/>
    <s v="SCSK CORPORATION"/>
    <s v="SCSK C/O NEC NETWORK"/>
    <s v="REC1"/>
    <s v="SJ2_FOB"/>
    <s v="SCSK CORPORATION"/>
    <s v="NEC NETWORKS &amp; SYSTEM INTECGRATION CORPORATION"/>
    <s v="TOKYO"/>
    <s v="KOTO-KU"/>
    <s v="135-0053"/>
    <s v="AR4114G-AS"/>
    <s v="OPT RCVR 70-1002MHZ FWD HI-GAI"/>
    <s v="20116214"/>
    <s v="2.1"/>
    <x v="482"/>
    <n v="1961082"/>
    <d v="2016-10-11T04:43:42"/>
    <m/>
    <d v="2016-10-26T00:00:00"/>
    <d v="2016-10-11T00:00:00"/>
    <d v="2016-10-26T00:00:00"/>
    <m/>
    <n v="1"/>
    <m/>
    <n v="359"/>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23P06L3"/>
    <s v="SJ2_FOB"/>
    <s v="SCSK CORPORATION"/>
    <s v="NEC NETWORKS &amp; SYSTEM INTECGRATION CORPORATION"/>
    <s v="TOKYO"/>
    <s v="KOTO-KU"/>
    <s v="135-0053"/>
    <s v="AR4114G-AS"/>
    <s v="OPT RCVR 70-1002MHZ FWD HI-GAI"/>
    <s v="20116214"/>
    <s v="2.1"/>
    <x v="482"/>
    <n v="1961056"/>
    <d v="2016-10-11T04:43:42"/>
    <m/>
    <d v="2016-10-26T00:00:00"/>
    <d v="2016-10-11T00:00:00"/>
    <d v="2016-10-26T00:00:00"/>
    <m/>
    <n v="2"/>
    <m/>
    <n v="718"/>
    <m/>
    <s v="N027"/>
    <s v="NWK ACCESS TECH"/>
    <s v="NODE"/>
    <s v="NODE MISC AURORA"/>
    <s v="N027"/>
    <s v="AS-DEFECTIVE MIXED"/>
    <s v="FEDEX ECONOMY"/>
    <s v="OP"/>
    <n v="1249843"/>
    <s v="FEDEX"/>
    <m/>
    <m/>
    <m/>
    <s v="FEDERAL EXPRESS"/>
    <s v="ECO"/>
    <s v="DDP"/>
    <s v="Prepaid"/>
    <m/>
    <m/>
    <s v="This is DOA Replacement order. Please shipe via FEDEX Economy using ARRIS Account3"/>
    <m/>
    <m/>
    <m/>
    <m/>
    <s v="0"/>
    <s v="0"/>
  </r>
  <r>
    <s v="SJ2"/>
    <s v="5037777"/>
    <s v="SCSK CORPORATION"/>
    <s v="SCSK C/O NEC NETWORK"/>
    <s v="R015P07L1"/>
    <s v="SJ2_FOB"/>
    <s v="SCSK CORPORATION"/>
    <s v="NEC NETWORKS &amp; SYSTEM INTECGRATION CORPORATION"/>
    <s v="TOKYO"/>
    <s v="KOTO-KU"/>
    <s v="135-0053"/>
    <s v="CH3000U-FM-01"/>
    <s v="SHELF FIBER ROUTING CH3000 1RU"/>
    <s v="20117712"/>
    <s v="2.1"/>
    <x v="483"/>
    <n v="1959177"/>
    <d v="2016-10-19T19:59:03"/>
    <m/>
    <d v="2016-10-23T00:00:00"/>
    <d v="2016-10-19T00:00:00"/>
    <d v="2016-10-24T00:00:00"/>
    <m/>
    <n v="2"/>
    <m/>
    <n v="76"/>
    <m/>
    <s v="N199"/>
    <s v="NWK ACCESS TECH"/>
    <s v="HEO"/>
    <s v="HEO MISC AURORA"/>
    <s v="N199"/>
    <s v="AS-DEFECTIVE MIXED"/>
    <s v="FEDEX ECONOMY"/>
    <s v="OP"/>
    <n v="1248486"/>
    <s v="FEDEX"/>
    <m/>
    <m/>
    <m/>
    <s v="FEDERAL EXPRESS"/>
    <s v="ECO"/>
    <s v="DDP"/>
    <s v="Prepaid"/>
    <m/>
    <m/>
    <s v="Please ship the order via FEDEX ECONOMY SERVICE, please use ARRIS account#"/>
    <m/>
    <m/>
    <m/>
    <m/>
    <s v="0"/>
    <s v="0"/>
  </r>
  <r>
    <s v="SJ2"/>
    <s v="5037777"/>
    <s v="SCSK CORPORATION"/>
    <s v="167891"/>
    <s v="R022P69L5"/>
    <s v="SJ2_STAG"/>
    <s v="SCSK USA Inc."/>
    <s v="SCSK Corporation C/O NEC Networks &amp; System Integration"/>
    <m/>
    <s v="TOKYO"/>
    <s v="3-8-10"/>
    <s v="TR4580-20-PI"/>
    <s v="XCVR PLUGGABLE DWDM ITU CH 20"/>
    <s v="6901209"/>
    <s v="45.1"/>
    <x v="484"/>
    <n v="1957523"/>
    <d v="2016-08-12T00:00:00"/>
    <m/>
    <d v="2016-10-21T00:00:00"/>
    <d v="2016-10-10T00:00:00"/>
    <d v="2016-10-21T00:00:00"/>
    <m/>
    <n v="1"/>
    <n v="1"/>
    <n v="1009"/>
    <n v="1009"/>
    <s v="N252"/>
    <s v="NWK ACCESS TECH"/>
    <s v="NODE"/>
    <s v="NODE MISC AURORA"/>
    <s v="N252"/>
    <s v="AUR-STANDARD ORDER MIXED"/>
    <s v="HNSH-Air"/>
    <s v="OP"/>
    <n v="1246854"/>
    <s v="HNSH"/>
    <m/>
    <m/>
    <m/>
    <s v="HNSH"/>
    <s v="TW1"/>
    <s v="EXW"/>
    <s v="Collect"/>
    <m/>
    <m/>
    <s v="Ship Hankyu, if critical shipment and missed pick up time, email orders@scsusa.com for approval to ship FedEx"/>
    <m/>
    <m/>
    <m/>
    <m/>
    <s v="0"/>
    <s v="0"/>
  </r>
  <r>
    <s v="SJ2"/>
    <s v="5037777"/>
    <s v="SCSK CORPORATION"/>
    <s v="167891"/>
    <s v="R023P12L4"/>
    <s v="SJ2_STAG"/>
    <s v="SCSK USA Inc."/>
    <s v="SCSK Corporation C/O NEC Networks &amp; System Integration"/>
    <m/>
    <s v="TOKYO"/>
    <s v="3-8-10"/>
    <s v="TR4580-20-PI"/>
    <s v="XCVR PLUGGABLE DWDM ITU CH 20"/>
    <s v="6901209"/>
    <s v="45.1"/>
    <x v="484"/>
    <n v="1957523"/>
    <d v="2016-08-12T00:00:00"/>
    <m/>
    <d v="2016-10-21T00:00:00"/>
    <d v="2016-10-10T00:00:00"/>
    <d v="2016-10-21T00:00:00"/>
    <m/>
    <n v="2"/>
    <n v="2"/>
    <n v="2018"/>
    <n v="2018"/>
    <s v="N252"/>
    <s v="NWK ACCESS TECH"/>
    <s v="NODE"/>
    <s v="NODE MISC AURORA"/>
    <s v="N252"/>
    <s v="AUR-STANDARD ORDER MIXED"/>
    <s v="HNSH-Air"/>
    <s v="OP"/>
    <n v="1246854"/>
    <s v="HNSH"/>
    <m/>
    <m/>
    <m/>
    <s v="HNSH"/>
    <s v="TW1"/>
    <s v="EXW"/>
    <s v="Collect"/>
    <m/>
    <m/>
    <s v="Ship Hankyu, if critical shipment and missed pick up time, email orders@scsusa.com for approval to ship FedEx"/>
    <m/>
    <m/>
    <m/>
    <m/>
    <s v="0"/>
    <s v="0"/>
  </r>
  <r>
    <s v="SJ2"/>
    <s v="5037777"/>
    <s v="SCSK CORPORATION"/>
    <s v="167891"/>
    <s v="R024P18L1B01"/>
    <s v="SJ2_STAG"/>
    <s v="SCSK USA Inc."/>
    <s v="SCSK Corporation C/O NEC Networks &amp; System Integration"/>
    <m/>
    <s v="TOKYO"/>
    <s v="3-8-10"/>
    <s v="OS32S3A-00-AS"/>
    <s v="OPT SWITCH 2X1 AUX TRIPLE SC/A"/>
    <s v="6901431"/>
    <s v="5.2"/>
    <x v="485"/>
    <n v="1961503"/>
    <d v="2016-07-05T00:00:00"/>
    <m/>
    <d v="2016-10-26T00:00:00"/>
    <d v="2016-09-05T00:00:00"/>
    <d v="2016-10-25T00:00:00"/>
    <m/>
    <n v="4"/>
    <n v="4"/>
    <n v="4048"/>
    <n v="4048"/>
    <s v="N171"/>
    <s v="NWK ACCESS TECH"/>
    <s v="HEO"/>
    <s v="HEO MISC AURORA"/>
    <s v="N171"/>
    <s v="AUR-STANDARD ORDER MIXED"/>
    <s v="HNSH-Air"/>
    <s v="OP"/>
    <n v="1250124"/>
    <s v="HNSH"/>
    <m/>
    <m/>
    <m/>
    <s v="HNSH"/>
    <s v="TW1"/>
    <s v="EXW"/>
    <s v="Collect"/>
    <m/>
    <m/>
    <s v="Ship Hankyu, if critical shipment and missed pick up time, email orders@scsusa.com for approval to ship FedEx"/>
    <m/>
    <m/>
    <m/>
    <m/>
    <s v="0"/>
    <s v="0"/>
  </r>
  <r>
    <s v="SJ2"/>
    <s v="5037777"/>
    <s v="SCSK CORPORATION"/>
    <s v="167891"/>
    <s v="R024P18L1B01"/>
    <s v="SJ2_STAG"/>
    <s v="SCSK USA Inc."/>
    <s v="SCSK Corporation C/O NEC Networks &amp; System Integration"/>
    <m/>
    <s v="TOKYO"/>
    <s v="3-8-10"/>
    <s v="OS32S3A-00-AS"/>
    <s v="OPT SWITCH 2X1 AUX TRIPLE SC/A"/>
    <m/>
    <s v="6.2"/>
    <x v="485"/>
    <n v="1961503"/>
    <d v="2016-07-05T00:00:00"/>
    <m/>
    <d v="2016-10-26T00:00:00"/>
    <d v="2016-09-05T00:00:00"/>
    <d v="2016-10-25T00:00:00"/>
    <m/>
    <n v="10"/>
    <n v="10"/>
    <n v="10120"/>
    <n v="10120"/>
    <s v="N171"/>
    <s v="NWK ACCESS TECH"/>
    <s v="HEO"/>
    <s v="HEO MISC AURORA"/>
    <s v="N171"/>
    <s v="AUR-STANDARD ORDER MIXED"/>
    <s v="HNSH-Air"/>
    <s v="OP"/>
    <n v="1250124"/>
    <s v="HNSH"/>
    <m/>
    <m/>
    <m/>
    <s v="HNSH"/>
    <s v="TW1"/>
    <s v="EXW"/>
    <s v="Collect"/>
    <m/>
    <s v=""/>
    <s v="Ship Hankyu, if critical shipment and missed pick up time, email orders@scsusa.com for approval to ship FedEx"/>
    <s v=""/>
    <m/>
    <m/>
    <m/>
    <s v="0"/>
    <s v="0"/>
  </r>
  <r>
    <s v="SJ2"/>
    <s v="5037777"/>
    <s v="SCSK CORPORATION"/>
    <s v="167891"/>
    <s v="R024P18L1B01"/>
    <s v="SJ2_STAG"/>
    <s v="SCSK USA Inc."/>
    <s v="SCSK Corporation C/O NEC Networks &amp; System Integration"/>
    <m/>
    <s v="TOKYO"/>
    <s v="3-8-10"/>
    <s v="OS32S3A-00-AS"/>
    <s v="OPT SWITCH 2X1 AUX TRIPLE SC/A"/>
    <m/>
    <m/>
    <x v="485"/>
    <n v="1961503"/>
    <d v="2016-07-05T00:00:00"/>
    <m/>
    <d v="2016-10-26T00:00:00"/>
    <d v="2016-09-05T00:00:00"/>
    <d v="2016-10-25T00:00:00"/>
    <m/>
    <n v="10"/>
    <n v="10"/>
    <n v="10120"/>
    <n v="10120"/>
    <m/>
    <m/>
    <m/>
    <m/>
    <m/>
    <m/>
    <m/>
    <m/>
    <n v="1250124"/>
    <m/>
    <m/>
    <m/>
    <m/>
    <m/>
    <m/>
    <m/>
    <m/>
    <m/>
    <m/>
    <m/>
    <m/>
    <m/>
    <m/>
    <m/>
    <m/>
    <m/>
  </r>
  <r>
    <s v="SJ2"/>
    <s v="5037777"/>
    <s v="SCSK CORPORATION"/>
    <s v="167891"/>
    <s v="R024P18L1B01"/>
    <s v="SJ2_STAG"/>
    <s v="SCSK USA Inc."/>
    <s v="SCSK Corporation C/O NEC Networks &amp; System Integration"/>
    <m/>
    <s v="TOKYO"/>
    <s v="3-8-10"/>
    <s v="OS32S3A-00-AS"/>
    <s v="OPT SWITCH 2X1 AUX TRIPLE SC/A"/>
    <m/>
    <s v="7.3"/>
    <x v="485"/>
    <n v="1961503"/>
    <d v="2016-07-05T00:00:00"/>
    <m/>
    <d v="2016-10-26T00:00:00"/>
    <d v="2016-09-05T00:00:00"/>
    <d v="2016-10-25T00:00:00"/>
    <m/>
    <n v="2"/>
    <n v="2"/>
    <n v="2024"/>
    <n v="2024"/>
    <s v="N171"/>
    <s v="NWK ACCESS TECH"/>
    <s v="HEO"/>
    <s v="HEO MISC AURORA"/>
    <s v="N171"/>
    <s v="AUR-STANDARD ORDER MIXED"/>
    <s v="HNSH-Air"/>
    <s v="OP"/>
    <n v="1250124"/>
    <s v="HNSH"/>
    <m/>
    <m/>
    <m/>
    <s v="HNSH"/>
    <s v="TW1"/>
    <s v="EXW"/>
    <s v="Collect"/>
    <m/>
    <m/>
    <s v="Ship Hankyu, if critical shipment and missed pick up time, email orders@scsusa.com for approval to ship FedEx"/>
    <m/>
    <m/>
    <m/>
    <m/>
    <s v="0"/>
    <s v="0"/>
  </r>
  <r>
    <s v="SJ2"/>
    <s v="5038007"/>
    <s v="LFOUR CO LTD"/>
    <s v="162109"/>
    <s v="REC1"/>
    <s v="SJ2_STAG"/>
    <s v="LFOUR CO LTD"/>
    <s v="WOORIM LIONS VALLEY I B-505 YANGPYENONG DONG 5GA 18"/>
    <s v=".."/>
    <s v="SEOUL"/>
    <s v="150-984"/>
    <s v="HLN3144-4111-DRK18"/>
    <s v="Configured node BOM for HLN314"/>
    <s v="6900542"/>
    <s v="4.1"/>
    <x v="486"/>
    <n v="1951462"/>
    <d v="2016-06-24T00:00:00"/>
    <m/>
    <d v="2016-10-15T00:00:00"/>
    <d v="2016-06-24T00:00:00"/>
    <d v="2016-10-17T00:00:00"/>
    <m/>
    <n v="3"/>
    <m/>
    <n v="4980"/>
    <m/>
    <s v="N117"/>
    <s v="NWK ACCESS TECH"/>
    <s v="NODE"/>
    <s v="HLN3144 AURORA"/>
    <s v="N117"/>
    <s v="AUR-STANDARD ORDER MIXED"/>
    <s v="A-SURFACE"/>
    <s v="OP"/>
    <n v="1243259"/>
    <s v="A-SURFACE"/>
    <m/>
    <m/>
    <m/>
    <s v="A-SURFACE"/>
    <s v="LTL"/>
    <s v="EXW"/>
    <s v="Collect"/>
    <m/>
    <m/>
    <s v="CONTACT FOR PICK-UP Intercargo Logistics - SFO, 390 Oyster Point Blvd. #228, S. San Francisco, CA 94080, 650 635-0316,650 635-0842, Sang Kim, e-mail:sfoexport@intercargousa.com"/>
    <m/>
    <m/>
    <m/>
    <m/>
    <s v="0"/>
    <s v="0"/>
  </r>
  <r>
    <s v="SJ2"/>
    <s v="5038119"/>
    <s v="TELEDIFUSORA SAN MIGUEL ARCANGEL S.A."/>
    <s v="161456"/>
    <s v="REC1"/>
    <s v="SJ2_STAG"/>
    <s v="TELEDIFUSORA SAN MIGUEL ARCANGEL S.A."/>
    <s v="AV PTE PERON 1783 1633 SAN MIGUEL"/>
    <s v=".."/>
    <s v="BUENOS AIRES"/>
    <m/>
    <s v="HLN3142C-4111-TLR02"/>
    <s v="Configured node BOM for HLN314"/>
    <s v="6900587"/>
    <s v="1.2"/>
    <x v="487"/>
    <n v="1962571"/>
    <d v="2016-06-15T00:00:00"/>
    <m/>
    <d v="2016-10-27T00:00:00"/>
    <d v="2016-10-27T00:00:00"/>
    <d v="2016-10-27T00:00:00"/>
    <m/>
    <n v="7"/>
    <m/>
    <n v="13867"/>
    <m/>
    <s v="N116"/>
    <s v="NWK ACCESS TECH"/>
    <s v="NODE"/>
    <s v="HLN3142 AURORA"/>
    <s v="N116"/>
    <s v="AUR-STANDARD ORDER MIXED"/>
    <s v="See Shipping Instructions"/>
    <s v="OP"/>
    <n v="1250721"/>
    <s v="SSI"/>
    <m/>
    <m/>
    <m/>
    <s v="See Shipping Instructions"/>
    <s v="LTL"/>
    <s v="EXW"/>
    <s v="Collect"/>
    <m/>
    <m/>
    <s v="Please provide weight and dims"/>
    <m/>
    <m/>
    <m/>
    <m/>
    <s v="0"/>
    <s v="0"/>
  </r>
  <r>
    <s v="SJ2"/>
    <s v="5038221"/>
    <s v="CIREN, LLC"/>
    <s v="165638"/>
    <s v="R022P06L4"/>
    <s v="SJ2_STAG"/>
    <s v="Ciren, LLC"/>
    <s v="1015 Atlantic Blvd # 327"/>
    <s v="FL"/>
    <s v="Atlantic Beach"/>
    <s v="32233-3313"/>
    <s v="BP-F2"/>
    <s v="BACKPLATE OPTICAL INP OPTICAL"/>
    <s v="20110689"/>
    <s v="1.1"/>
    <x v="488"/>
    <n v="1952665"/>
    <d v="2016-09-12T18:32:48"/>
    <m/>
    <d v="2016-10-17T00:00:00"/>
    <d v="2016-09-12T00:00:00"/>
    <d v="2016-10-19T00:00:00"/>
    <m/>
    <n v="1"/>
    <m/>
    <n v="52.8"/>
    <m/>
    <s v="N224"/>
    <s v="NWK ACCESS TECH"/>
    <s v="ACCESS OTHER"/>
    <s v="OTHER AURORA"/>
    <s v="N224"/>
    <s v="AS-STANDARD ORDER MIXED"/>
    <s v="UPS GROUND"/>
    <s v="OP"/>
    <n v="1244812"/>
    <s v="UPS"/>
    <m/>
    <m/>
    <m/>
    <s v="UNITED PARCEL SERVICES"/>
    <s v="GND"/>
    <s v="EXW"/>
    <s v="Third Party Billing"/>
    <m/>
    <m/>
    <s v="PLEASE SHIP VIA UPS GROUND #A80088 DO NOT ADD INSURANCE TO SHIPMENT"/>
    <m/>
    <m/>
    <m/>
    <m/>
    <s v="0"/>
    <s v="0"/>
  </r>
  <r>
    <s v="SJ2"/>
    <s v="5039335"/>
    <s v="TV CABLE DE ORIENTE SA DE CV"/>
    <s v="QUERETARO SAN JOSE"/>
    <s v="R016P51L1B02"/>
    <s v="SJ2_STAG"/>
    <s v="TV CABLE DE ORIENTE SA DE CV"/>
    <s v="QUERETARO SAN JOSE #448"/>
    <m/>
    <s v="QUERETARO"/>
    <s v="76138"/>
    <s v="CH3000U-FM-00"/>
    <s v="ADAPTER FIBER MGT FOR CH3000 C"/>
    <s v="20109134"/>
    <s v="1.1"/>
    <x v="489"/>
    <n v="1954656"/>
    <d v="2016-09-14T11:51:24"/>
    <m/>
    <d v="2016-10-19T00:00:00"/>
    <d v="2016-10-03T00:00:00"/>
    <d v="2016-10-19T00:00:00"/>
    <m/>
    <n v="24"/>
    <m/>
    <n v="187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11.1"/>
    <x v="489"/>
    <n v="1954656"/>
    <d v="2016-09-14T11:51:24"/>
    <m/>
    <d v="2016-10-19T00:00:00"/>
    <d v="2016-10-03T00:00:00"/>
    <d v="2016-10-19T00:00:00"/>
    <m/>
    <n v="49"/>
    <m/>
    <n v="382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6P51L1B02"/>
    <s v="SJ2_STAG"/>
    <s v="TV CABLE DE ORIENTE SA DE CV"/>
    <s v="QUERETARO SAN JOSE #448"/>
    <m/>
    <s v="QUERETARO"/>
    <s v="76138"/>
    <s v="CH3000U-FM-00"/>
    <s v="ADAPTER FIBER MGT FOR CH3000 C"/>
    <s v="20109134"/>
    <s v="11.1"/>
    <x v="489"/>
    <n v="1954656"/>
    <d v="2016-09-14T11:51:24"/>
    <m/>
    <d v="2016-10-19T00:00:00"/>
    <d v="2016-10-03T00:00:00"/>
    <d v="2016-10-19T00:00:00"/>
    <m/>
    <n v="1"/>
    <m/>
    <n v="7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12.1"/>
    <x v="489"/>
    <n v="1954656"/>
    <d v="2016-09-14T11:51:24"/>
    <m/>
    <d v="2016-10-19T00:00:00"/>
    <d v="2016-10-03T00:00:00"/>
    <d v="2016-10-19T00:00:00"/>
    <m/>
    <n v="9"/>
    <m/>
    <n v="23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12.1"/>
    <x v="489"/>
    <n v="1954656"/>
    <d v="2016-09-14T11:51:24"/>
    <m/>
    <d v="2016-10-19T00:00:00"/>
    <d v="2016-10-03T00:00:00"/>
    <d v="2016-10-19T00:00:00"/>
    <m/>
    <n v="41"/>
    <m/>
    <n v="1066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26L2B01"/>
    <s v="SJ2_STAG"/>
    <s v="TV CABLE DE ORIENTE SA DE CV"/>
    <s v="QUERETARO SAN JOSE #448"/>
    <m/>
    <s v="QUERETARO"/>
    <s v="76138"/>
    <s v="PS3148D"/>
    <s v="POWER SUPPLY W/DISPLAY -48VDC"/>
    <s v="20109134"/>
    <s v="17.1"/>
    <x v="490"/>
    <n v="1961452"/>
    <d v="2016-09-14T11:51:24"/>
    <m/>
    <d v="2016-10-26T00:00:00"/>
    <d v="2016-10-03T00:00:00"/>
    <d v="2016-10-26T00:00:00"/>
    <m/>
    <n v="38"/>
    <n v="38"/>
    <n v="31616"/>
    <n v="31616"/>
    <s v="N204"/>
    <s v="NWK ACCESS TECH"/>
    <s v="ACCESS OTHER"/>
    <s v="OTHER AURORA"/>
    <s v="N20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24P24L5B02"/>
    <s v="SJ2_STAG"/>
    <s v="TV CABLE DE ORIENTE SA DE CV"/>
    <s v="QUERETARO SAN JOSE #448"/>
    <m/>
    <s v="QUERETARO"/>
    <s v="76138"/>
    <s v="PS3148D"/>
    <s v="POWER SUPPLY W/DISPLAY -48VDC"/>
    <s v="20109134"/>
    <s v="17.1"/>
    <x v="490"/>
    <n v="1961452"/>
    <d v="2016-09-14T11:51:24"/>
    <m/>
    <d v="2016-10-26T00:00:00"/>
    <d v="2016-10-03T00:00:00"/>
    <d v="2016-10-26T00:00:00"/>
    <m/>
    <n v="4"/>
    <n v="4"/>
    <n v="3328"/>
    <n v="3328"/>
    <s v="N204"/>
    <s v="NWK ACCESS TECH"/>
    <s v="ACCESS OTHER"/>
    <s v="OTHER AURORA"/>
    <s v="N20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EC1"/>
    <s v="SJ2_STAG"/>
    <s v="TV CABLE DE ORIENTE SA DE CV"/>
    <s v="QUERETARO SAN JOSE #448"/>
    <m/>
    <s v="QUERETARO"/>
    <s v="76138"/>
    <s v="CH3000N"/>
    <s v="CHASSIS NO COVERS 3RU"/>
    <s v="20109134"/>
    <s v="2.1"/>
    <x v="489"/>
    <n v="1954656"/>
    <d v="2016-09-14T11:51:24"/>
    <m/>
    <d v="2016-10-19T00:00:00"/>
    <d v="2016-10-03T00:00:00"/>
    <d v="2016-10-19T00:00:00"/>
    <m/>
    <n v="24"/>
    <m/>
    <n v="624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22L4"/>
    <s v="SJ2_STAG"/>
    <s v="TV CABLE DE ORIENTE SA DE CV"/>
    <s v="QUERETARO SAN JOSE #448"/>
    <m/>
    <s v="QUERETARO"/>
    <s v="76138"/>
    <s v="CH3000U-FM-00"/>
    <s v="ADAPTER FIBER MGT FOR CH3000 C"/>
    <s v="20109134"/>
    <s v="21.1"/>
    <x v="489"/>
    <n v="1954657"/>
    <d v="2016-09-14T11:51:24"/>
    <m/>
    <d v="2016-10-19T00:00:00"/>
    <d v="2016-10-03T00:00:00"/>
    <d v="2016-10-19T00:00:00"/>
    <m/>
    <n v="14"/>
    <m/>
    <n v="1092"/>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15P60L2"/>
    <s v="SJ2_STAG"/>
    <s v="TV CABLE DE ORIENTE SA DE CV"/>
    <s v="QUERETARO SAN JOSE #448"/>
    <m/>
    <s v="QUERETARO"/>
    <s v="76138"/>
    <s v="CH3000U-FM-00"/>
    <s v="ADAPTER FIBER MGT FOR CH3000 C"/>
    <s v="20109134"/>
    <s v="21.1"/>
    <x v="489"/>
    <n v="1954657"/>
    <d v="2016-09-14T11:51:24"/>
    <m/>
    <d v="2016-10-19T00:00:00"/>
    <d v="2016-10-03T00:00:00"/>
    <d v="2016-10-19T00:00:00"/>
    <m/>
    <n v="11"/>
    <m/>
    <n v="858"/>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2L3B02"/>
    <s v="SJ2_STAG"/>
    <s v="TV CABLE DE ORIENTE SA DE CV"/>
    <s v="QUERETARO SAN JOSE #448"/>
    <m/>
    <s v="QUERETARO"/>
    <s v="76138"/>
    <s v="CH3000N"/>
    <s v="CHASSIS NO COVERS 3RU"/>
    <s v="20109134"/>
    <s v="22.1"/>
    <x v="489"/>
    <n v="1954656"/>
    <d v="2016-09-14T11:51:24"/>
    <m/>
    <d v="2016-10-19T00:00:00"/>
    <d v="2016-10-03T00:00:00"/>
    <d v="2016-10-19T00:00:00"/>
    <m/>
    <n v="5"/>
    <m/>
    <n v="13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04L5B01"/>
    <s v="SJ2_STAG"/>
    <s v="TV CABLE DE ORIENTE SA DE CV"/>
    <s v="QUERETARO SAN JOSE #448"/>
    <m/>
    <s v="QUERETARO"/>
    <s v="76138"/>
    <s v="CH3000N"/>
    <s v="CHASSIS NO COVERS 3RU"/>
    <s v="20109134"/>
    <s v="22.1"/>
    <x v="489"/>
    <n v="1954656"/>
    <d v="2016-09-14T11:51:24"/>
    <m/>
    <d v="2016-10-19T00:00:00"/>
    <d v="2016-10-03T00:00:00"/>
    <d v="2016-10-19T00:00:00"/>
    <m/>
    <n v="20"/>
    <m/>
    <n v="5200"/>
    <m/>
    <s v="N199"/>
    <s v="NWK ACCESS TECH"/>
    <s v="HEO"/>
    <s v="HEO MISC AURORA"/>
    <s v="N199"/>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4P26L2B01"/>
    <s v="SJ2_STAG"/>
    <s v="TV CABLE DE ORIENTE SA DE CV"/>
    <s v="QUERETARO SAN JOSE #448"/>
    <m/>
    <s v="QUERETARO"/>
    <s v="76138"/>
    <s v="PS3148D"/>
    <s v="POWER SUPPLY W/DISPLAY -48VDC"/>
    <s v="20109134"/>
    <s v="27.1"/>
    <x v="490"/>
    <n v="1961452"/>
    <d v="2016-09-14T11:51:24"/>
    <m/>
    <d v="2016-10-26T00:00:00"/>
    <d v="2016-10-03T00:00:00"/>
    <d v="2016-10-26T00:00:00"/>
    <m/>
    <n v="10"/>
    <n v="10"/>
    <n v="8320"/>
    <n v="8320"/>
    <s v="N204"/>
    <s v="NWK ACCESS TECH"/>
    <s v="ACCESS OTHER"/>
    <s v="OTHER AURORA"/>
    <s v="N20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24P26L2B02"/>
    <s v="SJ2_STAG"/>
    <s v="TV CABLE DE ORIENTE SA DE CV"/>
    <s v="QUERETARO SAN JOSE #448"/>
    <m/>
    <s v="QUERETARO"/>
    <s v="76138"/>
    <s v="PS3148D"/>
    <s v="POWER SUPPLY W/DISPLAY -48VDC"/>
    <s v="20109134"/>
    <s v="27.1"/>
    <x v="490"/>
    <n v="1961452"/>
    <d v="2016-09-14T11:51:24"/>
    <m/>
    <d v="2016-10-26T00:00:00"/>
    <d v="2016-10-03T00:00:00"/>
    <d v="2016-10-26T00:00:00"/>
    <m/>
    <n v="15"/>
    <n v="15"/>
    <n v="12480"/>
    <n v="12480"/>
    <s v="N204"/>
    <s v="NWK ACCESS TECH"/>
    <s v="ACCESS OTHER"/>
    <s v="OTHER AURORA"/>
    <s v="N20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28.1"/>
    <x v="489"/>
    <n v="1954656"/>
    <d v="2016-09-14T11:51:24"/>
    <m/>
    <d v="2016-10-19T00:00:00"/>
    <d v="2016-10-03T00:00:00"/>
    <d v="2016-10-19T00:00:00"/>
    <m/>
    <n v="25"/>
    <m/>
    <n v="16875"/>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79L3"/>
    <s v="SJ2_STAG"/>
    <s v="TV CABLE DE ORIENTE SA DE CV"/>
    <s v="QUERETARO SAN JOSE #448"/>
    <m/>
    <s v="QUERETARO"/>
    <s v="76138"/>
    <s v="RR4000-00-PI"/>
    <s v="RCVR DUAL PLUGGABLE SFP 3 GBPS"/>
    <s v="20109134"/>
    <s v="29.1"/>
    <x v="490"/>
    <n v="1961453"/>
    <d v="2016-09-14T11:51:24"/>
    <m/>
    <d v="2016-10-26T00:00:00"/>
    <d v="2016-10-03T00:00:00"/>
    <d v="2016-10-26T00:00:00"/>
    <m/>
    <n v="200"/>
    <n v="200"/>
    <n v="37400"/>
    <n v="37400"/>
    <s v="N224"/>
    <s v="NWK ACCESS TECH"/>
    <s v="ACCESS OTHER"/>
    <s v="OTHER AURORA"/>
    <s v="N22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24P24L5B02"/>
    <s v="SJ2_STAG"/>
    <s v="TV CABLE DE ORIENTE SA DE CV"/>
    <s v="QUERETARO SAN JOSE #448"/>
    <m/>
    <s v="QUERETARO"/>
    <s v="76138"/>
    <s v="PS3148D"/>
    <s v="POWER SUPPLY W/DISPLAY -48VDC"/>
    <s v="20109134"/>
    <s v="7.1"/>
    <x v="490"/>
    <n v="1961452"/>
    <d v="2016-09-14T11:51:24"/>
    <m/>
    <d v="2016-10-26T00:00:00"/>
    <d v="2016-10-03T00:00:00"/>
    <d v="2016-10-26T00:00:00"/>
    <m/>
    <n v="24"/>
    <n v="24"/>
    <n v="19968"/>
    <n v="19968"/>
    <s v="N204"/>
    <s v="NWK ACCESS TECH"/>
    <s v="ACCESS OTHER"/>
    <s v="OTHER AURORA"/>
    <s v="N20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15P16L4"/>
    <s v="SJ2_STAG"/>
    <s v="TV CABLE DE ORIENTE SA DE CV"/>
    <s v="QUERETARO SAN JOSE #448"/>
    <m/>
    <s v="QUERETARO"/>
    <s v="76138"/>
    <s v="PS3148N"/>
    <s v="POWER SUPPLY NO DISPLAY -48VDC"/>
    <s v="20109134"/>
    <s v="8.1"/>
    <x v="489"/>
    <n v="1954656"/>
    <d v="2016-09-14T11:51:24"/>
    <m/>
    <d v="2016-10-19T00:00:00"/>
    <d v="2016-10-03T00:00:00"/>
    <d v="2016-10-19T00:00:00"/>
    <m/>
    <n v="24"/>
    <m/>
    <n v="16200"/>
    <m/>
    <s v="N204"/>
    <s v="NWK ACCESS TECH"/>
    <s v="ACCESS OTHER"/>
    <s v="OTHER AURORA"/>
    <s v="N204"/>
    <s v="AS-STANDARD ORDER MIXED"/>
    <s v="A-SURFACE"/>
    <s v="OP"/>
    <n v="1245645"/>
    <s v="A-SURFACE"/>
    <m/>
    <m/>
    <m/>
    <s v="A-SURFACE"/>
    <s v="LTL"/>
    <s v="EXW"/>
    <s v="Collect"/>
    <m/>
    <m/>
    <s v="PLEASE CONTACT HG FORWARDING/ CYNTHIA MARES/cmares@hugogalindo.com/T:(956) 717-3836/ egalindo@hugogalindo.com"/>
    <m/>
    <m/>
    <m/>
    <m/>
    <s v="0"/>
    <s v="0"/>
  </r>
  <r>
    <s v="SJ2"/>
    <s v="5039335"/>
    <s v="TV CABLE DE ORIENTE SA DE CV"/>
    <s v="QUERETARO SAN JOSE"/>
    <s v="R022P79L3"/>
    <s v="SJ2_STAG"/>
    <s v="TV CABLE DE ORIENTE SA DE CV"/>
    <s v="QUERETARO SAN JOSE #448"/>
    <m/>
    <s v="QUERETARO"/>
    <s v="76138"/>
    <s v="RR4000-00-PI"/>
    <s v="RCVR DUAL PLUGGABLE SFP 3 GBPS"/>
    <s v="20109134"/>
    <s v="9.1"/>
    <x v="490"/>
    <n v="1961453"/>
    <d v="2016-09-14T11:51:24"/>
    <m/>
    <d v="2016-10-26T00:00:00"/>
    <d v="2016-10-03T00:00:00"/>
    <d v="2016-10-26T00:00:00"/>
    <m/>
    <n v="200"/>
    <n v="200"/>
    <n v="37400"/>
    <n v="37400"/>
    <s v="N224"/>
    <s v="NWK ACCESS TECH"/>
    <s v="ACCESS OTHER"/>
    <s v="OTHER AURORA"/>
    <s v="N224"/>
    <s v="AS-STANDARD ORDER MIXED"/>
    <s v="A-SURFACE"/>
    <s v="OP"/>
    <n v="1250073"/>
    <s v="A-SURFACE"/>
    <m/>
    <m/>
    <m/>
    <s v="A-SURFACE"/>
    <s v="LTL"/>
    <s v="EXW"/>
    <s v="Collect"/>
    <m/>
    <m/>
    <s v="PLEASE CONTACT HG FORWARDING/ CYNTHIA MARES/cmares@hugogalindo.com/T:(956) 717-3836/ egalindo@hugogalindo.com"/>
    <m/>
    <m/>
    <m/>
    <m/>
    <s v="0"/>
    <s v="0"/>
  </r>
  <r>
    <s v="SJ2"/>
    <s v="5039335"/>
    <s v="TV CABLE DE ORIENTE SA DE CV"/>
    <s v="QUERETARO SAN JOSE"/>
    <s v="R022P80L4"/>
    <s v="SJ2_STAG"/>
    <s v="TV CABLE DE ORIENTE SA DE CV"/>
    <s v="QUERETARO SAN JOSE #448"/>
    <m/>
    <s v="QUERETARO"/>
    <s v="76138"/>
    <s v="TR4440B-1470-PI"/>
    <s v="TRANSCEIVER SFP 60KM CWDM 1470"/>
    <s v="20111263"/>
    <s v="36.1"/>
    <x v="491"/>
    <n v="1957028"/>
    <d v="2016-09-15T11:28:28"/>
    <m/>
    <d v="2016-10-20T00:00:00"/>
    <d v="2016-10-14T00:00:00"/>
    <d v="2016-10-20T00:00:00"/>
    <m/>
    <n v="173"/>
    <m/>
    <n v="7093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490-PI"/>
    <s v="TRANSCEIVER SFP 60KM CWDM 1490"/>
    <s v="20111263"/>
    <s v="37.1"/>
    <x v="491"/>
    <n v="1957028"/>
    <d v="2016-09-15T11:28:28"/>
    <m/>
    <d v="2016-10-20T00:00:00"/>
    <d v="2016-10-14T00:00:00"/>
    <d v="2016-10-20T00:00:00"/>
    <m/>
    <n v="152"/>
    <m/>
    <n v="6232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2P80L4"/>
    <s v="SJ2_STAG"/>
    <s v="TV CABLE DE ORIENTE SA DE CV"/>
    <s v="QUERETARO SAN JOSE #448"/>
    <m/>
    <s v="QUERETARO"/>
    <s v="76138"/>
    <s v="TR4440B-1510-PI"/>
    <s v="TRANSCEIVER SFP 60KM CWDM 1510"/>
    <s v="20111263"/>
    <s v="39.1"/>
    <x v="491"/>
    <n v="1957029"/>
    <d v="2016-09-15T11:28:28"/>
    <m/>
    <d v="2016-10-20T00:00:00"/>
    <d v="2016-10-14T00:00:00"/>
    <d v="2016-10-20T00:00:00"/>
    <m/>
    <n v="154"/>
    <m/>
    <n v="6314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AN JOSE"/>
    <s v="R023P09L4"/>
    <s v="SJ2_STAG"/>
    <s v="TV CABLE DE ORIENTE SA DE CV"/>
    <s v="QUERETARO SAN JOSE #448"/>
    <m/>
    <s v="QUERETARO"/>
    <s v="76138"/>
    <s v="TR4440B-1570-PI"/>
    <s v="TRANSCEIVER SFP 60KM CWDM 1570"/>
    <s v="20111263"/>
    <s v="40.1"/>
    <x v="491"/>
    <n v="1957029"/>
    <d v="2016-09-15T11:28:28"/>
    <m/>
    <d v="2016-10-20T00:00:00"/>
    <d v="2016-10-14T00:00:00"/>
    <d v="2016-10-20T00:00:00"/>
    <m/>
    <n v="67"/>
    <m/>
    <n v="27470"/>
    <m/>
    <s v="N252"/>
    <s v="NWK ACCESS TECH"/>
    <s v="NODE"/>
    <s v="NODE MISC AURORA"/>
    <s v="N252"/>
    <s v="AS-STANDARD ORDER MIXED"/>
    <s v="A-SURFACE"/>
    <s v="OP"/>
    <n v="1246579"/>
    <s v="A-SURFACE"/>
    <m/>
    <m/>
    <m/>
    <s v="A-SURFACE"/>
    <s v="LTL"/>
    <s v="EXW"/>
    <s v="Collect"/>
    <m/>
    <m/>
    <s v="SHIPPING WOOD PALLETS/INCLUIDE STAMP FOR CERTIFICATION OF FUMIGATION-SHIP TO HG FORWARDING Cynthia Mares at 956-717-3836/cmares@hugogalindo.com"/>
    <s v="CUSTOMER IS APPROVED FCA TERMS PER SHIPPING AND PAYMENT TERMS MATRIX – FLIGHTDECK FOR ARRIS LEGACY PRODUCTS, IF YOU RECEIVE A PO WITH FCA TERMS PLEASE ASK HERLINDA MARQUEZ TO PROVIDE FF. CUSTOMER DOESN’T ACCEPT CI ABOVE 2.5M PER ORDER"/>
    <m/>
    <m/>
    <m/>
    <s v="0"/>
    <s v="0"/>
  </r>
  <r>
    <s v="SJ2"/>
    <s v="5039335"/>
    <s v="TV CABLE DE ORIENTE SA DE CV"/>
    <s v="QUERETARO"/>
    <s v="R023P04L4"/>
    <s v="SJ2_FOB"/>
    <s v="TV CABLE DE ORIENTE SA DE CV"/>
    <s v="SAN JOSE # 448"/>
    <m/>
    <s v="QUERETARO"/>
    <s v="76138"/>
    <s v="OP95D4-CF3-103-R2-AS"/>
    <s v="DEMUX DWDM 100GHZ 4 CH 03 F-CA"/>
    <s v="6901509"/>
    <s v="1.1"/>
    <x v="492"/>
    <n v="1963255"/>
    <d v="2016-10-24T15:46:52"/>
    <m/>
    <d v="2016-10-28T00:00:00"/>
    <d v="2016-10-25T00:00:00"/>
    <d v="2016-10-28T00:00:00"/>
    <m/>
    <n v="1"/>
    <m/>
    <n v="1045"/>
    <m/>
    <s v="N160"/>
    <s v="NWK ACCESS TECH"/>
    <s v="OPTICAL PASSIVES"/>
    <s v="OUTDOOR PASSIVES AURORA"/>
    <s v="N160"/>
    <s v="AUR-STANDARD ORDER MIXED"/>
    <s v="A-AIR"/>
    <s v="OP"/>
    <n v="1251073"/>
    <s v="A-AIR"/>
    <m/>
    <m/>
    <m/>
    <s v="A-AIR"/>
    <s v="LTL"/>
    <s v="DDP"/>
    <s v="Prepaid"/>
    <m/>
    <m/>
    <s v="PlEASE DO NOT USE UPS TO SHIP TO MEXICO. TVE CABLE DE ORIENTE CONTACT EMAIL: adrosario@izzi.mx - hmarquez@izzi.mx-"/>
    <s v="IF WOOD PALLET, INCLUDE STAMP FOR CERT. OF FUMIGATION. FOR EXW SEND W&amp;D TO CSR.FOR FCA CONTACT FF.IF WOOD PALLET INCLUDE STAMP FOR CERT OF FUMIGATION.NET &amp; GROSS WEIGHT PER SHIPMENT MUST BE ON CI DOCS.PALLETS MUST BE 48x40 @HT MIN. 59MAX 75 W/7 LAYERS OF BOXES FOR TG862A/NA.REMAINING BOXES CAN BE IN A NEW PALLET P/ DIMS ABOVE"/>
    <m/>
    <m/>
    <m/>
    <s v="0"/>
    <s v="0"/>
  </r>
  <r>
    <m/>
    <m/>
    <m/>
    <m/>
    <m/>
    <m/>
    <m/>
    <m/>
    <m/>
    <m/>
    <m/>
    <m/>
    <m/>
    <m/>
    <m/>
    <x v="493"/>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839">
  <r>
    <n v="9749482"/>
    <n v="1"/>
    <s v="20113474"/>
    <s v="MEDIACOM"/>
    <x v="0"/>
    <d v="2016-10-01T00:00:00"/>
    <d v="2016-10-01T00:00:00"/>
    <x v="0"/>
    <s v=""/>
    <s v=""/>
    <m/>
    <s v=""/>
    <s v="MEDIA COM / PART NUMBER AT3535G-20-1-AS / QTY 2PC / PENDING RESEARCH / MIGHT NEED A REPRINT OF  PICK TICKET. LAST UPDATED 10/12/2016"/>
    <m/>
    <m/>
    <m/>
    <m/>
    <s v="10/27 labels have been created to ship freight"/>
    <s v="10/27 labels have been created to ship freight"/>
    <s v=""/>
    <s v=""/>
    <m/>
    <m/>
    <m/>
    <m/>
    <s v=""/>
    <s v=""/>
  </r>
  <r>
    <n v="9750889"/>
    <n v="2"/>
    <s v="20115327"/>
    <s v="COMCAST"/>
    <x v="1"/>
    <d v="2016-10-05T00:00:00"/>
    <d v="2016-10-05T00:00:00"/>
    <x v="1"/>
    <s v=""/>
    <s v=""/>
    <m/>
    <s v="YES"/>
    <s v="PN NC412A1SGA1-U0000000 / QTY 1)  (last update 10/17/2016) "/>
    <m/>
    <m/>
    <m/>
    <m/>
    <s v=""/>
    <s v="10/10 Pick has not been located and units are not staged. We are currently waiting to get approval from Dave to reprint pick._x000a_10/11 Pick was re-printed and is currently being worked on _x000a_10/12 We are not able to locate item NC412A1SGA1-U0000000 / QTY 1"/>
    <s v=""/>
    <s v=""/>
    <m/>
    <m/>
    <m/>
    <m/>
    <s v=""/>
    <s v=""/>
  </r>
  <r>
    <n v="9751937"/>
    <n v="1"/>
    <s v="20111522"/>
    <s v="COMCAST"/>
    <x v="2"/>
    <d v="2016-10-08T00:00:00"/>
    <d v="2016-10-08T00:00:00"/>
    <x v="1"/>
    <s v=""/>
    <s v=""/>
    <m/>
    <s v="YES"/>
    <s v="PIR - Part number (OP95F1S-42-R2-AS / QTY 1) last update 10/17/2016"/>
    <m/>
    <m/>
    <m/>
    <m/>
    <s v=""/>
    <s v="PIR"/>
    <s v=""/>
    <s v=""/>
    <m/>
    <m/>
    <m/>
    <m/>
    <s v=""/>
    <s v=""/>
  </r>
  <r>
    <n v="9752653"/>
    <n v="2"/>
    <s v="6901101"/>
    <s v="ROGERS CABLE"/>
    <x v="3"/>
    <d v="2016-10-11T00:00:00"/>
    <d v="2016-10-11T00:00:00"/>
    <x v="1"/>
    <s v=""/>
    <s v=""/>
    <m/>
    <s v="YES"/>
    <s v="PIR - Part number BP3001 / QTY 150PC.  (last updated 10/17/2016)"/>
    <m/>
    <m/>
    <m/>
    <m/>
    <s v="10/11 given to william 7:50 am"/>
    <s v="10/11 given to william 7:50 am"/>
    <s v=""/>
    <s v=""/>
    <m/>
    <m/>
    <m/>
    <m/>
    <s v=""/>
    <s v=""/>
  </r>
  <r>
    <n v="9752799"/>
    <n v="1"/>
    <s v="6901031"/>
    <s v="CABLEMAS, S.A. DE C.V."/>
    <x v="3"/>
    <d v="2016-10-11T00:00:00"/>
    <d v="2016-10-11T00:00:00"/>
    <x v="1"/>
    <s v="curtis"/>
    <s v=""/>
    <m/>
    <s v="YES"/>
    <s v=""/>
    <m/>
    <m/>
    <m/>
    <m/>
    <s v="10/11 given to Riza 2:00 PM"/>
    <s v="10/11 given to Riza 2:00 PM"/>
    <s v=""/>
    <s v=""/>
    <m/>
    <m/>
    <m/>
    <m/>
    <s v=""/>
    <s v=""/>
  </r>
  <r>
    <n v="9753324"/>
    <n v="2"/>
    <s v="20116478"/>
    <s v="COMCAST"/>
    <x v="4"/>
    <d v="2016-10-12T00:00:00"/>
    <d v="2016-10-12T00:00:00"/>
    <x v="2"/>
    <s v="TONY"/>
    <s v=""/>
    <m/>
    <s v=""/>
    <s v=""/>
    <m/>
    <m/>
    <m/>
    <m/>
    <s v="10/12 given to Riza 12:00 pm"/>
    <s v="10/12 given to Riza 12:00 pm"/>
    <s v=""/>
    <s v=""/>
    <m/>
    <m/>
    <m/>
    <m/>
    <s v=""/>
    <s v=""/>
  </r>
  <r>
    <n v="9753344"/>
    <n v="9"/>
    <s v="20116471"/>
    <s v="COMCAST"/>
    <x v="4"/>
    <d v="2016-10-12T00:00:00"/>
    <d v="2016-10-12T00:00:00"/>
    <x v="2"/>
    <s v="TONY"/>
    <s v=""/>
    <m/>
    <s v=""/>
    <s v=""/>
    <m/>
    <m/>
    <m/>
    <m/>
    <s v="10/12 given to Riza 12:00 pm"/>
    <s v="10/12 given to Riza 12:00 pm"/>
    <s v=""/>
    <s v=""/>
    <m/>
    <m/>
    <m/>
    <m/>
    <s v=""/>
    <s v=""/>
  </r>
  <r>
    <n v="9753496"/>
    <n v="2"/>
    <s v="6901169"/>
    <s v="CHARTER"/>
    <x v="5"/>
    <d v="2016-10-13T00:00:00"/>
    <d v="2016-10-13T00:00:00"/>
    <x v="1"/>
    <s v=""/>
    <s v=""/>
    <m/>
    <s v="YES"/>
    <s v="location &quot;rec1&quot; searching for parts"/>
    <m/>
    <m/>
    <m/>
    <m/>
    <s v="10/26 given to Austin  4 pm"/>
    <s v="10/26 given to Austin  4 pm"/>
    <s v=""/>
    <s v=""/>
    <m/>
    <m/>
    <m/>
    <m/>
    <s v=""/>
    <s v=""/>
  </r>
  <r>
    <n v="9753498"/>
    <n v="3"/>
    <s v="6900799"/>
    <s v="CHARTER"/>
    <x v="5"/>
    <d v="2016-10-13T00:00:00"/>
    <d v="2016-10-13T00:00:00"/>
    <x v="3"/>
    <s v=""/>
    <s v=""/>
    <m/>
    <s v=""/>
    <s v=""/>
    <m/>
    <m/>
    <m/>
    <m/>
    <s v="10/25 given to Zeid 6:55 pm"/>
    <n v="6900799"/>
    <s v="X"/>
    <s v="705155790199"/>
    <m/>
    <m/>
    <m/>
    <m/>
    <s v=""/>
    <s v=""/>
  </r>
  <r>
    <n v="9753792"/>
    <n v="5"/>
    <s v="6900517"/>
    <s v="MEDIACOM"/>
    <x v="5"/>
    <d v="2016-10-13T00:00:00"/>
    <d v="2016-10-13T00:00:00"/>
    <x v="0"/>
    <s v=""/>
    <s v=""/>
    <m/>
    <s v=""/>
    <s v="repicking (update 10/28)"/>
    <m/>
    <m/>
    <m/>
    <m/>
    <s v="10/13/2016 given to Riza 2:30 PM "/>
    <s v="10/13/2016 given to Riza 2:30 PM "/>
    <s v=""/>
    <s v=""/>
    <m/>
    <m/>
    <m/>
    <m/>
    <s v=""/>
    <s v=""/>
  </r>
  <r>
    <n v="9753796"/>
    <n v="1"/>
    <s v="20116742"/>
    <s v="NATIONAL CABLE TELEVISION COOP"/>
    <x v="5"/>
    <d v="2016-10-13T00:00:00"/>
    <d v="2016-10-13T00:00:00"/>
    <x v="3"/>
    <s v="TONY"/>
    <s v=""/>
    <m/>
    <s v=""/>
    <s v=""/>
    <m/>
    <m/>
    <m/>
    <m/>
    <s v=""/>
    <s v="10/13/2016 given to Riza 2:30 PM "/>
    <s v=""/>
    <s v="705155791059"/>
    <m/>
    <m/>
    <m/>
    <m/>
    <s v=""/>
    <s v=""/>
  </r>
  <r>
    <n v="9753814"/>
    <n v="1"/>
    <s v="20109923"/>
    <s v="CHARTER"/>
    <x v="5"/>
    <d v="2016-10-13T00:00:00"/>
    <d v="2016-10-13T00:00:00"/>
    <x v="3"/>
    <s v="TONY"/>
    <s v=""/>
    <m/>
    <s v=""/>
    <s v=""/>
    <m/>
    <m/>
    <m/>
    <m/>
    <s v=""/>
    <s v="10/13/2016 given to Riza 2:30 PM "/>
    <s v=""/>
    <s v="705155790019"/>
    <m/>
    <m/>
    <m/>
    <m/>
    <s v=""/>
    <s v=""/>
  </r>
  <r>
    <n v="9753909"/>
    <n v="1"/>
    <s v="20113588"/>
    <s v="CHARTER"/>
    <x v="6"/>
    <d v="2016-10-14T00:00:00"/>
    <d v="2016-10-14T00:00:00"/>
    <x v="3"/>
    <s v=""/>
    <s v=""/>
    <m/>
    <s v=""/>
    <s v=""/>
    <m/>
    <m/>
    <m/>
    <m/>
    <s v=""/>
    <s v="20113588"/>
    <s v="X"/>
    <s v="705155789910"/>
    <m/>
    <m/>
    <m/>
    <m/>
    <s v=""/>
    <s v=""/>
  </r>
  <r>
    <n v="9754053"/>
    <n v="1"/>
    <s v="20112584"/>
    <s v="MEDIACOM"/>
    <x v="6"/>
    <d v="2016-10-14T00:00:00"/>
    <d v="2016-10-14T00:00:00"/>
    <x v="1"/>
    <s v="curtis"/>
    <s v="x"/>
    <m/>
    <s v="YES"/>
    <s v=""/>
    <m/>
    <m/>
    <m/>
    <m/>
    <s v=""/>
    <s v="10/14/2016 given to Riza 8:30 AM"/>
    <s v=""/>
    <s v=""/>
    <m/>
    <m/>
    <m/>
    <m/>
    <s v=""/>
    <s v=""/>
  </r>
  <r>
    <n v="9754137"/>
    <n v="2"/>
    <s v="20109923"/>
    <s v="CHARTER"/>
    <x v="6"/>
    <d v="2016-10-14T00:00:00"/>
    <d v="2016-10-14T00:00:00"/>
    <x v="1"/>
    <s v=""/>
    <s v=""/>
    <m/>
    <s v="YES"/>
    <s v=""/>
    <m/>
    <m/>
    <m/>
    <m/>
    <s v="10/27 given to Austin  4 pm"/>
    <s v="10/27 given to Austin  4 pm"/>
    <s v=""/>
    <s v=""/>
    <m/>
    <m/>
    <m/>
    <m/>
    <s v=""/>
    <s v=""/>
  </r>
  <r>
    <n v="9754401"/>
    <n v="2"/>
    <s v="20116775"/>
    <s v="MEDIACOM"/>
    <x v="7"/>
    <d v="2016-10-15T00:00:00"/>
    <d v="2016-10-15T00:00:00"/>
    <x v="0"/>
    <s v=""/>
    <s v=""/>
    <m/>
    <s v=""/>
    <s v=""/>
    <m/>
    <m/>
    <m/>
    <m/>
    <s v="10/25 given to Zeid 6:55 pm"/>
    <s v="10/25 given to Zeid 6:55 pm"/>
    <s v=""/>
    <s v=""/>
    <m/>
    <m/>
    <m/>
    <m/>
    <s v=""/>
    <s v=""/>
  </r>
  <r>
    <n v="9754404"/>
    <n v="1"/>
    <s v="20106720"/>
    <s v="COMCAST"/>
    <x v="7"/>
    <d v="2016-10-15T00:00:00"/>
    <d v="2016-10-15T00:00:00"/>
    <x v="3"/>
    <s v=""/>
    <s v=""/>
    <m/>
    <s v=""/>
    <s v=""/>
    <m/>
    <m/>
    <m/>
    <m/>
    <s v=""/>
    <s v=""/>
    <e v="#N/A"/>
    <s v="705155785502"/>
    <m/>
    <m/>
    <m/>
    <m/>
    <s v=""/>
    <s v=""/>
  </r>
  <r>
    <n v="9754436"/>
    <n v="1"/>
    <s v="6901074"/>
    <s v="COMCAST"/>
    <x v="7"/>
    <d v="2016-10-15T00:00:00"/>
    <d v="2016-10-15T00:00:00"/>
    <x v="1"/>
    <s v="TONY"/>
    <s v=""/>
    <m/>
    <s v="YES"/>
    <s v="paperwork in PIR folder (Austin)"/>
    <m/>
    <m/>
    <m/>
    <m/>
    <s v="10/18 given to Riza @ 9:40 am "/>
    <s v="10/18 given to Riza @ 9:40 am "/>
    <s v=""/>
    <s v=""/>
    <m/>
    <m/>
    <m/>
    <m/>
    <s v=""/>
    <s v=""/>
  </r>
  <r>
    <n v="9754450"/>
    <n v="4"/>
    <s v="20109157"/>
    <s v="VTR"/>
    <x v="7"/>
    <d v="2016-10-15T00:00:00"/>
    <d v="2016-10-15T00:00:00"/>
    <x v="3"/>
    <s v=""/>
    <s v=""/>
    <m/>
    <s v=""/>
    <s v=""/>
    <m/>
    <m/>
    <m/>
    <m/>
    <s v="10/18 given to Riza @ 9:40 am "/>
    <s v="20109157"/>
    <s v="X"/>
    <s v="6050040506"/>
    <m/>
    <m/>
    <m/>
    <m/>
    <s v=""/>
    <s v=""/>
  </r>
  <r>
    <n v="9754480"/>
    <n v="1"/>
    <s v="20113616"/>
    <s v="NATIONAL CABLE TELEVISION COOP"/>
    <x v="7"/>
    <d v="2016-10-15T00:00:00"/>
    <d v="2016-10-15T00:00:00"/>
    <x v="3"/>
    <s v=""/>
    <s v=""/>
    <m/>
    <s v=""/>
    <s v="PN# OP91S2S-60-N0-00 / QTY 1"/>
    <m/>
    <m/>
    <m/>
    <m/>
    <s v="10/18 given to Riza @ 9:40 am "/>
    <s v="10/18 given to Riza @ 9:40 am "/>
    <s v=""/>
    <s v="703018781518"/>
    <m/>
    <m/>
    <m/>
    <m/>
    <s v=""/>
    <s v=""/>
  </r>
  <r>
    <n v="9754481"/>
    <n v="1"/>
    <s v="20112817"/>
    <s v="ADVANCED MEDIA TECHNOLOGIES(LATIN AMERICA)"/>
    <x v="7"/>
    <d v="2016-10-15T00:00:00"/>
    <d v="2016-10-15T00:00:00"/>
    <x v="2"/>
    <s v="TONY"/>
    <s v=""/>
    <m/>
    <s v=""/>
    <s v=""/>
    <m/>
    <m/>
    <m/>
    <m/>
    <s v="10/18 given to Riza @ 9:40 am "/>
    <s v="10/18 given to Riza @ 9:40 am "/>
    <s v=""/>
    <s v=""/>
    <m/>
    <m/>
    <m/>
    <m/>
    <s v=""/>
    <s v=""/>
  </r>
  <r>
    <n v="9754496"/>
    <n v="1"/>
    <s v="6900542"/>
    <s v="LFOUR CO LTD"/>
    <x v="7"/>
    <d v="2016-10-15T00:00:00"/>
    <d v="2016-10-15T00:00:00"/>
    <x v="2"/>
    <s v="TONY"/>
    <s v=""/>
    <m/>
    <s v=""/>
    <s v="PN# HLN3144-4111-DRK18 / QTY 3"/>
    <m/>
    <m/>
    <m/>
    <m/>
    <s v="10/18 given to Riza @ 9:40 am "/>
    <s v="10/18 given to Riza @ 9:40 am "/>
    <s v=""/>
    <s v=""/>
    <m/>
    <m/>
    <m/>
    <m/>
    <s v=""/>
    <s v=""/>
  </r>
  <r>
    <n v="9754508"/>
    <n v="12"/>
    <s v="20109157"/>
    <s v="VTR"/>
    <x v="7"/>
    <d v="2016-10-15T00:00:00"/>
    <d v="2016-10-15T00:00:00"/>
    <x v="3"/>
    <s v=""/>
    <s v=""/>
    <m/>
    <s v=""/>
    <s v=""/>
    <m/>
    <m/>
    <m/>
    <m/>
    <s v="10/18 given to Riza @ 9:40 am "/>
    <s v="20109157"/>
    <s v="6050040506"/>
    <s v="6050040506"/>
    <m/>
    <m/>
    <m/>
    <m/>
    <s v=""/>
    <s v=""/>
  </r>
  <r>
    <n v="9754556"/>
    <n v="1"/>
    <s v="20112228"/>
    <s v="METROCAST COMMUNICATIONS"/>
    <x v="7"/>
    <d v="2016-10-15T00:00:00"/>
    <d v="2016-10-15T00:00:00"/>
    <x v="3"/>
    <s v="TONY"/>
    <s v=""/>
    <m/>
    <s v=""/>
    <s v=""/>
    <m/>
    <m/>
    <m/>
    <m/>
    <s v="10/18 order was given to Riza 6pm"/>
    <s v="10/18 order was given to Riza 6pm"/>
    <s v=""/>
    <s v="705155789986"/>
    <m/>
    <m/>
    <m/>
    <m/>
    <s v=""/>
    <s v=""/>
  </r>
  <r>
    <n v="9754563"/>
    <n v="22"/>
    <s v="20106144"/>
    <s v="CYO INTERNATIONAL, INC."/>
    <x v="7"/>
    <d v="2016-10-15T00:00:00"/>
    <d v="2016-10-15T00:00:00"/>
    <x v="0"/>
    <s v=""/>
    <s v=""/>
    <m/>
    <s v=""/>
    <s v="G-43 (hongkong)"/>
    <m/>
    <m/>
    <m/>
    <m/>
    <s v="10/17/2016 Given to Riza at 3:00pm"/>
    <s v="20106144"/>
    <s v="X"/>
    <s v=""/>
    <m/>
    <m/>
    <m/>
    <m/>
    <s v=""/>
    <s v=""/>
  </r>
  <r>
    <n v="9754629"/>
    <n v="1"/>
    <s v="20113661"/>
    <s v="COX COMMUNICATIONS"/>
    <x v="8"/>
    <d v="2016-10-17T00:00:00"/>
    <d v="2016-10-17T00:00:00"/>
    <x v="1"/>
    <s v=""/>
    <s v=""/>
    <m/>
    <s v="YES"/>
    <s v="PN# NRH3840-2L / QTY 5"/>
    <m/>
    <m/>
    <m/>
    <m/>
    <s v="10/18 order was given to Riza 6pm"/>
    <s v="10/18 order was given to Riza 6pm"/>
    <s v=""/>
    <s v=""/>
    <m/>
    <m/>
    <m/>
    <m/>
    <s v=""/>
    <s v=""/>
  </r>
  <r>
    <n v="9754637"/>
    <n v="1"/>
    <s v="20107386"/>
    <s v="CHARTER"/>
    <x v="8"/>
    <d v="2016-10-17T00:00:00"/>
    <d v="2016-10-17T00:00:00"/>
    <x v="1"/>
    <s v="TONY"/>
    <s v=""/>
    <m/>
    <s v="YES"/>
    <s v=""/>
    <m/>
    <m/>
    <m/>
    <m/>
    <s v="10/18 order was given to Riza 6pm"/>
    <s v="10/18 order was given to Riza 6pm"/>
    <s v=""/>
    <s v=""/>
    <m/>
    <m/>
    <m/>
    <m/>
    <s v=""/>
    <s v=""/>
  </r>
  <r>
    <n v="9754877"/>
    <n v="10"/>
    <s v="20117173"/>
    <s v="MEDIACOM"/>
    <x v="8"/>
    <d v="2016-10-17T00:00:00"/>
    <d v="2016-10-17T00:00:00"/>
    <x v="2"/>
    <s v="PETE"/>
    <s v=""/>
    <m/>
    <s v=""/>
    <s v=""/>
    <m/>
    <m/>
    <m/>
    <m/>
    <s v="10/19 given to Riza 09:00 am"/>
    <s v="10/19 given to Riza 09:00 am"/>
    <s v=""/>
    <s v=""/>
    <m/>
    <m/>
    <m/>
    <m/>
    <s v=""/>
    <s v=""/>
  </r>
  <r>
    <n v="9755004"/>
    <n v="1"/>
    <s v="20110689"/>
    <s v="CIREN, LLC"/>
    <x v="8"/>
    <d v="2016-10-17T00:00:00"/>
    <d v="2016-10-17T00:00:00"/>
    <x v="1"/>
    <s v="ROBERT"/>
    <s v=""/>
    <m/>
    <s v="YES"/>
    <s v=""/>
    <m/>
    <m/>
    <m/>
    <m/>
    <s v="10/19 given to Riza 09:00 am"/>
    <s v="10/19 given to Riza 09:00 am"/>
    <s v=""/>
    <s v=""/>
    <m/>
    <m/>
    <m/>
    <m/>
    <s v=""/>
    <s v=""/>
  </r>
  <r>
    <n v="9755021"/>
    <n v="1"/>
    <s v="90710590"/>
    <s v="ARRIS TECHNOLOGY, INC."/>
    <x v="8"/>
    <d v="2016-10-17T00:00:00"/>
    <d v="2016-10-17T00:00:00"/>
    <x v="2"/>
    <s v="JOSE"/>
    <s v=""/>
    <m/>
    <s v=""/>
    <s v=""/>
    <m/>
    <m/>
    <m/>
    <m/>
    <s v="10/19 given to Riza 09:00 am"/>
    <s v="10/19 given to Riza 09:00 am"/>
    <s v=""/>
    <s v=""/>
    <m/>
    <m/>
    <m/>
    <m/>
    <s v=""/>
    <s v=""/>
  </r>
  <r>
    <n v="9755087"/>
    <n v="2"/>
    <s v="20106472"/>
    <s v="CHARTER"/>
    <x v="9"/>
    <d v="2016-10-18T00:00:00"/>
    <d v="2016-10-18T00:00:00"/>
    <x v="1"/>
    <s v="TONY"/>
    <s v=""/>
    <m/>
    <s v="YES"/>
    <s v=""/>
    <m/>
    <m/>
    <m/>
    <m/>
    <s v="10/19 given to Riza 09:00 am"/>
    <s v="10/19 given to Riza 09:00 am"/>
    <s v=""/>
    <s v=""/>
    <m/>
    <m/>
    <m/>
    <m/>
    <s v=""/>
    <s v=""/>
  </r>
  <r>
    <n v="9755271"/>
    <n v="5"/>
    <s v="92001589"/>
    <s v="VIDEOTRON LTEE"/>
    <x v="9"/>
    <d v="2016-10-18T00:00:00"/>
    <d v="2016-10-18T00:00:00"/>
    <x v="1"/>
    <s v="JOSE"/>
    <s v=""/>
    <m/>
    <s v="YES"/>
    <s v=""/>
    <m/>
    <m/>
    <m/>
    <m/>
    <s v="10/19 given to Riza 09:00 am"/>
    <n v="20116564"/>
    <s v="705155785318"/>
    <s v=""/>
    <m/>
    <m/>
    <m/>
    <m/>
    <s v=""/>
    <s v=""/>
  </r>
  <r>
    <n v="9755339"/>
    <n v="1"/>
    <s v="20115710"/>
    <s v="CABLEMAS, S.A. DE C.V."/>
    <x v="9"/>
    <d v="2016-10-18T00:00:00"/>
    <d v="2016-10-18T00:00:00"/>
    <x v="2"/>
    <s v="JOSE"/>
    <s v=""/>
    <m/>
    <s v=""/>
    <s v=""/>
    <m/>
    <m/>
    <m/>
    <m/>
    <s v="10/24 Email was sent to CSR Marita to advise freight was ready for pick up, currently waiting for a response "/>
    <s v="10/24 Email was sent to CSR Marita to advise freight was ready for pick up, currently waiting for a response _x000a_10/26 Waiting for Marita to provide shipping labels _x000a_10/27 pending  pick up date from the carrier"/>
    <s v="X"/>
    <s v=""/>
    <m/>
    <m/>
    <m/>
    <m/>
    <s v=""/>
    <s v=""/>
  </r>
  <r>
    <n v="9755437"/>
    <n v="1"/>
    <s v="20114505"/>
    <s v="ARRIS EXPENSE INTERNAL MIXED"/>
    <x v="9"/>
    <d v="2016-10-18T00:00:00"/>
    <d v="2016-10-18T00:00:00"/>
    <x v="3"/>
    <s v="TONY"/>
    <s v="x"/>
    <m/>
    <s v=""/>
    <s v=""/>
    <m/>
    <m/>
    <m/>
    <m/>
    <s v="10/19 given to Riza 09:00 am"/>
    <n v="20114505"/>
    <s v="703018775604"/>
    <s v="703018775604"/>
    <m/>
    <m/>
    <m/>
    <m/>
    <s v=""/>
    <s v=""/>
  </r>
  <r>
    <n v="9755457"/>
    <n v="1"/>
    <s v="20114932"/>
    <s v="LIBERTY CABLEVISION OF PUERTO RICO, INC."/>
    <x v="9"/>
    <d v="2016-10-18T00:00:00"/>
    <d v="2016-10-18T00:00:00"/>
    <x v="1"/>
    <s v="JOSE"/>
    <s v=""/>
    <m/>
    <s v="YES"/>
    <s v=""/>
    <m/>
    <m/>
    <m/>
    <m/>
    <s v="10/19 given to Riza 09:00 am"/>
    <s v="10/19 given to Riza 09:00 am"/>
    <s v=""/>
    <s v=""/>
    <m/>
    <m/>
    <m/>
    <m/>
    <s v=""/>
    <s v=""/>
  </r>
  <r>
    <n v="9755489"/>
    <n v="2"/>
    <s v="20106429"/>
    <s v="CHARTER"/>
    <x v="9"/>
    <d v="2016-10-18T00:00:00"/>
    <d v="2016-10-18T00:00:00"/>
    <x v="1"/>
    <s v="JULIO"/>
    <s v=""/>
    <m/>
    <s v="YES"/>
    <s v=""/>
    <m/>
    <m/>
    <m/>
    <m/>
    <s v="10/21 given to Riza @ 9:00 am "/>
    <s v="10/21 given to Riza @ 9:00 am "/>
    <s v=""/>
    <s v="705155791200"/>
    <m/>
    <m/>
    <m/>
    <m/>
    <s v=""/>
    <s v=""/>
  </r>
  <r>
    <n v="9755529"/>
    <n v="1"/>
    <s v="20106472"/>
    <s v="CHARTER"/>
    <x v="9"/>
    <d v="2016-10-18T00:00:00"/>
    <d v="2016-10-18T00:00:00"/>
    <x v="3"/>
    <s v="JOSE"/>
    <s v=""/>
    <m/>
    <s v=""/>
    <s v=""/>
    <m/>
    <m/>
    <m/>
    <m/>
    <s v="Given to Riza 10/27 @ 6:36 PM"/>
    <s v="Given to Riza 10/27 @ 6:36 PM"/>
    <s v=""/>
    <s v="705155791210"/>
    <m/>
    <m/>
    <m/>
    <m/>
    <s v=""/>
    <s v=""/>
  </r>
  <r>
    <n v="9755530"/>
    <n v="1"/>
    <s v="20109924"/>
    <s v="CHARTER"/>
    <x v="9"/>
    <d v="2016-10-18T00:00:00"/>
    <d v="2016-10-18T00:00:00"/>
    <x v="3"/>
    <s v="JOSE"/>
    <s v=""/>
    <m/>
    <s v=""/>
    <s v=""/>
    <m/>
    <m/>
    <m/>
    <m/>
    <s v="Given to Riza 10/27 @ 6:36 PM"/>
    <s v="Given to Riza 10/27 @ 6:36 PM"/>
    <s v=""/>
    <s v="705155790924"/>
    <m/>
    <m/>
    <m/>
    <m/>
    <s v=""/>
    <s v=""/>
  </r>
  <r>
    <n v="9755532"/>
    <n v="1"/>
    <s v="20107734"/>
    <s v="CHARTER"/>
    <x v="9"/>
    <d v="2016-10-18T00:00:00"/>
    <d v="2016-10-18T00:00:00"/>
    <x v="3"/>
    <s v="JOSE"/>
    <s v=""/>
    <m/>
    <s v=""/>
    <s v=""/>
    <m/>
    <m/>
    <m/>
    <m/>
    <s v="Given to Riza 10/27 @ 6:36 PM"/>
    <s v="Given to Riza 10/27 @ 6:36 PM"/>
    <s v=""/>
    <s v="703018781551"/>
    <m/>
    <m/>
    <m/>
    <m/>
    <s v=""/>
    <s v=""/>
  </r>
  <r>
    <n v="9755652"/>
    <n v="7"/>
    <s v="20117180"/>
    <s v="MEDIACOM"/>
    <x v="10"/>
    <d v="2016-10-19T00:00:00"/>
    <d v="2016-10-19T00:00:00"/>
    <x v="2"/>
    <s v="TONY"/>
    <s v=""/>
    <m/>
    <s v=""/>
    <s v=""/>
    <m/>
    <m/>
    <m/>
    <m/>
    <s v="10/21 given to Riza @ 9:00 am "/>
    <s v="10/21 given to Riza @ 9:00 am "/>
    <s v=""/>
    <s v=""/>
    <m/>
    <m/>
    <m/>
    <m/>
    <s v=""/>
    <s v=""/>
  </r>
  <r>
    <n v="9755658"/>
    <n v="2"/>
    <s v="20116297"/>
    <s v="COMCAST"/>
    <x v="10"/>
    <d v="2016-10-19T00:00:00"/>
    <d v="2016-10-19T00:00:00"/>
    <x v="1"/>
    <s v="TONY"/>
    <s v=""/>
    <m/>
    <s v="YES"/>
    <s v=""/>
    <m/>
    <m/>
    <m/>
    <m/>
    <s v="10/21 given to Riza @ 9:00 am "/>
    <s v="10/21 given to Riza @ 9:00 am "/>
    <s v=""/>
    <s v=""/>
    <m/>
    <m/>
    <m/>
    <m/>
    <s v=""/>
    <s v=""/>
  </r>
  <r>
    <n v="9755688"/>
    <n v="2"/>
    <s v="20106429"/>
    <s v="CHARTER"/>
    <x v="10"/>
    <d v="2016-10-19T00:00:00"/>
    <d v="2016-10-19T00:00:00"/>
    <x v="1"/>
    <s v="JULIO"/>
    <s v=""/>
    <m/>
    <s v="YES"/>
    <s v=""/>
    <m/>
    <m/>
    <m/>
    <m/>
    <s v="10/21 given to Riza @ 9:00 am "/>
    <s v="10/21 given to Riza @ 9:00 am "/>
    <s v=""/>
    <s v=""/>
    <m/>
    <m/>
    <m/>
    <m/>
    <s v=""/>
    <s v=""/>
  </r>
  <r>
    <n v="9755804"/>
    <n v="7"/>
    <s v="20111227"/>
    <s v="CABLEMAS, S.A. DE C.V."/>
    <x v="10"/>
    <d v="2016-10-19T00:00:00"/>
    <d v="2016-10-19T00:00:00"/>
    <x v="4"/>
    <s v="TONY"/>
    <s v="x"/>
    <m/>
    <s v=""/>
    <s v="mx"/>
    <m/>
    <m/>
    <m/>
    <m/>
    <s v="10/27 Email has been to CSR Marita to advise freight was ready 1:58 pm"/>
    <s v="10/27 Email has been to CSR Marita to advise freight was ready 1:58 pm"/>
    <s v=""/>
    <s v=""/>
    <m/>
    <m/>
    <m/>
    <m/>
    <s v=""/>
    <s v=""/>
  </r>
  <r>
    <n v="9755805"/>
    <n v="10"/>
    <s v="6901120"/>
    <s v="CEBRIDGE CONNECTIONS DBA SUDDENLINK"/>
    <x v="10"/>
    <d v="2016-10-19T00:00:00"/>
    <d v="2016-10-19T00:00:00"/>
    <x v="2"/>
    <s v="JULIO"/>
    <s v=""/>
    <m/>
    <s v=""/>
    <s v=""/>
    <m/>
    <m/>
    <m/>
    <m/>
    <s v=""/>
    <s v=" printed on 10/18 pending to be processed due to high volume"/>
    <s v=""/>
    <s v=""/>
    <m/>
    <m/>
    <m/>
    <m/>
    <s v=""/>
    <s v=""/>
  </r>
  <r>
    <n v="9755806"/>
    <n v="12"/>
    <s v="20109134"/>
    <s v="TV CABLE DE ORIENTE SA DE CV"/>
    <x v="10"/>
    <d v="2016-10-19T00:00:00"/>
    <d v="2016-10-19T00:00:00"/>
    <x v="2"/>
    <s v="JOSE"/>
    <s v=""/>
    <m/>
    <s v=""/>
    <s v=""/>
    <m/>
    <m/>
    <m/>
    <m/>
    <s v=""/>
    <s v=" printed on 10/18 pending to be processed due to high volume"/>
    <s v=""/>
    <s v=""/>
    <m/>
    <m/>
    <m/>
    <m/>
    <s v=""/>
    <s v=""/>
  </r>
  <r>
    <n v="9755986"/>
    <n v="2"/>
    <s v="20107385"/>
    <s v="CHARTER"/>
    <x v="10"/>
    <d v="2016-10-19T00:00:00"/>
    <d v="2016-10-19T00:00:00"/>
    <x v="1"/>
    <s v="JULIO"/>
    <s v=""/>
    <m/>
    <s v="YES"/>
    <s v=""/>
    <m/>
    <m/>
    <m/>
    <m/>
    <s v=" printed on 10/19pending to be processed due to high volume"/>
    <s v=" printed on 10/19pending to be processed due to high volume"/>
    <s v=""/>
    <s v="705155790306"/>
    <m/>
    <m/>
    <m/>
    <m/>
    <s v=""/>
    <s v=""/>
  </r>
  <r>
    <n v="9756017"/>
    <n v="2"/>
    <s v="20112724"/>
    <s v="MEDIACOM"/>
    <x v="10"/>
    <d v="2016-10-19T00:00:00"/>
    <d v="2016-10-19T00:00:00"/>
    <x v="1"/>
    <s v="JULIO"/>
    <s v=""/>
    <m/>
    <s v="YES"/>
    <s v=""/>
    <m/>
    <m/>
    <m/>
    <m/>
    <s v=" printed on 10/19pending to be processed due to high volume"/>
    <s v=" printed on 10/19pending to be processed due to high volume"/>
    <s v=""/>
    <s v=""/>
    <m/>
    <m/>
    <m/>
    <m/>
    <s v=""/>
    <s v=""/>
  </r>
  <r>
    <n v="9756039"/>
    <n v="15"/>
    <s v="20117614"/>
    <s v="COMCAST"/>
    <x v="10"/>
    <d v="2016-10-19T00:00:00"/>
    <d v="2016-10-19T00:00:00"/>
    <x v="1"/>
    <s v="TONY"/>
    <s v=""/>
    <m/>
    <s v="YES"/>
    <s v=""/>
    <m/>
    <m/>
    <m/>
    <m/>
    <s v="10/21 given to Riza @ 9:00 am "/>
    <s v="10/21 given to Riza @ 9:00 am "/>
    <s v=""/>
    <s v=""/>
    <m/>
    <m/>
    <m/>
    <m/>
    <s v=""/>
    <s v=""/>
  </r>
  <r>
    <n v="9756046"/>
    <n v="8"/>
    <s v="20110004"/>
    <s v="CABLEMAS, S.A. DE C.V."/>
    <x v="10"/>
    <d v="2016-10-19T00:00:00"/>
    <d v="2016-10-19T00:00:00"/>
    <x v="4"/>
    <s v="TONY"/>
    <s v="x"/>
    <m/>
    <s v=""/>
    <s v="mx"/>
    <m/>
    <m/>
    <m/>
    <m/>
    <s v="10/27 Email has been to CSR Marita to advise freight was ready 1:46 pm"/>
    <s v="10/27 Email has been to CSR Marita to advise freight was ready 1:46 pm"/>
    <s v=""/>
    <s v=""/>
    <m/>
    <m/>
    <m/>
    <m/>
    <s v=""/>
    <s v=""/>
  </r>
  <r>
    <n v="9756078"/>
    <n v="1"/>
    <s v="20108198"/>
    <s v="CHARTER"/>
    <x v="10"/>
    <d v="2016-10-19T00:00:00"/>
    <d v="2016-10-19T00:00:00"/>
    <x v="1"/>
    <s v="PETE"/>
    <s v=""/>
    <m/>
    <s v="YES"/>
    <s v=""/>
    <m/>
    <m/>
    <m/>
    <m/>
    <s v=" printed on 10/19 pending to be processed due to high volume"/>
    <s v=" printed on 10/19 pending to be processed due to high volume"/>
    <s v=""/>
    <s v=""/>
    <m/>
    <m/>
    <m/>
    <m/>
    <s v=""/>
    <s v=""/>
  </r>
  <r>
    <n v="9756158"/>
    <n v="1"/>
    <s v="92001757"/>
    <s v="ROGERS CABLE"/>
    <x v="10"/>
    <d v="2016-10-19T00:00:00"/>
    <d v="2016-10-19T00:00:00"/>
    <x v="2"/>
    <s v="JULIO"/>
    <s v=""/>
    <m/>
    <s v=""/>
    <s v=""/>
    <m/>
    <m/>
    <m/>
    <m/>
    <s v="10/21 given to Riza @ 9:00 am "/>
    <s v="10/21 given to Riza @ 9:00 am "/>
    <s v=""/>
    <s v=""/>
    <m/>
    <m/>
    <m/>
    <m/>
    <s v=""/>
    <s v=""/>
  </r>
  <r>
    <n v="9756256"/>
    <n v="1"/>
    <s v="20116577"/>
    <s v="CHARTER"/>
    <x v="11"/>
    <d v="2016-10-20T00:00:00"/>
    <d v="2016-10-20T00:00:00"/>
    <x v="2"/>
    <s v="TONY"/>
    <s v=""/>
    <m/>
    <s v=""/>
    <s v=""/>
    <m/>
    <m/>
    <m/>
    <m/>
    <s v="10/21 given to Riza @ 9:00 am "/>
    <s v="10/21 given to Riza @ 9:00 am "/>
    <s v=""/>
    <s v=""/>
    <m/>
    <m/>
    <m/>
    <m/>
    <s v=""/>
    <s v=""/>
  </r>
  <r>
    <n v="9756257"/>
    <n v="2"/>
    <s v="20106472"/>
    <s v="CHARTER"/>
    <x v="11"/>
    <d v="2016-10-20T00:00:00"/>
    <d v="2016-10-20T00:00:00"/>
    <x v="2"/>
    <s v="PETE"/>
    <s v=""/>
    <m/>
    <s v=""/>
    <s v=""/>
    <m/>
    <m/>
    <m/>
    <m/>
    <s v="10/21 given to Riza @ 9:00 am "/>
    <s v="10/21 given to Riza @ 9:00 am "/>
    <s v=""/>
    <s v=""/>
    <m/>
    <m/>
    <m/>
    <m/>
    <s v=""/>
    <s v=""/>
  </r>
  <r>
    <n v="9756259"/>
    <n v="6"/>
    <s v="20114145"/>
    <s v="CHARTER"/>
    <x v="11"/>
    <d v="2016-10-20T00:00:00"/>
    <d v="2016-10-20T00:00:00"/>
    <x v="1"/>
    <s v="TONY"/>
    <s v=""/>
    <m/>
    <s v="YES"/>
    <s v=""/>
    <m/>
    <m/>
    <m/>
    <m/>
    <s v="10/21 given to Riza @ 9:00 am "/>
    <s v="10/21 given to Riza @ 9:00 am "/>
    <s v=""/>
    <s v=""/>
    <m/>
    <m/>
    <m/>
    <m/>
    <s v=""/>
    <s v=""/>
  </r>
  <r>
    <n v="9756264"/>
    <n v="2"/>
    <s v="6901382"/>
    <s v="NSG TECHNOLOGY INC"/>
    <x v="11"/>
    <d v="2016-10-20T00:00:00"/>
    <d v="2016-10-20T00:00:00"/>
    <x v="2"/>
    <s v="TONY"/>
    <s v=""/>
    <m/>
    <s v=""/>
    <s v=""/>
    <m/>
    <m/>
    <m/>
    <m/>
    <s v="10/21 given to Riza @ 9:00 am "/>
    <s v="10/21 given to Riza @ 9:00 am "/>
    <s v=""/>
    <s v=""/>
    <m/>
    <m/>
    <m/>
    <m/>
    <s v=""/>
    <s v=""/>
  </r>
  <r>
    <n v="9756394"/>
    <n v="16"/>
    <s v="20117385"/>
    <s v="COMCAST"/>
    <x v="11"/>
    <d v="2016-10-20T00:00:00"/>
    <d v="2016-10-20T00:00:00"/>
    <x v="2"/>
    <s v="JOSE"/>
    <s v=""/>
    <m/>
    <s v=""/>
    <s v=""/>
    <m/>
    <m/>
    <m/>
    <m/>
    <s v="10/20 gave to Riza at 9:00"/>
    <s v="10/20 gave to Riza at 9:00"/>
    <s v=""/>
    <s v=""/>
    <m/>
    <m/>
    <m/>
    <m/>
    <s v=""/>
    <s v=""/>
  </r>
  <r>
    <n v="9756395"/>
    <n v="2"/>
    <s v="6900834"/>
    <s v="COMCAST"/>
    <x v="11"/>
    <d v="2016-10-20T00:00:00"/>
    <d v="2016-10-20T00:00:00"/>
    <x v="1"/>
    <s v="TONY"/>
    <s v=""/>
    <m/>
    <s v="YES"/>
    <s v=""/>
    <m/>
    <m/>
    <m/>
    <m/>
    <s v="10/20 gave to Riza at 9:00"/>
    <s v="10/20 gave to Riza at 9:00"/>
    <s v=""/>
    <s v=""/>
    <m/>
    <m/>
    <m/>
    <m/>
    <s v=""/>
    <s v=""/>
  </r>
  <r>
    <n v="9756419"/>
    <n v="1"/>
    <s v="6900917"/>
    <s v="CABLE ONE"/>
    <x v="11"/>
    <d v="2016-10-20T00:00:00"/>
    <d v="2016-10-20T00:00:00"/>
    <x v="1"/>
    <s v="TONY"/>
    <s v=""/>
    <m/>
    <s v="YES"/>
    <s v=""/>
    <m/>
    <m/>
    <m/>
    <m/>
    <s v="10/20 gave to Riza at 9:00"/>
    <s v="10/20 gave to Riza at 9:00"/>
    <s v=""/>
    <s v="703018781757"/>
    <m/>
    <m/>
    <m/>
    <m/>
    <s v=""/>
    <s v=""/>
  </r>
  <r>
    <n v="9756426"/>
    <n v="1"/>
    <s v="20112817"/>
    <s v="ADVANCED MEDIA TECHNOLOGIES(LATIN AMERICA)"/>
    <x v="11"/>
    <d v="2016-10-20T00:00:00"/>
    <d v="2016-10-20T00:00:00"/>
    <x v="3"/>
    <s v="TONY"/>
    <s v="x"/>
    <m/>
    <s v=""/>
    <s v=""/>
    <m/>
    <m/>
    <m/>
    <m/>
    <s v="10/20 gave to Riza at 9:00"/>
    <s v="10/20 gave to Riza at 9:00"/>
    <s v=""/>
    <s v="703018776107"/>
    <m/>
    <m/>
    <m/>
    <m/>
    <s v=""/>
    <s v=""/>
  </r>
  <r>
    <n v="9756430"/>
    <n v="5"/>
    <s v="20106472"/>
    <s v="CHARTER"/>
    <x v="11"/>
    <d v="2016-10-20T00:00:00"/>
    <d v="2016-10-20T00:00:00"/>
    <x v="1"/>
    <s v="TONY"/>
    <s v=""/>
    <m/>
    <s v="YES"/>
    <s v=""/>
    <m/>
    <m/>
    <m/>
    <m/>
    <s v="10/20 gave to Riza at 9:00"/>
    <s v="10/20 gave to Riza at 9:00"/>
    <s v=""/>
    <s v=""/>
    <m/>
    <m/>
    <m/>
    <m/>
    <s v=""/>
    <s v=""/>
  </r>
  <r>
    <n v="9756435"/>
    <n v="1"/>
    <s v="6900796"/>
    <s v="CHARTER"/>
    <x v="11"/>
    <d v="2016-10-20T00:00:00"/>
    <d v="2016-10-20T00:00:00"/>
    <x v="1"/>
    <s v="PETE"/>
    <s v=""/>
    <m/>
    <s v="YES"/>
    <s v=""/>
    <m/>
    <m/>
    <m/>
    <m/>
    <s v="10/20 gave to Riza at 9:00"/>
    <s v="10/20 gave to Riza at 9:00"/>
    <s v=""/>
    <s v=""/>
    <m/>
    <m/>
    <m/>
    <m/>
    <s v=""/>
    <s v=""/>
  </r>
  <r>
    <n v="9756438"/>
    <n v="15"/>
    <s v="6901440"/>
    <s v="BERMUDA CABLEVISION LTD"/>
    <x v="11"/>
    <d v="2016-10-20T00:00:00"/>
    <d v="2016-10-20T00:00:00"/>
    <x v="3"/>
    <s v="JOSE "/>
    <s v="x"/>
    <m/>
    <s v=""/>
    <s v="BM"/>
    <m/>
    <m/>
    <m/>
    <m/>
    <s v="10/20 gave to Riza at 9:00"/>
    <s v="10/26 Waiting for Ed hill from Farnell Freight to provide pick up date"/>
    <s v="X"/>
    <s v="2190258329"/>
    <m/>
    <m/>
    <m/>
    <m/>
    <s v=""/>
    <s v=""/>
  </r>
  <r>
    <n v="9756470"/>
    <n v="1"/>
    <s v="20110783"/>
    <s v="CABLEVISION RED, S.A. DE C.V."/>
    <x v="11"/>
    <d v="2016-10-20T00:00:00"/>
    <d v="2016-10-20T00:00:00"/>
    <x v="3"/>
    <s v="JOSE "/>
    <s v="x"/>
    <m/>
    <s v=""/>
    <s v=""/>
    <m/>
    <m/>
    <m/>
    <m/>
    <s v="20110783"/>
    <s v="20110783"/>
    <s v="X"/>
    <s v="1110368"/>
    <m/>
    <m/>
    <m/>
    <m/>
    <s v=""/>
    <s v=""/>
  </r>
  <r>
    <n v="9756794"/>
    <n v="2"/>
    <s v="20111289"/>
    <s v="CABLEVISION S.A. DE C.V."/>
    <x v="11"/>
    <d v="2016-10-20T00:00:00"/>
    <d v="2016-10-20T00:00:00"/>
    <x v="2"/>
    <s v="JULIO"/>
    <s v=""/>
    <m/>
    <s v=""/>
    <s v=""/>
    <m/>
    <m/>
    <m/>
    <m/>
    <s v="10/21 given to Riza @ 9:00 am "/>
    <s v="10/21 given to Riza @ 9:00 am "/>
    <s v=""/>
    <s v=""/>
    <m/>
    <m/>
    <m/>
    <m/>
    <s v=""/>
    <s v=""/>
  </r>
  <r>
    <n v="9756797"/>
    <n v="12"/>
    <s v="20115712"/>
    <s v="CABLEMAS, S.A. DE C.V."/>
    <x v="11"/>
    <d v="2016-10-20T00:00:00"/>
    <d v="2016-10-20T00:00:00"/>
    <x v="2"/>
    <s v="JOSE"/>
    <s v=""/>
    <m/>
    <s v=""/>
    <s v="mx"/>
    <m/>
    <m/>
    <m/>
    <m/>
    <s v="10/27 Email has been sent to Marita to advise freight is ready, waiting for pick up date"/>
    <s v="10/27 Email has been sent to Marita to advise freight is ready, waiting for pick up date"/>
    <s v=""/>
    <s v=""/>
    <m/>
    <m/>
    <m/>
    <m/>
    <s v=""/>
    <s v=""/>
  </r>
  <r>
    <n v="9756806"/>
    <n v="4"/>
    <s v="20111263"/>
    <s v="TV CABLE DE ORIENTE SA DE CV"/>
    <x v="11"/>
    <d v="2016-10-20T00:00:00"/>
    <d v="2016-10-20T00:00:00"/>
    <x v="2"/>
    <s v="JULIO"/>
    <s v=""/>
    <m/>
    <s v=""/>
    <s v=""/>
    <m/>
    <m/>
    <m/>
    <m/>
    <s v="10/21 given to Riza @ 9:00 am "/>
    <s v="10/21 given to Riza @ 9:00 am "/>
    <s v=""/>
    <s v=""/>
    <m/>
    <m/>
    <m/>
    <m/>
    <s v=""/>
    <s v=""/>
  </r>
  <r>
    <n v="9756816"/>
    <n v="4"/>
    <s v="92002175"/>
    <s v="VIDEOTRON LTEE"/>
    <x v="11"/>
    <d v="2016-10-20T00:00:00"/>
    <d v="2016-10-20T00:00:00"/>
    <x v="2"/>
    <s v="JULIO"/>
    <s v=""/>
    <m/>
    <s v=""/>
    <s v=""/>
    <m/>
    <m/>
    <m/>
    <m/>
    <s v="10/21 given to Riza @ 9:00 am "/>
    <s v="10/21 given to Riza @ 9:00 am "/>
    <s v=""/>
    <s v=""/>
    <m/>
    <m/>
    <m/>
    <m/>
    <s v=""/>
    <s v=""/>
  </r>
  <r>
    <n v="9756855"/>
    <n v="1"/>
    <s v="20109817"/>
    <s v="CABLE ONE"/>
    <x v="11"/>
    <d v="2016-10-20T00:00:00"/>
    <d v="2016-10-20T00:00:00"/>
    <x v="1"/>
    <s v="TONY"/>
    <s v=""/>
    <m/>
    <s v="YES"/>
    <s v=""/>
    <m/>
    <m/>
    <m/>
    <m/>
    <s v="10/21 given to Riza @ 9:00 am "/>
    <s v="10/21 given to Riza @ 9:00 am "/>
    <s v=""/>
    <s v=""/>
    <m/>
    <m/>
    <m/>
    <m/>
    <s v=""/>
    <s v=""/>
  </r>
  <r>
    <n v="9756856"/>
    <n v="1"/>
    <s v="6900902"/>
    <s v="CHARTER"/>
    <x v="11"/>
    <d v="2016-10-20T00:00:00"/>
    <d v="2016-10-20T00:00:00"/>
    <x v="2"/>
    <s v="TONY"/>
    <s v=""/>
    <m/>
    <s v=""/>
    <s v=""/>
    <m/>
    <m/>
    <m/>
    <m/>
    <s v="10/21 given to Riza @ 9:00 am "/>
    <s v="10/21 given to Riza @ 9:00 am "/>
    <s v=""/>
    <s v=""/>
    <m/>
    <m/>
    <m/>
    <m/>
    <s v=""/>
    <s v=""/>
  </r>
  <r>
    <n v="9756908"/>
    <n v="2"/>
    <s v="20115383"/>
    <s v="CABLE ONE"/>
    <x v="11"/>
    <d v="2016-10-20T00:00:00"/>
    <d v="2016-10-20T00:00:00"/>
    <x v="1"/>
    <s v="JULIO"/>
    <s v=""/>
    <m/>
    <s v="YES"/>
    <s v=""/>
    <m/>
    <m/>
    <m/>
    <m/>
    <s v="10/22 given to Austin 11:20"/>
    <s v="10/22 given to Austin 11:20"/>
    <s v=""/>
    <s v=""/>
    <m/>
    <m/>
    <m/>
    <m/>
    <s v=""/>
    <s v=""/>
  </r>
  <r>
    <n v="9756969"/>
    <n v="1"/>
    <s v="92002296"/>
    <s v="VIDEOTRON LTEE"/>
    <x v="12"/>
    <d v="2016-10-21T00:00:00"/>
    <d v="2016-10-21T00:00:00"/>
    <x v="0"/>
    <s v=""/>
    <s v=""/>
    <m/>
    <s v=""/>
    <s v=""/>
    <m/>
    <m/>
    <m/>
    <m/>
    <s v="10/22 given to Austin 11:20"/>
    <s v="10/22 given to Austin 11:20"/>
    <s v=""/>
    <s v=""/>
    <m/>
    <m/>
    <m/>
    <m/>
    <s v=""/>
    <s v=""/>
  </r>
  <r>
    <n v="9757114"/>
    <n v="1"/>
    <s v="92001942"/>
    <s v="ROGERS CABLE"/>
    <x v="12"/>
    <d v="2016-10-21T00:00:00"/>
    <d v="2016-10-21T00:00:00"/>
    <x v="1"/>
    <s v="KYLE"/>
    <s v=""/>
    <m/>
    <s v="YES"/>
    <s v=""/>
    <m/>
    <m/>
    <m/>
    <m/>
    <s v="10/22 given to Austin 11:20"/>
    <s v="10/22 given to Austin 11:20"/>
    <s v=""/>
    <s v=""/>
    <m/>
    <m/>
    <m/>
    <m/>
    <s v=""/>
    <s v=""/>
  </r>
  <r>
    <n v="9757115"/>
    <n v="1"/>
    <s v="20113320"/>
    <s v="TIME WARNER CABLE INC"/>
    <x v="12"/>
    <d v="2016-10-21T00:00:00"/>
    <d v="2016-10-21T00:00:00"/>
    <x v="1"/>
    <s v="JULIO"/>
    <s v=""/>
    <m/>
    <s v="YES"/>
    <s v=""/>
    <m/>
    <m/>
    <m/>
    <m/>
    <s v="10/22 given to Austin 11:20"/>
    <s v="10/22 given to Austin 11:20"/>
    <s v=""/>
    <s v=""/>
    <m/>
    <m/>
    <m/>
    <m/>
    <s v=""/>
    <s v=""/>
  </r>
  <r>
    <n v="9757116"/>
    <n v="2"/>
    <s v="20112057"/>
    <s v="TIME WARNER CABLE INC"/>
    <x v="12"/>
    <d v="2016-10-21T00:00:00"/>
    <d v="2016-10-21T00:00:00"/>
    <x v="1"/>
    <s v="PETE"/>
    <s v=""/>
    <m/>
    <s v="YES"/>
    <s v=""/>
    <m/>
    <m/>
    <m/>
    <m/>
    <s v="10/22 given to Austin 11:20"/>
    <s v="10/22 given to Austin 11:20"/>
    <s v=""/>
    <s v=""/>
    <m/>
    <m/>
    <m/>
    <m/>
    <s v=""/>
    <s v=""/>
  </r>
  <r>
    <n v="9757117"/>
    <n v="1"/>
    <s v="20113885"/>
    <s v="TIME WARNER CABLE INC"/>
    <x v="12"/>
    <d v="2016-10-21T00:00:00"/>
    <d v="2016-10-21T00:00:00"/>
    <x v="1"/>
    <s v="PETE"/>
    <s v=""/>
    <m/>
    <s v="YES"/>
    <s v=""/>
    <m/>
    <m/>
    <m/>
    <m/>
    <s v="10/22 given to Austin 11:20"/>
    <s v="10/22 given to Austin 11:20"/>
    <s v=""/>
    <s v=""/>
    <m/>
    <m/>
    <m/>
    <m/>
    <s v=""/>
    <s v=""/>
  </r>
  <r>
    <n v="9757140"/>
    <n v="4"/>
    <s v="6900832"/>
    <s v="CEBRIDGE CONNECTIONS DBA SUDDENLINK"/>
    <x v="12"/>
    <d v="2016-10-21T00:00:00"/>
    <d v="2016-10-21T00:00:00"/>
    <x v="1"/>
    <s v="KYLE"/>
    <s v=""/>
    <m/>
    <s v="YES"/>
    <s v=""/>
    <m/>
    <m/>
    <m/>
    <m/>
    <s v="10/22 given to Austin 11:20"/>
    <s v="10/22 given to Austin 11:20"/>
    <s v=""/>
    <s v=""/>
    <m/>
    <m/>
    <m/>
    <m/>
    <s v=""/>
    <s v=""/>
  </r>
  <r>
    <n v="9757144"/>
    <n v="1"/>
    <s v="20107355"/>
    <s v="CHARTER"/>
    <x v="12"/>
    <d v="2016-10-21T00:00:00"/>
    <d v="2016-10-21T00:00:00"/>
    <x v="1"/>
    <s v="JOSE"/>
    <s v=""/>
    <m/>
    <s v="YES"/>
    <s v="paperwork in PIR folder (Austin)"/>
    <m/>
    <m/>
    <m/>
    <m/>
    <s v="10/22 given to Austin 11:20"/>
    <s v="10/22 given to Austin 11:20"/>
    <s v=""/>
    <s v=""/>
    <m/>
    <m/>
    <m/>
    <m/>
    <s v=""/>
    <s v=""/>
  </r>
  <r>
    <n v="9757151"/>
    <n v="2"/>
    <s v="6901209"/>
    <s v="SCSK CORPORATION"/>
    <x v="12"/>
    <d v="2016-10-21T00:00:00"/>
    <d v="2016-10-21T00:00:00"/>
    <x v="2"/>
    <s v="JULIO"/>
    <s v=""/>
    <m/>
    <s v=""/>
    <s v=""/>
    <m/>
    <m/>
    <m/>
    <m/>
    <s v="10/22 given to Austin 11:20"/>
    <s v="10/22 given to Austin 11:20"/>
    <s v=""/>
    <s v=""/>
    <m/>
    <m/>
    <m/>
    <m/>
    <s v=""/>
    <s v=""/>
  </r>
  <r>
    <n v="9757219"/>
    <n v="3"/>
    <s v="6900615"/>
    <s v="CEBRIDGE CONNECTIONS DBA SUDDENLINK"/>
    <x v="12"/>
    <d v="2016-10-21T00:00:00"/>
    <d v="2016-10-21T00:00:00"/>
    <x v="1"/>
    <s v="KYLE"/>
    <s v=""/>
    <m/>
    <s v="YES"/>
    <s v=""/>
    <m/>
    <m/>
    <m/>
    <m/>
    <s v="10/22 given to Austin 11:20"/>
    <s v="10/22 given to Austin 11:20"/>
    <s v=""/>
    <s v=""/>
    <m/>
    <m/>
    <m/>
    <m/>
    <s v=""/>
    <s v=""/>
  </r>
  <r>
    <n v="9757233"/>
    <n v="1"/>
    <s v="20112797"/>
    <s v="CHARTER"/>
    <x v="12"/>
    <d v="2016-10-21T00:00:00"/>
    <d v="2016-10-21T00:00:00"/>
    <x v="1"/>
    <s v="JOSE "/>
    <s v=""/>
    <m/>
    <s v="YES"/>
    <s v=""/>
    <m/>
    <m/>
    <m/>
    <m/>
    <s v="10/22 given to Austin 11:20"/>
    <s v="10/22 given to Austin 11:20"/>
    <s v=""/>
    <s v=""/>
    <m/>
    <m/>
    <m/>
    <m/>
    <s v=""/>
    <s v=""/>
  </r>
  <r>
    <n v="9757234"/>
    <n v="1"/>
    <s v="20112674"/>
    <s v="CHARTER"/>
    <x v="12"/>
    <d v="2016-10-21T00:00:00"/>
    <d v="2016-10-21T00:00:00"/>
    <x v="1"/>
    <s v="JOSE "/>
    <s v=""/>
    <m/>
    <s v="YES"/>
    <s v=""/>
    <m/>
    <m/>
    <m/>
    <m/>
    <s v="10/22 given to Austin 11:20"/>
    <s v="10/22 given to Austin 11:20"/>
    <s v=""/>
    <s v=""/>
    <m/>
    <m/>
    <m/>
    <m/>
    <s v=""/>
    <s v=""/>
  </r>
  <r>
    <n v="9757256"/>
    <n v="2"/>
    <s v="20118027"/>
    <s v="ADVANCED MEDIA TECHNOLOGIES INC. (PRIOR DX COMMS)"/>
    <x v="12"/>
    <d v="2016-10-21T00:00:00"/>
    <d v="2016-10-21T00:00:00"/>
    <x v="1"/>
    <s v="JOSE"/>
    <s v=""/>
    <m/>
    <s v="YES"/>
    <s v=""/>
    <m/>
    <m/>
    <m/>
    <m/>
    <s v="10/24 given to Riza 6 pm"/>
    <s v="10/24 given to Riza 6 pm"/>
    <s v=""/>
    <s v=""/>
    <m/>
    <m/>
    <m/>
    <m/>
    <s v=""/>
    <s v=""/>
  </r>
  <r>
    <n v="9757275"/>
    <n v="1"/>
    <s v="20116211"/>
    <s v="SCSK CORPORATION"/>
    <x v="12"/>
    <d v="2016-10-21T00:00:00"/>
    <d v="2016-10-21T00:00:00"/>
    <x v="2"/>
    <s v="JOSE"/>
    <s v=""/>
    <m/>
    <s v=""/>
    <s v=""/>
    <m/>
    <m/>
    <m/>
    <m/>
    <s v="10/24 given to Riza 6 pm"/>
    <s v="10/24 given to Riza 6 pm"/>
    <s v=""/>
    <s v=""/>
    <m/>
    <m/>
    <m/>
    <m/>
    <s v=""/>
    <s v=""/>
  </r>
  <r>
    <n v="9757292"/>
    <n v="2"/>
    <s v="20115702"/>
    <s v="CABLE ONE"/>
    <x v="12"/>
    <d v="2016-10-21T00:00:00"/>
    <d v="2016-10-21T00:00:00"/>
    <x v="0"/>
    <s v=""/>
    <s v=""/>
    <m/>
    <s v=""/>
    <s v=""/>
    <m/>
    <m/>
    <m/>
    <m/>
    <s v="10/24 given to Zeid 3:20 pm"/>
    <s v="10/24 given to Zeid 3:20 pm"/>
    <s v=""/>
    <s v=""/>
    <m/>
    <m/>
    <m/>
    <m/>
    <s v=""/>
    <s v=""/>
  </r>
  <r>
    <n v="9757315"/>
    <n v="12"/>
    <s v="92002641"/>
    <s v="DERY TELECOM"/>
    <x v="12"/>
    <d v="2016-10-21T00:00:00"/>
    <d v="2016-10-21T00:00:00"/>
    <x v="2"/>
    <s v="JOSE"/>
    <s v=""/>
    <m/>
    <s v=""/>
    <s v=""/>
    <m/>
    <m/>
    <m/>
    <m/>
    <s v="10/24 given to Riza 6 pm"/>
    <s v="10/24 given to Riza 6 pm"/>
    <s v=""/>
    <s v=""/>
    <m/>
    <m/>
    <m/>
    <m/>
    <s v=""/>
    <s v=""/>
  </r>
  <r>
    <n v="9757335"/>
    <n v="1"/>
    <s v="92002646"/>
    <s v="DERY TELECOM"/>
    <x v="12"/>
    <d v="2016-10-21T00:00:00"/>
    <d v="2016-10-21T00:00:00"/>
    <x v="2"/>
    <s v="JOSE"/>
    <s v=""/>
    <m/>
    <s v=""/>
    <s v=""/>
    <m/>
    <m/>
    <m/>
    <m/>
    <s v="10/24 given to Riza 6 pm"/>
    <s v="10/24 given to Riza 6 pm"/>
    <s v=""/>
    <s v=""/>
    <m/>
    <m/>
    <m/>
    <m/>
    <s v=""/>
    <s v=""/>
  </r>
  <r>
    <n v="9757359"/>
    <n v="1"/>
    <s v="20118119"/>
    <s v="WAVE BROADBAND"/>
    <x v="12"/>
    <d v="2016-10-21T00:00:00"/>
    <d v="2016-10-21T00:00:00"/>
    <x v="1"/>
    <s v="JOSE"/>
    <s v=""/>
    <m/>
    <s v="YES"/>
    <s v="paperwork in PIR folder (Austin)"/>
    <m/>
    <m/>
    <m/>
    <m/>
    <s v="10/24 given to Riza 6 pm"/>
    <s v="10/24 given to Riza 6 pm"/>
    <s v=""/>
    <s v=""/>
    <m/>
    <m/>
    <m/>
    <m/>
    <s v=""/>
    <s v=""/>
  </r>
  <r>
    <n v="9757426"/>
    <n v="4"/>
    <s v="90711038"/>
    <s v="ARRIS TECHNOLOGY, INC."/>
    <x v="12"/>
    <d v="2016-10-21T00:00:00"/>
    <d v="2016-10-21T00:00:00"/>
    <x v="2"/>
    <s v="JOSE"/>
    <s v=""/>
    <m/>
    <s v=""/>
    <s v=""/>
    <m/>
    <m/>
    <m/>
    <m/>
    <s v="Given to Riza 10/27 @ 6:36 PM"/>
    <s v="Given to Riza 10/27 @ 6:36 PM"/>
    <s v=""/>
    <s v=""/>
    <m/>
    <m/>
    <m/>
    <m/>
    <s v=""/>
    <s v=""/>
  </r>
  <r>
    <n v="9757465"/>
    <n v="1"/>
    <s v="6900890"/>
    <s v="COMCAST"/>
    <x v="12"/>
    <d v="2016-10-21T00:00:00"/>
    <d v="2016-10-21T00:00:00"/>
    <x v="2"/>
    <s v="curtis"/>
    <s v=""/>
    <m/>
    <s v=""/>
    <s v=""/>
    <m/>
    <m/>
    <m/>
    <m/>
    <s v="10/24 given to Riza 6 pm"/>
    <s v="10/24 given to Riza 6 pm"/>
    <s v=""/>
    <s v=""/>
    <m/>
    <m/>
    <m/>
    <m/>
    <s v=""/>
    <s v=""/>
  </r>
  <r>
    <n v="9757539"/>
    <n v="1"/>
    <s v="20107079"/>
    <s v="COMCAST"/>
    <x v="13"/>
    <d v="2016-10-22T00:00:00"/>
    <d v="2016-10-22T00:00:00"/>
    <x v="2"/>
    <s v="curtis"/>
    <s v=""/>
    <m/>
    <s v=""/>
    <s v=""/>
    <m/>
    <m/>
    <m/>
    <m/>
    <s v="10/24 given to Riza 6 pm"/>
    <s v="10/24 given to Riza 6 pm"/>
    <s v=""/>
    <s v=""/>
    <m/>
    <m/>
    <m/>
    <m/>
    <s v=""/>
    <s v=""/>
  </r>
  <r>
    <n v="9757544"/>
    <n v="3"/>
    <s v="20106903"/>
    <s v="COMCAST"/>
    <x v="13"/>
    <d v="2016-10-22T00:00:00"/>
    <d v="2016-10-22T00:00:00"/>
    <x v="1"/>
    <s v="JOSE"/>
    <s v=""/>
    <m/>
    <s v="YES"/>
    <s v=""/>
    <m/>
    <m/>
    <m/>
    <m/>
    <s v="10/24 given to Riza 6 pm"/>
    <s v="10/24 given to Riza 6 pm"/>
    <s v=""/>
    <s v=""/>
    <m/>
    <m/>
    <m/>
    <m/>
    <s v=""/>
    <s v=""/>
  </r>
  <r>
    <n v="9757670"/>
    <n v="4"/>
    <s v="92002643"/>
    <s v="DERY TELECOM"/>
    <x v="13"/>
    <d v="2016-10-22T00:00:00"/>
    <d v="2016-10-22T00:00:00"/>
    <x v="1"/>
    <s v="JOSE"/>
    <s v=""/>
    <m/>
    <s v="YES"/>
    <s v="paperwork in PIR folder (Austin)"/>
    <m/>
    <m/>
    <m/>
    <m/>
    <s v="10/24 given to Riza 6 pm"/>
    <s v="10/24 given to Riza 6 pm"/>
    <s v=""/>
    <s v=""/>
    <m/>
    <m/>
    <m/>
    <m/>
    <s v=""/>
    <s v=""/>
  </r>
  <r>
    <n v="9757811"/>
    <n v="1"/>
    <s v="20117712"/>
    <s v="SCSK CORPORATION"/>
    <x v="14"/>
    <d v="2016-10-23T00:00:00"/>
    <d v="2016-10-23T00:00:00"/>
    <x v="1"/>
    <s v="JOSE"/>
    <s v=""/>
    <m/>
    <s v="YES"/>
    <s v="paperwork in PIR folder (Austin)"/>
    <m/>
    <m/>
    <m/>
    <m/>
    <s v="10/24 given to Riza 6 pm"/>
    <s v="10/24 given to Riza 6 pm"/>
    <s v=""/>
    <s v=""/>
    <m/>
    <m/>
    <m/>
    <m/>
    <s v=""/>
    <s v=""/>
  </r>
  <r>
    <n v="9757870"/>
    <n v="2"/>
    <s v="20114891"/>
    <s v="COMCAST"/>
    <x v="15"/>
    <d v="2016-10-24T00:00:00"/>
    <d v="2016-10-24T00:00:00"/>
    <x v="2"/>
    <s v="TONY"/>
    <s v=""/>
    <m/>
    <s v=""/>
    <s v=""/>
    <m/>
    <m/>
    <m/>
    <m/>
    <s v="Given to Riza 10/27 @11:30AM"/>
    <s v=""/>
    <s v=""/>
    <s v=""/>
    <m/>
    <m/>
    <m/>
    <m/>
    <s v=""/>
    <s v=""/>
  </r>
  <r>
    <n v="9757871"/>
    <n v="19"/>
    <s v="20114877"/>
    <s v="COMCAST"/>
    <x v="15"/>
    <d v="2016-10-24T00:00:00"/>
    <d v="2016-10-24T00:00:00"/>
    <x v="2"/>
    <s v="curtis"/>
    <s v=""/>
    <m/>
    <s v=""/>
    <s v=""/>
    <m/>
    <m/>
    <m/>
    <m/>
    <s v="Given to Riza 10/27 @11:30AM"/>
    <s v=""/>
    <s v=""/>
    <s v=""/>
    <m/>
    <m/>
    <m/>
    <m/>
    <s v=""/>
    <s v=""/>
  </r>
  <r>
    <n v="9757872"/>
    <n v="1"/>
    <s v="20112763"/>
    <s v="COMCAST"/>
    <x v="15"/>
    <d v="2016-10-24T00:00:00"/>
    <d v="2016-10-24T00:00:00"/>
    <x v="2"/>
    <s v="TONY"/>
    <s v=""/>
    <m/>
    <s v=""/>
    <s v=""/>
    <m/>
    <m/>
    <m/>
    <m/>
    <s v="Given to Riza 10/27 @11:30AM"/>
    <s v=""/>
    <s v=""/>
    <s v=""/>
    <m/>
    <m/>
    <m/>
    <m/>
    <s v=""/>
    <s v=""/>
  </r>
  <r>
    <n v="9757873"/>
    <n v="1"/>
    <s v="20113864"/>
    <s v="COMCAST"/>
    <x v="15"/>
    <d v="2016-10-24T00:00:00"/>
    <d v="2016-10-24T00:00:00"/>
    <x v="3"/>
    <s v="TYRONE"/>
    <s v=""/>
    <m/>
    <s v=""/>
    <s v=""/>
    <m/>
    <m/>
    <m/>
    <m/>
    <s v="Given to Riza 10/27 @11:30AM"/>
    <s v=""/>
    <s v=""/>
    <s v="703018781849"/>
    <m/>
    <m/>
    <m/>
    <m/>
    <s v=""/>
    <s v=""/>
  </r>
  <r>
    <n v="9757874"/>
    <n v="1"/>
    <s v="20117385"/>
    <s v="COMCAST"/>
    <x v="15"/>
    <d v="2016-10-24T00:00:00"/>
    <d v="2016-10-24T00:00:00"/>
    <x v="2"/>
    <s v="fabian"/>
    <s v=""/>
    <m/>
    <s v=""/>
    <s v=""/>
    <m/>
    <m/>
    <m/>
    <m/>
    <s v="Given to Riza 10/27 @11:30AM"/>
    <s v=""/>
    <s v=""/>
    <s v=""/>
    <m/>
    <m/>
    <m/>
    <m/>
    <s v=""/>
    <s v=""/>
  </r>
  <r>
    <n v="9757880"/>
    <n v="2"/>
    <s v="20112958"/>
    <s v="COMCAST"/>
    <x v="15"/>
    <d v="2016-10-24T00:00:00"/>
    <d v="2016-10-24T00:00:00"/>
    <x v="2"/>
    <s v="TONY"/>
    <s v=""/>
    <m/>
    <s v=""/>
    <s v=""/>
    <m/>
    <m/>
    <m/>
    <m/>
    <s v="Given to Riza 10/27 @11:30AM"/>
    <s v=""/>
    <s v=""/>
    <s v=""/>
    <m/>
    <m/>
    <m/>
    <m/>
    <s v=""/>
    <s v=""/>
  </r>
  <r>
    <n v="9757882"/>
    <n v="1"/>
    <s v="20107599"/>
    <s v="RCN"/>
    <x v="15"/>
    <d v="2016-10-24T00:00:00"/>
    <d v="2016-10-24T00:00:00"/>
    <x v="3"/>
    <s v="TYRONE"/>
    <s v=""/>
    <m/>
    <s v=""/>
    <s v=""/>
    <m/>
    <m/>
    <m/>
    <m/>
    <s v="Given to Riza 10/27 @11:30AM"/>
    <s v=""/>
    <s v=""/>
    <s v="1Z3Y05W40362522668"/>
    <m/>
    <m/>
    <m/>
    <m/>
    <s v=""/>
    <s v=""/>
  </r>
  <r>
    <n v="9757884"/>
    <n v="1"/>
    <s v="20113880"/>
    <s v="WAVE BROADBAND"/>
    <x v="15"/>
    <d v="2016-10-24T00:00:00"/>
    <d v="2016-10-24T00:00:00"/>
    <x v="0"/>
    <s v=""/>
    <s v=""/>
    <m/>
    <s v=""/>
    <s v=""/>
    <m/>
    <m/>
    <m/>
    <m/>
    <s v="Given to Riza 10/27 @11:30AM"/>
    <s v=""/>
    <s v=""/>
    <s v=""/>
    <m/>
    <m/>
    <m/>
    <m/>
    <s v=""/>
    <s v=""/>
  </r>
  <r>
    <n v="9757889"/>
    <n v="1"/>
    <s v="20110973"/>
    <s v="CABLE ONE"/>
    <x v="15"/>
    <d v="2016-10-24T00:00:00"/>
    <d v="2016-10-24T00:00:00"/>
    <x v="3"/>
    <s v="TONY"/>
    <s v=""/>
    <m/>
    <s v=""/>
    <s v=""/>
    <m/>
    <m/>
    <m/>
    <m/>
    <s v="Given to Riza 10/27 @11:30AM"/>
    <s v=""/>
    <s v=""/>
    <s v="705155791380"/>
    <m/>
    <m/>
    <m/>
    <m/>
    <s v=""/>
    <s v=""/>
  </r>
  <r>
    <n v="9757891"/>
    <n v="3"/>
    <s v="6900540"/>
    <s v="CEBRIDGE CONNECTIONS DBA SUDDENLINK"/>
    <x v="15"/>
    <d v="2016-10-24T00:00:00"/>
    <d v="2016-10-24T00:00:00"/>
    <x v="2"/>
    <s v="TONY"/>
    <s v=""/>
    <m/>
    <s v=""/>
    <s v=""/>
    <m/>
    <m/>
    <m/>
    <m/>
    <s v="Given to Riza 10/27 @11:30AM"/>
    <s v=""/>
    <s v=""/>
    <s v=""/>
    <m/>
    <m/>
    <m/>
    <m/>
    <s v=""/>
    <s v=""/>
  </r>
  <r>
    <n v="9757894"/>
    <n v="2"/>
    <s v="6901366"/>
    <s v="NSG TECHNOLOGY INC"/>
    <x v="15"/>
    <d v="2016-10-24T00:00:00"/>
    <d v="2016-10-24T00:00:00"/>
    <x v="2"/>
    <s v="TYRONE"/>
    <s v=""/>
    <m/>
    <s v=""/>
    <s v=""/>
    <m/>
    <m/>
    <m/>
    <m/>
    <s v="Given to Riza 10/27 @11:30AM"/>
    <s v=""/>
    <s v=""/>
    <s v=""/>
    <m/>
    <m/>
    <m/>
    <m/>
    <s v=""/>
    <s v=""/>
  </r>
  <r>
    <n v="9757997"/>
    <n v="1"/>
    <s v="20114232"/>
    <s v="COMCAST"/>
    <x v="15"/>
    <d v="2016-10-24T00:00:00"/>
    <d v="2016-10-24T00:00:00"/>
    <x v="3"/>
    <s v="TONY"/>
    <s v=""/>
    <m/>
    <s v=""/>
    <s v=""/>
    <m/>
    <m/>
    <m/>
    <m/>
    <s v="10/24 given to Riza 6 pm"/>
    <s v="20114232"/>
    <s v="X"/>
    <s v="705155790188"/>
    <m/>
    <m/>
    <m/>
    <m/>
    <s v=""/>
    <s v=""/>
  </r>
  <r>
    <n v="9758069"/>
    <n v="12"/>
    <s v="20118296"/>
    <s v="ARRIS EXPENSE INTERNAL MIXED"/>
    <x v="15"/>
    <d v="2016-10-24T00:00:00"/>
    <d v="2016-10-24T00:00:00"/>
    <x v="2"/>
    <s v="sergio"/>
    <s v=""/>
    <m/>
    <s v=""/>
    <s v=""/>
    <m/>
    <m/>
    <m/>
    <m/>
    <s v="10/24 given to Riza 6 pm"/>
    <s v="10/24 given to Riza 6 pm"/>
    <s v=""/>
    <s v=""/>
    <m/>
    <m/>
    <m/>
    <m/>
    <s v=""/>
    <s v=""/>
  </r>
  <r>
    <n v="9758137"/>
    <n v="1"/>
    <s v="20116775"/>
    <s v="MEDIACOM"/>
    <x v="15"/>
    <d v="2016-10-24T00:00:00"/>
    <d v="2016-10-24T00:00:00"/>
    <x v="3"/>
    <s v="TYRONE"/>
    <s v=""/>
    <m/>
    <s v=""/>
    <s v=""/>
    <m/>
    <m/>
    <m/>
    <m/>
    <s v="Given to Riza 10/27 @11:30AM"/>
    <s v=""/>
    <s v=""/>
    <s v="1Z3Y05W40365487111"/>
    <m/>
    <m/>
    <m/>
    <m/>
    <s v=""/>
    <s v=""/>
  </r>
  <r>
    <n v="9758143"/>
    <n v="1"/>
    <s v="20116473"/>
    <s v="COMCAST"/>
    <x v="15"/>
    <d v="2016-10-24T00:00:00"/>
    <d v="2016-10-24T00:00:00"/>
    <x v="3"/>
    <s v="TYRONE"/>
    <s v=""/>
    <m/>
    <s v=""/>
    <s v=""/>
    <m/>
    <m/>
    <m/>
    <m/>
    <s v="Given to Riza 10/27 @11:30AM"/>
    <s v=""/>
    <s v=""/>
    <s v="705155790902"/>
    <m/>
    <m/>
    <m/>
    <m/>
    <s v=""/>
    <s v=""/>
  </r>
  <r>
    <n v="9758179"/>
    <n v="1"/>
    <s v="20116923"/>
    <s v="COMCAST"/>
    <x v="15"/>
    <d v="2016-10-24T00:00:00"/>
    <d v="2016-10-24T00:00:00"/>
    <x v="3"/>
    <s v="TYRONE"/>
    <s v=""/>
    <m/>
    <s v=""/>
    <s v=""/>
    <m/>
    <m/>
    <m/>
    <m/>
    <s v="Given to Riza 10/27 @11:30AM"/>
    <s v=""/>
    <s v=""/>
    <s v="705155791173"/>
    <m/>
    <m/>
    <m/>
    <m/>
    <s v=""/>
    <s v=""/>
  </r>
  <r>
    <n v="9758180"/>
    <n v="2"/>
    <s v="20116971"/>
    <s v="COMCAST"/>
    <x v="15"/>
    <d v="2016-10-24T00:00:00"/>
    <d v="2016-10-24T00:00:00"/>
    <x v="2"/>
    <s v="fabian"/>
    <s v=""/>
    <m/>
    <s v=""/>
    <s v=""/>
    <m/>
    <m/>
    <m/>
    <m/>
    <s v="Given to Riza 10/27 @11:30AM"/>
    <s v=""/>
    <s v=""/>
    <s v=""/>
    <m/>
    <m/>
    <m/>
    <m/>
    <s v=""/>
    <s v=""/>
  </r>
  <r>
    <n v="9758181"/>
    <n v="1"/>
    <s v="92002296"/>
    <s v="VIDEOTRON LTEE"/>
    <x v="15"/>
    <d v="2016-10-24T00:00:00"/>
    <d v="2016-10-24T00:00:00"/>
    <x v="2"/>
    <s v="TYRONE"/>
    <s v=""/>
    <m/>
    <s v=""/>
    <s v=""/>
    <m/>
    <m/>
    <m/>
    <m/>
    <s v="Given to Riza 10/27 @11:30AM"/>
    <s v=""/>
    <s v=""/>
    <s v=""/>
    <m/>
    <m/>
    <m/>
    <m/>
    <s v=""/>
    <s v=""/>
  </r>
  <r>
    <n v="9758184"/>
    <n v="1"/>
    <s v="92002641"/>
    <s v="DERY TELECOM"/>
    <x v="15"/>
    <d v="2016-10-24T00:00:00"/>
    <d v="2016-10-24T00:00:00"/>
    <x v="2"/>
    <s v="fabian"/>
    <s v=""/>
    <m/>
    <s v=""/>
    <s v=""/>
    <m/>
    <m/>
    <m/>
    <m/>
    <s v="Given to Riza 10/27 @11:30AM"/>
    <s v=""/>
    <s v=""/>
    <s v=""/>
    <m/>
    <m/>
    <m/>
    <m/>
    <s v=""/>
    <s v=""/>
  </r>
  <r>
    <n v="9758202"/>
    <n v="1"/>
    <s v="90710590"/>
    <s v="ARRIS TECHNOLOGY, INC."/>
    <x v="15"/>
    <d v="2016-10-24T00:00:00"/>
    <d v="2016-10-24T00:00:00"/>
    <x v="0"/>
    <s v=""/>
    <s v=""/>
    <m/>
    <s v=""/>
    <s v=""/>
    <m/>
    <m/>
    <m/>
    <m/>
    <s v="10/24 given to Zeid 3:20 pm"/>
    <s v="10/24 given to Zeid 3:20 pm"/>
    <s v=""/>
    <s v=""/>
    <m/>
    <m/>
    <m/>
    <m/>
    <s v=""/>
    <s v=""/>
  </r>
  <r>
    <n v="9758212"/>
    <n v="1"/>
    <s v="20118316"/>
    <s v="RCN"/>
    <x v="15"/>
    <d v="2016-10-24T00:00:00"/>
    <d v="2016-10-24T00:00:00"/>
    <x v="2"/>
    <s v="TONY"/>
    <s v=""/>
    <m/>
    <s v=""/>
    <s v=""/>
    <m/>
    <m/>
    <m/>
    <m/>
    <s v="10/24 given to Zeid 3:20 pm"/>
    <s v="10/24 given to Zeid 3:20 pm"/>
    <s v=""/>
    <s v=""/>
    <m/>
    <m/>
    <m/>
    <m/>
    <s v=""/>
    <s v=""/>
  </r>
  <r>
    <n v="9758213"/>
    <n v="13"/>
    <s v="20117611"/>
    <s v="Wide Open West"/>
    <x v="15"/>
    <d v="2016-10-24T00:00:00"/>
    <d v="2016-10-24T00:00:00"/>
    <x v="2"/>
    <s v="JOSE"/>
    <s v=""/>
    <m/>
    <s v=""/>
    <s v=""/>
    <m/>
    <m/>
    <m/>
    <m/>
    <s v="10/24 given to Riza 6 pm"/>
    <s v="10/24 given to Riza 6 pm"/>
    <s v=""/>
    <s v=""/>
    <m/>
    <m/>
    <m/>
    <m/>
    <s v=""/>
    <s v=""/>
  </r>
  <r>
    <n v="9758319"/>
    <n v="1"/>
    <s v="20107725"/>
    <s v="TELMEX COLOMBIA S.A."/>
    <x v="15"/>
    <d v="2016-10-24T00:00:00"/>
    <d v="2016-10-24T00:00:00"/>
    <x v="0"/>
    <s v=""/>
    <s v=""/>
    <m/>
    <s v=""/>
    <s v=""/>
    <m/>
    <m/>
    <m/>
    <m/>
    <s v="10/26 Email has been sent to Mildaliza waiting for instructions_x000a_10/27 CSR has not reponded, an update email has been sent to advise pick up date or shipping instructions."/>
    <s v="10/26 Email has been sent to Mildaliza waiting for instructions_x000a_10/27 CSR has not reponded, an update email has been sent to advise pick up date or shipping instructions."/>
    <s v="X"/>
    <s v=""/>
    <m/>
    <m/>
    <m/>
    <m/>
    <s v=""/>
    <s v=""/>
  </r>
  <r>
    <n v="9758506"/>
    <n v="1"/>
    <s v="92002641"/>
    <s v="DERY TELECOM"/>
    <x v="16"/>
    <d v="2016-10-25T00:00:00"/>
    <d v="2016-10-25T00:00:00"/>
    <x v="2"/>
    <s v="curtis"/>
    <s v=""/>
    <m/>
    <s v=""/>
    <s v=""/>
    <m/>
    <m/>
    <m/>
    <m/>
    <s v="Given to Riza 10/27 @11:30AM"/>
    <s v=""/>
    <s v=""/>
    <s v=""/>
    <m/>
    <m/>
    <m/>
    <m/>
    <s v=""/>
    <s v=""/>
  </r>
  <r>
    <n v="9758507"/>
    <n v="1"/>
    <s v="92002647"/>
    <s v="DERY TELECOM"/>
    <x v="16"/>
    <d v="2016-10-25T00:00:00"/>
    <d v="2016-10-25T00:00:00"/>
    <x v="2"/>
    <s v="curtis"/>
    <s v=""/>
    <m/>
    <s v=""/>
    <s v=""/>
    <m/>
    <m/>
    <m/>
    <m/>
    <s v="Given to Riza 10/27 @11:30AM"/>
    <s v=""/>
    <s v=""/>
    <s v=""/>
    <m/>
    <m/>
    <m/>
    <m/>
    <s v=""/>
    <s v=""/>
  </r>
  <r>
    <n v="9758551"/>
    <n v="7"/>
    <s v="20116418"/>
    <s v="COMCAST"/>
    <x v="16"/>
    <d v="2016-10-25T00:00:00"/>
    <d v="2016-10-25T00:00:00"/>
    <x v="2"/>
    <s v="JOSE"/>
    <s v=""/>
    <m/>
    <s v=""/>
    <s v=""/>
    <m/>
    <m/>
    <m/>
    <m/>
    <s v="10/25 given to Austin 6 am"/>
    <s v="10/25 given to Austin 6 am"/>
    <s v=""/>
    <s v=""/>
    <m/>
    <m/>
    <m/>
    <m/>
    <s v=""/>
    <s v=""/>
  </r>
  <r>
    <n v="9758559"/>
    <n v="1"/>
    <s v="20115563"/>
    <s v="COMCAST"/>
    <x v="16"/>
    <d v="2016-10-25T00:00:00"/>
    <d v="2016-10-25T00:00:00"/>
    <x v="3"/>
    <s v="TONY"/>
    <s v=""/>
    <m/>
    <s v=""/>
    <s v=""/>
    <m/>
    <m/>
    <m/>
    <m/>
    <s v="10/25 given to Austin 6 am"/>
    <n v="20115563"/>
    <s v="X"/>
    <s v="703018779757"/>
    <m/>
    <m/>
    <m/>
    <m/>
    <s v=""/>
    <s v=""/>
  </r>
  <r>
    <n v="9758563"/>
    <n v="1"/>
    <s v="20116327"/>
    <s v="COMCAST"/>
    <x v="16"/>
    <d v="2016-10-25T00:00:00"/>
    <d v="2016-10-25T00:00:00"/>
    <x v="3"/>
    <s v="TONY"/>
    <s v=""/>
    <m/>
    <s v=""/>
    <s v=""/>
    <m/>
    <m/>
    <m/>
    <m/>
    <s v="10/25 given to Austin 6 am"/>
    <n v="20116327"/>
    <s v="X"/>
    <s v="707451173276"/>
    <m/>
    <m/>
    <m/>
    <m/>
    <s v=""/>
    <s v=""/>
  </r>
  <r>
    <n v="9758587"/>
    <n v="1"/>
    <s v="20112889"/>
    <s v="COMCAST"/>
    <x v="16"/>
    <d v="2016-10-25T00:00:00"/>
    <d v="2016-10-25T00:00:00"/>
    <x v="3"/>
    <s v="fabian"/>
    <s v=""/>
    <m/>
    <s v=""/>
    <s v=""/>
    <m/>
    <m/>
    <m/>
    <m/>
    <s v="10/25 given to Austin 7:00 pm"/>
    <s v="10/25 given to Austin 7:00 pm"/>
    <s v=""/>
    <s v="705155789861"/>
    <m/>
    <m/>
    <m/>
    <m/>
    <s v=""/>
    <s v=""/>
  </r>
  <r>
    <n v="9758600"/>
    <n v="3"/>
    <s v="6900967"/>
    <s v="COMCAST"/>
    <x v="16"/>
    <d v="2016-10-25T00:00:00"/>
    <d v="2016-10-25T00:00:00"/>
    <x v="2"/>
    <s v="fabian"/>
    <s v=""/>
    <m/>
    <s v=""/>
    <s v=""/>
    <m/>
    <m/>
    <m/>
    <m/>
    <s v="10/25 given to Austin 7:00 pm"/>
    <s v="10/25 given to Austin 7:00 pm"/>
    <s v=""/>
    <s v=""/>
    <m/>
    <m/>
    <m/>
    <m/>
    <s v=""/>
    <s v=""/>
  </r>
  <r>
    <n v="9758613"/>
    <n v="4"/>
    <s v="20112958"/>
    <s v="COMCAST"/>
    <x v="16"/>
    <d v="2016-10-25T00:00:00"/>
    <d v="2016-10-25T00:00:00"/>
    <x v="3"/>
    <s v="fabian"/>
    <s v=""/>
    <m/>
    <s v=""/>
    <s v=""/>
    <m/>
    <m/>
    <m/>
    <m/>
    <s v="10/25 given to Austin 7:00 pm"/>
    <s v="10/25 given to Austin 7:00 pm"/>
    <s v=""/>
    <s v="705155789806"/>
    <m/>
    <m/>
    <m/>
    <m/>
    <s v=""/>
    <s v=""/>
  </r>
  <r>
    <n v="9758615"/>
    <n v="1"/>
    <s v="92002296"/>
    <s v="VIDEOTRON LTEE"/>
    <x v="16"/>
    <d v="2016-10-25T00:00:00"/>
    <d v="2016-10-25T00:00:00"/>
    <x v="2"/>
    <s v="fabian"/>
    <s v=""/>
    <m/>
    <s v=""/>
    <s v=""/>
    <m/>
    <m/>
    <m/>
    <m/>
    <s v="Given to Riza 10/27 @11:30AM"/>
    <s v=""/>
    <s v=""/>
    <s v=""/>
    <m/>
    <m/>
    <m/>
    <m/>
    <s v=""/>
    <s v=""/>
  </r>
  <r>
    <n v="9758617"/>
    <n v="6"/>
    <s v="92001537"/>
    <s v="ROGERS CABLE"/>
    <x v="16"/>
    <d v="2016-10-25T00:00:00"/>
    <d v="2016-10-25T00:00:00"/>
    <x v="0"/>
    <s v=""/>
    <s v=""/>
    <m/>
    <s v=""/>
    <s v=""/>
    <m/>
    <m/>
    <m/>
    <m/>
    <s v="10/25 given to Austin 7:00 pm"/>
    <s v="10/25 given to Austin 7:00 pm"/>
    <s v=""/>
    <s v=""/>
    <m/>
    <m/>
    <m/>
    <m/>
    <s v=""/>
    <s v=""/>
  </r>
  <r>
    <n v="9758618"/>
    <n v="1"/>
    <s v="92002148"/>
    <s v="ROGERS CABLE"/>
    <x v="16"/>
    <d v="2016-10-25T00:00:00"/>
    <d v="2016-10-25T00:00:00"/>
    <x v="2"/>
    <s v="curtis"/>
    <s v=""/>
    <m/>
    <s v=""/>
    <s v=""/>
    <m/>
    <m/>
    <m/>
    <m/>
    <s v="10/25 given to Austin 7:00 pm"/>
    <s v="10/25 given to Austin 7:00 pm"/>
    <s v=""/>
    <s v=""/>
    <m/>
    <m/>
    <m/>
    <m/>
    <s v=""/>
    <s v=""/>
  </r>
  <r>
    <n v="9758620"/>
    <n v="1"/>
    <s v="92001755"/>
    <s v="ROGERS CABLE"/>
    <x v="16"/>
    <d v="2016-10-25T00:00:00"/>
    <d v="2016-10-25T00:00:00"/>
    <x v="2"/>
    <s v="curtis"/>
    <s v=""/>
    <m/>
    <s v=""/>
    <s v=""/>
    <m/>
    <m/>
    <m/>
    <m/>
    <s v="10/25 given to Austin 7:00 pm"/>
    <s v="10/25 given to Austin 7:00 pm"/>
    <s v=""/>
    <s v=""/>
    <m/>
    <m/>
    <m/>
    <m/>
    <s v=""/>
    <s v=""/>
  </r>
  <r>
    <n v="9758624"/>
    <n v="1"/>
    <s v="20114972"/>
    <s v="RCN"/>
    <x v="16"/>
    <d v="2016-10-25T00:00:00"/>
    <d v="2016-10-25T00:00:00"/>
    <x v="3"/>
    <s v="curtis"/>
    <s v=""/>
    <m/>
    <s v=""/>
    <s v=""/>
    <m/>
    <m/>
    <m/>
    <m/>
    <s v="10/25 given to Austin 7:00 pm"/>
    <n v="20114972"/>
    <s v="X"/>
    <s v="705155789699"/>
    <m/>
    <m/>
    <m/>
    <m/>
    <s v=""/>
    <s v=""/>
  </r>
  <r>
    <n v="9758626"/>
    <n v="2"/>
    <s v="20113894"/>
    <s v="WAVE BROADBAND"/>
    <x v="16"/>
    <d v="2016-10-25T00:00:00"/>
    <d v="2016-10-25T00:00:00"/>
    <x v="3"/>
    <s v="TYRONE"/>
    <s v=""/>
    <m/>
    <s v=""/>
    <s v=""/>
    <m/>
    <m/>
    <m/>
    <m/>
    <s v="Given to Riza 10/27 @11:30AM"/>
    <s v=""/>
    <s v=""/>
    <s v="705155790865"/>
    <m/>
    <m/>
    <m/>
    <m/>
    <s v=""/>
    <s v=""/>
  </r>
  <r>
    <n v="9758629"/>
    <n v="1"/>
    <s v="20114932"/>
    <s v="LIBERTY CABLEVISION OF PUERTO RICO, INC."/>
    <x v="16"/>
    <d v="2016-10-25T00:00:00"/>
    <d v="2016-10-25T00:00:00"/>
    <x v="0"/>
    <s v=""/>
    <s v=""/>
    <m/>
    <s v=""/>
    <s v=""/>
    <m/>
    <m/>
    <m/>
    <m/>
    <s v="10/25 given to Austin 7:00 pm"/>
    <s v="10/25 given to Austin 7:00 pm"/>
    <s v=""/>
    <s v=""/>
    <m/>
    <m/>
    <m/>
    <m/>
    <s v=""/>
    <s v=""/>
  </r>
  <r>
    <n v="9758634"/>
    <n v="2"/>
    <s v="20111521"/>
    <s v="CABLE ONE"/>
    <x v="16"/>
    <d v="2016-10-25T00:00:00"/>
    <d v="2016-10-25T00:00:00"/>
    <x v="3"/>
    <s v="JOSE"/>
    <s v=""/>
    <m/>
    <s v=""/>
    <s v=""/>
    <m/>
    <m/>
    <m/>
    <m/>
    <s v="Given to Riza 10/27 @11:30AM"/>
    <s v=""/>
    <s v=""/>
    <s v="705155791184"/>
    <m/>
    <m/>
    <m/>
    <m/>
    <s v=""/>
    <s v=""/>
  </r>
  <r>
    <n v="9758641"/>
    <n v="2"/>
    <s v="6900687"/>
    <s v="CABLEVISION S.A. ARGENTINA"/>
    <x v="16"/>
    <d v="2016-10-25T00:00:00"/>
    <d v="2016-10-25T00:00:00"/>
    <x v="0"/>
    <s v=""/>
    <s v=""/>
    <m/>
    <s v=""/>
    <s v=""/>
    <m/>
    <m/>
    <m/>
    <m/>
    <s v="10/26 Email has been sent to Leida waiting for instructions"/>
    <s v="10/26 Email has been sent to Leida waiting for instructions_x000a_10/27 Pictures have been sent to CSR Leida, currentlty waiting for shipping instructions "/>
    <s v="X"/>
    <s v=""/>
    <m/>
    <m/>
    <m/>
    <m/>
    <s v=""/>
    <s v=""/>
  </r>
  <r>
    <n v="9758647"/>
    <n v="2"/>
    <s v="20112089"/>
    <s v="CEBRIDGE CONNECTIONS DBA SUDDENLINK"/>
    <x v="16"/>
    <d v="2016-10-25T00:00:00"/>
    <d v="2016-10-25T00:00:00"/>
    <x v="2"/>
    <s v="curtis"/>
    <s v=""/>
    <m/>
    <s v=""/>
    <s v=""/>
    <m/>
    <m/>
    <m/>
    <m/>
    <s v="10/25 given to Austin 7:00 pm"/>
    <s v="10/25 given to Austin 7:00 pm"/>
    <s v=""/>
    <s v=""/>
    <m/>
    <m/>
    <m/>
    <m/>
    <s v=""/>
    <s v=""/>
  </r>
  <r>
    <n v="9758656"/>
    <n v="1"/>
    <s v="20109800"/>
    <s v="CHARTER"/>
    <x v="16"/>
    <d v="2016-10-25T00:00:00"/>
    <d v="2016-10-25T00:00:00"/>
    <x v="3"/>
    <s v="TONY"/>
    <s v=""/>
    <m/>
    <s v=""/>
    <s v=""/>
    <m/>
    <m/>
    <m/>
    <m/>
    <s v="Given to Riza 10/27 @11:30AM"/>
    <s v=""/>
    <s v=""/>
    <s v="703018781893"/>
    <m/>
    <m/>
    <m/>
    <m/>
    <s v=""/>
    <s v=""/>
  </r>
  <r>
    <n v="9758690"/>
    <n v="3"/>
    <s v="90711058"/>
    <s v="ARRIS TECHNOLOGY, INC."/>
    <x v="16"/>
    <d v="2016-10-25T00:00:00"/>
    <d v="2016-10-25T00:00:00"/>
    <x v="2"/>
    <s v="JOSE"/>
    <s v=""/>
    <m/>
    <s v=""/>
    <s v=""/>
    <m/>
    <m/>
    <m/>
    <m/>
    <s v="Given to Riza 10/27 @ 6:36 PM"/>
    <s v="Given to Riza 10/27 @ 6:36 PM"/>
    <s v=""/>
    <s v=""/>
    <m/>
    <m/>
    <m/>
    <m/>
    <s v=""/>
    <s v=""/>
  </r>
  <r>
    <n v="9758712"/>
    <n v="2"/>
    <s v="92002087"/>
    <s v="COGECO"/>
    <x v="16"/>
    <d v="2016-10-25T00:00:00"/>
    <d v="2016-10-25T00:00:00"/>
    <x v="0"/>
    <s v=""/>
    <s v=""/>
    <m/>
    <s v=""/>
    <s v=""/>
    <m/>
    <m/>
    <m/>
    <m/>
    <s v="10/25 given to Austin 7:00 pm"/>
    <s v="10/25 given to Austin 7:00 pm"/>
    <s v=""/>
    <s v=""/>
    <m/>
    <m/>
    <m/>
    <m/>
    <s v=""/>
    <s v=""/>
  </r>
  <r>
    <n v="9758724"/>
    <n v="1"/>
    <s v="20106954"/>
    <s v="TELMEX COLOMBIA S.A."/>
    <x v="16"/>
    <d v="2016-10-25T00:00:00"/>
    <d v="2016-10-25T00:00:00"/>
    <x v="0"/>
    <s v=""/>
    <s v=""/>
    <m/>
    <s v=""/>
    <s v=""/>
    <m/>
    <m/>
    <m/>
    <m/>
    <s v="10/26 Email has been sent to Mildaliza waiting for instructions"/>
    <s v="10/26 Email has been sent to Mildaliza waiting for instructions_x000a_10/27 Milda has advise they want to consol with order 6901454"/>
    <s v="X"/>
    <s v=""/>
    <m/>
    <m/>
    <m/>
    <m/>
    <s v=""/>
    <s v=""/>
  </r>
  <r>
    <n v="9758758"/>
    <n v="11"/>
    <s v="6901455"/>
    <s v="TELMEX COLOMBIA S.A."/>
    <x v="16"/>
    <d v="2016-10-25T00:00:00"/>
    <d v="2016-10-25T00:00:00"/>
    <x v="2"/>
    <s v="DAVID"/>
    <s v=""/>
    <m/>
    <s v=""/>
    <s v="co"/>
    <m/>
    <m/>
    <m/>
    <m/>
    <s v="10/27 email has been sent to Mildaliza to advise freight is ready, waiting for a pick up date"/>
    <s v="10/27 email has been sent to Mildaliza to advise freight is ready, waiting for a pick up date"/>
    <s v=""/>
    <s v=""/>
    <m/>
    <m/>
    <m/>
    <m/>
    <s v=""/>
    <s v=""/>
  </r>
  <r>
    <n v="9758759"/>
    <n v="17"/>
    <s v="6900461"/>
    <s v="NATIONAL CABLE TELEVISION COOP"/>
    <x v="16"/>
    <d v="2016-10-25T00:00:00"/>
    <d v="2016-10-25T00:00:00"/>
    <x v="3"/>
    <s v="DAVID"/>
    <s v=""/>
    <m/>
    <s v=""/>
    <s v=""/>
    <m/>
    <m/>
    <m/>
    <m/>
    <s v="10/25 given to Austin 7:00 pm"/>
    <s v="10/25 given to Austin 7:00 pm"/>
    <s v=""/>
    <s v="703018781676"/>
    <m/>
    <m/>
    <m/>
    <m/>
    <s v=""/>
    <s v=""/>
  </r>
  <r>
    <n v="9758760"/>
    <n v="6"/>
    <s v="6901145"/>
    <s v="CEBRIDGE CONNECTIONS DBA SUDDENLINK"/>
    <x v="16"/>
    <d v="2016-10-25T00:00:00"/>
    <d v="2016-10-25T00:00:00"/>
    <x v="2"/>
    <s v="DAVID"/>
    <s v=""/>
    <m/>
    <s v=""/>
    <s v=""/>
    <m/>
    <m/>
    <m/>
    <m/>
    <s v="10/25 given to Austin 7:00 pm"/>
    <s v="10/25 given to Austin 7:00 pm"/>
    <s v=""/>
    <s v=""/>
    <m/>
    <m/>
    <m/>
    <m/>
    <s v=""/>
    <s v=""/>
  </r>
  <r>
    <n v="9758783"/>
    <n v="1"/>
    <s v="20116047"/>
    <s v="MEDIACOM"/>
    <x v="16"/>
    <d v="2016-10-25T00:00:00"/>
    <d v="2016-10-25T00:00:00"/>
    <x v="3"/>
    <s v="TONY"/>
    <s v=""/>
    <m/>
    <s v=""/>
    <s v=""/>
    <m/>
    <m/>
    <m/>
    <m/>
    <s v="Given to Riza 10/27 @11:30AM"/>
    <s v=""/>
    <s v=""/>
    <s v="1Z3Y05W40364728200"/>
    <m/>
    <m/>
    <m/>
    <m/>
    <s v=""/>
    <s v=""/>
  </r>
  <r>
    <n v="9758784"/>
    <n v="1"/>
    <s v="20118636"/>
    <s v="COMCAST"/>
    <x v="16"/>
    <d v="2016-10-25T00:00:00"/>
    <d v="2016-10-25T00:00:00"/>
    <x v="3"/>
    <s v="JOSE"/>
    <s v=""/>
    <m/>
    <s v=""/>
    <s v=""/>
    <m/>
    <m/>
    <m/>
    <m/>
    <s v="10/25 given to Austin 7:00 pm"/>
    <n v="20118636"/>
    <s v="X"/>
    <s v="705155789894"/>
    <m/>
    <m/>
    <m/>
    <m/>
    <s v=""/>
    <s v=""/>
  </r>
  <r>
    <n v="9758785"/>
    <n v="1"/>
    <s v="20116270"/>
    <s v="COMCAST"/>
    <x v="16"/>
    <d v="2016-10-25T00:00:00"/>
    <d v="2016-10-25T00:00:00"/>
    <x v="1"/>
    <s v="TONY"/>
    <s v=""/>
    <m/>
    <s v="YES"/>
    <s v="paperwork in PIR folder (Austin)"/>
    <m/>
    <m/>
    <m/>
    <m/>
    <s v="Given to Riza 10/27 @11:30AM"/>
    <s v=""/>
    <s v=""/>
    <s v=""/>
    <m/>
    <m/>
    <m/>
    <m/>
    <s v=""/>
    <s v=""/>
  </r>
  <r>
    <n v="9758786"/>
    <n v="1"/>
    <s v="92002296"/>
    <s v="VIDEOTRON LTEE"/>
    <x v="16"/>
    <d v="2016-10-25T00:00:00"/>
    <d v="2016-10-25T00:00:00"/>
    <x v="2"/>
    <s v="TYRONE"/>
    <s v=""/>
    <m/>
    <s v=""/>
    <s v=""/>
    <m/>
    <m/>
    <m/>
    <m/>
    <s v="Given to Riza 10/27 @11:30AM"/>
    <s v=""/>
    <s v=""/>
    <s v=""/>
    <m/>
    <m/>
    <m/>
    <m/>
    <s v=""/>
    <s v=""/>
  </r>
  <r>
    <n v="9758787"/>
    <n v="1"/>
    <s v="20117611"/>
    <s v="Wide Open West"/>
    <x v="16"/>
    <d v="2016-10-25T00:00:00"/>
    <d v="2016-10-25T00:00:00"/>
    <x v="3"/>
    <s v="TONY"/>
    <s v=""/>
    <m/>
    <s v=""/>
    <s v=""/>
    <m/>
    <m/>
    <m/>
    <m/>
    <s v="Given to Riza 10/27 @11:30AM"/>
    <s v=""/>
    <s v=""/>
    <s v="703018781790"/>
    <m/>
    <m/>
    <m/>
    <m/>
    <s v=""/>
    <s v=""/>
  </r>
  <r>
    <n v="9758793"/>
    <n v="1"/>
    <s v="20118539"/>
    <s v="NSG TECHNOLOGY INC"/>
    <x v="16"/>
    <d v="2016-10-25T00:00:00"/>
    <d v="2016-10-25T00:00:00"/>
    <x v="1"/>
    <s v="fabian"/>
    <s v=""/>
    <m/>
    <s v="YES"/>
    <s v="paperwork in PIR folder (Austin)"/>
    <m/>
    <m/>
    <m/>
    <m/>
    <s v="10/25 given to Austin 7:00 pm"/>
    <s v="10/25 given to Austin 7:00 pm"/>
    <s v=""/>
    <s v=""/>
    <m/>
    <m/>
    <m/>
    <m/>
    <s v=""/>
    <s v=""/>
  </r>
  <r>
    <n v="9758795"/>
    <n v="1"/>
    <s v="20118548"/>
    <s v="NSG TECHNOLOGY INC"/>
    <x v="16"/>
    <d v="2016-10-25T00:00:00"/>
    <d v="2016-10-25T00:00:00"/>
    <x v="2"/>
    <s v="fabian"/>
    <s v=""/>
    <m/>
    <s v=""/>
    <s v=""/>
    <m/>
    <m/>
    <m/>
    <m/>
    <s v="10/25 given to Austin 7:00 pm"/>
    <s v="10/25 given to Austin 7:00 pm"/>
    <s v=""/>
    <s v=""/>
    <m/>
    <m/>
    <m/>
    <m/>
    <s v=""/>
    <s v=""/>
  </r>
  <r>
    <n v="9758796"/>
    <n v="3"/>
    <s v="20118557"/>
    <s v="NSG TECHNOLOGY INC"/>
    <x v="16"/>
    <d v="2016-10-25T00:00:00"/>
    <d v="2016-10-25T00:00:00"/>
    <x v="1"/>
    <s v="fabian"/>
    <s v=""/>
    <m/>
    <s v="YES"/>
    <s v="paperwork in PIR folder (Austin)"/>
    <m/>
    <m/>
    <m/>
    <m/>
    <s v="10/25 given to Austin 7:00 pm"/>
    <s v="10/25 given to Austin 7:00 pm"/>
    <s v=""/>
    <s v=""/>
    <m/>
    <m/>
    <m/>
    <m/>
    <s v=""/>
    <s v=""/>
  </r>
  <r>
    <n v="9758811"/>
    <n v="9"/>
    <s v="20118604"/>
    <s v="COMCAST"/>
    <x v="16"/>
    <d v="2016-10-25T00:00:00"/>
    <d v="2016-10-25T00:00:00"/>
    <x v="2"/>
    <s v="curtis"/>
    <s v=""/>
    <m/>
    <s v=""/>
    <s v=""/>
    <m/>
    <m/>
    <m/>
    <m/>
    <s v="Given to Riza 10/27 @11:30AM"/>
    <s v=""/>
    <s v=""/>
    <s v=""/>
    <m/>
    <m/>
    <m/>
    <m/>
    <s v=""/>
    <s v=""/>
  </r>
  <r>
    <n v="9758812"/>
    <n v="1"/>
    <s v="6900250"/>
    <s v="MIDCONTINENT COMMUNICATIONS"/>
    <x v="16"/>
    <d v="2016-10-25T00:00:00"/>
    <d v="2016-10-25T00:00:00"/>
    <x v="3"/>
    <s v="fabian"/>
    <s v=""/>
    <m/>
    <s v=""/>
    <s v=""/>
    <m/>
    <m/>
    <m/>
    <m/>
    <s v="10/25 given to Austin 7:00 pm"/>
    <s v="10/25 given to Austin 7:00 pm"/>
    <s v=""/>
    <s v="705155791221"/>
    <m/>
    <m/>
    <m/>
    <m/>
    <s v=""/>
    <s v=""/>
  </r>
  <r>
    <n v="9758863"/>
    <n v="1"/>
    <s v="20108276"/>
    <s v="COMCAST"/>
    <x v="16"/>
    <d v="2016-10-25T00:00:00"/>
    <d v="2016-10-25T00:00:00"/>
    <x v="3"/>
    <s v="TYRONE"/>
    <s v=""/>
    <m/>
    <s v=""/>
    <s v=""/>
    <m/>
    <m/>
    <m/>
    <m/>
    <s v="Given to Riza 10/27 @11:30AM"/>
    <s v=""/>
    <s v=""/>
    <s v="703018781827"/>
    <m/>
    <m/>
    <m/>
    <m/>
    <s v=""/>
    <s v=""/>
  </r>
  <r>
    <n v="9758864"/>
    <n v="1"/>
    <s v="92002296"/>
    <s v="VIDEOTRON LTEE"/>
    <x v="16"/>
    <d v="2016-10-25T00:00:00"/>
    <d v="2016-10-25T00:00:00"/>
    <x v="2"/>
    <s v="JOSE"/>
    <s v=""/>
    <m/>
    <s v=""/>
    <s v=""/>
    <m/>
    <m/>
    <m/>
    <m/>
    <s v="Given to Riza 10/27 @11:30AM"/>
    <s v=""/>
    <s v=""/>
    <s v=""/>
    <m/>
    <m/>
    <m/>
    <m/>
    <s v=""/>
    <s v=""/>
  </r>
  <r>
    <n v="9758865"/>
    <n v="1"/>
    <s v="20106487"/>
    <s v="CABLE ONE"/>
    <x v="16"/>
    <d v="2016-10-25T00:00:00"/>
    <d v="2016-10-25T00:00:00"/>
    <x v="3"/>
    <s v="fabian"/>
    <s v=""/>
    <m/>
    <s v=""/>
    <s v=""/>
    <m/>
    <m/>
    <m/>
    <m/>
    <s v="Given to Riza 10/27 @11:30AM"/>
    <s v=""/>
    <s v=""/>
    <s v="703018781584"/>
    <m/>
    <m/>
    <m/>
    <m/>
    <s v=""/>
    <s v=""/>
  </r>
  <r>
    <n v="9758866"/>
    <n v="1"/>
    <s v="20108289"/>
    <s v="TELMEX COLOMBIA S.A."/>
    <x v="16"/>
    <d v="2016-10-25T00:00:00"/>
    <d v="2016-10-25T00:00:00"/>
    <x v="2"/>
    <s v="JOSE"/>
    <s v=""/>
    <m/>
    <s v=""/>
    <s v=""/>
    <m/>
    <m/>
    <m/>
    <m/>
    <s v="10/26 Email has been sent to Mildaliza waiting for instructions_x000a_10/27 CSR has not reponded, an update email has been sent to advise pick up date or shipping instructions."/>
    <s v="10/26 Email has been sent to Mildaliza waiting for instructions_x000a_10/27 CSR has not reponded, an update email has been sent to advise pick up date or shipping instructions."/>
    <s v="X"/>
    <s v=""/>
    <m/>
    <m/>
    <m/>
    <m/>
    <s v=""/>
    <s v=""/>
  </r>
  <r>
    <n v="9758867"/>
    <n v="2"/>
    <s v="6901456"/>
    <s v="TELMEX COLOMBIA S.A."/>
    <x v="16"/>
    <d v="2016-10-25T00:00:00"/>
    <d v="2016-10-25T00:00:00"/>
    <x v="2"/>
    <s v="JOSE"/>
    <s v=""/>
    <m/>
    <s v=""/>
    <s v=""/>
    <m/>
    <m/>
    <m/>
    <m/>
    <s v="10/25 given to Austin 7:00 pm"/>
    <s v="10/25 given to Austin 7:00 pm"/>
    <s v=""/>
    <s v=""/>
    <m/>
    <m/>
    <m/>
    <m/>
    <s v=""/>
    <s v=""/>
  </r>
  <r>
    <n v="9758887"/>
    <n v="13"/>
    <s v="20118694"/>
    <s v="COMCAST"/>
    <x v="16"/>
    <d v="2016-10-25T00:00:00"/>
    <d v="2016-10-25T00:00:00"/>
    <x v="3"/>
    <s v="fabian"/>
    <s v=""/>
    <m/>
    <s v=""/>
    <s v=""/>
    <m/>
    <m/>
    <m/>
    <m/>
    <s v="10/25 given to Austin 7:00 pm"/>
    <s v="10/25 given to Austin 7:00 pm"/>
    <s v=""/>
    <s v="705155791302"/>
    <m/>
    <m/>
    <m/>
    <m/>
    <s v=""/>
    <s v=""/>
  </r>
  <r>
    <n v="9758894"/>
    <n v="2"/>
    <s v="20114932"/>
    <s v="LIBERTY CABLEVISION OF PUERTO RICO, INC."/>
    <x v="16"/>
    <d v="2016-10-25T00:00:00"/>
    <d v="2016-10-25T00:00:00"/>
    <x v="2"/>
    <s v="fabian"/>
    <s v=""/>
    <m/>
    <s v=""/>
    <s v=""/>
    <m/>
    <m/>
    <m/>
    <m/>
    <s v="10/25 given to Austin 7:00 pm"/>
    <s v="10/25 given to Austin 7:00 pm"/>
    <s v=""/>
    <s v=""/>
    <m/>
    <m/>
    <m/>
    <m/>
    <s v=""/>
    <s v=""/>
  </r>
  <r>
    <n v="9758895"/>
    <n v="2"/>
    <s v="20114935"/>
    <s v="LIBERTY CABLEVISION OF PUERTO RICO, INC."/>
    <x v="16"/>
    <d v="2016-10-25T00:00:00"/>
    <d v="2016-10-25T00:00:00"/>
    <x v="2"/>
    <s v="fabian"/>
    <s v=""/>
    <m/>
    <s v=""/>
    <s v=""/>
    <m/>
    <m/>
    <m/>
    <m/>
    <s v="10/25 given to Austin 7:00 pm"/>
    <s v="10/25 given to Austin 7:00 pm"/>
    <s v=""/>
    <s v=""/>
    <m/>
    <m/>
    <m/>
    <m/>
    <s v=""/>
    <s v=""/>
  </r>
  <r>
    <n v="9758896"/>
    <n v="2"/>
    <s v="20114938"/>
    <s v="LIBERTY CABLEVISION OF PUERTO RICO, INC."/>
    <x v="16"/>
    <d v="2016-10-25T00:00:00"/>
    <d v="2016-10-25T00:00:00"/>
    <x v="2"/>
    <s v="fabian"/>
    <s v=""/>
    <m/>
    <s v=""/>
    <s v=""/>
    <m/>
    <m/>
    <m/>
    <m/>
    <s v="10/25 given to Austin 7:00 pm"/>
    <s v="10/25 given to Austin 7:00 pm"/>
    <s v=""/>
    <s v=""/>
    <m/>
    <m/>
    <m/>
    <m/>
    <s v=""/>
    <s v=""/>
  </r>
  <r>
    <n v="9758899"/>
    <n v="12"/>
    <s v="20117259"/>
    <s v="ADVANCED MEDIA TECHNOLOGIES INC. (PRIOR DX COMMS)"/>
    <x v="16"/>
    <d v="2016-10-25T00:00:00"/>
    <d v="2016-10-25T00:00:00"/>
    <x v="2"/>
    <s v="fabian"/>
    <s v=""/>
    <m/>
    <s v=""/>
    <s v=""/>
    <m/>
    <m/>
    <m/>
    <m/>
    <s v="10/25 given to Austin 7:00 pm"/>
    <s v="10/25 given to Austin 7:00 pm"/>
    <s v=""/>
    <s v=""/>
    <m/>
    <m/>
    <m/>
    <m/>
    <s v=""/>
    <s v=""/>
  </r>
  <r>
    <n v="9758903"/>
    <n v="5"/>
    <s v="20115058"/>
    <s v="CEBRIDGE CONNECTIONS DBA SUDDENLINK"/>
    <x v="16"/>
    <d v="2016-10-25T00:00:00"/>
    <d v="2016-10-25T00:00:00"/>
    <x v="2"/>
    <s v="curtis"/>
    <s v=""/>
    <m/>
    <s v=""/>
    <s v=""/>
    <m/>
    <m/>
    <m/>
    <m/>
    <s v="Given to Riza 10/27 @11:30AM"/>
    <s v=""/>
    <s v=""/>
    <s v=""/>
    <m/>
    <m/>
    <m/>
    <m/>
    <s v=""/>
    <s v=""/>
  </r>
  <r>
    <n v="9758921"/>
    <n v="16"/>
    <s v="20114886"/>
    <s v="RCN"/>
    <x v="16"/>
    <d v="2016-10-25T00:00:00"/>
    <d v="2016-10-25T00:00:00"/>
    <x v="2"/>
    <s v="DAVID"/>
    <s v=""/>
    <m/>
    <s v=""/>
    <s v=""/>
    <m/>
    <m/>
    <m/>
    <m/>
    <s v="10/25 given to Austin 7:00 pm"/>
    <s v="10/25 given to Austin 7:00 pm"/>
    <s v=""/>
    <s v=""/>
    <m/>
    <m/>
    <m/>
    <m/>
    <s v=""/>
    <s v=""/>
  </r>
  <r>
    <n v="9758941"/>
    <n v="1"/>
    <s v="20113667"/>
    <s v="CEBRIDGE CONNECTIONS DBA SUDDENLINK"/>
    <x v="16"/>
    <d v="2016-10-25T00:00:00"/>
    <d v="2016-10-25T00:00:00"/>
    <x v="2"/>
    <s v="JOSE"/>
    <s v=""/>
    <m/>
    <s v=""/>
    <s v=""/>
    <m/>
    <m/>
    <m/>
    <m/>
    <s v="10/25 given to Austin 7:00 pm"/>
    <s v="10/25 given to Austin 7:00 pm"/>
    <s v=""/>
    <s v=""/>
    <m/>
    <m/>
    <m/>
    <m/>
    <s v=""/>
    <s v=""/>
  </r>
  <r>
    <n v="9758942"/>
    <n v="1"/>
    <s v="20114145"/>
    <s v="CHARTER"/>
    <x v="16"/>
    <d v="2016-10-25T00:00:00"/>
    <d v="2016-10-25T00:00:00"/>
    <x v="2"/>
    <s v="JOSE"/>
    <s v=""/>
    <m/>
    <s v=""/>
    <s v=""/>
    <m/>
    <m/>
    <m/>
    <m/>
    <s v="10/25 given to Austin 7:00 pm"/>
    <s v="10/25 given to Austin 7:00 pm"/>
    <s v=""/>
    <s v=""/>
    <m/>
    <m/>
    <m/>
    <m/>
    <s v=""/>
    <s v=""/>
  </r>
  <r>
    <n v="9758943"/>
    <n v="2"/>
    <s v="6901379"/>
    <s v="NSG TECHNOLOGY INC"/>
    <x v="16"/>
    <d v="2016-10-25T00:00:00"/>
    <d v="2016-10-25T00:00:00"/>
    <x v="1"/>
    <s v="fabian"/>
    <s v=""/>
    <m/>
    <s v="YES"/>
    <s v="paperwork in PIR folder (Austin)"/>
    <m/>
    <m/>
    <m/>
    <m/>
    <s v="10/25 given to Austin 7:00 pm"/>
    <s v="10/25 given to Austin 7:00 pm"/>
    <s v=""/>
    <s v=""/>
    <m/>
    <m/>
    <m/>
    <m/>
    <s v=""/>
    <s v=""/>
  </r>
  <r>
    <n v="9758950"/>
    <n v="1"/>
    <s v="20118548"/>
    <s v="NSG TECHNOLOGY INC"/>
    <x v="16"/>
    <d v="2016-10-25T00:00:00"/>
    <d v="2016-10-25T00:00:00"/>
    <x v="2"/>
    <s v="JOSE"/>
    <s v=""/>
    <m/>
    <s v=""/>
    <s v=""/>
    <m/>
    <m/>
    <m/>
    <m/>
    <s v="Given to Riza 10/27 @11:30AM"/>
    <s v=""/>
    <s v=""/>
    <s v=""/>
    <m/>
    <m/>
    <m/>
    <m/>
    <s v=""/>
    <s v=""/>
  </r>
  <r>
    <n v="9758951"/>
    <n v="1"/>
    <s v="20118550"/>
    <s v="NSG TECHNOLOGY INC"/>
    <x v="16"/>
    <d v="2016-10-25T00:00:00"/>
    <d v="2016-10-25T00:00:00"/>
    <x v="2"/>
    <s v="JOSE"/>
    <s v=""/>
    <m/>
    <s v=""/>
    <s v=""/>
    <m/>
    <m/>
    <m/>
    <m/>
    <s v="Given to Riza 10/27 @11:30AM"/>
    <s v=""/>
    <s v=""/>
    <s v=""/>
    <m/>
    <m/>
    <m/>
    <m/>
    <s v=""/>
    <s v=""/>
  </r>
  <r>
    <n v="9758973"/>
    <n v="1"/>
    <s v="6901009"/>
    <s v="COMCAST"/>
    <x v="17"/>
    <d v="2016-10-26T00:00:00"/>
    <d v="2016-10-26T00:00:00"/>
    <x v="3"/>
    <s v="TONY"/>
    <s v=""/>
    <m/>
    <s v=""/>
    <s v=""/>
    <m/>
    <m/>
    <m/>
    <m/>
    <s v="10/26 given to Austin 3:00 pm"/>
    <n v="6901009"/>
    <s v="X"/>
    <s v="705155790063"/>
    <m/>
    <m/>
    <m/>
    <m/>
    <s v=""/>
    <s v=""/>
  </r>
  <r>
    <n v="9758974"/>
    <n v="1"/>
    <s v="6901028"/>
    <s v="COMCAST"/>
    <x v="17"/>
    <d v="2016-10-26T00:00:00"/>
    <d v="2016-10-26T00:00:00"/>
    <x v="3"/>
    <s v="TONY"/>
    <s v=""/>
    <m/>
    <s v=""/>
    <s v=""/>
    <m/>
    <m/>
    <m/>
    <m/>
    <s v="10/26 given to Austin 3:00 pm"/>
    <n v="6901028"/>
    <s v="X"/>
    <s v="705155789872"/>
    <m/>
    <m/>
    <m/>
    <m/>
    <s v=""/>
    <s v=""/>
  </r>
  <r>
    <n v="9758975"/>
    <n v="1"/>
    <s v="6900837"/>
    <s v="COMCAST"/>
    <x v="17"/>
    <d v="2016-10-26T00:00:00"/>
    <d v="2016-10-26T00:00:00"/>
    <x v="3"/>
    <s v="TONY"/>
    <s v=""/>
    <m/>
    <s v=""/>
    <s v=""/>
    <m/>
    <m/>
    <m/>
    <m/>
    <s v="10/26 given to Austin 3:00 pm"/>
    <n v="6900837"/>
    <s v="X"/>
    <s v="705155790214"/>
    <m/>
    <m/>
    <m/>
    <m/>
    <s v=""/>
    <s v=""/>
  </r>
  <r>
    <n v="9758976"/>
    <n v="21"/>
    <s v="6901085"/>
    <s v="CEBRIDGE CONNECTIONS DBA SUDDENLINK"/>
    <x v="17"/>
    <d v="2016-10-26T00:00:00"/>
    <d v="2016-10-26T00:00:00"/>
    <x v="2"/>
    <s v="curtis"/>
    <s v=""/>
    <m/>
    <s v=""/>
    <s v=""/>
    <m/>
    <m/>
    <m/>
    <m/>
    <s v="Given to Riza 10/27 @11:30AM"/>
    <s v=""/>
    <s v=""/>
    <s v=""/>
    <m/>
    <m/>
    <m/>
    <m/>
    <s v=""/>
    <s v=""/>
  </r>
  <r>
    <n v="9759013"/>
    <n v="1"/>
    <s v="20116418"/>
    <s v="COMCAST"/>
    <x v="17"/>
    <d v="2016-10-26T00:00:00"/>
    <d v="2016-10-26T00:00:00"/>
    <x v="0"/>
    <s v=""/>
    <s v=""/>
    <m/>
    <s v=""/>
    <s v=""/>
    <m/>
    <m/>
    <m/>
    <m/>
    <s v="Given to Austin 10/28 8AM"/>
    <s v=""/>
    <s v=""/>
    <s v=""/>
    <m/>
    <m/>
    <m/>
    <m/>
    <s v=""/>
    <s v=""/>
  </r>
  <r>
    <n v="9759014"/>
    <n v="1"/>
    <s v="20110763"/>
    <s v="COMCAST"/>
    <x v="17"/>
    <d v="2016-10-26T00:00:00"/>
    <d v="2016-10-26T00:00:00"/>
    <x v="0"/>
    <s v=""/>
    <s v=""/>
    <m/>
    <s v=""/>
    <s v=""/>
    <m/>
    <m/>
    <m/>
    <m/>
    <s v="Given to Austin 10/28 8AM"/>
    <s v=""/>
    <s v=""/>
    <s v=""/>
    <m/>
    <m/>
    <m/>
    <m/>
    <s v=""/>
    <s v=""/>
  </r>
  <r>
    <n v="9759015"/>
    <n v="1"/>
    <s v="20113048"/>
    <s v="COMCAST"/>
    <x v="17"/>
    <d v="2016-10-26T00:00:00"/>
    <d v="2016-10-26T00:00:00"/>
    <x v="0"/>
    <s v=""/>
    <s v=""/>
    <m/>
    <s v=""/>
    <s v=""/>
    <m/>
    <m/>
    <m/>
    <m/>
    <s v="Given to Austin 10/28 8AM"/>
    <s v=""/>
    <s v=""/>
    <s v=""/>
    <m/>
    <m/>
    <m/>
    <m/>
    <s v=""/>
    <s v=""/>
  </r>
  <r>
    <n v="9759016"/>
    <n v="3"/>
    <s v="20118628"/>
    <s v="COMCAST"/>
    <x v="17"/>
    <d v="2016-10-26T00:00:00"/>
    <d v="2016-10-26T00:00:00"/>
    <x v="0"/>
    <s v=""/>
    <s v=""/>
    <m/>
    <s v=""/>
    <s v=""/>
    <m/>
    <m/>
    <m/>
    <m/>
    <s v="Given to Austin 10/28 8AM"/>
    <s v=""/>
    <s v=""/>
    <s v=""/>
    <m/>
    <m/>
    <m/>
    <m/>
    <s v=""/>
    <s v=""/>
  </r>
  <r>
    <n v="9759017"/>
    <n v="1"/>
    <s v="20106317"/>
    <s v="COMCAST"/>
    <x v="17"/>
    <d v="2016-10-26T00:00:00"/>
    <d v="2016-10-26T00:00:00"/>
    <x v="0"/>
    <s v=""/>
    <s v=""/>
    <m/>
    <s v=""/>
    <s v=""/>
    <m/>
    <m/>
    <m/>
    <m/>
    <s v="Given to Austin 10/28 8AM"/>
    <s v=""/>
    <s v=""/>
    <s v=""/>
    <m/>
    <m/>
    <m/>
    <m/>
    <s v=""/>
    <s v=""/>
  </r>
  <r>
    <n v="9759018"/>
    <n v="1"/>
    <s v="20107194"/>
    <s v="COMCAST"/>
    <x v="17"/>
    <d v="2016-10-26T00:00:00"/>
    <d v="2016-10-26T00:00:00"/>
    <x v="0"/>
    <s v=""/>
    <s v=""/>
    <m/>
    <s v=""/>
    <s v=""/>
    <m/>
    <m/>
    <m/>
    <m/>
    <s v="Given to Austin 10/28 8AM"/>
    <s v=""/>
    <s v=""/>
    <s v=""/>
    <m/>
    <m/>
    <m/>
    <m/>
    <s v=""/>
    <s v=""/>
  </r>
  <r>
    <n v="9759019"/>
    <n v="1"/>
    <s v="20112894"/>
    <s v="COMCAST"/>
    <x v="17"/>
    <d v="2016-10-26T00:00:00"/>
    <d v="2016-10-26T00:00:00"/>
    <x v="0"/>
    <s v=""/>
    <s v=""/>
    <m/>
    <s v=""/>
    <s v=""/>
    <m/>
    <m/>
    <m/>
    <m/>
    <s v="Given to Austin 10/28 8AM"/>
    <s v=""/>
    <s v=""/>
    <s v=""/>
    <m/>
    <m/>
    <m/>
    <m/>
    <s v=""/>
    <s v=""/>
  </r>
  <r>
    <n v="9759020"/>
    <n v="2"/>
    <s v="20106163"/>
    <s v="COMCAST"/>
    <x v="17"/>
    <d v="2016-10-26T00:00:00"/>
    <d v="2016-10-26T00:00:00"/>
    <x v="0"/>
    <s v=""/>
    <s v=""/>
    <m/>
    <s v=""/>
    <s v=""/>
    <m/>
    <m/>
    <m/>
    <m/>
    <s v="Given to Austin 10/28 8AM"/>
    <s v=""/>
    <s v=""/>
    <s v=""/>
    <m/>
    <m/>
    <m/>
    <m/>
    <s v=""/>
    <s v=""/>
  </r>
  <r>
    <n v="9759021"/>
    <n v="1"/>
    <s v="20106702"/>
    <s v="COMCAST"/>
    <x v="17"/>
    <d v="2016-10-26T00:00:00"/>
    <d v="2016-10-26T00:00:00"/>
    <x v="0"/>
    <s v=""/>
    <s v=""/>
    <m/>
    <s v=""/>
    <s v=""/>
    <m/>
    <m/>
    <m/>
    <m/>
    <s v="Given to Austin 10/28 8AM"/>
    <s v=""/>
    <s v=""/>
    <s v=""/>
    <m/>
    <m/>
    <m/>
    <m/>
    <s v=""/>
    <s v=""/>
  </r>
  <r>
    <n v="9759022"/>
    <n v="1"/>
    <s v="6900015"/>
    <s v="COMCAST"/>
    <x v="17"/>
    <d v="2016-10-26T00:00:00"/>
    <d v="2016-10-26T00:00:00"/>
    <x v="3"/>
    <s v="TONY"/>
    <s v=""/>
    <m/>
    <s v=""/>
    <s v=""/>
    <m/>
    <m/>
    <m/>
    <m/>
    <s v="10/26 given to Austin 3:00 pm"/>
    <n v="6900015"/>
    <s v="X"/>
    <s v="707455473512"/>
    <m/>
    <m/>
    <m/>
    <m/>
    <s v=""/>
    <s v=""/>
  </r>
  <r>
    <n v="9759029"/>
    <n v="1"/>
    <s v="6901166"/>
    <s v="COMCAST"/>
    <x v="17"/>
    <d v="2016-10-26T00:00:00"/>
    <d v="2016-10-26T00:00:00"/>
    <x v="3"/>
    <s v="curtis"/>
    <s v=""/>
    <m/>
    <s v=""/>
    <s v=""/>
    <m/>
    <m/>
    <m/>
    <m/>
    <s v="10/26 given to Austin 3:00 pm"/>
    <s v="10/26 given to Austin 3:00 pm"/>
    <s v=""/>
    <s v="705155790074"/>
    <m/>
    <m/>
    <m/>
    <m/>
    <s v=""/>
    <s v=""/>
  </r>
  <r>
    <n v="9759031"/>
    <n v="1"/>
    <s v="6900785"/>
    <s v="COMCAST"/>
    <x v="17"/>
    <d v="2016-10-26T00:00:00"/>
    <d v="2016-10-26T00:00:00"/>
    <x v="3"/>
    <s v="TONY"/>
    <s v=""/>
    <m/>
    <s v=""/>
    <s v=""/>
    <m/>
    <m/>
    <m/>
    <m/>
    <s v="10/26 given to Austin 3:00 pm"/>
    <n v="6900785"/>
    <s v="X"/>
    <s v="705155790041"/>
    <m/>
    <m/>
    <m/>
    <m/>
    <s v=""/>
    <s v=""/>
  </r>
  <r>
    <n v="9759032"/>
    <n v="1"/>
    <s v="20110901"/>
    <s v="COMCAST"/>
    <x v="17"/>
    <d v="2016-10-26T00:00:00"/>
    <d v="2016-10-26T00:00:00"/>
    <x v="0"/>
    <s v=""/>
    <s v=""/>
    <m/>
    <s v=""/>
    <s v=""/>
    <m/>
    <m/>
    <m/>
    <m/>
    <s v="Given to Austin 10/28 8AM"/>
    <s v=""/>
    <s v=""/>
    <s v=""/>
    <m/>
    <m/>
    <m/>
    <m/>
    <s v=""/>
    <s v=""/>
  </r>
  <r>
    <n v="9759033"/>
    <n v="2"/>
    <s v="20113061"/>
    <s v="COX COMMUNICATIONS"/>
    <x v="17"/>
    <d v="2016-10-26T00:00:00"/>
    <d v="2016-10-26T00:00:00"/>
    <x v="0"/>
    <s v=""/>
    <s v=""/>
    <m/>
    <s v=""/>
    <s v=""/>
    <m/>
    <m/>
    <m/>
    <m/>
    <s v="Given to Austin 10/28 8AM"/>
    <s v=""/>
    <s v=""/>
    <s v=""/>
    <m/>
    <m/>
    <m/>
    <m/>
    <s v=""/>
    <s v=""/>
  </r>
  <r>
    <n v="9759034"/>
    <n v="1"/>
    <s v="92001993"/>
    <s v="ROGERS CABLE"/>
    <x v="17"/>
    <d v="2016-10-26T00:00:00"/>
    <d v="2016-10-26T00:00:00"/>
    <x v="0"/>
    <s v=""/>
    <s v=""/>
    <m/>
    <s v=""/>
    <s v=""/>
    <m/>
    <m/>
    <m/>
    <m/>
    <s v="Given to Austin 10/28 8AM"/>
    <s v=""/>
    <s v=""/>
    <s v=""/>
    <m/>
    <m/>
    <m/>
    <m/>
    <s v=""/>
    <s v=""/>
  </r>
  <r>
    <n v="9759035"/>
    <n v="19"/>
    <s v="90710588"/>
    <s v="ARRIS TECHNOLOGY, INC."/>
    <x v="17"/>
    <d v="2016-10-26T00:00:00"/>
    <d v="2016-10-26T00:00:00"/>
    <x v="5"/>
    <s v=""/>
    <s v=""/>
    <m/>
    <s v=""/>
    <s v=""/>
    <m/>
    <m/>
    <m/>
    <m/>
    <s v=""/>
    <s v=""/>
    <e v="#N/A"/>
    <s v=""/>
    <m/>
    <m/>
    <m/>
    <m/>
    <s v=""/>
    <s v=""/>
  </r>
  <r>
    <n v="9759036"/>
    <n v="1"/>
    <s v="20114932"/>
    <s v="LIBERTY CABLEVISION OF PUERTO RICO, INC."/>
    <x v="17"/>
    <d v="2016-10-26T00:00:00"/>
    <d v="2016-10-26T00:00:00"/>
    <x v="2"/>
    <s v="DAVID"/>
    <s v=""/>
    <m/>
    <s v=""/>
    <s v=""/>
    <m/>
    <m/>
    <m/>
    <m/>
    <s v="10/26 given to Austin 3:00 pm"/>
    <s v="10/26 given to Austin 3:00 pm"/>
    <s v=""/>
    <s v=""/>
    <m/>
    <m/>
    <m/>
    <m/>
    <s v=""/>
    <s v=""/>
  </r>
  <r>
    <n v="9759037"/>
    <n v="2"/>
    <s v="20111077"/>
    <s v="GCI CABLE"/>
    <x v="17"/>
    <d v="2016-10-26T00:00:00"/>
    <d v="2016-10-26T00:00:00"/>
    <x v="0"/>
    <s v=""/>
    <s v=""/>
    <m/>
    <s v=""/>
    <s v=""/>
    <m/>
    <m/>
    <m/>
    <m/>
    <s v="Given to Austin 10/28 8AM"/>
    <s v=""/>
    <s v=""/>
    <s v=""/>
    <m/>
    <m/>
    <m/>
    <m/>
    <s v=""/>
    <s v=""/>
  </r>
  <r>
    <n v="9759040"/>
    <n v="1"/>
    <s v="20106428"/>
    <s v="CHARTER"/>
    <x v="17"/>
    <d v="2016-10-26T00:00:00"/>
    <d v="2016-10-26T00:00:00"/>
    <x v="0"/>
    <s v=""/>
    <s v=""/>
    <m/>
    <s v=""/>
    <s v=""/>
    <m/>
    <m/>
    <m/>
    <m/>
    <s v="Given to Austin 10/28 8AM"/>
    <s v=""/>
    <s v=""/>
    <s v=""/>
    <m/>
    <m/>
    <m/>
    <m/>
    <s v=""/>
    <s v=""/>
  </r>
  <r>
    <n v="9759041"/>
    <n v="1"/>
    <s v="20106472"/>
    <s v="CHARTER"/>
    <x v="17"/>
    <d v="2016-10-26T00:00:00"/>
    <d v="2016-10-26T00:00:00"/>
    <x v="0"/>
    <s v=""/>
    <s v=""/>
    <m/>
    <s v=""/>
    <s v=""/>
    <m/>
    <m/>
    <m/>
    <m/>
    <s v="Given to Austin 10/28 8AM"/>
    <s v=""/>
    <s v=""/>
    <s v=""/>
    <m/>
    <m/>
    <m/>
    <m/>
    <s v=""/>
    <s v=""/>
  </r>
  <r>
    <n v="9759042"/>
    <n v="1"/>
    <s v="20107386"/>
    <s v="CHARTER"/>
    <x v="17"/>
    <d v="2016-10-26T00:00:00"/>
    <d v="2016-10-26T00:00:00"/>
    <x v="0"/>
    <s v=""/>
    <s v=""/>
    <m/>
    <s v=""/>
    <s v=""/>
    <m/>
    <m/>
    <m/>
    <m/>
    <s v="Given to Austin 10/28 8AM"/>
    <s v=""/>
    <s v=""/>
    <s v=""/>
    <m/>
    <m/>
    <m/>
    <m/>
    <s v=""/>
    <s v=""/>
  </r>
  <r>
    <n v="9759043"/>
    <n v="1"/>
    <s v="20111018"/>
    <s v="CHARTER"/>
    <x v="17"/>
    <d v="2016-10-26T00:00:00"/>
    <d v="2016-10-26T00:00:00"/>
    <x v="0"/>
    <s v=""/>
    <s v=""/>
    <m/>
    <s v=""/>
    <s v=""/>
    <m/>
    <m/>
    <m/>
    <m/>
    <s v="Given to Austin 10/28 8AM"/>
    <s v=""/>
    <s v=""/>
    <s v=""/>
    <m/>
    <m/>
    <m/>
    <m/>
    <s v=""/>
    <s v=""/>
  </r>
  <r>
    <n v="9759044"/>
    <n v="3"/>
    <s v="20111017"/>
    <s v="CHARTER"/>
    <x v="17"/>
    <d v="2016-10-26T00:00:00"/>
    <d v="2016-10-26T00:00:00"/>
    <x v="0"/>
    <s v=""/>
    <s v=""/>
    <m/>
    <s v=""/>
    <s v=""/>
    <m/>
    <m/>
    <m/>
    <m/>
    <s v="Given to Austin 10/28 8AM"/>
    <s v=""/>
    <s v=""/>
    <s v=""/>
    <m/>
    <m/>
    <m/>
    <m/>
    <s v=""/>
    <s v=""/>
  </r>
  <r>
    <n v="9759045"/>
    <n v="1"/>
    <s v="20112605"/>
    <s v="CHARTER"/>
    <x v="17"/>
    <d v="2016-10-26T00:00:00"/>
    <d v="2016-10-26T00:00:00"/>
    <x v="0"/>
    <s v=""/>
    <s v=""/>
    <m/>
    <s v=""/>
    <s v=""/>
    <m/>
    <m/>
    <m/>
    <m/>
    <s v="Given to Austin 10/28 8AM"/>
    <s v=""/>
    <s v=""/>
    <s v=""/>
    <m/>
    <m/>
    <m/>
    <m/>
    <s v=""/>
    <s v=""/>
  </r>
  <r>
    <n v="9759046"/>
    <n v="3"/>
    <s v="20113005"/>
    <s v="CHARTER"/>
    <x v="17"/>
    <d v="2016-10-26T00:00:00"/>
    <d v="2016-10-26T00:00:00"/>
    <x v="0"/>
    <s v=""/>
    <s v=""/>
    <m/>
    <s v=""/>
    <s v=""/>
    <m/>
    <m/>
    <m/>
    <m/>
    <s v="Given to Austin 10/28 8AM"/>
    <s v=""/>
    <s v=""/>
    <s v=""/>
    <m/>
    <m/>
    <m/>
    <m/>
    <s v=""/>
    <s v=""/>
  </r>
  <r>
    <n v="9759047"/>
    <n v="15"/>
    <s v="20113710"/>
    <s v="CHARTER"/>
    <x v="17"/>
    <d v="2016-10-26T00:00:00"/>
    <d v="2016-10-26T00:00:00"/>
    <x v="0"/>
    <s v=""/>
    <s v=""/>
    <m/>
    <s v=""/>
    <s v=""/>
    <m/>
    <m/>
    <m/>
    <m/>
    <s v="Given to Austin 10/28 8AM"/>
    <s v=""/>
    <s v=""/>
    <s v=""/>
    <m/>
    <m/>
    <m/>
    <m/>
    <s v=""/>
    <s v=""/>
  </r>
  <r>
    <n v="9759048"/>
    <n v="1"/>
    <s v="20113806"/>
    <s v="CHARTER"/>
    <x v="17"/>
    <d v="2016-10-26T00:00:00"/>
    <d v="2016-10-26T00:00:00"/>
    <x v="0"/>
    <s v=""/>
    <s v=""/>
    <m/>
    <s v=""/>
    <s v=""/>
    <m/>
    <m/>
    <m/>
    <m/>
    <s v="Given to Austin 10/28 8AM"/>
    <s v=""/>
    <s v=""/>
    <s v=""/>
    <m/>
    <m/>
    <m/>
    <m/>
    <s v=""/>
    <s v=""/>
  </r>
  <r>
    <n v="9759049"/>
    <n v="1"/>
    <s v="20115048"/>
    <s v="CHARTER"/>
    <x v="17"/>
    <d v="2016-10-26T00:00:00"/>
    <d v="2016-10-26T00:00:00"/>
    <x v="0"/>
    <s v=""/>
    <s v=""/>
    <m/>
    <s v=""/>
    <s v=""/>
    <m/>
    <m/>
    <m/>
    <m/>
    <s v="Given to Austin 10/28 8AM"/>
    <s v=""/>
    <s v=""/>
    <s v=""/>
    <m/>
    <m/>
    <m/>
    <m/>
    <s v=""/>
    <s v=""/>
  </r>
  <r>
    <n v="9759050"/>
    <n v="1"/>
    <s v="20115047"/>
    <s v="CHARTER"/>
    <x v="17"/>
    <d v="2016-10-26T00:00:00"/>
    <d v="2016-10-26T00:00:00"/>
    <x v="0"/>
    <s v=""/>
    <s v=""/>
    <m/>
    <s v=""/>
    <s v=""/>
    <m/>
    <m/>
    <m/>
    <m/>
    <s v="Given to Austin 10/28 8AM"/>
    <s v=""/>
    <s v=""/>
    <s v=""/>
    <m/>
    <m/>
    <m/>
    <m/>
    <s v=""/>
    <s v=""/>
  </r>
  <r>
    <n v="9759051"/>
    <n v="1"/>
    <s v="20115161"/>
    <s v="CHARTER"/>
    <x v="17"/>
    <d v="2016-10-26T00:00:00"/>
    <d v="2016-10-26T00:00:00"/>
    <x v="0"/>
    <s v=""/>
    <s v=""/>
    <m/>
    <s v=""/>
    <s v=""/>
    <m/>
    <m/>
    <m/>
    <m/>
    <s v="Given to Austin 10/28 8AM"/>
    <s v=""/>
    <s v=""/>
    <s v=""/>
    <m/>
    <m/>
    <m/>
    <m/>
    <s v=""/>
    <s v=""/>
  </r>
  <r>
    <n v="9759052"/>
    <n v="1"/>
    <s v="20106469"/>
    <s v="CHARTER"/>
    <x v="17"/>
    <d v="2016-10-26T00:00:00"/>
    <d v="2016-10-26T00:00:00"/>
    <x v="0"/>
    <s v=""/>
    <s v=""/>
    <m/>
    <s v=""/>
    <s v=""/>
    <m/>
    <m/>
    <m/>
    <m/>
    <s v="Given to Austin 10/28 8AM"/>
    <s v=""/>
    <s v=""/>
    <s v=""/>
    <m/>
    <m/>
    <m/>
    <m/>
    <s v=""/>
    <s v=""/>
  </r>
  <r>
    <n v="9759053"/>
    <n v="1"/>
    <s v="20107315"/>
    <s v="CHARTER"/>
    <x v="17"/>
    <d v="2016-10-26T00:00:00"/>
    <d v="2016-10-26T00:00:00"/>
    <x v="0"/>
    <s v=""/>
    <s v=""/>
    <m/>
    <s v=""/>
    <s v=""/>
    <m/>
    <m/>
    <m/>
    <m/>
    <s v="Given to Austin 10/28 8AM"/>
    <s v=""/>
    <s v=""/>
    <s v=""/>
    <m/>
    <m/>
    <m/>
    <m/>
    <s v=""/>
    <s v=""/>
  </r>
  <r>
    <n v="9759055"/>
    <n v="3"/>
    <s v="6900976"/>
    <s v="CHARTER"/>
    <x v="17"/>
    <d v="2016-10-26T00:00:00"/>
    <d v="2016-10-26T00:00:00"/>
    <x v="0"/>
    <s v=""/>
    <s v=""/>
    <m/>
    <s v=""/>
    <s v=""/>
    <m/>
    <m/>
    <m/>
    <m/>
    <s v="Given to Austin 10/28 8AM"/>
    <s v=""/>
    <s v=""/>
    <s v=""/>
    <m/>
    <m/>
    <m/>
    <m/>
    <s v=""/>
    <s v=""/>
  </r>
  <r>
    <n v="9759060"/>
    <n v="1"/>
    <s v="6900751"/>
    <s v="CHARTER"/>
    <x v="17"/>
    <d v="2016-10-26T00:00:00"/>
    <d v="2016-10-26T00:00:00"/>
    <x v="3"/>
    <s v="curtis"/>
    <s v=""/>
    <m/>
    <s v=""/>
    <s v=""/>
    <m/>
    <m/>
    <m/>
    <m/>
    <s v="10/26 given to Austin 3:00 pm"/>
    <n v="6900751"/>
    <s v="X"/>
    <s v="705155790122"/>
    <m/>
    <m/>
    <m/>
    <m/>
    <s v=""/>
    <s v=""/>
  </r>
  <r>
    <n v="9759061"/>
    <n v="4"/>
    <s v="6900994"/>
    <s v="CHARTER"/>
    <x v="17"/>
    <d v="2016-10-26T00:00:00"/>
    <d v="2016-10-26T00:00:00"/>
    <x v="0"/>
    <s v=""/>
    <s v=""/>
    <m/>
    <s v=""/>
    <s v=""/>
    <m/>
    <m/>
    <m/>
    <m/>
    <s v="Given to Austin 10/28 8AM"/>
    <s v=""/>
    <s v=""/>
    <s v=""/>
    <m/>
    <m/>
    <m/>
    <m/>
    <s v=""/>
    <s v=""/>
  </r>
  <r>
    <n v="9759062"/>
    <n v="1"/>
    <s v="6900830"/>
    <s v="CHARTER"/>
    <x v="17"/>
    <d v="2016-10-26T00:00:00"/>
    <d v="2016-10-26T00:00:00"/>
    <x v="3"/>
    <s v="curtis"/>
    <s v=""/>
    <m/>
    <s v=""/>
    <s v=""/>
    <m/>
    <m/>
    <m/>
    <m/>
    <s v="10/26 given to Austin 3:00 pm"/>
    <n v="6900830"/>
    <s v="X"/>
    <s v="705155789997"/>
    <m/>
    <m/>
    <m/>
    <m/>
    <s v=""/>
    <s v=""/>
  </r>
  <r>
    <n v="9759063"/>
    <n v="2"/>
    <s v="20118078"/>
    <s v="CHARTER"/>
    <x v="17"/>
    <d v="2016-10-26T00:00:00"/>
    <d v="2016-10-26T00:00:00"/>
    <x v="0"/>
    <s v=""/>
    <s v=""/>
    <m/>
    <s v=""/>
    <s v=""/>
    <m/>
    <m/>
    <m/>
    <m/>
    <s v="Given to Austin 10/28 8AM"/>
    <s v=""/>
    <s v=""/>
    <s v=""/>
    <m/>
    <m/>
    <m/>
    <m/>
    <s v=""/>
    <s v=""/>
  </r>
  <r>
    <n v="9759064"/>
    <n v="1"/>
    <s v="20118157"/>
    <s v="CHARTER"/>
    <x v="17"/>
    <d v="2016-10-26T00:00:00"/>
    <d v="2016-10-26T00:00:00"/>
    <x v="0"/>
    <s v=""/>
    <s v=""/>
    <m/>
    <s v=""/>
    <s v=""/>
    <m/>
    <m/>
    <m/>
    <m/>
    <s v="Given to Austin 10/28 8AM"/>
    <s v=""/>
    <s v=""/>
    <s v=""/>
    <m/>
    <m/>
    <m/>
    <m/>
    <s v=""/>
    <s v=""/>
  </r>
  <r>
    <n v="9759065"/>
    <n v="23"/>
    <s v="20115382"/>
    <s v="TDS Telecom"/>
    <x v="17"/>
    <d v="2016-10-26T00:00:00"/>
    <d v="2016-10-26T00:00:00"/>
    <x v="0"/>
    <s v=""/>
    <s v=""/>
    <m/>
    <s v=""/>
    <s v=""/>
    <m/>
    <m/>
    <m/>
    <m/>
    <s v="Given to Austin 10/28 8AM"/>
    <s v=""/>
    <s v=""/>
    <s v=""/>
    <m/>
    <m/>
    <m/>
    <m/>
    <s v=""/>
    <s v=""/>
  </r>
  <r>
    <n v="9759066"/>
    <n v="21"/>
    <s v="20115582"/>
    <s v="TDS Telecom"/>
    <x v="17"/>
    <d v="2016-10-26T00:00:00"/>
    <d v="2016-10-26T00:00:00"/>
    <x v="0"/>
    <s v=""/>
    <s v=""/>
    <m/>
    <s v=""/>
    <s v=""/>
    <m/>
    <m/>
    <m/>
    <m/>
    <s v="Given to Austin 10/28 8AM"/>
    <s v=""/>
    <s v=""/>
    <s v=""/>
    <m/>
    <m/>
    <m/>
    <m/>
    <s v=""/>
    <s v=""/>
  </r>
  <r>
    <n v="9759067"/>
    <n v="23"/>
    <s v="20115199"/>
    <s v="TDS Telecom"/>
    <x v="17"/>
    <d v="2016-10-26T00:00:00"/>
    <d v="2016-10-26T00:00:00"/>
    <x v="0"/>
    <s v=""/>
    <s v=""/>
    <m/>
    <s v=""/>
    <s v=""/>
    <m/>
    <m/>
    <m/>
    <m/>
    <s v="Given to Austin 10/28 8AM"/>
    <s v=""/>
    <s v=""/>
    <s v=""/>
    <m/>
    <m/>
    <m/>
    <m/>
    <s v=""/>
    <s v=""/>
  </r>
  <r>
    <n v="9759139"/>
    <n v="1"/>
    <s v="20115533"/>
    <s v="MEDIACOM"/>
    <x v="17"/>
    <d v="2016-10-26T00:00:00"/>
    <d v="2016-10-26T00:00:00"/>
    <x v="3"/>
    <s v="TONY"/>
    <s v=""/>
    <m/>
    <s v=""/>
    <s v=""/>
    <m/>
    <m/>
    <m/>
    <m/>
    <s v="10/26 given to Austin 3:00 pm"/>
    <n v="20115533"/>
    <s v="X"/>
    <s v="1Z3Y05W40366771061"/>
    <m/>
    <m/>
    <m/>
    <m/>
    <s v=""/>
    <s v=""/>
  </r>
  <r>
    <n v="9759141"/>
    <n v="1"/>
    <s v="20116069"/>
    <s v="MEDIACOM"/>
    <x v="17"/>
    <d v="2016-10-26T00:00:00"/>
    <d v="2016-10-26T00:00:00"/>
    <x v="3"/>
    <s v="TONY"/>
    <s v=""/>
    <m/>
    <s v=""/>
    <s v=""/>
    <m/>
    <m/>
    <m/>
    <m/>
    <s v="10/26 given to Austin 3:00 pm"/>
    <n v="20116069"/>
    <s v="X"/>
    <s v="1Z3Y05W40366876056"/>
    <m/>
    <m/>
    <m/>
    <m/>
    <s v=""/>
    <s v=""/>
  </r>
  <r>
    <n v="9759142"/>
    <n v="1"/>
    <s v="20116775"/>
    <s v="MEDIACOM"/>
    <x v="17"/>
    <d v="2016-10-26T00:00:00"/>
    <d v="2016-10-26T00:00:00"/>
    <x v="3"/>
    <s v="TONY"/>
    <s v=""/>
    <m/>
    <s v=""/>
    <s v=""/>
    <m/>
    <m/>
    <m/>
    <m/>
    <s v="10/26 given to Austin 3:00 pm"/>
    <n v="20116775"/>
    <s v="X"/>
    <s v="1Z3Y05W40364007471"/>
    <m/>
    <m/>
    <m/>
    <m/>
    <s v=""/>
    <s v=""/>
  </r>
  <r>
    <n v="9759143"/>
    <n v="2"/>
    <s v="20117173"/>
    <s v="MEDIACOM"/>
    <x v="17"/>
    <d v="2016-10-26T00:00:00"/>
    <d v="2016-10-26T00:00:00"/>
    <x v="3"/>
    <s v="TONY"/>
    <s v=""/>
    <m/>
    <s v=""/>
    <s v=""/>
    <m/>
    <m/>
    <m/>
    <m/>
    <s v="10/26 given to Austin 3:00 pm"/>
    <n v="20117173"/>
    <s v="X"/>
    <s v="1Z3Y05W40364126235"/>
    <m/>
    <m/>
    <m/>
    <m/>
    <s v=""/>
    <s v=""/>
  </r>
  <r>
    <n v="9759144"/>
    <n v="1"/>
    <s v="20117879"/>
    <s v="MEDIACOM"/>
    <x v="17"/>
    <d v="2016-10-26T00:00:00"/>
    <d v="2016-10-26T00:00:00"/>
    <x v="3"/>
    <s v="TONY"/>
    <s v=""/>
    <m/>
    <s v=""/>
    <s v=""/>
    <m/>
    <m/>
    <m/>
    <m/>
    <s v="10/26 given to Austin 3:00 pm"/>
    <n v="20117879"/>
    <s v="X"/>
    <s v="1Z3Y05W40364766446"/>
    <m/>
    <m/>
    <m/>
    <m/>
    <s v=""/>
    <s v=""/>
  </r>
  <r>
    <n v="9759146"/>
    <n v="1"/>
    <s v="20116672"/>
    <s v="COMCAST"/>
    <x v="17"/>
    <d v="2016-10-26T00:00:00"/>
    <d v="2016-10-26T00:00:00"/>
    <x v="3"/>
    <s v="TONY"/>
    <s v=""/>
    <m/>
    <s v=""/>
    <s v=""/>
    <m/>
    <m/>
    <m/>
    <m/>
    <s v="10/26 given to Austin 3:00 pm"/>
    <n v="20116672"/>
    <s v="X"/>
    <s v="705155789883"/>
    <m/>
    <m/>
    <m/>
    <m/>
    <s v=""/>
    <s v=""/>
  </r>
  <r>
    <n v="9759154"/>
    <n v="1"/>
    <s v="20118339"/>
    <s v="COMCAST"/>
    <x v="17"/>
    <d v="2016-10-26T00:00:00"/>
    <d v="2016-10-26T00:00:00"/>
    <x v="3"/>
    <s v="TONY"/>
    <s v=""/>
    <m/>
    <s v=""/>
    <s v=""/>
    <m/>
    <m/>
    <m/>
    <m/>
    <s v="10/26 given to Austin 3:00 pm"/>
    <n v="20118339"/>
    <s v="X"/>
    <s v="705155789909"/>
    <m/>
    <m/>
    <m/>
    <m/>
    <s v=""/>
    <s v=""/>
  </r>
  <r>
    <n v="9759155"/>
    <n v="1"/>
    <s v="20118694"/>
    <s v="COMCAST"/>
    <x v="17"/>
    <d v="2016-10-26T00:00:00"/>
    <d v="2016-10-26T00:00:00"/>
    <x v="3"/>
    <s v="TONY"/>
    <s v=""/>
    <m/>
    <s v=""/>
    <s v=""/>
    <m/>
    <m/>
    <m/>
    <m/>
    <s v="10/26 given to Austin 3:00 pm"/>
    <n v="20118694"/>
    <s v="X"/>
    <s v="705155790177"/>
    <m/>
    <m/>
    <m/>
    <m/>
    <s v=""/>
    <s v=""/>
  </r>
  <r>
    <n v="9759156"/>
    <n v="1"/>
    <s v="20114877"/>
    <s v="COMCAST"/>
    <x v="17"/>
    <d v="2016-10-26T00:00:00"/>
    <d v="2016-10-26T00:00:00"/>
    <x v="3"/>
    <s v="TONY"/>
    <s v=""/>
    <m/>
    <s v=""/>
    <s v=""/>
    <m/>
    <m/>
    <m/>
    <m/>
    <s v="10/26 given to Austin 3:00 pm"/>
    <n v="20114877"/>
    <s v="X"/>
    <s v="707455473523"/>
    <m/>
    <m/>
    <m/>
    <m/>
    <s v=""/>
    <s v=""/>
  </r>
  <r>
    <n v="9759158"/>
    <n v="1"/>
    <s v="20115438"/>
    <s v="COMCAST"/>
    <x v="17"/>
    <d v="2016-10-26T00:00:00"/>
    <d v="2016-10-26T00:00:00"/>
    <x v="2"/>
    <s v="JOSE"/>
    <s v=""/>
    <m/>
    <s v=""/>
    <s v=""/>
    <m/>
    <m/>
    <m/>
    <m/>
    <s v="10/26 given to Austin 3:00 pm"/>
    <s v="10/26 given to Austin 3:00 pm"/>
    <s v=""/>
    <s v=""/>
    <m/>
    <m/>
    <m/>
    <m/>
    <s v=""/>
    <s v=""/>
  </r>
  <r>
    <n v="9759163"/>
    <n v="1"/>
    <s v="20116270"/>
    <s v="COMCAST"/>
    <x v="17"/>
    <d v="2016-10-26T00:00:00"/>
    <d v="2016-10-26T00:00:00"/>
    <x v="3"/>
    <s v="fabian"/>
    <s v=""/>
    <m/>
    <s v=""/>
    <s v=""/>
    <m/>
    <m/>
    <m/>
    <m/>
    <s v="10/26 given to Austin 3:00 pm"/>
    <n v="20116270"/>
    <s v="X"/>
    <s v="705155790052"/>
    <m/>
    <m/>
    <m/>
    <m/>
    <s v=""/>
    <s v=""/>
  </r>
  <r>
    <n v="9759164"/>
    <n v="1"/>
    <s v="20116272"/>
    <s v="COMCAST"/>
    <x v="17"/>
    <d v="2016-10-26T00:00:00"/>
    <d v="2016-10-26T00:00:00"/>
    <x v="3"/>
    <s v="fabian"/>
    <s v=""/>
    <m/>
    <s v=""/>
    <s v=""/>
    <m/>
    <m/>
    <m/>
    <m/>
    <s v="10/26 given to Austin 3:00 pm"/>
    <n v="20116272"/>
    <s v="X"/>
    <s v="705155790085"/>
    <m/>
    <m/>
    <m/>
    <m/>
    <s v=""/>
    <s v=""/>
  </r>
  <r>
    <n v="9759165"/>
    <n v="2"/>
    <s v="20116278"/>
    <s v="COMCAST"/>
    <x v="17"/>
    <d v="2016-10-26T00:00:00"/>
    <d v="2016-10-26T00:00:00"/>
    <x v="3"/>
    <s v="JOSE"/>
    <s v=""/>
    <m/>
    <s v=""/>
    <s v=""/>
    <m/>
    <m/>
    <m/>
    <m/>
    <s v="Given to Riza 10/27 @11:30AM"/>
    <s v=""/>
    <s v=""/>
    <s v="703018781415"/>
    <m/>
    <m/>
    <m/>
    <m/>
    <s v=""/>
    <s v=""/>
  </r>
  <r>
    <n v="9759168"/>
    <n v="2"/>
    <s v="20117385"/>
    <s v="COMCAST"/>
    <x v="17"/>
    <d v="2016-10-26T00:00:00"/>
    <d v="2016-10-26T00:00:00"/>
    <x v="3"/>
    <s v="fabian"/>
    <s v=""/>
    <m/>
    <s v=""/>
    <s v=""/>
    <m/>
    <m/>
    <m/>
    <m/>
    <s v="10/26 given to Austin 3:00 pm"/>
    <s v="10/26 given to Austin 3:00 pm"/>
    <s v=""/>
    <s v="705155791070"/>
    <m/>
    <m/>
    <m/>
    <m/>
    <s v=""/>
    <s v=""/>
  </r>
  <r>
    <n v="9759173"/>
    <n v="1"/>
    <s v="92001942"/>
    <s v="ROGERS CABLE"/>
    <x v="17"/>
    <d v="2016-10-26T00:00:00"/>
    <d v="2016-10-26T00:00:00"/>
    <x v="0"/>
    <s v=""/>
    <s v=""/>
    <m/>
    <s v=""/>
    <s v=""/>
    <m/>
    <m/>
    <m/>
    <m/>
    <s v="Given to Austin 10/28 8AM"/>
    <s v=""/>
    <s v=""/>
    <s v=""/>
    <m/>
    <m/>
    <m/>
    <m/>
    <s v=""/>
    <s v=""/>
  </r>
  <r>
    <n v="9759176"/>
    <n v="1"/>
    <s v="92001757"/>
    <s v="ROGERS CABLE"/>
    <x v="17"/>
    <d v="2016-10-26T00:00:00"/>
    <d v="2016-10-26T00:00:00"/>
    <x v="2"/>
    <s v="JOSE"/>
    <s v=""/>
    <m/>
    <s v=""/>
    <s v=""/>
    <m/>
    <m/>
    <m/>
    <m/>
    <s v="10/26 given to Austin 3:00 pm"/>
    <s v="10/26 given to Austin 3:00 pm"/>
    <s v=""/>
    <s v=""/>
    <m/>
    <m/>
    <m/>
    <m/>
    <s v=""/>
    <s v=""/>
  </r>
  <r>
    <n v="9759178"/>
    <n v="2"/>
    <s v="92002617"/>
    <s v="ROGERS CABLE"/>
    <x v="17"/>
    <d v="2016-10-26T00:00:00"/>
    <d v="2016-10-26T00:00:00"/>
    <x v="2"/>
    <s v="JOSE"/>
    <s v=""/>
    <m/>
    <s v=""/>
    <s v=""/>
    <m/>
    <m/>
    <m/>
    <m/>
    <s v="10/26 given to Austin 3:00 pm"/>
    <s v="10/26 given to Austin 3:00 pm"/>
    <s v=""/>
    <s v=""/>
    <m/>
    <m/>
    <m/>
    <m/>
    <s v=""/>
    <s v=""/>
  </r>
  <r>
    <n v="9759181"/>
    <n v="2"/>
    <s v="20114886"/>
    <s v="RCN"/>
    <x v="17"/>
    <d v="2016-10-26T00:00:00"/>
    <d v="2016-10-26T00:00:00"/>
    <x v="3"/>
    <s v="TONY"/>
    <s v=""/>
    <m/>
    <s v=""/>
    <s v=""/>
    <m/>
    <m/>
    <m/>
    <m/>
    <s v="10/26 given to Austin 3:00 pm"/>
    <n v="20117175"/>
    <s v="X"/>
    <s v="705155790020"/>
    <m/>
    <m/>
    <m/>
    <m/>
    <s v=""/>
    <s v=""/>
  </r>
  <r>
    <n v="9759185"/>
    <n v="1"/>
    <s v="20113093"/>
    <s v="WAVE BROADBAND"/>
    <x v="17"/>
    <d v="2016-10-26T00:00:00"/>
    <d v="2016-10-26T00:00:00"/>
    <x v="3"/>
    <s v="fabian"/>
    <s v=""/>
    <m/>
    <s v=""/>
    <s v=""/>
    <m/>
    <m/>
    <m/>
    <m/>
    <s v="10/26 given to Austin 3:00 pm"/>
    <n v="20113093"/>
    <s v="X"/>
    <s v="705155790030"/>
    <m/>
    <m/>
    <m/>
    <m/>
    <s v=""/>
    <s v=""/>
  </r>
  <r>
    <n v="9759189"/>
    <n v="1"/>
    <s v="20114938"/>
    <s v="LIBERTY CABLEVISION OF PUERTO RICO, INC."/>
    <x v="17"/>
    <d v="2016-10-26T00:00:00"/>
    <d v="2016-10-26T00:00:00"/>
    <x v="2"/>
    <s v="JOSE"/>
    <s v=""/>
    <m/>
    <s v=""/>
    <s v=""/>
    <m/>
    <m/>
    <m/>
    <m/>
    <s v="10/26 given to Austin 3:00 pm"/>
    <s v="10/26 given to Austin 3:00 pm"/>
    <s v=""/>
    <s v=""/>
    <m/>
    <m/>
    <m/>
    <m/>
    <s v=""/>
    <s v=""/>
  </r>
  <r>
    <n v="9759194"/>
    <n v="5"/>
    <s v="20113862"/>
    <s v="CABLE ONE"/>
    <x v="17"/>
    <d v="2016-10-26T00:00:00"/>
    <d v="2016-10-26T00:00:00"/>
    <x v="3"/>
    <s v="TONY"/>
    <s v=""/>
    <m/>
    <s v=""/>
    <s v=""/>
    <m/>
    <m/>
    <m/>
    <m/>
    <s v="10/26 given to Austin 3:00 pm"/>
    <s v="10/26 given to Austin 3:00 pm"/>
    <s v=""/>
    <s v="703018781816"/>
    <m/>
    <m/>
    <m/>
    <m/>
    <s v=""/>
    <s v=""/>
  </r>
  <r>
    <n v="9759196"/>
    <n v="3"/>
    <s v="20116146"/>
    <s v="MIDCONTINENT COMMUNICATIONS"/>
    <x v="17"/>
    <d v="2016-10-26T00:00:00"/>
    <d v="2016-10-26T00:00:00"/>
    <x v="2"/>
    <s v="JOSE"/>
    <s v=""/>
    <m/>
    <s v=""/>
    <s v=""/>
    <m/>
    <m/>
    <m/>
    <m/>
    <s v="10/26 given to Austin 3:00 pm"/>
    <s v="10/26 given to Austin 3:00 pm"/>
    <s v=""/>
    <s v=""/>
    <m/>
    <m/>
    <m/>
    <m/>
    <s v=""/>
    <s v=""/>
  </r>
  <r>
    <n v="9759198"/>
    <n v="1"/>
    <s v="20116742"/>
    <s v="NATIONAL CABLE TELEVISION COOP"/>
    <x v="17"/>
    <d v="2016-10-26T00:00:00"/>
    <d v="2016-10-26T00:00:00"/>
    <x v="2"/>
    <s v="fabian"/>
    <s v=""/>
    <m/>
    <s v=""/>
    <s v=""/>
    <m/>
    <m/>
    <m/>
    <m/>
    <s v="10/26 given to Austin 3:00 pm"/>
    <s v="10/26 given to Austin 3:00 pm"/>
    <s v=""/>
    <s v=""/>
    <m/>
    <m/>
    <m/>
    <m/>
    <s v=""/>
    <s v=""/>
  </r>
  <r>
    <n v="9759199"/>
    <n v="1"/>
    <s v="20116276"/>
    <s v="ARRIS EXPENSE INTERNAL MIXED"/>
    <x v="17"/>
    <d v="2016-10-26T00:00:00"/>
    <d v="2016-10-26T00:00:00"/>
    <x v="3"/>
    <s v="TONY"/>
    <s v=""/>
    <m/>
    <s v=""/>
    <s v=""/>
    <m/>
    <m/>
    <m/>
    <m/>
    <s v="10/26 given to Austin 3:00 pm"/>
    <n v="20116276"/>
    <s v="X"/>
    <s v="1Z3Y05W40365279426"/>
    <m/>
    <m/>
    <m/>
    <m/>
    <s v=""/>
    <s v=""/>
  </r>
  <r>
    <n v="9759201"/>
    <n v="4"/>
    <s v="20117394"/>
    <s v="CEBRIDGE CONNECTIONS DBA SUDDENLINK"/>
    <x v="17"/>
    <d v="2016-10-26T00:00:00"/>
    <d v="2016-10-26T00:00:00"/>
    <x v="2"/>
    <s v="TONY"/>
    <s v=""/>
    <m/>
    <s v=""/>
    <s v=""/>
    <m/>
    <m/>
    <m/>
    <m/>
    <s v="10/26 given to Austin 3:00 pm"/>
    <s v="10/26 given to Austin 3:00 pm"/>
    <s v=""/>
    <s v=""/>
    <m/>
    <m/>
    <m/>
    <m/>
    <s v=""/>
    <s v=""/>
  </r>
  <r>
    <n v="9759203"/>
    <n v="3"/>
    <s v="20113700"/>
    <s v="CEBRIDGE CONNECTIONS DBA SUDDENLINK"/>
    <x v="17"/>
    <d v="2016-10-26T00:00:00"/>
    <d v="2016-10-26T00:00:00"/>
    <x v="1"/>
    <s v="TONY"/>
    <s v=""/>
    <m/>
    <s v="YES"/>
    <s v="paperwork in PIR folder (Austin)"/>
    <m/>
    <m/>
    <m/>
    <m/>
    <s v="10/26 given to Austin 3:00 pm"/>
    <s v="10/26 given to Austin 3:00 pm"/>
    <s v=""/>
    <s v=""/>
    <m/>
    <m/>
    <m/>
    <m/>
    <s v=""/>
    <s v=""/>
  </r>
  <r>
    <n v="9759204"/>
    <n v="4"/>
    <s v="20117387"/>
    <s v="CEBRIDGE CONNECTIONS DBA SUDDENLINK"/>
    <x v="17"/>
    <d v="2016-10-26T00:00:00"/>
    <d v="2016-10-26T00:00:00"/>
    <x v="2"/>
    <s v="TONY"/>
    <s v=""/>
    <m/>
    <s v=""/>
    <s v=""/>
    <m/>
    <m/>
    <m/>
    <m/>
    <s v="10/26 given to Austin 3:00 pm"/>
    <s v="10/26 given to Austin 3:00 pm"/>
    <s v=""/>
    <s v=""/>
    <m/>
    <m/>
    <m/>
    <m/>
    <s v=""/>
    <s v=""/>
  </r>
  <r>
    <n v="9759205"/>
    <n v="1"/>
    <s v="20115900"/>
    <s v="CHARTER"/>
    <x v="17"/>
    <d v="2016-10-26T00:00:00"/>
    <d v="2016-10-26T00:00:00"/>
    <x v="2"/>
    <s v="DAVID"/>
    <s v=""/>
    <m/>
    <s v=""/>
    <s v=""/>
    <m/>
    <m/>
    <m/>
    <m/>
    <s v="10/26 given to Austin 3:00 pm"/>
    <s v="10/26 given to Austin 3:00 pm"/>
    <s v=""/>
    <s v=""/>
    <m/>
    <m/>
    <m/>
    <m/>
    <s v=""/>
    <s v=""/>
  </r>
  <r>
    <n v="9759210"/>
    <n v="1"/>
    <s v="6900936"/>
    <s v="CHARTER"/>
    <x v="17"/>
    <d v="2016-10-26T00:00:00"/>
    <d v="2016-10-26T00:00:00"/>
    <x v="3"/>
    <s v="JOSE"/>
    <s v=""/>
    <m/>
    <s v=""/>
    <s v=""/>
    <m/>
    <m/>
    <m/>
    <m/>
    <s v="10/26 given to Austin 3:00 pm"/>
    <s v="10/26 given to Austin 3:00 pm"/>
    <s v=""/>
    <s v="705155790913"/>
    <m/>
    <m/>
    <m/>
    <m/>
    <s v=""/>
    <s v=""/>
  </r>
  <r>
    <n v="9759214"/>
    <n v="2"/>
    <s v="20118540"/>
    <s v="NSG TECHNOLOGY INC"/>
    <x v="17"/>
    <d v="2016-10-26T00:00:00"/>
    <d v="2016-10-26T00:00:00"/>
    <x v="2"/>
    <s v="DAVID"/>
    <s v=""/>
    <m/>
    <s v=""/>
    <s v=""/>
    <m/>
    <m/>
    <m/>
    <m/>
    <s v="10/26 given to Austin 3:00 pm"/>
    <s v="10/26 given to Austin 3:00 pm"/>
    <s v=""/>
    <s v=""/>
    <m/>
    <m/>
    <m/>
    <m/>
    <s v=""/>
    <s v=""/>
  </r>
  <r>
    <n v="9759216"/>
    <n v="2"/>
    <s v="20118558"/>
    <s v="NSG TECHNOLOGY INC"/>
    <x v="17"/>
    <d v="2016-10-26T00:00:00"/>
    <d v="2016-10-26T00:00:00"/>
    <x v="2"/>
    <s v="DAVID"/>
    <s v=""/>
    <m/>
    <s v=""/>
    <s v=""/>
    <m/>
    <m/>
    <m/>
    <m/>
    <s v="10/26 given to Austin 3:00 pm"/>
    <n v="20115199"/>
    <s v="X"/>
    <s v=""/>
    <m/>
    <m/>
    <m/>
    <m/>
    <s v=""/>
    <s v=""/>
  </r>
  <r>
    <n v="9759217"/>
    <n v="4"/>
    <s v="20118513"/>
    <s v="NSG TECHNOLOGY INC"/>
    <x v="17"/>
    <d v="2016-10-26T00:00:00"/>
    <d v="2016-10-26T00:00:00"/>
    <x v="2"/>
    <s v="DAVID"/>
    <s v=""/>
    <m/>
    <s v=""/>
    <s v=""/>
    <m/>
    <m/>
    <m/>
    <m/>
    <s v="10/26 given to Austin 3:00 pm"/>
    <s v="10/26 given to Austin 3:00 pm"/>
    <s v=""/>
    <s v=""/>
    <m/>
    <m/>
    <m/>
    <m/>
    <s v=""/>
    <s v=""/>
  </r>
  <r>
    <n v="9759218"/>
    <n v="2"/>
    <s v="20118521"/>
    <s v="NSG TECHNOLOGY INC"/>
    <x v="17"/>
    <d v="2016-10-26T00:00:00"/>
    <d v="2016-10-26T00:00:00"/>
    <x v="1"/>
    <s v="TONY"/>
    <s v=""/>
    <m/>
    <s v="YES"/>
    <s v="paperwork in PIR folder (Austin)"/>
    <m/>
    <m/>
    <m/>
    <m/>
    <s v="10/26 given to Austin 3:00 pm"/>
    <s v="10/26 given to Austin 3:00 pm"/>
    <s v=""/>
    <s v=""/>
    <m/>
    <m/>
    <m/>
    <m/>
    <s v=""/>
    <s v=""/>
  </r>
  <r>
    <n v="9759223"/>
    <n v="1"/>
    <s v="92002653"/>
    <s v="DERY TELECOM"/>
    <x v="17"/>
    <d v="2016-10-26T00:00:00"/>
    <d v="2016-10-26T00:00:00"/>
    <x v="2"/>
    <s v="JOSE"/>
    <s v=""/>
    <m/>
    <s v=""/>
    <s v=""/>
    <m/>
    <m/>
    <m/>
    <m/>
    <s v="10/26 given to Austin 3:00 pm"/>
    <s v="10/26 given to Austin 3:00 pm"/>
    <s v=""/>
    <s v=""/>
    <m/>
    <m/>
    <m/>
    <m/>
    <s v=""/>
    <s v=""/>
  </r>
  <r>
    <n v="9759224"/>
    <n v="2"/>
    <s v="20113578"/>
    <s v="RITTER COMMUNICATIONS"/>
    <x v="17"/>
    <d v="2016-10-26T00:00:00"/>
    <d v="2016-10-26T00:00:00"/>
    <x v="1"/>
    <s v="TONY"/>
    <s v=""/>
    <m/>
    <s v="YES"/>
    <s v="paperwork in PIR folder (Austin)"/>
    <m/>
    <m/>
    <m/>
    <m/>
    <s v=""/>
    <s v=""/>
    <e v="#N/A"/>
    <s v=""/>
    <m/>
    <m/>
    <m/>
    <m/>
    <s v=""/>
    <s v=""/>
  </r>
  <r>
    <n v="9759225"/>
    <n v="2"/>
    <s v="20116214"/>
    <s v="SCSK CORPORATION"/>
    <x v="17"/>
    <d v="2016-10-26T00:00:00"/>
    <d v="2016-10-26T00:00:00"/>
    <x v="2"/>
    <s v="DAVID"/>
    <s v=""/>
    <m/>
    <s v=""/>
    <s v=""/>
    <m/>
    <m/>
    <m/>
    <m/>
    <s v="10/26 given to Austin 3:00 pm"/>
    <s v="10/26 given to Austin 3:00 pm"/>
    <s v=""/>
    <s v=""/>
    <m/>
    <m/>
    <m/>
    <m/>
    <s v=""/>
    <s v=""/>
  </r>
  <r>
    <n v="9759261"/>
    <n v="6"/>
    <s v="20118562"/>
    <s v="NSG TECHNOLOGY INC"/>
    <x v="17"/>
    <d v="2016-10-26T00:00:00"/>
    <d v="2016-10-26T00:00:00"/>
    <x v="2"/>
    <s v="DAVID"/>
    <s v=""/>
    <m/>
    <s v=""/>
    <s v=""/>
    <m/>
    <m/>
    <m/>
    <m/>
    <s v="10/26 given to Austin 3:00 pm"/>
    <s v="10/26 given to Austin 3:00 pm"/>
    <s v=""/>
    <s v=""/>
    <m/>
    <m/>
    <m/>
    <m/>
    <s v=""/>
    <s v=""/>
  </r>
  <r>
    <n v="9759284"/>
    <n v="3"/>
    <s v="20118762"/>
    <s v="ARRIS EXPENSE INTERNAL MIXED"/>
    <x v="17"/>
    <d v="2016-10-26T00:00:00"/>
    <d v="2016-10-26T00:00:00"/>
    <x v="2"/>
    <s v="JOSE"/>
    <s v=""/>
    <m/>
    <s v=""/>
    <s v=""/>
    <m/>
    <m/>
    <m/>
    <m/>
    <s v="10/26 given to Austin 3:00 pm"/>
    <s v="10/26 given to Austin 3:00 pm"/>
    <s v=""/>
    <s v=""/>
    <m/>
    <m/>
    <m/>
    <m/>
    <s v=""/>
    <s v=""/>
  </r>
  <r>
    <n v="9759285"/>
    <n v="19"/>
    <s v="20109162"/>
    <s v="CEBRIDGE CONNECTIONS DBA SUDDENLINK"/>
    <x v="17"/>
    <d v="2016-10-26T00:00:00"/>
    <d v="2016-10-26T00:00:00"/>
    <x v="2"/>
    <s v="TONY"/>
    <s v=""/>
    <m/>
    <s v=""/>
    <s v=""/>
    <m/>
    <m/>
    <m/>
    <m/>
    <s v="10/26 given to Austin 3:00 pm"/>
    <s v="10/26 given to Austin 3:00 pm"/>
    <s v=""/>
    <s v=""/>
    <m/>
    <m/>
    <m/>
    <m/>
    <s v=""/>
    <s v=""/>
  </r>
  <r>
    <n v="9759296"/>
    <n v="14"/>
    <s v="20107050"/>
    <s v="RCN"/>
    <x v="17"/>
    <d v="2016-10-26T00:00:00"/>
    <d v="2016-10-26T00:00:00"/>
    <x v="2"/>
    <s v="curtis"/>
    <s v=""/>
    <m/>
    <s v=""/>
    <s v=""/>
    <m/>
    <m/>
    <m/>
    <m/>
    <s v="10/26 given to Austin 3:00 pm"/>
    <s v="10/26 given to Austin 3:00 pm"/>
    <s v=""/>
    <s v=""/>
    <m/>
    <m/>
    <m/>
    <m/>
    <s v=""/>
    <s v=""/>
  </r>
  <r>
    <n v="9759322"/>
    <n v="7"/>
    <s v="20109134"/>
    <s v="TV CABLE DE ORIENTE SA DE CV"/>
    <x v="17"/>
    <d v="2016-10-26T00:00:00"/>
    <d v="2016-10-26T00:00:00"/>
    <x v="2"/>
    <s v="TONY"/>
    <s v=""/>
    <m/>
    <s v=""/>
    <s v=""/>
    <m/>
    <m/>
    <m/>
    <m/>
    <s v="10/27 Email has been sent to CSR Marita to advise freight is ready for pick up. 2:56 pm"/>
    <s v="10/27 Email has been sent to CSR Marita to advise freight is ready for pick up. 2:56 pm"/>
    <s v=""/>
    <s v=""/>
    <m/>
    <m/>
    <m/>
    <m/>
    <s v=""/>
    <s v=""/>
  </r>
  <r>
    <n v="9759338"/>
    <n v="2"/>
    <s v="6900566"/>
    <s v="ROGERS CABLE"/>
    <x v="17"/>
    <d v="2016-10-26T00:00:00"/>
    <d v="2016-10-26T00:00:00"/>
    <x v="2"/>
    <s v="TONY"/>
    <s v=""/>
    <m/>
    <s v=""/>
    <s v=""/>
    <m/>
    <m/>
    <m/>
    <m/>
    <s v="10/26 given to Austin 3:00 pm"/>
    <s v="10/26 given to Austin 3:00 pm"/>
    <s v=""/>
    <s v=""/>
    <m/>
    <m/>
    <m/>
    <m/>
    <s v=""/>
    <s v=""/>
  </r>
  <r>
    <n v="9759340"/>
    <n v="1"/>
    <s v="92002650"/>
    <s v="ROGERS CABLE"/>
    <x v="17"/>
    <d v="2016-10-26T00:00:00"/>
    <d v="2016-10-26T00:00:00"/>
    <x v="2"/>
    <s v="fabian"/>
    <s v=""/>
    <m/>
    <s v=""/>
    <s v=""/>
    <m/>
    <m/>
    <m/>
    <m/>
    <s v="10/26 given to Austin 3:00 pm"/>
    <s v="10/26 given to Austin 3:00 pm"/>
    <s v=""/>
    <s v=""/>
    <m/>
    <m/>
    <m/>
    <m/>
    <s v=""/>
    <s v=""/>
  </r>
  <r>
    <n v="9759341"/>
    <n v="2"/>
    <s v="90710542"/>
    <s v="ARRIS TECHNOLOGY, INC."/>
    <x v="17"/>
    <d v="2016-10-26T00:00:00"/>
    <d v="2016-10-26T00:00:00"/>
    <x v="2"/>
    <s v="fabian"/>
    <s v=""/>
    <m/>
    <s v=""/>
    <s v=""/>
    <m/>
    <m/>
    <m/>
    <m/>
    <s v="10/26 given to Austin 3:00 pm"/>
    <s v="10/26 given to Austin 3:00 pm"/>
    <s v=""/>
    <s v=""/>
    <m/>
    <m/>
    <m/>
    <m/>
    <s v=""/>
    <s v=""/>
  </r>
  <r>
    <n v="9759342"/>
    <n v="1"/>
    <s v="20118296"/>
    <s v="ARRIS EXPENSE INTERNAL MIXED"/>
    <x v="17"/>
    <d v="2016-10-26T00:00:00"/>
    <d v="2016-10-26T00:00:00"/>
    <x v="3"/>
    <s v="fabian"/>
    <s v=""/>
    <m/>
    <s v=""/>
    <s v=""/>
    <m/>
    <m/>
    <m/>
    <m/>
    <s v="10/26 given to Austin 3:00 pm"/>
    <s v="10/26 given to Austin 3:00 pm"/>
    <s v=""/>
    <s v="703018781779"/>
    <m/>
    <m/>
    <m/>
    <m/>
    <s v=""/>
    <s v=""/>
  </r>
  <r>
    <n v="9759343"/>
    <n v="1"/>
    <s v="6900866"/>
    <s v="CEBRIDGE CONNECTIONS DBA SUDDENLINK"/>
    <x v="17"/>
    <d v="2016-10-26T00:00:00"/>
    <d v="2016-10-26T00:00:00"/>
    <x v="3"/>
    <s v="fabian"/>
    <s v=""/>
    <m/>
    <s v=""/>
    <s v=""/>
    <m/>
    <m/>
    <m/>
    <m/>
    <s v="10/26 given to Austin 3:00 pm"/>
    <s v="10/26 given to Austin 3:00 pm"/>
    <s v=""/>
    <s v="703018781780"/>
    <m/>
    <m/>
    <m/>
    <m/>
    <s v=""/>
    <s v=""/>
  </r>
  <r>
    <n v="9759344"/>
    <n v="2"/>
    <s v="20107586"/>
    <s v="CHARTER"/>
    <x v="17"/>
    <d v="2016-10-26T00:00:00"/>
    <d v="2016-10-26T00:00:00"/>
    <x v="0"/>
    <s v=""/>
    <s v=""/>
    <m/>
    <s v=""/>
    <s v=""/>
    <m/>
    <m/>
    <m/>
    <m/>
    <s v="Given to Austin 10/28 8AM"/>
    <s v=""/>
    <s v=""/>
    <s v=""/>
    <m/>
    <m/>
    <m/>
    <m/>
    <s v=""/>
    <s v=""/>
  </r>
  <r>
    <n v="9759345"/>
    <n v="1"/>
    <s v="6900900"/>
    <s v="CHARTER"/>
    <x v="17"/>
    <d v="2016-10-26T00:00:00"/>
    <d v="2016-10-26T00:00:00"/>
    <x v="3"/>
    <s v="curtis"/>
    <s v=""/>
    <m/>
    <s v=""/>
    <s v=""/>
    <m/>
    <m/>
    <m/>
    <m/>
    <s v="10/26 given to Austin 3:00 pm"/>
    <n v="6900900"/>
    <s v="X"/>
    <s v="705155790008"/>
    <m/>
    <m/>
    <m/>
    <m/>
    <s v=""/>
    <s v=""/>
  </r>
  <r>
    <n v="9759359"/>
    <n v="1"/>
    <s v="20108762"/>
    <s v="COMCAST"/>
    <x v="17"/>
    <d v="2016-10-26T00:00:00"/>
    <d v="2016-10-26T00:00:00"/>
    <x v="0"/>
    <s v=""/>
    <s v=""/>
    <m/>
    <s v=""/>
    <s v=""/>
    <m/>
    <m/>
    <m/>
    <m/>
    <s v="Given to Austin 10/28 8AM"/>
    <s v=""/>
    <s v=""/>
    <s v=""/>
    <m/>
    <m/>
    <m/>
    <m/>
    <s v=""/>
    <s v=""/>
  </r>
  <r>
    <n v="9759360"/>
    <n v="1"/>
    <s v="20108821"/>
    <s v="COMCAST"/>
    <x v="17"/>
    <d v="2016-10-26T00:00:00"/>
    <d v="2016-10-26T00:00:00"/>
    <x v="0"/>
    <s v=""/>
    <s v=""/>
    <m/>
    <s v=""/>
    <s v=""/>
    <m/>
    <m/>
    <m/>
    <m/>
    <s v="Given to Austin 10/28 8AM"/>
    <s v=""/>
    <s v=""/>
    <s v=""/>
    <m/>
    <m/>
    <m/>
    <m/>
    <s v=""/>
    <s v=""/>
  </r>
  <r>
    <n v="9759362"/>
    <n v="1"/>
    <s v="20106873"/>
    <s v="CHARTER"/>
    <x v="17"/>
    <d v="2016-10-26T00:00:00"/>
    <d v="2016-10-26T00:00:00"/>
    <x v="0"/>
    <s v=""/>
    <s v=""/>
    <m/>
    <s v=""/>
    <s v=""/>
    <m/>
    <m/>
    <m/>
    <m/>
    <s v="Given to Austin 10/28 8AM"/>
    <s v=""/>
    <s v=""/>
    <s v=""/>
    <m/>
    <m/>
    <m/>
    <m/>
    <s v=""/>
    <s v=""/>
  </r>
  <r>
    <n v="9759363"/>
    <n v="2"/>
    <s v="20107385"/>
    <s v="CHARTER"/>
    <x v="17"/>
    <d v="2016-10-26T00:00:00"/>
    <d v="2016-10-26T00:00:00"/>
    <x v="0"/>
    <s v=""/>
    <s v=""/>
    <m/>
    <s v=""/>
    <s v=""/>
    <m/>
    <m/>
    <m/>
    <m/>
    <s v="Given to Austin 10/28 8AM"/>
    <s v=""/>
    <s v=""/>
    <s v=""/>
    <m/>
    <m/>
    <m/>
    <m/>
    <s v=""/>
    <s v=""/>
  </r>
  <r>
    <n v="9759364"/>
    <n v="1"/>
    <s v="20106156"/>
    <s v="CHARTER"/>
    <x v="17"/>
    <d v="2016-10-26T00:00:00"/>
    <d v="2016-10-26T00:00:00"/>
    <x v="0"/>
    <s v=""/>
    <s v=""/>
    <m/>
    <s v=""/>
    <s v=""/>
    <m/>
    <m/>
    <m/>
    <m/>
    <s v="Given to Austin 10/28 8AM"/>
    <s v=""/>
    <s v=""/>
    <s v=""/>
    <m/>
    <m/>
    <m/>
    <m/>
    <s v=""/>
    <s v=""/>
  </r>
  <r>
    <n v="9759365"/>
    <n v="4"/>
    <s v="6901431"/>
    <s v="SCSK CORPORATION"/>
    <x v="17"/>
    <d v="2016-10-26T00:00:00"/>
    <d v="2016-10-26T00:00:00"/>
    <x v="2"/>
    <s v="TONY"/>
    <s v=""/>
    <m/>
    <s v=""/>
    <s v=""/>
    <m/>
    <m/>
    <m/>
    <m/>
    <s v="10/26 given to Austin 3:00 pm"/>
    <s v="10/26 given to Austin 3:00 pm"/>
    <s v=""/>
    <s v=""/>
    <m/>
    <m/>
    <m/>
    <m/>
    <s v=""/>
    <s v=""/>
  </r>
  <r>
    <n v="9759380"/>
    <n v="1"/>
    <s v="20118076"/>
    <s v="CHARTER"/>
    <x v="17"/>
    <d v="2016-10-26T00:00:00"/>
    <d v="2016-10-26T00:00:00"/>
    <x v="0"/>
    <s v=""/>
    <s v=""/>
    <m/>
    <s v=""/>
    <s v=""/>
    <m/>
    <m/>
    <m/>
    <m/>
    <s v="Given to Austin 10/28 8AM"/>
    <s v=""/>
    <s v=""/>
    <s v=""/>
    <m/>
    <m/>
    <m/>
    <m/>
    <s v=""/>
    <s v=""/>
  </r>
  <r>
    <n v="9759403"/>
    <n v="12"/>
    <s v="90710481"/>
    <s v="ARRIS TECHNOLOGY, INC."/>
    <x v="17"/>
    <d v="2016-10-26T00:00:00"/>
    <d v="2016-10-26T00:00:00"/>
    <x v="0"/>
    <s v=""/>
    <s v=""/>
    <m/>
    <s v=""/>
    <s v=""/>
    <m/>
    <m/>
    <m/>
    <m/>
    <s v="10/26 given to Austin 3:00 pm"/>
    <s v="10/26 given to Austin 3:00 pm"/>
    <s v=""/>
    <s v=""/>
    <m/>
    <m/>
    <m/>
    <m/>
    <s v=""/>
    <s v=""/>
  </r>
  <r>
    <n v="9759416"/>
    <n v="7"/>
    <s v="20118837"/>
    <s v="COMCAST"/>
    <x v="17"/>
    <d v="2016-10-26T00:00:00"/>
    <d v="2016-10-26T00:00:00"/>
    <x v="0"/>
    <s v=""/>
    <s v=""/>
    <m/>
    <s v=""/>
    <s v=""/>
    <m/>
    <m/>
    <m/>
    <m/>
    <s v="Given to Austin 10/28 8AM"/>
    <s v=""/>
    <s v=""/>
    <s v=""/>
    <m/>
    <m/>
    <m/>
    <m/>
    <s v=""/>
    <s v=""/>
  </r>
  <r>
    <n v="9759417"/>
    <n v="15"/>
    <s v="20118810"/>
    <s v="COMCAST"/>
    <x v="17"/>
    <d v="2016-10-26T00:00:00"/>
    <d v="2016-10-26T00:00:00"/>
    <x v="0"/>
    <s v=""/>
    <s v=""/>
    <m/>
    <s v=""/>
    <s v=""/>
    <m/>
    <m/>
    <m/>
    <m/>
    <s v="Given to Austin 10/28 8AM"/>
    <s v=""/>
    <s v=""/>
    <s v=""/>
    <m/>
    <m/>
    <m/>
    <m/>
    <s v=""/>
    <s v=""/>
  </r>
  <r>
    <n v="9759418"/>
    <n v="1"/>
    <s v="20113762"/>
    <s v="COMCAST"/>
    <x v="17"/>
    <d v="2016-10-26T00:00:00"/>
    <d v="2016-10-26T00:00:00"/>
    <x v="2"/>
    <s v="fabian"/>
    <s v=""/>
    <m/>
    <s v=""/>
    <s v=""/>
    <m/>
    <m/>
    <m/>
    <m/>
    <s v="10/26 given to Austin 3:00 pm"/>
    <s v="10/26 given to Austin 3:00 pm"/>
    <s v=""/>
    <s v=""/>
    <m/>
    <m/>
    <m/>
    <m/>
    <s v=""/>
    <s v=""/>
  </r>
  <r>
    <n v="9759419"/>
    <n v="1"/>
    <s v="20117611"/>
    <s v="Wide Open West"/>
    <x v="17"/>
    <d v="2016-10-26T00:00:00"/>
    <d v="2016-10-26T00:00:00"/>
    <x v="0"/>
    <s v=""/>
    <s v=""/>
    <m/>
    <s v=""/>
    <s v=""/>
    <m/>
    <m/>
    <m/>
    <m/>
    <s v="Given to Austin 10/28 8AM"/>
    <s v=""/>
    <s v=""/>
    <s v=""/>
    <m/>
    <m/>
    <m/>
    <m/>
    <s v=""/>
    <s v=""/>
  </r>
  <r>
    <n v="9759421"/>
    <n v="2"/>
    <s v="20116146"/>
    <s v="MIDCONTINENT COMMUNICATIONS"/>
    <x v="17"/>
    <d v="2016-10-26T00:00:00"/>
    <d v="2016-10-26T00:00:00"/>
    <x v="0"/>
    <s v=""/>
    <s v=""/>
    <m/>
    <s v=""/>
    <s v=""/>
    <m/>
    <m/>
    <m/>
    <m/>
    <s v="Given to Austin 10/28 8AM"/>
    <s v=""/>
    <s v=""/>
    <s v=""/>
    <m/>
    <m/>
    <m/>
    <m/>
    <s v=""/>
    <s v=""/>
  </r>
  <r>
    <n v="9759424"/>
    <n v="1"/>
    <s v="6901120"/>
    <s v="CEBRIDGE CONNECTIONS DBA SUDDENLINK"/>
    <x v="17"/>
    <d v="2016-10-26T00:00:00"/>
    <d v="2016-10-26T00:00:00"/>
    <x v="3"/>
    <s v="fabian"/>
    <s v=""/>
    <m/>
    <s v=""/>
    <s v=""/>
    <m/>
    <m/>
    <m/>
    <m/>
    <s v="10/26 given to Austin 3:00 pm"/>
    <n v="6901120"/>
    <s v="X"/>
    <s v="705155790111"/>
    <m/>
    <m/>
    <m/>
    <m/>
    <s v=""/>
    <s v=""/>
  </r>
  <r>
    <n v="9759425"/>
    <n v="1"/>
    <s v="20109940"/>
    <s v="CHARTER"/>
    <x v="17"/>
    <d v="2016-10-26T00:00:00"/>
    <d v="2016-10-26T00:00:00"/>
    <x v="0"/>
    <s v=""/>
    <s v=""/>
    <m/>
    <s v=""/>
    <s v=""/>
    <m/>
    <m/>
    <m/>
    <m/>
    <s v="Given to Austin 10/28 8AM"/>
    <s v=""/>
    <s v=""/>
    <s v=""/>
    <m/>
    <m/>
    <m/>
    <m/>
    <s v=""/>
    <s v=""/>
  </r>
  <r>
    <n v="9759426"/>
    <n v="1"/>
    <s v="20113837"/>
    <s v="CHARTER"/>
    <x v="17"/>
    <d v="2016-10-26T00:00:00"/>
    <d v="2016-10-26T00:00:00"/>
    <x v="0"/>
    <s v=""/>
    <s v=""/>
    <m/>
    <s v=""/>
    <s v=""/>
    <m/>
    <m/>
    <m/>
    <m/>
    <s v="Given to Austin 10/28 8AM"/>
    <s v=""/>
    <s v=""/>
    <s v=""/>
    <m/>
    <m/>
    <m/>
    <m/>
    <s v=""/>
    <s v=""/>
  </r>
  <r>
    <n v="9759432"/>
    <n v="6"/>
    <s v="20118984"/>
    <s v="CABLE ONE"/>
    <x v="17"/>
    <d v="2016-10-26T00:00:00"/>
    <d v="2016-10-26T00:00:00"/>
    <x v="2"/>
    <s v="curtis"/>
    <s v=""/>
    <m/>
    <s v=""/>
    <s v=""/>
    <m/>
    <m/>
    <m/>
    <m/>
    <s v="Given to Riza 10/27 @11:30AM"/>
    <s v=""/>
    <s v=""/>
    <s v=""/>
    <m/>
    <m/>
    <m/>
    <m/>
    <s v=""/>
    <s v=""/>
  </r>
  <r>
    <n v="9759433"/>
    <n v="2"/>
    <s v="20118989"/>
    <s v="CABLE ONE"/>
    <x v="17"/>
    <d v="2016-10-26T00:00:00"/>
    <d v="2016-10-26T00:00:00"/>
    <x v="3"/>
    <s v="fabian"/>
    <s v=""/>
    <m/>
    <s v=""/>
    <s v=""/>
    <m/>
    <m/>
    <m/>
    <m/>
    <s v="Given to Riza 10/27 @11:30AM"/>
    <s v=""/>
    <s v=""/>
    <s v="705155791162"/>
    <m/>
    <m/>
    <m/>
    <m/>
    <s v=""/>
    <s v=""/>
  </r>
  <r>
    <n v="9759434"/>
    <n v="6"/>
    <s v="20118969"/>
    <s v="CABLE ONE"/>
    <x v="17"/>
    <d v="2016-10-26T00:00:00"/>
    <d v="2016-10-26T00:00:00"/>
    <x v="2"/>
    <s v="TONY"/>
    <s v=""/>
    <m/>
    <s v=""/>
    <s v=""/>
    <m/>
    <m/>
    <m/>
    <m/>
    <s v="Given to Riza 10/27 @11:30AM"/>
    <s v=""/>
    <s v=""/>
    <s v=""/>
    <m/>
    <m/>
    <m/>
    <m/>
    <s v=""/>
    <s v=""/>
  </r>
  <r>
    <n v="9759435"/>
    <n v="1"/>
    <s v="20118994"/>
    <s v="CABLE ONE"/>
    <x v="17"/>
    <d v="2016-10-26T00:00:00"/>
    <d v="2016-10-26T00:00:00"/>
    <x v="2"/>
    <s v="fabian"/>
    <s v=""/>
    <m/>
    <s v=""/>
    <s v=""/>
    <m/>
    <m/>
    <m/>
    <m/>
    <s v="Given to Riza 10/27 @11:30AM"/>
    <s v=""/>
    <s v=""/>
    <s v=""/>
    <m/>
    <m/>
    <m/>
    <m/>
    <s v=""/>
    <s v=""/>
  </r>
  <r>
    <n v="9759436"/>
    <n v="2"/>
    <s v="6900936"/>
    <s v="CHARTER"/>
    <x v="17"/>
    <d v="2016-10-26T00:00:00"/>
    <d v="2016-10-26T00:00:00"/>
    <x v="2"/>
    <s v="fabian"/>
    <s v=""/>
    <m/>
    <s v=""/>
    <s v=""/>
    <m/>
    <m/>
    <m/>
    <m/>
    <s v="Given to Riza 10/27 @11:30AM"/>
    <s v=""/>
    <s v=""/>
    <s v=""/>
    <m/>
    <m/>
    <m/>
    <m/>
    <s v=""/>
    <s v=""/>
  </r>
  <r>
    <n v="9759437"/>
    <n v="1"/>
    <s v="6900900"/>
    <s v="CHARTER"/>
    <x v="17"/>
    <d v="2016-10-26T00:00:00"/>
    <d v="2016-10-26T00:00:00"/>
    <x v="0"/>
    <s v=""/>
    <s v=""/>
    <m/>
    <s v=""/>
    <s v=""/>
    <m/>
    <m/>
    <m/>
    <m/>
    <s v="Given to Riza 10/27 @11:30AM"/>
    <s v=""/>
    <s v=""/>
    <s v=""/>
    <m/>
    <m/>
    <m/>
    <m/>
    <s v=""/>
    <s v=""/>
  </r>
  <r>
    <n v="9759449"/>
    <n v="1"/>
    <s v="90710712"/>
    <s v="ARRIS TECHNOLOGY, INC."/>
    <x v="17"/>
    <d v="2016-10-26T00:00:00"/>
    <d v="2016-10-26T00:00:00"/>
    <x v="2"/>
    <s v="fabian"/>
    <s v=""/>
    <m/>
    <s v=""/>
    <s v=""/>
    <m/>
    <m/>
    <m/>
    <m/>
    <s v="Given to Riza 10/27 @11:30AM"/>
    <s v=""/>
    <s v=""/>
    <s v=""/>
    <m/>
    <m/>
    <m/>
    <m/>
    <s v=""/>
    <s v=""/>
  </r>
  <r>
    <n v="9759450"/>
    <n v="1"/>
    <s v="20111077"/>
    <s v="GCI CABLE"/>
    <x v="17"/>
    <d v="2016-10-26T00:00:00"/>
    <d v="2016-10-26T00:00:00"/>
    <x v="0"/>
    <s v=""/>
    <s v=""/>
    <m/>
    <s v=""/>
    <s v=""/>
    <m/>
    <m/>
    <m/>
    <m/>
    <s v="Given to Austin 10/28 8AM"/>
    <s v=""/>
    <s v=""/>
    <s v=""/>
    <m/>
    <m/>
    <m/>
    <m/>
    <s v=""/>
    <s v=""/>
  </r>
  <r>
    <n v="9759463"/>
    <n v="1"/>
    <s v="20113039"/>
    <s v="COMCAST"/>
    <x v="17"/>
    <d v="2016-10-26T00:00:00"/>
    <d v="2016-10-26T00:00:00"/>
    <x v="0"/>
    <s v=""/>
    <s v=""/>
    <m/>
    <s v=""/>
    <s v=""/>
    <m/>
    <m/>
    <m/>
    <m/>
    <s v="Given to Austin 10/28 8AM"/>
    <s v=""/>
    <s v=""/>
    <s v=""/>
    <m/>
    <m/>
    <m/>
    <m/>
    <s v=""/>
    <s v=""/>
  </r>
  <r>
    <n v="9759464"/>
    <n v="1"/>
    <s v="20115563"/>
    <s v="COMCAST"/>
    <x v="17"/>
    <d v="2016-10-26T00:00:00"/>
    <d v="2016-10-26T00:00:00"/>
    <x v="0"/>
    <s v=""/>
    <s v=""/>
    <m/>
    <s v=""/>
    <s v=""/>
    <m/>
    <m/>
    <m/>
    <m/>
    <s v="Given to Austin 10/28 8AM"/>
    <s v=""/>
    <s v=""/>
    <s v=""/>
    <m/>
    <m/>
    <m/>
    <m/>
    <s v=""/>
    <s v=""/>
  </r>
  <r>
    <n v="9759465"/>
    <n v="1"/>
    <s v="20113804"/>
    <s v="COMCAST"/>
    <x v="17"/>
    <d v="2016-10-26T00:00:00"/>
    <d v="2016-10-26T00:00:00"/>
    <x v="0"/>
    <s v=""/>
    <s v=""/>
    <m/>
    <s v=""/>
    <s v=""/>
    <m/>
    <m/>
    <m/>
    <m/>
    <s v="Given to Austin 10/28 8AM"/>
    <s v=""/>
    <s v=""/>
    <s v=""/>
    <m/>
    <m/>
    <m/>
    <m/>
    <s v=""/>
    <s v=""/>
  </r>
  <r>
    <n v="9759477"/>
    <n v="1"/>
    <s v="20118162"/>
    <s v="CHARTER"/>
    <x v="17"/>
    <d v="2016-10-26T00:00:00"/>
    <d v="2016-10-26T00:00:00"/>
    <x v="3"/>
    <s v="TYRONE"/>
    <s v=""/>
    <m/>
    <s v=""/>
    <s v=""/>
    <m/>
    <m/>
    <m/>
    <m/>
    <s v="Given to Riza 10/27 @11:30AM"/>
    <s v=""/>
    <s v=""/>
    <s v="705155790843"/>
    <m/>
    <m/>
    <m/>
    <m/>
    <s v=""/>
    <s v=""/>
  </r>
  <r>
    <n v="9759483"/>
    <n v="9"/>
    <s v="92002754"/>
    <s v="ROGERS CABLE"/>
    <x v="17"/>
    <d v="2016-10-26T00:00:00"/>
    <d v="2016-10-26T00:00:00"/>
    <x v="2"/>
    <s v="curtis"/>
    <s v=""/>
    <m/>
    <s v=""/>
    <s v=""/>
    <m/>
    <m/>
    <m/>
    <m/>
    <s v="Given to Riza 10/27 @11:30AM"/>
    <s v=""/>
    <s v=""/>
    <s v=""/>
    <m/>
    <m/>
    <m/>
    <m/>
    <s v=""/>
    <s v=""/>
  </r>
  <r>
    <n v="9759569"/>
    <n v="2"/>
    <s v="20117609"/>
    <s v="COMCAST"/>
    <x v="18"/>
    <d v="2016-10-27T00:00:00"/>
    <d v="2016-10-27T00:00:00"/>
    <x v="6"/>
    <s v=""/>
    <s v=""/>
    <m/>
    <s v=""/>
    <s v=""/>
    <m/>
    <m/>
    <m/>
    <m/>
    <s v=""/>
    <s v=""/>
    <e v="#N/A"/>
    <s v=""/>
    <m/>
    <m/>
    <m/>
    <m/>
    <s v=""/>
    <s v=""/>
  </r>
  <r>
    <n v="9759570"/>
    <n v="1"/>
    <s v="92001587"/>
    <s v="VIDEOTRON LTEE"/>
    <x v="18"/>
    <d v="2016-10-27T00:00:00"/>
    <d v="2016-10-27T00:00:00"/>
    <x v="6"/>
    <s v=""/>
    <s v=""/>
    <m/>
    <s v=""/>
    <s v=""/>
    <m/>
    <m/>
    <m/>
    <m/>
    <s v=""/>
    <s v=""/>
    <e v="#N/A"/>
    <s v=""/>
    <m/>
    <m/>
    <m/>
    <m/>
    <s v=""/>
    <s v=""/>
  </r>
  <r>
    <n v="9759571"/>
    <n v="4"/>
    <s v="92001584"/>
    <s v="VIDEOTRON LTEE"/>
    <x v="18"/>
    <d v="2016-10-27T00:00:00"/>
    <d v="2016-10-27T00:00:00"/>
    <x v="6"/>
    <s v=""/>
    <s v=""/>
    <m/>
    <s v=""/>
    <s v=""/>
    <m/>
    <m/>
    <m/>
    <m/>
    <s v=""/>
    <s v=""/>
    <e v="#N/A"/>
    <s v=""/>
    <m/>
    <m/>
    <m/>
    <m/>
    <s v=""/>
    <s v=""/>
  </r>
  <r>
    <n v="9759572"/>
    <n v="7"/>
    <s v="90710626"/>
    <s v="ARRIS TECHNOLOGY, INC."/>
    <x v="18"/>
    <d v="2016-10-27T00:00:00"/>
    <d v="2016-10-27T00:00:00"/>
    <x v="2"/>
    <s v="JOSE"/>
    <s v=""/>
    <m/>
    <s v=""/>
    <s v=""/>
    <m/>
    <m/>
    <m/>
    <m/>
    <s v="Given to Riza 10/27 @11:30AM"/>
    <s v=""/>
    <s v=""/>
    <s v=""/>
    <m/>
    <m/>
    <m/>
    <m/>
    <s v=""/>
    <s v=""/>
  </r>
  <r>
    <n v="9759573"/>
    <n v="1"/>
    <s v="20110653"/>
    <s v="CHARTER"/>
    <x v="18"/>
    <d v="2016-10-27T00:00:00"/>
    <d v="2016-10-27T00:00:00"/>
    <x v="6"/>
    <s v=""/>
    <s v=""/>
    <m/>
    <s v=""/>
    <s v=""/>
    <m/>
    <m/>
    <m/>
    <m/>
    <s v=""/>
    <s v=""/>
    <e v="#N/A"/>
    <s v=""/>
    <m/>
    <m/>
    <m/>
    <m/>
    <s v=""/>
    <s v=""/>
  </r>
  <r>
    <n v="9759574"/>
    <n v="1"/>
    <s v="20111054"/>
    <s v="CHARTER"/>
    <x v="18"/>
    <d v="2016-10-27T00:00:00"/>
    <d v="2016-10-27T00:00:00"/>
    <x v="6"/>
    <s v=""/>
    <s v=""/>
    <m/>
    <s v=""/>
    <s v=""/>
    <m/>
    <m/>
    <m/>
    <m/>
    <s v=""/>
    <s v=""/>
    <e v="#N/A"/>
    <s v=""/>
    <m/>
    <m/>
    <m/>
    <m/>
    <s v=""/>
    <s v=""/>
  </r>
  <r>
    <n v="9759575"/>
    <n v="2"/>
    <s v="20108353"/>
    <s v="CHARTER"/>
    <x v="18"/>
    <d v="2016-10-27T00:00:00"/>
    <d v="2016-10-27T00:00:00"/>
    <x v="6"/>
    <s v=""/>
    <s v=""/>
    <m/>
    <s v=""/>
    <s v=""/>
    <m/>
    <m/>
    <m/>
    <m/>
    <s v=""/>
    <s v=""/>
    <e v="#N/A"/>
    <s v=""/>
    <m/>
    <m/>
    <m/>
    <m/>
    <s v=""/>
    <s v=""/>
  </r>
  <r>
    <n v="9759576"/>
    <n v="1"/>
    <s v="20109578"/>
    <s v="CHARTER"/>
    <x v="18"/>
    <d v="2016-10-27T00:00:00"/>
    <d v="2016-10-27T00:00:00"/>
    <x v="6"/>
    <s v=""/>
    <s v=""/>
    <m/>
    <s v=""/>
    <s v=""/>
    <m/>
    <m/>
    <m/>
    <m/>
    <s v=""/>
    <s v=""/>
    <e v="#N/A"/>
    <s v=""/>
    <m/>
    <m/>
    <m/>
    <m/>
    <s v=""/>
    <s v=""/>
  </r>
  <r>
    <n v="9759577"/>
    <n v="1"/>
    <s v="20111015"/>
    <s v="CHARTER"/>
    <x v="18"/>
    <d v="2016-10-27T00:00:00"/>
    <d v="2016-10-27T00:00:00"/>
    <x v="6"/>
    <s v=""/>
    <s v=""/>
    <m/>
    <s v=""/>
    <s v=""/>
    <m/>
    <m/>
    <m/>
    <m/>
    <s v=""/>
    <s v=""/>
    <e v="#N/A"/>
    <s v=""/>
    <m/>
    <m/>
    <m/>
    <m/>
    <s v=""/>
    <s v=""/>
  </r>
  <r>
    <n v="9759578"/>
    <n v="2"/>
    <s v="20108085"/>
    <s v="CHARTER"/>
    <x v="18"/>
    <d v="2016-10-27T00:00:00"/>
    <d v="2016-10-27T00:00:00"/>
    <x v="6"/>
    <s v=""/>
    <s v=""/>
    <m/>
    <s v=""/>
    <s v=""/>
    <m/>
    <m/>
    <m/>
    <m/>
    <s v=""/>
    <s v=""/>
    <e v="#N/A"/>
    <s v=""/>
    <m/>
    <m/>
    <m/>
    <m/>
    <s v=""/>
    <s v=""/>
  </r>
  <r>
    <n v="9759579"/>
    <n v="1"/>
    <s v="6901389"/>
    <s v="NSG TECHNOLOGY INC"/>
    <x v="18"/>
    <d v="2016-10-27T00:00:00"/>
    <d v="2016-10-27T00:00:00"/>
    <x v="6"/>
    <s v=""/>
    <s v=""/>
    <m/>
    <s v=""/>
    <s v=""/>
    <m/>
    <m/>
    <m/>
    <m/>
    <s v=""/>
    <s v=""/>
    <e v="#N/A"/>
    <s v=""/>
    <m/>
    <m/>
    <m/>
    <m/>
    <s v=""/>
    <s v=""/>
  </r>
  <r>
    <n v="9759580"/>
    <n v="2"/>
    <s v="6901039"/>
    <s v="NSG TECHNOLOGY INC"/>
    <x v="18"/>
    <d v="2016-10-27T00:00:00"/>
    <d v="2016-10-27T00:00:00"/>
    <x v="6"/>
    <s v=""/>
    <s v=""/>
    <m/>
    <s v=""/>
    <s v=""/>
    <m/>
    <m/>
    <m/>
    <m/>
    <s v=""/>
    <s v=""/>
    <e v="#N/A"/>
    <s v=""/>
    <m/>
    <m/>
    <m/>
    <m/>
    <s v=""/>
    <s v=""/>
  </r>
  <r>
    <n v="9759597"/>
    <n v="2"/>
    <s v="20117180"/>
    <s v="MEDIACOM"/>
    <x v="18"/>
    <d v="2016-10-27T00:00:00"/>
    <d v="2016-10-27T00:00:00"/>
    <x v="2"/>
    <s v="TONY"/>
    <s v=""/>
    <m/>
    <s v=""/>
    <s v=""/>
    <m/>
    <m/>
    <m/>
    <m/>
    <s v="Given to Riza 10/27 @11:30AM"/>
    <s v=""/>
    <s v=""/>
    <s v=""/>
    <m/>
    <m/>
    <m/>
    <m/>
    <s v=""/>
    <s v=""/>
  </r>
  <r>
    <n v="9759606"/>
    <n v="3"/>
    <s v="20116656"/>
    <s v="COMCAST"/>
    <x v="18"/>
    <d v="2016-10-27T00:00:00"/>
    <d v="2016-10-27T00:00:00"/>
    <x v="2"/>
    <s v="TONY"/>
    <s v=""/>
    <m/>
    <s v=""/>
    <s v=""/>
    <m/>
    <m/>
    <m/>
    <m/>
    <s v="Given to Riza 10/27 @11:30AM"/>
    <s v=""/>
    <s v=""/>
    <s v=""/>
    <m/>
    <m/>
    <m/>
    <m/>
    <s v=""/>
    <s v=""/>
  </r>
  <r>
    <n v="9759607"/>
    <n v="2"/>
    <s v="20118339"/>
    <s v="COMCAST"/>
    <x v="18"/>
    <d v="2016-10-27T00:00:00"/>
    <d v="2016-10-27T00:00:00"/>
    <x v="2"/>
    <s v="TONY"/>
    <s v=""/>
    <m/>
    <s v=""/>
    <s v=""/>
    <m/>
    <m/>
    <m/>
    <m/>
    <s v="Given to Riza 10/27 @11:30AM"/>
    <s v=""/>
    <s v=""/>
    <s v=""/>
    <m/>
    <m/>
    <m/>
    <m/>
    <s v=""/>
    <s v=""/>
  </r>
  <r>
    <n v="9759612"/>
    <n v="2"/>
    <s v="20118694"/>
    <s v="COMCAST"/>
    <x v="18"/>
    <d v="2016-10-27T00:00:00"/>
    <d v="2016-10-27T00:00:00"/>
    <x v="2"/>
    <s v="curtis"/>
    <s v=""/>
    <m/>
    <s v=""/>
    <s v=""/>
    <m/>
    <m/>
    <m/>
    <m/>
    <s v="Given to Riza 10/27 @11:30AM"/>
    <s v=""/>
    <s v=""/>
    <s v=""/>
    <m/>
    <m/>
    <m/>
    <m/>
    <s v=""/>
    <s v=""/>
  </r>
  <r>
    <n v="9759616"/>
    <n v="1"/>
    <s v="20115482"/>
    <s v="COMCAST"/>
    <x v="18"/>
    <d v="2016-10-27T00:00:00"/>
    <d v="2016-10-27T00:00:00"/>
    <x v="3"/>
    <s v="tony / tyrone"/>
    <s v=""/>
    <m/>
    <s v=""/>
    <s v=""/>
    <m/>
    <m/>
    <m/>
    <m/>
    <s v="Given to Riza 10/27 @11:30AM"/>
    <s v=""/>
    <s v=""/>
    <s v="705155790854"/>
    <m/>
    <m/>
    <m/>
    <m/>
    <s v=""/>
    <s v=""/>
  </r>
  <r>
    <n v="9759618"/>
    <n v="1"/>
    <s v="20116892"/>
    <s v="COMCAST"/>
    <x v="18"/>
    <d v="2016-10-27T00:00:00"/>
    <d v="2016-10-27T00:00:00"/>
    <x v="3"/>
    <s v="TYRONE"/>
    <s v=""/>
    <m/>
    <s v=""/>
    <s v=""/>
    <m/>
    <m/>
    <m/>
    <m/>
    <s v="Given to Riza 10/27 @11:30AM"/>
    <s v=""/>
    <s v=""/>
    <s v="703018781920"/>
    <m/>
    <m/>
    <m/>
    <m/>
    <s v=""/>
    <s v=""/>
  </r>
  <r>
    <n v="9759619"/>
    <n v="1"/>
    <s v="20118810"/>
    <s v="COMCAST"/>
    <x v="18"/>
    <d v="2016-10-27T00:00:00"/>
    <d v="2016-10-27T00:00:00"/>
    <x v="2"/>
    <s v="TYRONE"/>
    <s v=""/>
    <m/>
    <s v=""/>
    <s v=""/>
    <m/>
    <m/>
    <m/>
    <m/>
    <s v="Given to Riza 10/27 @11:30AM"/>
    <s v=""/>
    <s v=""/>
    <s v=""/>
    <m/>
    <m/>
    <m/>
    <m/>
    <s v=""/>
    <s v=""/>
  </r>
  <r>
    <n v="9759621"/>
    <n v="3"/>
    <s v="20116659"/>
    <s v="COMCAST"/>
    <x v="18"/>
    <d v="2016-10-27T00:00:00"/>
    <d v="2016-10-27T00:00:00"/>
    <x v="3"/>
    <s v="JOSE"/>
    <s v=""/>
    <m/>
    <s v=""/>
    <s v=""/>
    <m/>
    <m/>
    <m/>
    <m/>
    <s v="Given to Riza 10/27 @11:30AM"/>
    <s v=""/>
    <s v=""/>
    <s v="703018781610"/>
    <m/>
    <m/>
    <m/>
    <m/>
    <s v=""/>
    <s v=""/>
  </r>
  <r>
    <n v="9759624"/>
    <n v="2"/>
    <s v="20116473"/>
    <s v="COMCAST"/>
    <x v="18"/>
    <d v="2016-10-27T00:00:00"/>
    <d v="2016-10-27T00:00:00"/>
    <x v="2"/>
    <s v="TYRONE"/>
    <s v=""/>
    <m/>
    <s v=""/>
    <s v=""/>
    <m/>
    <m/>
    <m/>
    <m/>
    <s v="Given to Riza 10/27 @11:30AM"/>
    <s v=""/>
    <s v=""/>
    <s v=""/>
    <m/>
    <m/>
    <m/>
    <m/>
    <s v=""/>
    <s v=""/>
  </r>
  <r>
    <n v="9759625"/>
    <n v="2"/>
    <s v="20116478"/>
    <s v="COMCAST"/>
    <x v="18"/>
    <d v="2016-10-27T00:00:00"/>
    <d v="2016-10-27T00:00:00"/>
    <x v="2"/>
    <s v="TYRONE"/>
    <s v=""/>
    <m/>
    <s v=""/>
    <s v=""/>
    <m/>
    <m/>
    <m/>
    <m/>
    <s v="Given to Riza 10/27 @11:30AM"/>
    <s v=""/>
    <s v=""/>
    <s v=""/>
    <m/>
    <m/>
    <m/>
    <m/>
    <s v=""/>
    <s v=""/>
  </r>
  <r>
    <n v="9759627"/>
    <n v="3"/>
    <s v="20116616"/>
    <s v="COMCAST"/>
    <x v="18"/>
    <d v="2016-10-27T00:00:00"/>
    <d v="2016-10-27T00:00:00"/>
    <x v="2"/>
    <s v="tony / tyrone"/>
    <s v=""/>
    <m/>
    <s v=""/>
    <s v=""/>
    <m/>
    <m/>
    <m/>
    <m/>
    <s v="Given to Riza 10/27 @11:30AM"/>
    <s v=""/>
    <s v=""/>
    <s v=""/>
    <m/>
    <m/>
    <m/>
    <m/>
    <s v=""/>
    <s v=""/>
  </r>
  <r>
    <n v="9759630"/>
    <n v="2"/>
    <s v="20116971"/>
    <s v="COMCAST"/>
    <x v="18"/>
    <d v="2016-10-27T00:00:00"/>
    <d v="2016-10-27T00:00:00"/>
    <x v="2"/>
    <s v="TYRONE"/>
    <s v=""/>
    <m/>
    <s v=""/>
    <s v=""/>
    <m/>
    <m/>
    <m/>
    <m/>
    <s v="Given to Riza 10/27 @11:30AM"/>
    <s v=""/>
    <s v=""/>
    <s v=""/>
    <m/>
    <m/>
    <m/>
    <m/>
    <s v=""/>
    <s v=""/>
  </r>
  <r>
    <n v="9759631"/>
    <n v="1"/>
    <s v="20117420"/>
    <s v="COMCAST"/>
    <x v="18"/>
    <d v="2016-10-27T00:00:00"/>
    <d v="2016-10-27T00:00:00"/>
    <x v="3"/>
    <s v="JOSE"/>
    <s v=""/>
    <m/>
    <s v=""/>
    <s v=""/>
    <m/>
    <m/>
    <m/>
    <m/>
    <s v="Given to Riza 10/27 @11:30AM"/>
    <s v=""/>
    <s v=""/>
    <s v="703018781172"/>
    <m/>
    <m/>
    <m/>
    <m/>
    <s v=""/>
    <s v=""/>
  </r>
  <r>
    <n v="9759633"/>
    <n v="17"/>
    <s v="20117385"/>
    <s v="COMCAST"/>
    <x v="18"/>
    <d v="2016-10-27T00:00:00"/>
    <d v="2016-10-27T00:00:00"/>
    <x v="2"/>
    <s v="tony / tyrone"/>
    <s v=""/>
    <m/>
    <s v=""/>
    <s v=""/>
    <m/>
    <m/>
    <m/>
    <m/>
    <s v="Given to Riza 10/27 @11:30AM"/>
    <s v=""/>
    <s v=""/>
    <s v=""/>
    <m/>
    <m/>
    <m/>
    <m/>
    <s v=""/>
    <s v=""/>
  </r>
  <r>
    <n v="9759634"/>
    <n v="1"/>
    <s v="20114500"/>
    <s v="COMCAST"/>
    <x v="18"/>
    <d v="2016-10-27T00:00:00"/>
    <d v="2016-10-27T00:00:00"/>
    <x v="2"/>
    <s v="TYRONE"/>
    <s v=""/>
    <m/>
    <s v=""/>
    <s v=""/>
    <m/>
    <m/>
    <m/>
    <m/>
    <s v="Given to Riza 10/27 @11:30AM"/>
    <s v=""/>
    <s v=""/>
    <s v=""/>
    <m/>
    <m/>
    <m/>
    <m/>
    <s v=""/>
    <s v=""/>
  </r>
  <r>
    <n v="9759635"/>
    <n v="3"/>
    <s v="6900829"/>
    <s v="COMCAST"/>
    <x v="18"/>
    <d v="2016-10-27T00:00:00"/>
    <d v="2016-10-27T00:00:00"/>
    <x v="2"/>
    <s v="JOSE"/>
    <s v=""/>
    <m/>
    <s v=""/>
    <s v="g-15 (omni)"/>
    <m/>
    <m/>
    <m/>
    <m/>
    <s v="Given to Riza 10/27 @11:30AM"/>
    <s v=""/>
    <s v=""/>
    <s v=""/>
    <m/>
    <m/>
    <m/>
    <m/>
    <s v=""/>
    <s v=""/>
  </r>
  <r>
    <n v="9759636"/>
    <n v="1"/>
    <s v="6900958"/>
    <s v="COMCAST"/>
    <x v="18"/>
    <d v="2016-10-27T00:00:00"/>
    <d v="2016-10-27T00:00:00"/>
    <x v="3"/>
    <s v="tony / tyrone"/>
    <s v=""/>
    <m/>
    <s v=""/>
    <s v=""/>
    <m/>
    <m/>
    <m/>
    <m/>
    <s v="Given to Riza 10/27 @11:30AM"/>
    <s v=""/>
    <s v=""/>
    <s v="705155790898"/>
    <m/>
    <m/>
    <m/>
    <m/>
    <s v=""/>
    <s v=""/>
  </r>
  <r>
    <n v="9759637"/>
    <n v="1"/>
    <s v="92001755"/>
    <s v="ROGERS CABLE"/>
    <x v="18"/>
    <d v="2016-10-27T00:00:00"/>
    <d v="2016-10-27T00:00:00"/>
    <x v="2"/>
    <s v="TYRONE"/>
    <s v=""/>
    <m/>
    <s v=""/>
    <s v=""/>
    <m/>
    <m/>
    <m/>
    <m/>
    <s v="Given to Riza 10/27 @11:30AM"/>
    <s v=""/>
    <s v=""/>
    <s v=""/>
    <m/>
    <m/>
    <m/>
    <m/>
    <s v=""/>
    <s v=""/>
  </r>
  <r>
    <n v="9759638"/>
    <n v="2"/>
    <s v="92002617"/>
    <s v="ROGERS CABLE"/>
    <x v="18"/>
    <d v="2016-10-27T00:00:00"/>
    <d v="2016-10-27T00:00:00"/>
    <x v="2"/>
    <s v="TYRONE"/>
    <s v=""/>
    <m/>
    <s v=""/>
    <s v=""/>
    <m/>
    <m/>
    <m/>
    <m/>
    <s v="Given to Riza 10/27 @11:30AM"/>
    <s v=""/>
    <s v=""/>
    <s v=""/>
    <m/>
    <m/>
    <m/>
    <m/>
    <s v=""/>
    <s v=""/>
  </r>
  <r>
    <n v="9759639"/>
    <n v="1"/>
    <s v="92002391"/>
    <s v="ROGERS CABLE"/>
    <x v="18"/>
    <d v="2016-10-27T00:00:00"/>
    <d v="2016-10-27T00:00:00"/>
    <x v="2"/>
    <s v="tony / tyrone"/>
    <s v=""/>
    <m/>
    <s v=""/>
    <s v=""/>
    <m/>
    <m/>
    <m/>
    <m/>
    <s v="Given to Riza 10/27 @11:30AM"/>
    <s v=""/>
    <s v=""/>
    <s v=""/>
    <m/>
    <m/>
    <m/>
    <m/>
    <s v=""/>
    <s v=""/>
  </r>
  <r>
    <n v="9759640"/>
    <n v="8"/>
    <s v="90710695"/>
    <s v="ARRIS TECHNOLOGY, INC."/>
    <x v="18"/>
    <d v="2016-10-27T00:00:00"/>
    <d v="2016-10-27T00:00:00"/>
    <x v="2"/>
    <s v="JOSE"/>
    <s v=""/>
    <m/>
    <s v=""/>
    <s v=""/>
    <m/>
    <m/>
    <m/>
    <m/>
    <s v="Given to Riza 10/27 @11:30AM"/>
    <s v=""/>
    <s v=""/>
    <s v=""/>
    <m/>
    <m/>
    <m/>
    <m/>
    <s v=""/>
    <s v=""/>
  </r>
  <r>
    <n v="9759641"/>
    <n v="1"/>
    <s v="20113894"/>
    <s v="WAVE BROADBAND"/>
    <x v="18"/>
    <d v="2016-10-27T00:00:00"/>
    <d v="2016-10-27T00:00:00"/>
    <x v="3"/>
    <s v=""/>
    <s v=""/>
    <m/>
    <s v=""/>
    <s v=""/>
    <m/>
    <m/>
    <m/>
    <m/>
    <s v="Given to Riza 10/27 @11:30AM"/>
    <s v=""/>
    <s v=""/>
    <s v="705155790887"/>
    <m/>
    <m/>
    <m/>
    <m/>
    <s v=""/>
    <s v=""/>
  </r>
  <r>
    <n v="9759642"/>
    <n v="1"/>
    <s v="20114929"/>
    <s v="LIBERTY CABLEVISION OF PUERTO RICO, INC."/>
    <x v="18"/>
    <d v="2016-10-27T00:00:00"/>
    <d v="2016-10-27T00:00:00"/>
    <x v="2"/>
    <s v="JOSE"/>
    <s v=""/>
    <m/>
    <s v=""/>
    <s v=""/>
    <m/>
    <m/>
    <m/>
    <m/>
    <s v="Given to Riza 10/27 @11:30AM"/>
    <s v=""/>
    <s v=""/>
    <s v=""/>
    <m/>
    <m/>
    <m/>
    <m/>
    <s v=""/>
    <s v=""/>
  </r>
  <r>
    <n v="9759643"/>
    <n v="1"/>
    <s v="20114932"/>
    <s v="LIBERTY CABLEVISION OF PUERTO RICO, INC."/>
    <x v="18"/>
    <d v="2016-10-27T00:00:00"/>
    <d v="2016-10-27T00:00:00"/>
    <x v="2"/>
    <s v="JOSE"/>
    <s v=""/>
    <m/>
    <s v=""/>
    <s v=""/>
    <m/>
    <m/>
    <m/>
    <m/>
    <s v="Given to Riza 10/27 @11:30AM"/>
    <s v=""/>
    <s v=""/>
    <s v=""/>
    <m/>
    <m/>
    <m/>
    <m/>
    <s v=""/>
    <s v=""/>
  </r>
  <r>
    <n v="9759644"/>
    <n v="1"/>
    <s v="20114935"/>
    <s v="LIBERTY CABLEVISION OF PUERTO RICO, INC."/>
    <x v="18"/>
    <d v="2016-10-27T00:00:00"/>
    <d v="2016-10-27T00:00:00"/>
    <x v="2"/>
    <s v="JOSE"/>
    <s v=""/>
    <m/>
    <s v=""/>
    <s v=""/>
    <m/>
    <m/>
    <m/>
    <m/>
    <s v="Given to Riza 10/27 @11:30AM"/>
    <s v=""/>
    <s v=""/>
    <s v=""/>
    <m/>
    <m/>
    <m/>
    <m/>
    <s v=""/>
    <s v=""/>
  </r>
  <r>
    <n v="9759645"/>
    <n v="1"/>
    <s v="20114938"/>
    <s v="LIBERTY CABLEVISION OF PUERTO RICO, INC."/>
    <x v="18"/>
    <d v="2016-10-27T00:00:00"/>
    <d v="2016-10-27T00:00:00"/>
    <x v="2"/>
    <s v="JOSE"/>
    <s v=""/>
    <m/>
    <s v=""/>
    <s v=""/>
    <m/>
    <m/>
    <m/>
    <m/>
    <s v="Given to Riza 10/27 @11:30AM"/>
    <s v=""/>
    <s v=""/>
    <s v=""/>
    <m/>
    <m/>
    <m/>
    <m/>
    <s v=""/>
    <s v=""/>
  </r>
  <r>
    <n v="9759650"/>
    <n v="1"/>
    <s v="20118994"/>
    <s v="CABLE ONE"/>
    <x v="18"/>
    <d v="2016-10-27T00:00:00"/>
    <d v="2016-10-27T00:00:00"/>
    <x v="0"/>
    <s v=""/>
    <s v=""/>
    <m/>
    <s v=""/>
    <s v=""/>
    <m/>
    <m/>
    <m/>
    <m/>
    <s v="Given to Riza 10/27 @11:30AM"/>
    <s v=""/>
    <s v=""/>
    <s v=""/>
    <m/>
    <m/>
    <m/>
    <m/>
    <s v=""/>
    <s v=""/>
  </r>
  <r>
    <n v="9759652"/>
    <n v="3"/>
    <s v="20117383"/>
    <s v="MIDCONTINENT COMMUNICATIONS"/>
    <x v="18"/>
    <d v="2016-10-27T00:00:00"/>
    <d v="2016-10-27T00:00:00"/>
    <x v="3"/>
    <s v="tony / tyrone"/>
    <s v=""/>
    <m/>
    <s v=""/>
    <s v=""/>
    <m/>
    <m/>
    <m/>
    <m/>
    <s v="Given to Riza 10/27 @11:30AM"/>
    <s v=""/>
    <s v=""/>
    <s v="1Z3Y05W40365525543"/>
    <m/>
    <m/>
    <m/>
    <m/>
    <s v=""/>
    <s v=""/>
  </r>
  <r>
    <n v="9759654"/>
    <n v="1"/>
    <s v="20111098"/>
    <s v="CABLEMAS, S.A. DE C.V."/>
    <x v="18"/>
    <d v="2016-10-27T00:00:00"/>
    <d v="2016-10-27T00:00:00"/>
    <x v="2"/>
    <s v="JOSE"/>
    <s v=""/>
    <m/>
    <s v=""/>
    <s v=""/>
    <m/>
    <m/>
    <m/>
    <m/>
    <s v="Given to Riza 10/27 @11:30AM"/>
    <s v=""/>
    <s v=""/>
    <s v=""/>
    <m/>
    <m/>
    <m/>
    <m/>
    <s v=""/>
    <s v=""/>
  </r>
  <r>
    <n v="9759657"/>
    <n v="12"/>
    <s v="20113670"/>
    <s v="CEBRIDGE CONNECTIONS DBA SUDDENLINK"/>
    <x v="18"/>
    <d v="2016-10-27T00:00:00"/>
    <d v="2016-10-27T00:00:00"/>
    <x v="2"/>
    <s v="tony / tyrone"/>
    <s v=""/>
    <m/>
    <s v=""/>
    <s v=""/>
    <m/>
    <m/>
    <m/>
    <m/>
    <s v="Given to Riza 10/27 @11:30AM"/>
    <s v=""/>
    <s v=""/>
    <s v=""/>
    <m/>
    <m/>
    <m/>
    <m/>
    <s v=""/>
    <s v=""/>
  </r>
  <r>
    <n v="9759659"/>
    <n v="3"/>
    <s v="20109872"/>
    <s v="CHARTER"/>
    <x v="18"/>
    <d v="2016-10-27T00:00:00"/>
    <d v="2016-10-27T00:00:00"/>
    <x v="3"/>
    <s v="tony / tyrone"/>
    <s v=""/>
    <m/>
    <s v=""/>
    <s v=""/>
    <m/>
    <m/>
    <m/>
    <m/>
    <s v="Given to Riza 10/27 @11:30AM"/>
    <s v=""/>
    <s v=""/>
    <s v="705155790980"/>
    <m/>
    <m/>
    <m/>
    <m/>
    <s v=""/>
    <s v=""/>
  </r>
  <r>
    <n v="9759660"/>
    <n v="1"/>
    <s v="90710912"/>
    <s v="ARRIS SOLUTIONS, INC."/>
    <x v="18"/>
    <d v="2016-10-27T00:00:00"/>
    <d v="2016-10-27T00:00:00"/>
    <x v="3"/>
    <s v="JOSE"/>
    <s v=""/>
    <m/>
    <s v=""/>
    <s v=""/>
    <m/>
    <m/>
    <m/>
    <m/>
    <s v="Given to Riza 10/27 @11:30AM"/>
    <s v=""/>
    <s v=""/>
    <s v="1Z3Y05W40363825946"/>
    <m/>
    <m/>
    <m/>
    <m/>
    <s v=""/>
    <s v=""/>
  </r>
  <r>
    <n v="9759664"/>
    <n v="1"/>
    <s v="6901388"/>
    <s v="NSG TECHNOLOGY INC"/>
    <x v="18"/>
    <d v="2016-10-27T00:00:00"/>
    <d v="2016-10-27T00:00:00"/>
    <x v="2"/>
    <s v="JOSE"/>
    <s v=""/>
    <m/>
    <s v=""/>
    <s v=""/>
    <m/>
    <m/>
    <m/>
    <m/>
    <s v="Given to Riza 10/27 @11:30AM"/>
    <s v=""/>
    <s v=""/>
    <s v=""/>
    <m/>
    <m/>
    <m/>
    <m/>
    <s v=""/>
    <s v=""/>
  </r>
  <r>
    <n v="9759665"/>
    <n v="1"/>
    <s v="92002641"/>
    <s v="DERY TELECOM"/>
    <x v="18"/>
    <d v="2016-10-27T00:00:00"/>
    <d v="2016-10-27T00:00:00"/>
    <x v="0"/>
    <s v=""/>
    <s v=""/>
    <m/>
    <s v=""/>
    <s v=""/>
    <m/>
    <m/>
    <m/>
    <m/>
    <s v="Given to Riza 10/27 @11:30AM"/>
    <s v=""/>
    <s v=""/>
    <s v=""/>
    <m/>
    <m/>
    <m/>
    <m/>
    <s v=""/>
    <s v=""/>
  </r>
  <r>
    <n v="9759836"/>
    <n v="2"/>
    <s v="20118035"/>
    <s v="RCN"/>
    <x v="18"/>
    <d v="2016-10-27T00:00:00"/>
    <d v="2016-10-27T00:00:00"/>
    <x v="0"/>
    <s v=""/>
    <s v=""/>
    <m/>
    <s v=""/>
    <s v=""/>
    <m/>
    <m/>
    <m/>
    <m/>
    <s v="Given to Riza 10/27 @11:30AM"/>
    <s v=""/>
    <s v=""/>
    <s v=""/>
    <m/>
    <m/>
    <m/>
    <m/>
    <s v=""/>
    <s v=""/>
  </r>
  <r>
    <n v="9759877"/>
    <n v="3"/>
    <s v="6900163"/>
    <s v="COX COMMUNICATIONS"/>
    <x v="18"/>
    <d v="2016-10-27T00:00:00"/>
    <d v="2016-10-27T00:00:00"/>
    <x v="0"/>
    <s v=""/>
    <s v=""/>
    <m/>
    <s v=""/>
    <s v=""/>
    <m/>
    <m/>
    <m/>
    <m/>
    <s v="Given to Riza 10/27 @11:30AM"/>
    <s v=""/>
    <s v=""/>
    <s v=""/>
    <m/>
    <m/>
    <m/>
    <m/>
    <s v=""/>
    <s v=""/>
  </r>
  <r>
    <n v="9759878"/>
    <n v="2"/>
    <s v="92001845"/>
    <s v="VIDEOTRON LTEE"/>
    <x v="18"/>
    <d v="2016-10-27T00:00:00"/>
    <d v="2016-10-27T00:00:00"/>
    <x v="0"/>
    <s v=""/>
    <s v=""/>
    <m/>
    <s v=""/>
    <s v=""/>
    <m/>
    <m/>
    <m/>
    <m/>
    <s v="Given to Riza 10/27 @11:30AM"/>
    <s v=""/>
    <s v=""/>
    <s v=""/>
    <m/>
    <m/>
    <m/>
    <m/>
    <s v=""/>
    <s v=""/>
  </r>
  <r>
    <n v="9759879"/>
    <n v="3"/>
    <s v="92002296"/>
    <s v="VIDEOTRON LTEE"/>
    <x v="18"/>
    <d v="2016-10-27T00:00:00"/>
    <d v="2016-10-27T00:00:00"/>
    <x v="0"/>
    <s v=""/>
    <s v=""/>
    <m/>
    <s v=""/>
    <s v=""/>
    <m/>
    <m/>
    <m/>
    <m/>
    <s v="Given to Riza 10/27 @11:30AM"/>
    <s v=""/>
    <s v=""/>
    <s v=""/>
    <m/>
    <m/>
    <m/>
    <m/>
    <s v=""/>
    <s v=""/>
  </r>
  <r>
    <n v="9759880"/>
    <n v="1"/>
    <s v="92002174"/>
    <s v="VIDEOTRON LTEE"/>
    <x v="18"/>
    <d v="2016-10-27T00:00:00"/>
    <d v="2016-10-27T00:00:00"/>
    <x v="0"/>
    <s v=""/>
    <s v=""/>
    <m/>
    <s v=""/>
    <s v=""/>
    <m/>
    <m/>
    <m/>
    <m/>
    <s v="Given to Riza 10/27 @11:30AM"/>
    <s v=""/>
    <s v=""/>
    <s v=""/>
    <m/>
    <m/>
    <m/>
    <m/>
    <s v=""/>
    <s v=""/>
  </r>
  <r>
    <n v="9759881"/>
    <n v="1"/>
    <s v="92002175"/>
    <s v="VIDEOTRON LTEE"/>
    <x v="18"/>
    <d v="2016-10-27T00:00:00"/>
    <d v="2016-10-27T00:00:00"/>
    <x v="2"/>
    <s v="JOSE"/>
    <s v=""/>
    <m/>
    <s v=""/>
    <s v=""/>
    <m/>
    <m/>
    <m/>
    <m/>
    <s v="Given to Riza 10/27 @11:30AM"/>
    <s v=""/>
    <s v=""/>
    <s v=""/>
    <m/>
    <m/>
    <m/>
    <m/>
    <s v=""/>
    <s v=""/>
  </r>
  <r>
    <n v="9759882"/>
    <n v="11"/>
    <s v="20119124"/>
    <s v="NATIONAL CABLE TELEVISION COOP"/>
    <x v="18"/>
    <d v="2016-10-27T00:00:00"/>
    <d v="2016-10-27T00:00:00"/>
    <x v="2"/>
    <s v="fabian"/>
    <s v=""/>
    <m/>
    <s v=""/>
    <s v=""/>
    <m/>
    <m/>
    <m/>
    <m/>
    <s v="Given to Riza 10/27 @11:30AM"/>
    <s v=""/>
    <s v=""/>
    <s v=""/>
    <m/>
    <m/>
    <m/>
    <m/>
    <s v=""/>
    <s v=""/>
  </r>
  <r>
    <n v="9759883"/>
    <n v="1"/>
    <s v="92002778"/>
    <s v="CABLE AXION"/>
    <x v="18"/>
    <d v="2016-10-27T00:00:00"/>
    <d v="2016-10-27T00:00:00"/>
    <x v="0"/>
    <s v=""/>
    <s v=""/>
    <m/>
    <s v=""/>
    <s v=""/>
    <m/>
    <m/>
    <m/>
    <m/>
    <s v="Given to Riza 10/27 @11:30AM"/>
    <s v=""/>
    <s v=""/>
    <s v=""/>
    <m/>
    <m/>
    <m/>
    <m/>
    <s v=""/>
    <s v=""/>
  </r>
  <r>
    <n v="9759911"/>
    <n v="1"/>
    <s v="20119131"/>
    <s v="NATIONAL CABLE TELEVISION COOP"/>
    <x v="18"/>
    <d v="2016-10-27T00:00:00"/>
    <d v="2016-10-27T00:00:00"/>
    <x v="0"/>
    <s v=""/>
    <s v=""/>
    <m/>
    <s v=""/>
    <s v=""/>
    <m/>
    <m/>
    <m/>
    <m/>
    <s v="Given to Riza 10/27 @11:30AM"/>
    <s v=""/>
    <s v=""/>
    <s v=""/>
    <m/>
    <m/>
    <m/>
    <m/>
    <s v=""/>
    <s v=""/>
  </r>
  <r>
    <n v="9759924"/>
    <n v="2"/>
    <s v="20119136"/>
    <s v="NEWWAVE COMMUNICATIONS"/>
    <x v="18"/>
    <d v="2016-10-27T00:00:00"/>
    <d v="2016-10-27T00:00:00"/>
    <x v="3"/>
    <s v=""/>
    <s v=""/>
    <m/>
    <s v=""/>
    <s v=""/>
    <m/>
    <m/>
    <m/>
    <m/>
    <s v="Given to Riza 10/27 @11:30AM"/>
    <s v=""/>
    <s v=""/>
    <s v="703018781838"/>
    <m/>
    <m/>
    <m/>
    <m/>
    <s v=""/>
    <s v=""/>
  </r>
  <r>
    <n v="9759925"/>
    <n v="1"/>
    <s v="20118838"/>
    <s v="CHARTER"/>
    <x v="18"/>
    <d v="2016-10-27T00:00:00"/>
    <d v="2016-10-27T00:00:00"/>
    <x v="2"/>
    <s v="ROBERT"/>
    <s v=""/>
    <m/>
    <s v=""/>
    <s v=""/>
    <m/>
    <m/>
    <m/>
    <m/>
    <s v="Given to Riza 10/27 @11:30AM"/>
    <s v=""/>
    <s v=""/>
    <s v=""/>
    <m/>
    <m/>
    <m/>
    <m/>
    <s v=""/>
    <s v=""/>
  </r>
  <r>
    <n v="9759958"/>
    <n v="1"/>
    <s v="20119148"/>
    <s v="CABLE ONE"/>
    <x v="18"/>
    <d v="2016-10-27T00:00:00"/>
    <d v="2016-10-27T00:00:00"/>
    <x v="0"/>
    <s v=""/>
    <s v=""/>
    <m/>
    <s v=""/>
    <s v=""/>
    <m/>
    <m/>
    <m/>
    <m/>
    <s v="Given to Riza 10/27 @11:30AM"/>
    <s v=""/>
    <s v=""/>
    <s v=""/>
    <m/>
    <m/>
    <m/>
    <m/>
    <s v=""/>
    <s v=""/>
  </r>
  <r>
    <n v="9759962"/>
    <n v="3"/>
    <s v="20118852"/>
    <s v="CHARTER"/>
    <x v="18"/>
    <d v="2016-10-27T00:00:00"/>
    <d v="2016-10-27T00:00:00"/>
    <x v="3"/>
    <s v="ROBERT"/>
    <s v=""/>
    <m/>
    <s v=""/>
    <s v=""/>
    <m/>
    <m/>
    <m/>
    <m/>
    <s v="Given to Riza 10/27 @11:30AM"/>
    <s v=""/>
    <s v=""/>
    <s v="703018781665"/>
    <m/>
    <m/>
    <m/>
    <m/>
    <s v=""/>
    <s v=""/>
  </r>
  <r>
    <n v="9759998"/>
    <n v="1"/>
    <s v="20115528"/>
    <s v="MEDIACOM"/>
    <x v="18"/>
    <d v="2016-10-27T00:00:00"/>
    <d v="2016-10-27T00:00:00"/>
    <x v="3"/>
    <s v="fabian"/>
    <s v=""/>
    <m/>
    <s v=""/>
    <s v=""/>
    <m/>
    <m/>
    <m/>
    <m/>
    <s v=""/>
    <s v=""/>
    <e v="#N/A"/>
    <s v="1Z3Y05W40361737330"/>
    <m/>
    <m/>
    <m/>
    <m/>
    <s v=""/>
    <s v=""/>
  </r>
  <r>
    <n v="9759999"/>
    <n v="1"/>
    <s v="6900846"/>
    <s v="MEDIACOM"/>
    <x v="18"/>
    <d v="2016-10-27T00:00:00"/>
    <d v="2016-10-27T00:00:00"/>
    <x v="3"/>
    <s v="fabian"/>
    <s v=""/>
    <m/>
    <s v=""/>
    <s v=""/>
    <m/>
    <m/>
    <m/>
    <m/>
    <s v="Given to Riza 10/27 @11:30AM"/>
    <s v=""/>
    <s v=""/>
    <s v="705155791129"/>
    <m/>
    <m/>
    <m/>
    <m/>
    <s v=""/>
    <s v=""/>
  </r>
  <r>
    <n v="9760000"/>
    <n v="1"/>
    <s v="20107565"/>
    <s v="COMCAST"/>
    <x v="18"/>
    <d v="2016-10-27T00:00:00"/>
    <d v="2016-10-27T00:00:00"/>
    <x v="3"/>
    <s v="fabian"/>
    <s v=""/>
    <m/>
    <s v=""/>
    <s v=""/>
    <m/>
    <m/>
    <m/>
    <m/>
    <s v="Given to Riza 10/27 @11:30AM"/>
    <s v=""/>
    <s v=""/>
    <s v="705155790957"/>
    <m/>
    <m/>
    <m/>
    <m/>
    <s v=""/>
    <s v=""/>
  </r>
  <r>
    <n v="9760001"/>
    <n v="1"/>
    <s v="20107128"/>
    <s v="COMCAST"/>
    <x v="18"/>
    <d v="2016-10-27T00:00:00"/>
    <d v="2016-10-27T00:00:00"/>
    <x v="0"/>
    <s v=""/>
    <s v=""/>
    <m/>
    <s v=""/>
    <s v=""/>
    <m/>
    <m/>
    <m/>
    <m/>
    <s v="Given to Austin 10/28 8AM"/>
    <s v=""/>
    <s v=""/>
    <s v=""/>
    <m/>
    <m/>
    <m/>
    <m/>
    <s v=""/>
    <s v=""/>
  </r>
  <r>
    <n v="9760002"/>
    <n v="2"/>
    <s v="20112112"/>
    <s v="COMCAST"/>
    <x v="18"/>
    <d v="2016-10-27T00:00:00"/>
    <d v="2016-10-27T00:00:00"/>
    <x v="0"/>
    <s v=""/>
    <s v=""/>
    <m/>
    <s v=""/>
    <s v=""/>
    <m/>
    <m/>
    <m/>
    <m/>
    <s v="Given to Austin 10/28 8AM"/>
    <s v=""/>
    <s v=""/>
    <s v=""/>
    <m/>
    <m/>
    <m/>
    <m/>
    <s v=""/>
    <s v=""/>
  </r>
  <r>
    <n v="9760003"/>
    <n v="1"/>
    <s v="6901117"/>
    <s v="COMCAST"/>
    <x v="18"/>
    <d v="2016-10-27T00:00:00"/>
    <d v="2016-10-27T00:00:00"/>
    <x v="3"/>
    <s v="TONY"/>
    <s v=""/>
    <m/>
    <s v=""/>
    <s v=""/>
    <m/>
    <m/>
    <m/>
    <m/>
    <s v="Given to Riza 10/27 @11:30AM"/>
    <s v=""/>
    <s v=""/>
    <s v="703018781908"/>
    <m/>
    <m/>
    <m/>
    <m/>
    <s v=""/>
    <s v=""/>
  </r>
  <r>
    <n v="9760004"/>
    <n v="1"/>
    <s v="6901253"/>
    <s v="COMCAST"/>
    <x v="18"/>
    <d v="2016-10-27T00:00:00"/>
    <d v="2016-10-27T00:00:00"/>
    <x v="3"/>
    <s v="fabian"/>
    <s v=""/>
    <m/>
    <s v=""/>
    <s v=""/>
    <m/>
    <m/>
    <m/>
    <m/>
    <s v="Given to Riza 10/27 @11:30AM"/>
    <s v=""/>
    <s v=""/>
    <s v="705155790935"/>
    <m/>
    <m/>
    <m/>
    <m/>
    <s v=""/>
    <s v=""/>
  </r>
  <r>
    <n v="9760005"/>
    <n v="1"/>
    <s v="6901130"/>
    <s v="COMCAST"/>
    <x v="18"/>
    <d v="2016-10-27T00:00:00"/>
    <d v="2016-10-27T00:00:00"/>
    <x v="2"/>
    <s v="TONY"/>
    <s v=""/>
    <m/>
    <s v=""/>
    <s v=""/>
    <m/>
    <m/>
    <m/>
    <m/>
    <s v="Given to Riza 10/27 @11:30AM"/>
    <s v=""/>
    <s v=""/>
    <s v=""/>
    <m/>
    <m/>
    <m/>
    <m/>
    <s v=""/>
    <s v=""/>
  </r>
  <r>
    <n v="9760006"/>
    <n v="1"/>
    <s v="6901255"/>
    <s v="COMCAST"/>
    <x v="18"/>
    <d v="2016-10-27T00:00:00"/>
    <d v="2016-10-27T00:00:00"/>
    <x v="3"/>
    <s v="TONY"/>
    <s v=""/>
    <m/>
    <s v=""/>
    <s v=""/>
    <m/>
    <m/>
    <m/>
    <m/>
    <s v="Given to Riza 10/27 @11:30AM"/>
    <s v=""/>
    <s v=""/>
    <s v="703018781768"/>
    <m/>
    <m/>
    <m/>
    <m/>
    <s v=""/>
    <s v=""/>
  </r>
  <r>
    <n v="9760007"/>
    <n v="1"/>
    <s v="6900852"/>
    <s v="CHARTER"/>
    <x v="18"/>
    <d v="2016-10-27T00:00:00"/>
    <d v="2016-10-27T00:00:00"/>
    <x v="3"/>
    <s v="fabian"/>
    <s v=""/>
    <m/>
    <s v=""/>
    <s v=""/>
    <m/>
    <m/>
    <m/>
    <m/>
    <s v="Given to Riza 10/27 @11:30AM"/>
    <s v=""/>
    <s v=""/>
    <s v="705155790979"/>
    <m/>
    <m/>
    <m/>
    <m/>
    <s v=""/>
    <s v=""/>
  </r>
  <r>
    <n v="9760008"/>
    <n v="1"/>
    <s v="6900587"/>
    <s v="TELEDIFUSORA SAN MIGUEL ARCANGEL S.A."/>
    <x v="18"/>
    <d v="2016-10-27T00:00:00"/>
    <d v="2016-10-27T00:00:00"/>
    <x v="0"/>
    <s v=""/>
    <s v=""/>
    <m/>
    <s v=""/>
    <s v=""/>
    <m/>
    <m/>
    <m/>
    <m/>
    <s v="Given to Riza 10/27 @11:30AM"/>
    <s v=""/>
    <s v=""/>
    <s v=""/>
    <m/>
    <m/>
    <m/>
    <m/>
    <s v=""/>
    <s v=""/>
  </r>
  <r>
    <n v="9760022"/>
    <n v="4"/>
    <s v="92002757"/>
    <s v="ROGERS CABLE"/>
    <x v="18"/>
    <d v="2016-10-27T00:00:00"/>
    <d v="2016-10-27T00:00:00"/>
    <x v="0"/>
    <s v=""/>
    <s v=""/>
    <m/>
    <s v=""/>
    <s v=""/>
    <m/>
    <m/>
    <m/>
    <m/>
    <s v="Given to Austin 10/28 8AM"/>
    <s v=""/>
    <s v=""/>
    <s v=""/>
    <m/>
    <m/>
    <m/>
    <m/>
    <s v=""/>
    <s v=""/>
  </r>
  <r>
    <n v="9760023"/>
    <n v="6"/>
    <s v="92002758"/>
    <s v="ROGERS CABLE"/>
    <x v="18"/>
    <d v="2016-10-27T00:00:00"/>
    <d v="2016-10-27T00:00:00"/>
    <x v="0"/>
    <s v=""/>
    <s v=""/>
    <m/>
    <s v=""/>
    <s v=""/>
    <m/>
    <m/>
    <m/>
    <m/>
    <s v="Given to Austin 10/28 8AM"/>
    <s v=""/>
    <s v=""/>
    <s v=""/>
    <m/>
    <m/>
    <m/>
    <m/>
    <s v=""/>
    <s v=""/>
  </r>
  <r>
    <n v="9760024"/>
    <n v="2"/>
    <s v="92002760"/>
    <s v="ROGERS CABLE"/>
    <x v="18"/>
    <d v="2016-10-27T00:00:00"/>
    <d v="2016-10-27T00:00:00"/>
    <x v="0"/>
    <s v=""/>
    <s v=""/>
    <m/>
    <s v=""/>
    <s v=""/>
    <m/>
    <m/>
    <m/>
    <m/>
    <s v="Given to Austin 10/28 8AM"/>
    <s v=""/>
    <s v=""/>
    <s v=""/>
    <m/>
    <m/>
    <m/>
    <m/>
    <s v=""/>
    <s v=""/>
  </r>
  <r>
    <n v="9760025"/>
    <n v="4"/>
    <s v="92002756"/>
    <s v="ROGERS CABLE"/>
    <x v="18"/>
    <d v="2016-10-27T00:00:00"/>
    <d v="2016-10-27T00:00:00"/>
    <x v="0"/>
    <s v=""/>
    <s v=""/>
    <m/>
    <s v=""/>
    <s v=""/>
    <m/>
    <m/>
    <m/>
    <m/>
    <s v="Given to Austin 10/28 8AM"/>
    <s v=""/>
    <s v=""/>
    <s v=""/>
    <m/>
    <m/>
    <m/>
    <m/>
    <s v=""/>
    <s v=""/>
  </r>
  <r>
    <n v="9760026"/>
    <n v="2"/>
    <s v="20116020"/>
    <s v="CABLEMAS, S.A. DE C.V."/>
    <x v="18"/>
    <d v="2016-10-27T00:00:00"/>
    <d v="2016-10-27T00:00:00"/>
    <x v="0"/>
    <s v=""/>
    <s v=""/>
    <m/>
    <s v=""/>
    <s v=""/>
    <m/>
    <m/>
    <m/>
    <m/>
    <s v="Given to Austin 10/28 8AM"/>
    <s v=""/>
    <s v=""/>
    <s v=""/>
    <m/>
    <m/>
    <m/>
    <m/>
    <s v=""/>
    <s v=""/>
  </r>
  <r>
    <n v="9760027"/>
    <n v="2"/>
    <s v="92002645"/>
    <s v="DERY TELECOM"/>
    <x v="18"/>
    <d v="2016-10-27T00:00:00"/>
    <d v="2016-10-27T00:00:00"/>
    <x v="0"/>
    <s v=""/>
    <s v=""/>
    <m/>
    <s v=""/>
    <s v=""/>
    <m/>
    <m/>
    <m/>
    <m/>
    <s v="Given to Austin 10/28 8AM"/>
    <s v=""/>
    <s v=""/>
    <s v=""/>
    <m/>
    <m/>
    <m/>
    <m/>
    <s v=""/>
    <s v=""/>
  </r>
  <r>
    <n v="9760041"/>
    <n v="2"/>
    <s v="20119180"/>
    <s v="COMCAST"/>
    <x v="18"/>
    <d v="2016-10-27T00:00:00"/>
    <d v="2016-10-27T00:00:00"/>
    <x v="0"/>
    <s v=""/>
    <s v=""/>
    <m/>
    <s v=""/>
    <s v=""/>
    <m/>
    <m/>
    <m/>
    <m/>
    <s v="Given to Austin 10/28 8AM"/>
    <s v=""/>
    <s v=""/>
    <s v=""/>
    <m/>
    <m/>
    <m/>
    <m/>
    <s v=""/>
    <s v=""/>
  </r>
  <r>
    <n v="9760042"/>
    <n v="1"/>
    <s v="92001584"/>
    <s v="VIDEOTRON LTEE"/>
    <x v="18"/>
    <d v="2016-10-27T00:00:00"/>
    <d v="2016-10-27T00:00:00"/>
    <x v="0"/>
    <s v=""/>
    <s v=""/>
    <m/>
    <s v=""/>
    <s v=""/>
    <m/>
    <m/>
    <m/>
    <m/>
    <s v="Given to Austin 10/28 8AM"/>
    <s v=""/>
    <s v=""/>
    <s v=""/>
    <m/>
    <m/>
    <m/>
    <m/>
    <s v=""/>
    <s v=""/>
  </r>
  <r>
    <n v="9760043"/>
    <n v="1"/>
    <s v="92002177"/>
    <s v="VIDEOTRON LTEE"/>
    <x v="18"/>
    <d v="2016-10-27T00:00:00"/>
    <d v="2016-10-27T00:00:00"/>
    <x v="0"/>
    <s v=""/>
    <s v=""/>
    <m/>
    <s v=""/>
    <s v=""/>
    <m/>
    <m/>
    <m/>
    <m/>
    <s v="Given to Austin 10/28 8AM"/>
    <s v=""/>
    <s v=""/>
    <s v=""/>
    <m/>
    <m/>
    <m/>
    <m/>
    <s v=""/>
    <s v=""/>
  </r>
  <r>
    <n v="9760044"/>
    <n v="1"/>
    <s v="92002176"/>
    <s v="VIDEOTRON LTEE"/>
    <x v="18"/>
    <d v="2016-10-27T00:00:00"/>
    <d v="2016-10-27T00:00:00"/>
    <x v="0"/>
    <s v=""/>
    <s v=""/>
    <m/>
    <s v=""/>
    <s v=""/>
    <m/>
    <m/>
    <m/>
    <m/>
    <s v="Given to Austin 10/28 8AM"/>
    <s v=""/>
    <s v=""/>
    <s v=""/>
    <m/>
    <m/>
    <m/>
    <m/>
    <s v=""/>
    <s v=""/>
  </r>
  <r>
    <n v="9760045"/>
    <n v="2"/>
    <s v="20119175"/>
    <s v="ADVANCED MEDIA TECHNOLOGIES INC. (PRIOR DX COMMS)"/>
    <x v="18"/>
    <d v="2016-10-27T00:00:00"/>
    <d v="2016-10-27T00:00:00"/>
    <x v="0"/>
    <s v=""/>
    <s v=""/>
    <m/>
    <s v=""/>
    <s v=""/>
    <m/>
    <m/>
    <m/>
    <m/>
    <s v="Given to Austin 10/28 8AM"/>
    <s v=""/>
    <s v=""/>
    <s v=""/>
    <m/>
    <m/>
    <m/>
    <m/>
    <s v=""/>
    <s v=""/>
  </r>
  <r>
    <n v="9760055"/>
    <n v="1"/>
    <s v="20107333"/>
    <s v="COMCAST"/>
    <x v="18"/>
    <d v="2016-10-27T00:00:00"/>
    <d v="2016-10-27T00:00:00"/>
    <x v="0"/>
    <s v=""/>
    <s v=""/>
    <m/>
    <s v=""/>
    <s v=""/>
    <m/>
    <m/>
    <m/>
    <m/>
    <s v="Given to Austin 10/28 8AM"/>
    <s v=""/>
    <s v=""/>
    <s v=""/>
    <m/>
    <m/>
    <m/>
    <m/>
    <s v=""/>
    <s v=""/>
  </r>
  <r>
    <n v="9760056"/>
    <n v="8"/>
    <s v="90711086"/>
    <s v="ARRIS TECHNOLOGY, INC."/>
    <x v="18"/>
    <d v="2016-10-27T00:00:00"/>
    <d v="2016-10-27T00:00:00"/>
    <x v="0"/>
    <s v=""/>
    <s v=""/>
    <m/>
    <s v=""/>
    <s v=""/>
    <m/>
    <m/>
    <m/>
    <m/>
    <s v="Given to Austin 10/28 8AM"/>
    <s v=""/>
    <s v=""/>
    <s v=""/>
    <m/>
    <m/>
    <m/>
    <m/>
    <s v=""/>
    <s v=""/>
  </r>
  <r>
    <n v="9760070"/>
    <n v="1"/>
    <s v="20119251"/>
    <s v="MEDIACOM"/>
    <x v="18"/>
    <d v="2016-10-27T00:00:00"/>
    <d v="2016-10-27T00:00:00"/>
    <x v="0"/>
    <s v=""/>
    <s v=""/>
    <m/>
    <s v=""/>
    <s v=""/>
    <m/>
    <m/>
    <m/>
    <m/>
    <s v="Given to Austin 10/28 8AM"/>
    <s v=""/>
    <s v=""/>
    <s v=""/>
    <m/>
    <m/>
    <m/>
    <m/>
    <s v=""/>
    <s v=""/>
  </r>
  <r>
    <n v="9760071"/>
    <n v="4"/>
    <s v="20119240"/>
    <s v="COMCAST"/>
    <x v="18"/>
    <d v="2016-10-27T00:00:00"/>
    <d v="2016-10-27T00:00:00"/>
    <x v="0"/>
    <s v=""/>
    <s v=""/>
    <m/>
    <s v=""/>
    <s v=""/>
    <m/>
    <m/>
    <m/>
    <m/>
    <s v="Given to Austin 10/28 8AM"/>
    <s v=""/>
    <s v=""/>
    <s v=""/>
    <m/>
    <m/>
    <m/>
    <m/>
    <s v=""/>
    <s v=""/>
  </r>
  <r>
    <n v="9760072"/>
    <n v="1"/>
    <s v="92001706"/>
    <s v="COGECO"/>
    <x v="18"/>
    <d v="2016-10-27T00:00:00"/>
    <d v="2016-10-27T00:00:00"/>
    <x v="0"/>
    <s v=""/>
    <s v=""/>
    <m/>
    <s v=""/>
    <s v=""/>
    <m/>
    <m/>
    <m/>
    <m/>
    <s v="Given to Austin 10/28 8AM"/>
    <s v=""/>
    <s v=""/>
    <s v=""/>
    <m/>
    <m/>
    <m/>
    <m/>
    <s v=""/>
    <s v=""/>
  </r>
  <r>
    <n v="9760082"/>
    <n v="1"/>
    <s v="90711089"/>
    <s v="ARRIS TECHNOLOGY, INC."/>
    <x v="18"/>
    <d v="2016-10-27T00:00:00"/>
    <d v="2016-10-27T00:00:00"/>
    <x v="0"/>
    <s v=""/>
    <s v=""/>
    <m/>
    <s v=""/>
    <s v=""/>
    <m/>
    <m/>
    <m/>
    <m/>
    <s v="Given to Austin 10/28 8AM"/>
    <s v=""/>
    <s v=""/>
    <s v=""/>
    <m/>
    <m/>
    <m/>
    <m/>
    <s v=""/>
    <s v=""/>
  </r>
  <r>
    <n v="9760083"/>
    <n v="1"/>
    <s v="20119107"/>
    <s v="CHARTER"/>
    <x v="18"/>
    <d v="2016-10-27T00:00:00"/>
    <d v="2016-10-27T00:00:00"/>
    <x v="0"/>
    <s v=""/>
    <s v=""/>
    <m/>
    <s v=""/>
    <s v=""/>
    <m/>
    <m/>
    <m/>
    <m/>
    <s v="Given to Austin 10/28 8AM"/>
    <s v=""/>
    <s v=""/>
    <s v=""/>
    <m/>
    <m/>
    <m/>
    <m/>
    <s v=""/>
    <s v=""/>
  </r>
  <r>
    <n v="9760092"/>
    <n v="1"/>
    <s v="20106720"/>
    <s v="COMCAST"/>
    <x v="18"/>
    <d v="2016-10-27T00:00:00"/>
    <d v="2016-10-27T00:00:00"/>
    <x v="0"/>
    <s v=""/>
    <s v=""/>
    <m/>
    <s v=""/>
    <s v=""/>
    <m/>
    <m/>
    <m/>
    <m/>
    <s v="Given to Austin 10/28 8AM"/>
    <s v=""/>
    <s v=""/>
    <s v=""/>
    <m/>
    <m/>
    <m/>
    <m/>
    <s v=""/>
    <s v=""/>
  </r>
  <r>
    <n v="9760093"/>
    <n v="1"/>
    <s v="20107388"/>
    <s v="COMCAST"/>
    <x v="18"/>
    <d v="2016-10-27T00:00:00"/>
    <d v="2016-10-27T00:00:00"/>
    <x v="0"/>
    <s v=""/>
    <s v=""/>
    <m/>
    <s v=""/>
    <s v=""/>
    <m/>
    <m/>
    <m/>
    <m/>
    <s v="Given to Austin 10/28 8AM"/>
    <s v=""/>
    <s v=""/>
    <s v=""/>
    <m/>
    <m/>
    <m/>
    <m/>
    <s v=""/>
    <s v=""/>
  </r>
  <r>
    <n v="9760094"/>
    <n v="1"/>
    <s v="20107356"/>
    <s v="COMCAST"/>
    <x v="18"/>
    <d v="2016-10-27T00:00:00"/>
    <d v="2016-10-27T00:00:00"/>
    <x v="0"/>
    <s v=""/>
    <s v=""/>
    <m/>
    <s v=""/>
    <s v=""/>
    <m/>
    <m/>
    <m/>
    <m/>
    <s v="Given to Austin 10/28 8AM"/>
    <s v=""/>
    <s v=""/>
    <s v=""/>
    <m/>
    <m/>
    <m/>
    <m/>
    <s v=""/>
    <s v=""/>
  </r>
  <r>
    <n v="9760095"/>
    <n v="1"/>
    <s v="20107079"/>
    <s v="COMCAST"/>
    <x v="18"/>
    <d v="2016-10-27T00:00:00"/>
    <d v="2016-10-27T00:00:00"/>
    <x v="0"/>
    <s v=""/>
    <s v=""/>
    <m/>
    <s v=""/>
    <s v=""/>
    <m/>
    <m/>
    <m/>
    <m/>
    <s v="Given to Austin 10/28 8AM"/>
    <s v=""/>
    <s v=""/>
    <s v=""/>
    <m/>
    <m/>
    <m/>
    <m/>
    <s v=""/>
    <s v=""/>
  </r>
  <r>
    <n v="9760096"/>
    <n v="1"/>
    <s v="6900907"/>
    <s v="COMCAST"/>
    <x v="18"/>
    <d v="2016-10-27T00:00:00"/>
    <d v="2016-10-27T00:00:00"/>
    <x v="0"/>
    <s v=""/>
    <s v=""/>
    <m/>
    <s v=""/>
    <s v=""/>
    <m/>
    <m/>
    <m/>
    <m/>
    <s v="Given to Austin 10/28 8AM"/>
    <s v=""/>
    <s v=""/>
    <s v=""/>
    <m/>
    <m/>
    <m/>
    <m/>
    <s v=""/>
    <s v=""/>
  </r>
  <r>
    <n v="9760109"/>
    <n v="2"/>
    <s v="20107333"/>
    <s v="COMCAST"/>
    <x v="18"/>
    <d v="2016-10-27T00:00:00"/>
    <d v="2016-10-27T00:00:00"/>
    <x v="0"/>
    <s v=""/>
    <s v=""/>
    <m/>
    <s v=""/>
    <s v=""/>
    <m/>
    <m/>
    <m/>
    <m/>
    <s v="Given to Austin 10/28 8AM"/>
    <s v=""/>
    <s v=""/>
    <s v=""/>
    <m/>
    <m/>
    <m/>
    <m/>
    <s v=""/>
    <s v=""/>
  </r>
  <r>
    <n v="9760110"/>
    <n v="1"/>
    <s v="20115199"/>
    <s v="TDS Telecom"/>
    <x v="18"/>
    <d v="2016-10-27T00:00:00"/>
    <d v="2016-10-27T00:00:00"/>
    <x v="0"/>
    <s v=""/>
    <s v=""/>
    <m/>
    <s v=""/>
    <s v=""/>
    <m/>
    <m/>
    <m/>
    <m/>
    <s v="Given to Austin 10/28 8AM"/>
    <s v=""/>
    <s v=""/>
    <s v=""/>
    <m/>
    <m/>
    <m/>
    <m/>
    <s v=""/>
    <s v=""/>
  </r>
  <r>
    <n v="9760116"/>
    <n v="2"/>
    <s v="90710598"/>
    <s v="ARRIS TECHNOLOGY, INC."/>
    <x v="18"/>
    <d v="2016-10-27T00:00:00"/>
    <d v="2016-10-27T00:00:00"/>
    <x v="0"/>
    <s v=""/>
    <s v=""/>
    <m/>
    <s v=""/>
    <s v=""/>
    <m/>
    <m/>
    <m/>
    <m/>
    <s v="Given to Austin 10/28 8AM"/>
    <s v=""/>
    <s v=""/>
    <s v=""/>
    <m/>
    <m/>
    <m/>
    <m/>
    <s v=""/>
    <s v=""/>
  </r>
  <r>
    <n v="9760176"/>
    <n v="1"/>
    <s v="20117581"/>
    <s v="COMCAST"/>
    <x v="19"/>
    <d v="2016-10-28T00:00:00"/>
    <d v="2016-10-28T00:00:00"/>
    <x v="0"/>
    <s v=""/>
    <s v=""/>
    <m/>
    <s v=""/>
    <s v=""/>
    <m/>
    <m/>
    <m/>
    <m/>
    <s v="Given to Austin 10/28 8AM"/>
    <s v=""/>
    <s v=""/>
    <s v=""/>
    <m/>
    <m/>
    <m/>
    <m/>
    <s v=""/>
    <s v=""/>
  </r>
  <r>
    <n v="9760177"/>
    <n v="1"/>
    <s v="92001587"/>
    <s v="VIDEOTRON LTEE"/>
    <x v="19"/>
    <d v="2016-10-28T00:00:00"/>
    <d v="2016-10-28T00:00:00"/>
    <x v="0"/>
    <s v=""/>
    <s v=""/>
    <m/>
    <s v=""/>
    <s v=""/>
    <m/>
    <m/>
    <m/>
    <m/>
    <s v="Given to Austin 10/28 8AM"/>
    <s v=""/>
    <s v=""/>
    <s v=""/>
    <m/>
    <m/>
    <m/>
    <m/>
    <s v=""/>
    <s v=""/>
  </r>
  <r>
    <n v="9760178"/>
    <n v="8"/>
    <s v="20119207"/>
    <s v="GCI CABLE"/>
    <x v="19"/>
    <d v="2016-10-28T00:00:00"/>
    <d v="2016-10-28T00:00:00"/>
    <x v="6"/>
    <s v=""/>
    <s v=""/>
    <m/>
    <s v=""/>
    <s v=""/>
    <m/>
    <m/>
    <m/>
    <m/>
    <s v=""/>
    <s v=""/>
    <e v="#N/A"/>
    <s v=""/>
    <m/>
    <m/>
    <m/>
    <m/>
    <s v=""/>
    <s v=""/>
  </r>
  <r>
    <n v="9760179"/>
    <n v="1"/>
    <s v="20111063"/>
    <s v="CHARTER"/>
    <x v="19"/>
    <d v="2016-10-28T00:00:00"/>
    <d v="2016-10-28T00:00:00"/>
    <x v="0"/>
    <s v=""/>
    <s v=""/>
    <m/>
    <s v=""/>
    <s v=""/>
    <m/>
    <m/>
    <m/>
    <m/>
    <s v="Given to Austin 10/28 8AM"/>
    <s v=""/>
    <s v=""/>
    <s v=""/>
    <m/>
    <m/>
    <m/>
    <m/>
    <s v=""/>
    <s v=""/>
  </r>
  <r>
    <n v="9760265"/>
    <n v="1"/>
    <s v="20115533"/>
    <s v="MEDIACOM"/>
    <x v="19"/>
    <d v="2016-10-28T00:00:00"/>
    <d v="2016-10-28T00:00:00"/>
    <x v="0"/>
    <s v=""/>
    <s v=""/>
    <m/>
    <s v=""/>
    <s v=""/>
    <m/>
    <m/>
    <m/>
    <m/>
    <s v="Given to Austin 10/28 8AM"/>
    <s v=""/>
    <s v=""/>
    <s v=""/>
    <m/>
    <m/>
    <m/>
    <m/>
    <s v=""/>
    <s v=""/>
  </r>
  <r>
    <n v="9760266"/>
    <n v="1"/>
    <s v="20115524"/>
    <s v="MEDIACOM"/>
    <x v="19"/>
    <d v="2016-10-28T00:00:00"/>
    <d v="2016-10-28T00:00:00"/>
    <x v="0"/>
    <s v=""/>
    <s v=""/>
    <m/>
    <s v=""/>
    <s v=""/>
    <m/>
    <m/>
    <m/>
    <m/>
    <s v="Given to Austin 10/28 8AM"/>
    <s v=""/>
    <s v=""/>
    <s v=""/>
    <m/>
    <m/>
    <m/>
    <m/>
    <s v=""/>
    <s v=""/>
  </r>
  <r>
    <n v="9760267"/>
    <n v="1"/>
    <s v="20110081"/>
    <s v="MEDIACOM"/>
    <x v="19"/>
    <d v="2016-10-28T00:00:00"/>
    <d v="2016-10-28T00:00:00"/>
    <x v="0"/>
    <s v=""/>
    <s v=""/>
    <m/>
    <s v=""/>
    <s v=""/>
    <m/>
    <m/>
    <m/>
    <m/>
    <s v="Given to Austin 10/28 8AM"/>
    <s v=""/>
    <s v=""/>
    <s v=""/>
    <m/>
    <m/>
    <m/>
    <m/>
    <s v=""/>
    <s v=""/>
  </r>
  <r>
    <n v="9760268"/>
    <n v="2"/>
    <s v="20107931"/>
    <s v="MEDIACOM"/>
    <x v="19"/>
    <d v="2016-10-28T00:00:00"/>
    <d v="2016-10-28T00:00:00"/>
    <x v="0"/>
    <s v=""/>
    <s v=""/>
    <m/>
    <s v=""/>
    <s v=""/>
    <m/>
    <m/>
    <m/>
    <m/>
    <s v="Given to Austin 10/28 8AM"/>
    <s v=""/>
    <s v=""/>
    <s v=""/>
    <m/>
    <m/>
    <m/>
    <m/>
    <s v=""/>
    <s v=""/>
  </r>
  <r>
    <n v="9760269"/>
    <n v="1"/>
    <s v="20107333"/>
    <s v="COMCAST"/>
    <x v="19"/>
    <d v="2016-10-28T00:00:00"/>
    <d v="2016-10-28T00:00:00"/>
    <x v="0"/>
    <s v=""/>
    <s v=""/>
    <m/>
    <s v=""/>
    <s v=""/>
    <m/>
    <m/>
    <m/>
    <m/>
    <s v="Given to Austin 10/28 8AM"/>
    <s v=""/>
    <s v=""/>
    <s v=""/>
    <m/>
    <m/>
    <m/>
    <m/>
    <s v=""/>
    <s v=""/>
  </r>
  <r>
    <n v="9760270"/>
    <n v="1"/>
    <s v="20107140"/>
    <s v="COMCAST"/>
    <x v="19"/>
    <d v="2016-10-28T00:00:00"/>
    <d v="2016-10-28T00:00:00"/>
    <x v="0"/>
    <s v=""/>
    <s v=""/>
    <m/>
    <s v=""/>
    <s v=""/>
    <m/>
    <m/>
    <m/>
    <m/>
    <s v="Given to Austin 10/28 8AM"/>
    <s v=""/>
    <s v=""/>
    <s v=""/>
    <m/>
    <m/>
    <m/>
    <m/>
    <s v=""/>
    <s v=""/>
  </r>
  <r>
    <n v="9760271"/>
    <n v="1"/>
    <s v="20107556"/>
    <s v="COMCAST"/>
    <x v="19"/>
    <d v="2016-10-28T00:00:00"/>
    <d v="2016-10-28T00:00:00"/>
    <x v="0"/>
    <s v=""/>
    <s v=""/>
    <m/>
    <s v=""/>
    <s v=""/>
    <m/>
    <m/>
    <m/>
    <m/>
    <s v="Given to Austin 10/28 8AM"/>
    <s v=""/>
    <s v=""/>
    <s v=""/>
    <m/>
    <m/>
    <m/>
    <m/>
    <s v=""/>
    <s v=""/>
  </r>
  <r>
    <n v="9760272"/>
    <n v="1"/>
    <s v="20108780"/>
    <s v="COMCAST"/>
    <x v="19"/>
    <d v="2016-10-28T00:00:00"/>
    <d v="2016-10-28T00:00:00"/>
    <x v="3"/>
    <s v="DAVID"/>
    <s v=""/>
    <m/>
    <s v=""/>
    <s v=""/>
    <m/>
    <m/>
    <m/>
    <m/>
    <s v="Given to Austin 10/28 8AM"/>
    <s v=""/>
    <s v=""/>
    <s v="703018781871"/>
    <m/>
    <m/>
    <m/>
    <m/>
    <s v=""/>
    <s v=""/>
  </r>
  <r>
    <n v="9760273"/>
    <n v="1"/>
    <s v="20108183"/>
    <s v="COMCAST"/>
    <x v="19"/>
    <d v="2016-10-28T00:00:00"/>
    <d v="2016-10-28T00:00:00"/>
    <x v="3"/>
    <s v="DAVID"/>
    <s v=""/>
    <m/>
    <s v=""/>
    <s v=""/>
    <m/>
    <m/>
    <m/>
    <m/>
    <s v="Given to Austin 10/28 8AM"/>
    <s v=""/>
    <s v=""/>
    <s v="703018781882"/>
    <m/>
    <m/>
    <m/>
    <m/>
    <s v=""/>
    <s v=""/>
  </r>
  <r>
    <n v="9760274"/>
    <n v="1"/>
    <s v="20110780"/>
    <s v="COMCAST"/>
    <x v="19"/>
    <d v="2016-10-28T00:00:00"/>
    <d v="2016-10-28T00:00:00"/>
    <x v="3"/>
    <s v="DAVID"/>
    <s v=""/>
    <m/>
    <s v=""/>
    <s v=""/>
    <m/>
    <m/>
    <m/>
    <m/>
    <s v="Given to Austin 10/28 8AM"/>
    <s v=""/>
    <s v=""/>
    <s v="705155791140"/>
    <m/>
    <m/>
    <m/>
    <m/>
    <s v=""/>
    <s v=""/>
  </r>
  <r>
    <n v="9760275"/>
    <n v="1"/>
    <s v="20116418"/>
    <s v="COMCAST"/>
    <x v="19"/>
    <d v="2016-10-28T00:00:00"/>
    <d v="2016-10-28T00:00:00"/>
    <x v="3"/>
    <s v="DAVID"/>
    <s v=""/>
    <m/>
    <s v=""/>
    <s v=""/>
    <m/>
    <m/>
    <m/>
    <m/>
    <s v="Given to Austin 10/28 8AM"/>
    <s v=""/>
    <s v=""/>
    <s v="703018781805"/>
    <m/>
    <m/>
    <m/>
    <m/>
    <s v=""/>
    <s v=""/>
  </r>
  <r>
    <n v="9760276"/>
    <n v="1"/>
    <s v="20111124"/>
    <s v="COMCAST"/>
    <x v="19"/>
    <d v="2016-10-28T00:00:00"/>
    <d v="2016-10-28T00:00:00"/>
    <x v="3"/>
    <s v="DAVID"/>
    <s v=""/>
    <m/>
    <s v=""/>
    <s v=""/>
    <m/>
    <m/>
    <m/>
    <m/>
    <s v="Given to Austin 10/28 8AM"/>
    <s v=""/>
    <s v=""/>
    <s v="705155791118"/>
    <m/>
    <m/>
    <m/>
    <m/>
    <s v=""/>
    <s v=""/>
  </r>
  <r>
    <n v="9760277"/>
    <n v="1"/>
    <s v="20114891"/>
    <s v="COMCAST"/>
    <x v="19"/>
    <d v="2016-10-28T00:00:00"/>
    <d v="2016-10-28T00:00:00"/>
    <x v="3"/>
    <s v="DAVID"/>
    <s v=""/>
    <m/>
    <s v=""/>
    <s v=""/>
    <m/>
    <m/>
    <m/>
    <m/>
    <s v="Given to Austin 10/28 8AM"/>
    <s v=""/>
    <s v=""/>
    <s v="705155791130"/>
    <m/>
    <m/>
    <m/>
    <m/>
    <s v=""/>
    <s v=""/>
  </r>
  <r>
    <n v="9760278"/>
    <n v="1"/>
    <s v="20114993"/>
    <s v="COMCAST"/>
    <x v="19"/>
    <d v="2016-10-28T00:00:00"/>
    <d v="2016-10-28T00:00:00"/>
    <x v="1"/>
    <s v="DAVID"/>
    <s v=""/>
    <m/>
    <s v="YES"/>
    <s v="paperwork in PIR folder (Austin)"/>
    <m/>
    <m/>
    <m/>
    <m/>
    <s v="Given to Austin 10/28 8AM"/>
    <s v=""/>
    <s v=""/>
    <s v=""/>
    <m/>
    <m/>
    <m/>
    <m/>
    <s v=""/>
    <s v=""/>
  </r>
  <r>
    <n v="9760279"/>
    <n v="6"/>
    <s v="20111522"/>
    <s v="COMCAST"/>
    <x v="19"/>
    <d v="2016-10-28T00:00:00"/>
    <d v="2016-10-28T00:00:00"/>
    <x v="2"/>
    <s v="DAVID"/>
    <s v=""/>
    <m/>
    <s v=""/>
    <s v=""/>
    <m/>
    <m/>
    <m/>
    <m/>
    <s v="Given to Austin 10/28 8AM"/>
    <s v=""/>
    <s v=""/>
    <s v=""/>
    <m/>
    <m/>
    <m/>
    <m/>
    <s v=""/>
    <s v=""/>
  </r>
  <r>
    <n v="9760281"/>
    <n v="1"/>
    <s v="20106296"/>
    <s v="COMCAST"/>
    <x v="19"/>
    <d v="2016-10-28T00:00:00"/>
    <d v="2016-10-28T00:00:00"/>
    <x v="2"/>
    <s v="JOSE"/>
    <s v=""/>
    <m/>
    <s v=""/>
    <s v=""/>
    <m/>
    <m/>
    <m/>
    <m/>
    <s v="Given to Austin 10/28 8AM"/>
    <s v=""/>
    <s v=""/>
    <s v=""/>
    <m/>
    <m/>
    <m/>
    <m/>
    <s v=""/>
    <s v=""/>
  </r>
  <r>
    <n v="9760282"/>
    <n v="2"/>
    <s v="20110638"/>
    <s v="COMCAST"/>
    <x v="19"/>
    <d v="2016-10-28T00:00:00"/>
    <d v="2016-10-28T00:00:00"/>
    <x v="3"/>
    <s v="JOSE"/>
    <s v=""/>
    <m/>
    <s v=""/>
    <s v=""/>
    <m/>
    <m/>
    <m/>
    <m/>
    <s v="Given to Austin 10/28 8AM"/>
    <s v=""/>
    <s v=""/>
    <s v="703018781919"/>
    <m/>
    <m/>
    <m/>
    <m/>
    <s v=""/>
    <s v=""/>
  </r>
  <r>
    <n v="9760283"/>
    <n v="1"/>
    <s v="20113048"/>
    <s v="COMCAST"/>
    <x v="19"/>
    <d v="2016-10-28T00:00:00"/>
    <d v="2016-10-28T00:00:00"/>
    <x v="2"/>
    <s v="JOSE"/>
    <s v=""/>
    <m/>
    <s v=""/>
    <s v=""/>
    <m/>
    <m/>
    <m/>
    <m/>
    <s v="Given to Austin 10/28 8AM"/>
    <s v=""/>
    <s v=""/>
    <s v=""/>
    <m/>
    <m/>
    <m/>
    <m/>
    <s v=""/>
    <s v=""/>
  </r>
  <r>
    <n v="9760284"/>
    <n v="1"/>
    <s v="20111736"/>
    <s v="COMCAST"/>
    <x v="19"/>
    <d v="2016-10-28T00:00:00"/>
    <d v="2016-10-28T00:00:00"/>
    <x v="2"/>
    <s v="JOSE"/>
    <s v=""/>
    <m/>
    <s v=""/>
    <s v=""/>
    <m/>
    <m/>
    <m/>
    <m/>
    <s v="Given to Austin 10/28 8AM"/>
    <s v=""/>
    <s v=""/>
    <s v=""/>
    <m/>
    <m/>
    <m/>
    <m/>
    <s v=""/>
    <s v=""/>
  </r>
  <r>
    <n v="9760285"/>
    <n v="2"/>
    <s v="20111812"/>
    <s v="COMCAST"/>
    <x v="19"/>
    <d v="2016-10-28T00:00:00"/>
    <d v="2016-10-28T00:00:00"/>
    <x v="2"/>
    <s v="JOSE"/>
    <s v=""/>
    <m/>
    <s v=""/>
    <s v=""/>
    <m/>
    <m/>
    <m/>
    <m/>
    <s v="Given to Austin 10/28 8AM"/>
    <s v=""/>
    <s v=""/>
    <s v=""/>
    <m/>
    <m/>
    <m/>
    <m/>
    <s v=""/>
    <s v=""/>
  </r>
  <r>
    <n v="9760286"/>
    <n v="2"/>
    <s v="20111827"/>
    <s v="COMCAST"/>
    <x v="19"/>
    <d v="2016-10-28T00:00:00"/>
    <d v="2016-10-28T00:00:00"/>
    <x v="3"/>
    <s v="JOSE"/>
    <s v=""/>
    <m/>
    <s v=""/>
    <s v=""/>
    <m/>
    <m/>
    <m/>
    <m/>
    <s v="Given to Austin 10/28 8AM"/>
    <s v=""/>
    <s v=""/>
    <s v="705155791151"/>
    <m/>
    <m/>
    <m/>
    <m/>
    <s v=""/>
    <s v=""/>
  </r>
  <r>
    <n v="9760287"/>
    <n v="1"/>
    <s v="20118323"/>
    <s v="COMCAST"/>
    <x v="19"/>
    <d v="2016-10-28T00:00:00"/>
    <d v="2016-10-28T00:00:00"/>
    <x v="2"/>
    <s v="JOSE"/>
    <s v=""/>
    <m/>
    <s v=""/>
    <s v=""/>
    <m/>
    <m/>
    <m/>
    <m/>
    <s v="Given to Austin 10/28 8AM"/>
    <s v=""/>
    <s v=""/>
    <s v=""/>
    <m/>
    <m/>
    <m/>
    <m/>
    <s v=""/>
    <s v=""/>
  </r>
  <r>
    <n v="9760288"/>
    <n v="1"/>
    <s v="20113576"/>
    <s v="COMCAST"/>
    <x v="19"/>
    <d v="2016-10-28T00:00:00"/>
    <d v="2016-10-28T00:00:00"/>
    <x v="2"/>
    <s v="JOSE"/>
    <s v=""/>
    <m/>
    <s v=""/>
    <s v=""/>
    <m/>
    <m/>
    <m/>
    <m/>
    <s v="Given to Austin 10/28 8AM"/>
    <s v=""/>
    <s v=""/>
    <s v=""/>
    <m/>
    <m/>
    <m/>
    <m/>
    <s v=""/>
    <s v=""/>
  </r>
  <r>
    <n v="9760289"/>
    <n v="1"/>
    <s v="20113581"/>
    <s v="COMCAST"/>
    <x v="19"/>
    <d v="2016-10-28T00:00:00"/>
    <d v="2016-10-28T00:00:00"/>
    <x v="2"/>
    <s v="JOSE"/>
    <s v=""/>
    <m/>
    <s v=""/>
    <s v=""/>
    <m/>
    <m/>
    <m/>
    <m/>
    <s v="Given to Austin 10/28 8AM"/>
    <s v=""/>
    <s v=""/>
    <s v=""/>
    <m/>
    <m/>
    <m/>
    <m/>
    <s v=""/>
    <s v=""/>
  </r>
  <r>
    <n v="9760290"/>
    <n v="2"/>
    <s v="20114877"/>
    <s v="COMCAST"/>
    <x v="19"/>
    <d v="2016-10-28T00:00:00"/>
    <d v="2016-10-28T00:00:00"/>
    <x v="2"/>
    <s v="JOSE"/>
    <s v=""/>
    <m/>
    <s v=""/>
    <s v=""/>
    <m/>
    <m/>
    <m/>
    <m/>
    <s v="Given to Austin 10/28 8AM"/>
    <s v=""/>
    <s v=""/>
    <s v=""/>
    <m/>
    <m/>
    <m/>
    <m/>
    <s v=""/>
    <s v=""/>
  </r>
  <r>
    <n v="9760291"/>
    <n v="1"/>
    <s v="20116921"/>
    <s v="COMCAST"/>
    <x v="19"/>
    <d v="2016-10-28T00:00:00"/>
    <d v="2016-10-28T00:00:00"/>
    <x v="2"/>
    <s v="JOSE"/>
    <s v=""/>
    <m/>
    <s v=""/>
    <s v=""/>
    <m/>
    <m/>
    <m/>
    <m/>
    <s v="Given to Austin 10/28 8AM"/>
    <s v=""/>
    <s v=""/>
    <s v=""/>
    <m/>
    <m/>
    <m/>
    <m/>
    <s v=""/>
    <s v=""/>
  </r>
  <r>
    <n v="9760292"/>
    <n v="2"/>
    <s v="20107522"/>
    <s v="COMCAST"/>
    <x v="19"/>
    <d v="2016-10-28T00:00:00"/>
    <d v="2016-10-28T00:00:00"/>
    <x v="2"/>
    <s v="JOSE"/>
    <s v=""/>
    <m/>
    <s v=""/>
    <s v=""/>
    <m/>
    <m/>
    <m/>
    <m/>
    <s v="Given to Austin 10/28 8AM"/>
    <s v=""/>
    <s v=""/>
    <s v=""/>
    <m/>
    <m/>
    <m/>
    <m/>
    <s v=""/>
    <s v=""/>
  </r>
  <r>
    <n v="9760293"/>
    <n v="1"/>
    <s v="20112069"/>
    <s v="COMCAST"/>
    <x v="19"/>
    <d v="2016-10-28T00:00:00"/>
    <d v="2016-10-28T00:00:00"/>
    <x v="2"/>
    <s v="JOSE"/>
    <s v=""/>
    <m/>
    <s v=""/>
    <s v=""/>
    <m/>
    <m/>
    <m/>
    <m/>
    <s v="Given to Austin 10/28 8AM"/>
    <s v=""/>
    <s v=""/>
    <s v=""/>
    <m/>
    <m/>
    <m/>
    <m/>
    <s v=""/>
    <s v=""/>
  </r>
  <r>
    <n v="9760294"/>
    <n v="7"/>
    <s v="20112112"/>
    <s v="COMCAST"/>
    <x v="19"/>
    <d v="2016-10-28T00:00:00"/>
    <d v="2016-10-28T00:00:00"/>
    <x v="2"/>
    <s v="TYRONE"/>
    <s v=""/>
    <m/>
    <s v=""/>
    <s v=""/>
    <m/>
    <m/>
    <m/>
    <m/>
    <s v="Given to Austin 10/28 8AM"/>
    <s v=""/>
    <s v=""/>
    <s v=""/>
    <m/>
    <m/>
    <m/>
    <m/>
    <s v=""/>
    <s v=""/>
  </r>
  <r>
    <n v="9760295"/>
    <n v="3"/>
    <s v="20112565"/>
    <s v="COMCAST"/>
    <x v="19"/>
    <d v="2016-10-28T00:00:00"/>
    <d v="2016-10-28T00:00:00"/>
    <x v="2"/>
    <s v="TYRONE"/>
    <s v=""/>
    <m/>
    <s v=""/>
    <s v=""/>
    <m/>
    <m/>
    <m/>
    <m/>
    <s v="Given to Austin 10/28 8AM"/>
    <s v=""/>
    <s v=""/>
    <s v=""/>
    <m/>
    <m/>
    <m/>
    <m/>
    <s v=""/>
    <s v=""/>
  </r>
  <r>
    <n v="9760296"/>
    <n v="1"/>
    <s v="20112769"/>
    <s v="COMCAST"/>
    <x v="19"/>
    <d v="2016-10-28T00:00:00"/>
    <d v="2016-10-28T00:00:00"/>
    <x v="1"/>
    <s v="TYRONE"/>
    <s v=""/>
    <m/>
    <s v="YES"/>
    <s v="in pir folder (austin)"/>
    <m/>
    <m/>
    <m/>
    <m/>
    <s v="Given to Austin 10/28 8AM"/>
    <s v=""/>
    <s v=""/>
    <s v=""/>
    <m/>
    <m/>
    <m/>
    <m/>
    <s v=""/>
    <s v=""/>
  </r>
  <r>
    <n v="9760297"/>
    <n v="1"/>
    <s v="20117881"/>
    <s v="COMCAST"/>
    <x v="19"/>
    <d v="2016-10-28T00:00:00"/>
    <d v="2016-10-28T00:00:00"/>
    <x v="3"/>
    <s v="TYRONE"/>
    <s v=""/>
    <m/>
    <s v=""/>
    <s v=""/>
    <m/>
    <m/>
    <m/>
    <m/>
    <s v="Given to Austin 10/28 8AM"/>
    <s v=""/>
    <s v=""/>
    <s v="703018781860"/>
    <m/>
    <m/>
    <m/>
    <m/>
    <s v=""/>
    <s v=""/>
  </r>
  <r>
    <n v="9760298"/>
    <n v="1"/>
    <s v="20108762"/>
    <s v="COMCAST"/>
    <x v="19"/>
    <d v="2016-10-28T00:00:00"/>
    <d v="2016-10-28T00:00:00"/>
    <x v="2"/>
    <s v="TYRONE"/>
    <s v=""/>
    <m/>
    <s v=""/>
    <s v=""/>
    <m/>
    <m/>
    <m/>
    <m/>
    <s v="Given to Austin 10/28 8AM"/>
    <s v=""/>
    <s v=""/>
    <s v=""/>
    <m/>
    <m/>
    <m/>
    <m/>
    <s v=""/>
    <s v=""/>
  </r>
  <r>
    <n v="9760299"/>
    <n v="1"/>
    <s v="20108464"/>
    <s v="COMCAST"/>
    <x v="19"/>
    <d v="2016-10-28T00:00:00"/>
    <d v="2016-10-28T00:00:00"/>
    <x v="3"/>
    <s v="TYRONE"/>
    <s v=""/>
    <m/>
    <s v=""/>
    <s v=""/>
    <m/>
    <m/>
    <m/>
    <m/>
    <s v="Given to Austin 10/28 8AM"/>
    <s v=""/>
    <s v=""/>
    <s v="705155791232"/>
    <m/>
    <m/>
    <m/>
    <m/>
    <s v=""/>
    <s v=""/>
  </r>
  <r>
    <n v="9760300"/>
    <n v="1"/>
    <s v="20111755"/>
    <s v="COMCAST"/>
    <x v="19"/>
    <d v="2016-10-28T00:00:00"/>
    <d v="2016-10-28T00:00:00"/>
    <x v="3"/>
    <s v="TYRONE"/>
    <s v=""/>
    <m/>
    <s v=""/>
    <s v=""/>
    <m/>
    <m/>
    <m/>
    <m/>
    <s v="Given to Austin 10/28 8AM"/>
    <s v=""/>
    <s v=""/>
    <s v="703018781850"/>
    <m/>
    <m/>
    <m/>
    <m/>
    <s v=""/>
    <s v=""/>
  </r>
  <r>
    <n v="9760301"/>
    <n v="1"/>
    <s v="20106527"/>
    <s v="COMCAST"/>
    <x v="19"/>
    <d v="2016-10-28T00:00:00"/>
    <d v="2016-10-28T00:00:00"/>
    <x v="2"/>
    <s v="JOSE"/>
    <s v=""/>
    <m/>
    <s v=""/>
    <s v=""/>
    <m/>
    <m/>
    <m/>
    <m/>
    <s v="Given to Austin 10/28 8AM"/>
    <s v=""/>
    <s v=""/>
    <s v=""/>
    <m/>
    <m/>
    <m/>
    <m/>
    <s v=""/>
    <s v=""/>
  </r>
  <r>
    <n v="9760302"/>
    <n v="1"/>
    <s v="20106257"/>
    <s v="COMCAST"/>
    <x v="19"/>
    <d v="2016-10-28T00:00:00"/>
    <d v="2016-10-28T00:00:00"/>
    <x v="2"/>
    <s v="JOSE"/>
    <s v=""/>
    <m/>
    <s v=""/>
    <s v=""/>
    <m/>
    <m/>
    <m/>
    <m/>
    <s v="Given to Austin 10/28 8AM"/>
    <s v=""/>
    <s v=""/>
    <s v=""/>
    <m/>
    <m/>
    <m/>
    <m/>
    <s v=""/>
    <s v=""/>
  </r>
  <r>
    <n v="9760303"/>
    <n v="1"/>
    <s v="20107569"/>
    <s v="COMCAST"/>
    <x v="19"/>
    <d v="2016-10-28T00:00:00"/>
    <d v="2016-10-28T00:00:00"/>
    <x v="2"/>
    <s v="JOSE"/>
    <s v=""/>
    <m/>
    <s v=""/>
    <s v=""/>
    <m/>
    <m/>
    <m/>
    <m/>
    <s v="Given to Austin 10/28 8AM"/>
    <s v=""/>
    <s v=""/>
    <s v=""/>
    <m/>
    <m/>
    <m/>
    <m/>
    <s v=""/>
    <s v=""/>
  </r>
  <r>
    <n v="9760304"/>
    <n v="2"/>
    <s v="20113292"/>
    <s v="COMCAST"/>
    <x v="19"/>
    <d v="2016-10-28T00:00:00"/>
    <d v="2016-10-28T00:00:00"/>
    <x v="2"/>
    <s v="JOSE"/>
    <s v=""/>
    <m/>
    <s v=""/>
    <s v=""/>
    <m/>
    <m/>
    <m/>
    <m/>
    <s v="Given to Austin 10/28 8AM"/>
    <s v=""/>
    <s v=""/>
    <s v=""/>
    <m/>
    <m/>
    <m/>
    <m/>
    <s v=""/>
    <s v=""/>
  </r>
  <r>
    <n v="9760305"/>
    <n v="1"/>
    <s v="20111778"/>
    <s v="COMCAST"/>
    <x v="19"/>
    <d v="2016-10-28T00:00:00"/>
    <d v="2016-10-28T00:00:00"/>
    <x v="2"/>
    <s v="DAVID"/>
    <s v=""/>
    <m/>
    <s v=""/>
    <s v=""/>
    <m/>
    <m/>
    <m/>
    <m/>
    <s v="Given to Austin 10/28 8AM"/>
    <s v=""/>
    <s v=""/>
    <s v=""/>
    <m/>
    <m/>
    <m/>
    <m/>
    <s v=""/>
    <s v=""/>
  </r>
  <r>
    <n v="9760306"/>
    <n v="1"/>
    <s v="20114033"/>
    <s v="COMCAST"/>
    <x v="19"/>
    <d v="2016-10-28T00:00:00"/>
    <d v="2016-10-28T00:00:00"/>
    <x v="2"/>
    <s v="DAVID"/>
    <s v=""/>
    <m/>
    <s v=""/>
    <s v=""/>
    <m/>
    <m/>
    <m/>
    <m/>
    <s v="Given to Austin 10/28 8AM"/>
    <s v=""/>
    <s v=""/>
    <s v=""/>
    <m/>
    <m/>
    <m/>
    <m/>
    <s v=""/>
    <s v=""/>
  </r>
  <r>
    <n v="9760307"/>
    <n v="2"/>
    <s v="20116252"/>
    <s v="COMCAST"/>
    <x v="19"/>
    <d v="2016-10-28T00:00:00"/>
    <d v="2016-10-28T00:00:00"/>
    <x v="2"/>
    <s v="DAVID"/>
    <s v=""/>
    <m/>
    <s v=""/>
    <s v=""/>
    <m/>
    <m/>
    <m/>
    <m/>
    <s v="Given to Austin 10/28 8AM"/>
    <s v=""/>
    <s v=""/>
    <s v=""/>
    <m/>
    <m/>
    <m/>
    <m/>
    <s v=""/>
    <s v=""/>
  </r>
  <r>
    <n v="9760308"/>
    <n v="1"/>
    <s v="20116616"/>
    <s v="COMCAST"/>
    <x v="19"/>
    <d v="2016-10-28T00:00:00"/>
    <d v="2016-10-28T00:00:00"/>
    <x v="2"/>
    <s v="DAVID"/>
    <s v=""/>
    <m/>
    <s v=""/>
    <s v=""/>
    <m/>
    <m/>
    <m/>
    <m/>
    <s v="Given to Austin 10/28 8AM"/>
    <s v=""/>
    <s v=""/>
    <s v=""/>
    <m/>
    <m/>
    <m/>
    <m/>
    <s v=""/>
    <s v=""/>
  </r>
  <r>
    <n v="9760309"/>
    <n v="2"/>
    <s v="20116923"/>
    <s v="COMCAST"/>
    <x v="19"/>
    <d v="2016-10-28T00:00:00"/>
    <d v="2016-10-28T00:00:00"/>
    <x v="2"/>
    <s v="DAVID"/>
    <s v=""/>
    <m/>
    <s v=""/>
    <s v=""/>
    <m/>
    <m/>
    <m/>
    <m/>
    <s v="Given to Austin 10/28 8AM"/>
    <s v=""/>
    <s v=""/>
    <s v=""/>
    <m/>
    <m/>
    <m/>
    <m/>
    <s v=""/>
    <s v=""/>
  </r>
  <r>
    <n v="9760310"/>
    <n v="1"/>
    <s v="20116915"/>
    <s v="COMCAST"/>
    <x v="19"/>
    <d v="2016-10-28T00:00:00"/>
    <d v="2016-10-28T00:00:00"/>
    <x v="2"/>
    <s v="DAVID"/>
    <s v=""/>
    <m/>
    <s v=""/>
    <s v=""/>
    <m/>
    <m/>
    <m/>
    <m/>
    <s v="Given to Austin 10/28 8AM"/>
    <s v=""/>
    <s v=""/>
    <s v=""/>
    <m/>
    <m/>
    <m/>
    <m/>
    <s v=""/>
    <s v=""/>
  </r>
  <r>
    <n v="9760311"/>
    <n v="1"/>
    <s v="20119180"/>
    <s v="COMCAST"/>
    <x v="19"/>
    <d v="2016-10-28T00:00:00"/>
    <d v="2016-10-28T00:00:00"/>
    <x v="2"/>
    <s v="DAVID"/>
    <s v=""/>
    <m/>
    <s v=""/>
    <s v=""/>
    <m/>
    <m/>
    <m/>
    <m/>
    <s v="Given to Austin 10/28 8AM"/>
    <s v=""/>
    <s v=""/>
    <s v=""/>
    <m/>
    <m/>
    <m/>
    <m/>
    <s v=""/>
    <s v=""/>
  </r>
  <r>
    <n v="9760312"/>
    <n v="3"/>
    <s v="20116906"/>
    <s v="COMCAST"/>
    <x v="19"/>
    <d v="2016-10-28T00:00:00"/>
    <d v="2016-10-28T00:00:00"/>
    <x v="2"/>
    <s v="DAVID"/>
    <s v=""/>
    <m/>
    <s v=""/>
    <s v=""/>
    <m/>
    <m/>
    <m/>
    <m/>
    <s v="Given to Austin 10/28 8AM"/>
    <s v=""/>
    <s v=""/>
    <s v=""/>
    <m/>
    <m/>
    <m/>
    <m/>
    <s v=""/>
    <s v=""/>
  </r>
  <r>
    <n v="9760313"/>
    <n v="3"/>
    <s v="20114500"/>
    <s v="COMCAST"/>
    <x v="19"/>
    <d v="2016-10-28T00:00:00"/>
    <d v="2016-10-28T00:00:00"/>
    <x v="2"/>
    <s v="DAVID"/>
    <s v=""/>
    <m/>
    <s v=""/>
    <s v=""/>
    <m/>
    <m/>
    <m/>
    <m/>
    <s v="Given to Austin 10/28 8AM"/>
    <s v=""/>
    <s v=""/>
    <s v=""/>
    <m/>
    <m/>
    <m/>
    <m/>
    <s v=""/>
    <s v=""/>
  </r>
  <r>
    <n v="9760314"/>
    <n v="1"/>
    <s v="6901289"/>
    <s v="COMCAST"/>
    <x v="19"/>
    <d v="2016-10-28T00:00:00"/>
    <d v="2016-10-28T00:00:00"/>
    <x v="2"/>
    <s v="DAVID"/>
    <s v=""/>
    <m/>
    <s v=""/>
    <s v=""/>
    <m/>
    <m/>
    <m/>
    <m/>
    <s v="Given to Austin 10/28 8AM"/>
    <s v=""/>
    <s v=""/>
    <s v=""/>
    <m/>
    <m/>
    <m/>
    <m/>
    <s v=""/>
    <s v=""/>
  </r>
  <r>
    <n v="9760315"/>
    <n v="2"/>
    <s v="20108276"/>
    <s v="COMCAST"/>
    <x v="19"/>
    <d v="2016-10-28T00:00:00"/>
    <d v="2016-10-28T00:00:00"/>
    <x v="0"/>
    <s v=""/>
    <s v=""/>
    <m/>
    <s v=""/>
    <s v=""/>
    <m/>
    <m/>
    <m/>
    <m/>
    <s v="Given to Austin 10/28 8AM"/>
    <s v=""/>
    <s v=""/>
    <s v=""/>
    <m/>
    <m/>
    <m/>
    <m/>
    <s v=""/>
    <s v=""/>
  </r>
  <r>
    <n v="9760316"/>
    <n v="2"/>
    <s v="20112471"/>
    <s v="COMCAST"/>
    <x v="19"/>
    <d v="2016-10-28T00:00:00"/>
    <d v="2016-10-28T00:00:00"/>
    <x v="0"/>
    <s v=""/>
    <s v=""/>
    <m/>
    <s v=""/>
    <s v=""/>
    <m/>
    <m/>
    <m/>
    <m/>
    <s v="Given to Austin 10/28 8AM"/>
    <s v=""/>
    <s v=""/>
    <s v=""/>
    <m/>
    <m/>
    <m/>
    <m/>
    <s v=""/>
    <s v=""/>
  </r>
  <r>
    <n v="9760317"/>
    <n v="4"/>
    <s v="20115450"/>
    <s v="COMCAST"/>
    <x v="19"/>
    <d v="2016-10-28T00:00:00"/>
    <d v="2016-10-28T00:00:00"/>
    <x v="0"/>
    <s v=""/>
    <s v=""/>
    <m/>
    <s v=""/>
    <s v=""/>
    <m/>
    <m/>
    <m/>
    <m/>
    <s v="Given to Austin 10/28 8AM"/>
    <s v=""/>
    <s v=""/>
    <s v=""/>
    <m/>
    <m/>
    <m/>
    <m/>
    <s v=""/>
    <s v=""/>
  </r>
  <r>
    <n v="9760318"/>
    <n v="1"/>
    <s v="92002148"/>
    <s v="ROGERS CABLE"/>
    <x v="19"/>
    <d v="2016-10-28T00:00:00"/>
    <d v="2016-10-28T00:00:00"/>
    <x v="0"/>
    <s v=""/>
    <s v=""/>
    <m/>
    <s v=""/>
    <s v=""/>
    <m/>
    <m/>
    <m/>
    <m/>
    <s v="Given to Austin 10/28 8AM"/>
    <s v=""/>
    <s v=""/>
    <s v=""/>
    <m/>
    <m/>
    <m/>
    <m/>
    <s v=""/>
    <s v=""/>
  </r>
  <r>
    <n v="9760319"/>
    <n v="8"/>
    <s v="90710542"/>
    <s v="ARRIS TECHNOLOGY, INC."/>
    <x v="19"/>
    <d v="2016-10-28T00:00:00"/>
    <d v="2016-10-28T00:00:00"/>
    <x v="0"/>
    <s v=""/>
    <s v=""/>
    <m/>
    <s v=""/>
    <s v=""/>
    <m/>
    <m/>
    <m/>
    <m/>
    <s v="Given to Austin 10/28 8AM"/>
    <s v=""/>
    <s v=""/>
    <s v=""/>
    <m/>
    <m/>
    <m/>
    <m/>
    <s v=""/>
    <s v=""/>
  </r>
  <r>
    <n v="9760320"/>
    <n v="1"/>
    <s v="6900886"/>
    <s v="WAVE BROADBAND"/>
    <x v="19"/>
    <d v="2016-10-28T00:00:00"/>
    <d v="2016-10-28T00:00:00"/>
    <x v="0"/>
    <s v=""/>
    <s v=""/>
    <m/>
    <s v=""/>
    <s v=""/>
    <m/>
    <m/>
    <m/>
    <m/>
    <s v="Given to Austin 10/28 8AM"/>
    <s v=""/>
    <s v=""/>
    <s v=""/>
    <m/>
    <m/>
    <m/>
    <m/>
    <s v=""/>
    <s v=""/>
  </r>
  <r>
    <n v="9760321"/>
    <n v="1"/>
    <s v="20114932"/>
    <s v="LIBERTY CABLEVISION OF PUERTO RICO, INC."/>
    <x v="19"/>
    <d v="2016-10-28T00:00:00"/>
    <d v="2016-10-28T00:00:00"/>
    <x v="0"/>
    <s v=""/>
    <s v=""/>
    <m/>
    <s v=""/>
    <s v=""/>
    <m/>
    <m/>
    <m/>
    <m/>
    <s v="Given to Austin 10/28 8AM"/>
    <s v=""/>
    <s v=""/>
    <s v=""/>
    <m/>
    <m/>
    <m/>
    <m/>
    <s v=""/>
    <s v=""/>
  </r>
  <r>
    <n v="9760322"/>
    <n v="4"/>
    <s v="20109763"/>
    <s v="CABLE ONE"/>
    <x v="19"/>
    <d v="2016-10-28T00:00:00"/>
    <d v="2016-10-28T00:00:00"/>
    <x v="0"/>
    <s v=""/>
    <s v=""/>
    <m/>
    <s v=""/>
    <s v=""/>
    <m/>
    <m/>
    <m/>
    <m/>
    <s v="Given to Austin 10/28 8AM"/>
    <s v=""/>
    <s v=""/>
    <s v=""/>
    <m/>
    <m/>
    <m/>
    <m/>
    <s v=""/>
    <s v=""/>
  </r>
  <r>
    <n v="9760323"/>
    <n v="2"/>
    <s v="20109817"/>
    <s v="CABLE ONE"/>
    <x v="19"/>
    <d v="2016-10-28T00:00:00"/>
    <d v="2016-10-28T00:00:00"/>
    <x v="0"/>
    <s v=""/>
    <s v=""/>
    <m/>
    <s v=""/>
    <s v=""/>
    <m/>
    <m/>
    <m/>
    <m/>
    <s v="Given to Austin 10/28 8AM"/>
    <s v=""/>
    <s v=""/>
    <s v=""/>
    <m/>
    <m/>
    <m/>
    <m/>
    <s v=""/>
    <s v=""/>
  </r>
  <r>
    <n v="9760324"/>
    <n v="1"/>
    <s v="20118994"/>
    <s v="CABLE ONE"/>
    <x v="19"/>
    <d v="2016-10-28T00:00:00"/>
    <d v="2016-10-28T00:00:00"/>
    <x v="0"/>
    <s v=""/>
    <s v=""/>
    <m/>
    <s v=""/>
    <s v=""/>
    <m/>
    <m/>
    <m/>
    <m/>
    <s v="Given to Austin 10/28 8AM"/>
    <s v=""/>
    <s v=""/>
    <s v=""/>
    <m/>
    <m/>
    <m/>
    <m/>
    <s v=""/>
    <s v=""/>
  </r>
  <r>
    <n v="9760325"/>
    <n v="1"/>
    <s v="6901044"/>
    <s v="CABLE ONE"/>
    <x v="19"/>
    <d v="2016-10-28T00:00:00"/>
    <d v="2016-10-28T00:00:00"/>
    <x v="0"/>
    <s v=""/>
    <s v=""/>
    <m/>
    <s v=""/>
    <s v=""/>
    <m/>
    <m/>
    <m/>
    <m/>
    <s v="Given to Austin 10/28 8AM"/>
    <s v=""/>
    <s v=""/>
    <s v=""/>
    <m/>
    <m/>
    <m/>
    <m/>
    <s v=""/>
    <s v=""/>
  </r>
  <r>
    <n v="9760326"/>
    <n v="2"/>
    <s v="6900652"/>
    <s v="CABLE ONE"/>
    <x v="19"/>
    <d v="2016-10-28T00:00:00"/>
    <d v="2016-10-28T00:00:00"/>
    <x v="0"/>
    <s v=""/>
    <s v=""/>
    <m/>
    <s v=""/>
    <s v=""/>
    <m/>
    <m/>
    <m/>
    <m/>
    <s v="Given to Austin 10/28 8AM"/>
    <s v=""/>
    <s v=""/>
    <s v=""/>
    <m/>
    <m/>
    <m/>
    <m/>
    <s v=""/>
    <s v=""/>
  </r>
  <r>
    <n v="9760327"/>
    <n v="1"/>
    <s v="6900226"/>
    <s v="CABLE ONE"/>
    <x v="19"/>
    <d v="2016-10-28T00:00:00"/>
    <d v="2016-10-28T00:00:00"/>
    <x v="0"/>
    <s v=""/>
    <s v=""/>
    <m/>
    <s v=""/>
    <s v=""/>
    <m/>
    <m/>
    <m/>
    <m/>
    <s v="Given to Austin 10/28 8AM"/>
    <s v=""/>
    <s v=""/>
    <s v=""/>
    <m/>
    <m/>
    <m/>
    <m/>
    <s v=""/>
    <s v=""/>
  </r>
  <r>
    <n v="9760328"/>
    <n v="2"/>
    <s v="20107145"/>
    <s v="MIDCONTINENT COMMUNICATIONS"/>
    <x v="19"/>
    <d v="2016-10-28T00:00:00"/>
    <d v="2016-10-28T00:00:00"/>
    <x v="0"/>
    <s v=""/>
    <s v=""/>
    <m/>
    <s v=""/>
    <s v=""/>
    <m/>
    <m/>
    <m/>
    <m/>
    <s v="Given to Austin 10/28 8AM"/>
    <s v=""/>
    <s v=""/>
    <s v=""/>
    <m/>
    <m/>
    <m/>
    <m/>
    <s v=""/>
    <s v=""/>
  </r>
  <r>
    <n v="9760329"/>
    <n v="1"/>
    <s v="20117692"/>
    <s v="MIDCONTINENT COMMUNICATIONS"/>
    <x v="19"/>
    <d v="2016-10-28T00:00:00"/>
    <d v="2016-10-28T00:00:00"/>
    <x v="0"/>
    <s v=""/>
    <s v=""/>
    <m/>
    <s v=""/>
    <s v=""/>
    <m/>
    <m/>
    <m/>
    <m/>
    <s v="Given to Austin 10/28 8AM"/>
    <s v=""/>
    <s v=""/>
    <s v=""/>
    <m/>
    <m/>
    <m/>
    <m/>
    <s v=""/>
    <s v=""/>
  </r>
  <r>
    <n v="9760330"/>
    <n v="1"/>
    <s v="6901160"/>
    <s v="TELMEX COLOMBIA S.A."/>
    <x v="19"/>
    <d v="2016-10-28T00:00:00"/>
    <d v="2016-10-28T00:00:00"/>
    <x v="0"/>
    <s v=""/>
    <s v=""/>
    <m/>
    <s v=""/>
    <s v=""/>
    <m/>
    <m/>
    <m/>
    <m/>
    <s v="Given to Austin 10/28 8AM"/>
    <s v=""/>
    <s v=""/>
    <s v=""/>
    <m/>
    <m/>
    <m/>
    <m/>
    <s v=""/>
    <s v=""/>
  </r>
  <r>
    <n v="9760331"/>
    <n v="1"/>
    <s v="20116604"/>
    <s v="NATIONAL CABLE TELEVISION COOP"/>
    <x v="19"/>
    <d v="2016-10-28T00:00:00"/>
    <d v="2016-10-28T00:00:00"/>
    <x v="0"/>
    <s v=""/>
    <s v=""/>
    <m/>
    <s v=""/>
    <s v=""/>
    <m/>
    <m/>
    <m/>
    <m/>
    <s v="Given to Austin 10/28 8AM"/>
    <s v=""/>
    <s v=""/>
    <s v=""/>
    <m/>
    <m/>
    <m/>
    <m/>
    <s v=""/>
    <s v=""/>
  </r>
  <r>
    <n v="9760332"/>
    <n v="1"/>
    <s v="20109745"/>
    <s v="NATIONAL CABLE TELEVISION COOP"/>
    <x v="19"/>
    <d v="2016-10-28T00:00:00"/>
    <d v="2016-10-28T00:00:00"/>
    <x v="0"/>
    <s v=""/>
    <s v=""/>
    <m/>
    <s v=""/>
    <s v=""/>
    <m/>
    <m/>
    <m/>
    <m/>
    <s v="Given to Austin 10/28 8AM"/>
    <s v=""/>
    <s v=""/>
    <s v=""/>
    <m/>
    <m/>
    <m/>
    <m/>
    <s v=""/>
    <s v=""/>
  </r>
  <r>
    <n v="9760333"/>
    <n v="1"/>
    <s v="20119124"/>
    <s v="NATIONAL CABLE TELEVISION COOP"/>
    <x v="19"/>
    <d v="2016-10-28T00:00:00"/>
    <d v="2016-10-28T00:00:00"/>
    <x v="0"/>
    <s v=""/>
    <s v=""/>
    <m/>
    <s v=""/>
    <s v=""/>
    <m/>
    <m/>
    <m/>
    <m/>
    <s v="Given to Austin 10/28 8AM"/>
    <s v=""/>
    <s v=""/>
    <s v=""/>
    <m/>
    <m/>
    <m/>
    <m/>
    <s v=""/>
    <s v=""/>
  </r>
  <r>
    <n v="9760334"/>
    <n v="1"/>
    <s v="20115245"/>
    <s v="CEBRIDGE CONNECTIONS DBA SUDDENLINK"/>
    <x v="19"/>
    <d v="2016-10-28T00:00:00"/>
    <d v="2016-10-28T00:00:00"/>
    <x v="0"/>
    <s v=""/>
    <s v=""/>
    <m/>
    <s v=""/>
    <s v=""/>
    <m/>
    <m/>
    <m/>
    <m/>
    <s v="Given to Austin 10/28 8AM"/>
    <s v=""/>
    <s v=""/>
    <s v=""/>
    <m/>
    <m/>
    <m/>
    <m/>
    <s v=""/>
    <s v=""/>
  </r>
  <r>
    <n v="9760335"/>
    <n v="1"/>
    <s v="20113674"/>
    <s v="CEBRIDGE CONNECTIONS DBA SUDDENLINK"/>
    <x v="19"/>
    <d v="2016-10-28T00:00:00"/>
    <d v="2016-10-28T00:00:00"/>
    <x v="0"/>
    <s v=""/>
    <s v=""/>
    <m/>
    <s v=""/>
    <s v=""/>
    <m/>
    <m/>
    <m/>
    <m/>
    <s v="Given to Austin 10/28 8AM"/>
    <s v=""/>
    <s v=""/>
    <s v=""/>
    <m/>
    <m/>
    <m/>
    <m/>
    <s v=""/>
    <s v=""/>
  </r>
  <r>
    <n v="9760336"/>
    <n v="1"/>
    <s v="20107585"/>
    <s v="CHARTER"/>
    <x v="19"/>
    <d v="2016-10-28T00:00:00"/>
    <d v="2016-10-28T00:00:00"/>
    <x v="0"/>
    <s v=""/>
    <s v=""/>
    <m/>
    <s v=""/>
    <s v=""/>
    <m/>
    <m/>
    <m/>
    <m/>
    <s v="Given to Austin 10/28 8AM"/>
    <s v=""/>
    <s v=""/>
    <s v=""/>
    <m/>
    <m/>
    <m/>
    <m/>
    <s v=""/>
    <s v=""/>
  </r>
  <r>
    <n v="9760337"/>
    <n v="1"/>
    <s v="20110168"/>
    <s v="CHARTER"/>
    <x v="19"/>
    <d v="2016-10-28T00:00:00"/>
    <d v="2016-10-28T00:00:00"/>
    <x v="0"/>
    <s v=""/>
    <s v=""/>
    <m/>
    <s v=""/>
    <s v=""/>
    <m/>
    <m/>
    <m/>
    <m/>
    <s v="Given to Austin 10/28 8AM"/>
    <s v=""/>
    <s v=""/>
    <s v=""/>
    <m/>
    <m/>
    <m/>
    <m/>
    <s v=""/>
    <s v=""/>
  </r>
  <r>
    <n v="9760338"/>
    <n v="1"/>
    <s v="20116190"/>
    <s v="CHARTER"/>
    <x v="19"/>
    <d v="2016-10-28T00:00:00"/>
    <d v="2016-10-28T00:00:00"/>
    <x v="0"/>
    <s v=""/>
    <s v=""/>
    <m/>
    <s v=""/>
    <s v=""/>
    <m/>
    <m/>
    <m/>
    <m/>
    <s v="Given to Austin 10/28 8AM"/>
    <s v=""/>
    <s v=""/>
    <s v=""/>
    <m/>
    <m/>
    <m/>
    <m/>
    <s v=""/>
    <s v=""/>
  </r>
  <r>
    <n v="9760339"/>
    <n v="1"/>
    <s v="20107275"/>
    <s v="CHARTER"/>
    <x v="19"/>
    <d v="2016-10-28T00:00:00"/>
    <d v="2016-10-28T00:00:00"/>
    <x v="0"/>
    <s v=""/>
    <s v=""/>
    <m/>
    <s v=""/>
    <s v=""/>
    <m/>
    <m/>
    <m/>
    <m/>
    <s v="Given to Austin 10/28 8AM"/>
    <s v=""/>
    <s v=""/>
    <s v=""/>
    <m/>
    <m/>
    <m/>
    <m/>
    <s v=""/>
    <s v=""/>
  </r>
  <r>
    <n v="9760340"/>
    <n v="1"/>
    <s v="20107587"/>
    <s v="CHARTER"/>
    <x v="19"/>
    <d v="2016-10-28T00:00:00"/>
    <d v="2016-10-28T00:00:00"/>
    <x v="0"/>
    <s v=""/>
    <s v=""/>
    <m/>
    <s v=""/>
    <s v=""/>
    <m/>
    <m/>
    <m/>
    <m/>
    <s v="Given to Austin 10/28 8AM"/>
    <s v=""/>
    <s v=""/>
    <s v=""/>
    <m/>
    <m/>
    <m/>
    <m/>
    <s v=""/>
    <s v=""/>
  </r>
  <r>
    <n v="9760341"/>
    <n v="1"/>
    <s v="20107394"/>
    <s v="CHARTER"/>
    <x v="19"/>
    <d v="2016-10-28T00:00:00"/>
    <d v="2016-10-28T00:00:00"/>
    <x v="0"/>
    <s v=""/>
    <s v=""/>
    <m/>
    <s v=""/>
    <s v=""/>
    <m/>
    <m/>
    <m/>
    <m/>
    <s v="Given to Austin 10/28 8AM"/>
    <s v=""/>
    <s v=""/>
    <s v=""/>
    <m/>
    <m/>
    <m/>
    <m/>
    <s v=""/>
    <s v=""/>
  </r>
  <r>
    <n v="9760342"/>
    <n v="1"/>
    <s v="20109872"/>
    <s v="CHARTER"/>
    <x v="19"/>
    <d v="2016-10-28T00:00:00"/>
    <d v="2016-10-28T00:00:00"/>
    <x v="0"/>
    <s v=""/>
    <s v=""/>
    <m/>
    <s v=""/>
    <s v=""/>
    <m/>
    <m/>
    <m/>
    <m/>
    <s v="Given to Austin 10/28 8AM"/>
    <s v=""/>
    <s v=""/>
    <s v=""/>
    <m/>
    <m/>
    <m/>
    <m/>
    <s v=""/>
    <s v=""/>
  </r>
  <r>
    <n v="9760343"/>
    <n v="2"/>
    <s v="20115901"/>
    <s v="CHARTER"/>
    <x v="19"/>
    <d v="2016-10-28T00:00:00"/>
    <d v="2016-10-28T00:00:00"/>
    <x v="0"/>
    <s v=""/>
    <s v=""/>
    <m/>
    <s v=""/>
    <s v=""/>
    <m/>
    <m/>
    <m/>
    <m/>
    <s v="Given to Austin 10/28 8AM"/>
    <s v=""/>
    <s v=""/>
    <s v=""/>
    <m/>
    <m/>
    <m/>
    <m/>
    <s v=""/>
    <s v=""/>
  </r>
  <r>
    <n v="9760344"/>
    <n v="1"/>
    <s v="20113709"/>
    <s v="CHARTER"/>
    <x v="19"/>
    <d v="2016-10-28T00:00:00"/>
    <d v="2016-10-28T00:00:00"/>
    <x v="0"/>
    <s v=""/>
    <s v=""/>
    <m/>
    <s v=""/>
    <s v=""/>
    <m/>
    <m/>
    <m/>
    <m/>
    <s v="Given to Austin 10/28 8AM"/>
    <s v=""/>
    <s v=""/>
    <s v=""/>
    <m/>
    <m/>
    <m/>
    <m/>
    <s v=""/>
    <s v=""/>
  </r>
  <r>
    <n v="9760345"/>
    <n v="1"/>
    <s v="20117166"/>
    <s v="CHARTER"/>
    <x v="19"/>
    <d v="2016-10-28T00:00:00"/>
    <d v="2016-10-28T00:00:00"/>
    <x v="0"/>
    <s v=""/>
    <s v=""/>
    <m/>
    <s v=""/>
    <s v=""/>
    <m/>
    <m/>
    <m/>
    <m/>
    <s v="Given to Austin 10/28 8AM"/>
    <s v=""/>
    <s v=""/>
    <s v=""/>
    <m/>
    <m/>
    <m/>
    <m/>
    <s v=""/>
    <s v=""/>
  </r>
  <r>
    <n v="9760346"/>
    <n v="1"/>
    <s v="6901429"/>
    <s v="CHARTER"/>
    <x v="19"/>
    <d v="2016-10-28T00:00:00"/>
    <d v="2016-10-28T00:00:00"/>
    <x v="0"/>
    <s v=""/>
    <s v=""/>
    <m/>
    <s v=""/>
    <s v=""/>
    <m/>
    <m/>
    <m/>
    <m/>
    <s v="Given to Austin 10/28 8AM"/>
    <s v=""/>
    <s v=""/>
    <s v=""/>
    <m/>
    <m/>
    <m/>
    <m/>
    <s v=""/>
    <s v=""/>
  </r>
  <r>
    <n v="9760347"/>
    <n v="1"/>
    <s v="6900126"/>
    <s v="CHARTER"/>
    <x v="19"/>
    <d v="2016-10-28T00:00:00"/>
    <d v="2016-10-28T00:00:00"/>
    <x v="0"/>
    <s v=""/>
    <s v=""/>
    <m/>
    <s v=""/>
    <s v=""/>
    <m/>
    <m/>
    <m/>
    <m/>
    <s v="Given to Austin 10/28 8AM"/>
    <s v=""/>
    <s v=""/>
    <s v=""/>
    <m/>
    <m/>
    <m/>
    <m/>
    <s v=""/>
    <s v=""/>
  </r>
  <r>
    <n v="9760348"/>
    <n v="1"/>
    <s v="6900235"/>
    <s v="CHARTER"/>
    <x v="19"/>
    <d v="2016-10-28T00:00:00"/>
    <d v="2016-10-28T00:00:00"/>
    <x v="0"/>
    <s v=""/>
    <s v=""/>
    <m/>
    <s v=""/>
    <s v=""/>
    <m/>
    <m/>
    <m/>
    <m/>
    <s v="Given to Austin 10/28 8AM"/>
    <s v=""/>
    <s v=""/>
    <s v=""/>
    <m/>
    <m/>
    <m/>
    <m/>
    <s v=""/>
    <s v=""/>
  </r>
  <r>
    <n v="9760349"/>
    <n v="1"/>
    <s v="6900737"/>
    <s v="CHARTER"/>
    <x v="19"/>
    <d v="2016-10-28T00:00:00"/>
    <d v="2016-10-28T00:00:00"/>
    <x v="0"/>
    <s v=""/>
    <s v=""/>
    <m/>
    <s v=""/>
    <s v=""/>
    <m/>
    <m/>
    <m/>
    <m/>
    <s v="Given to Austin 10/28 8AM"/>
    <s v=""/>
    <s v=""/>
    <s v=""/>
    <m/>
    <m/>
    <m/>
    <m/>
    <s v=""/>
    <s v=""/>
  </r>
  <r>
    <n v="9760350"/>
    <n v="1"/>
    <s v="20115582"/>
    <s v="TDS Telecom"/>
    <x v="19"/>
    <d v="2016-10-28T00:00:00"/>
    <d v="2016-10-28T00:00:00"/>
    <x v="0"/>
    <s v=""/>
    <s v=""/>
    <m/>
    <s v=""/>
    <s v=""/>
    <m/>
    <m/>
    <m/>
    <m/>
    <s v="Given to Austin 10/28 8AM"/>
    <s v=""/>
    <s v=""/>
    <s v=""/>
    <m/>
    <m/>
    <m/>
    <m/>
    <s v=""/>
    <s v=""/>
  </r>
  <r>
    <n v="9760351"/>
    <n v="1"/>
    <s v="92002565"/>
    <s v="DERY TELECOM"/>
    <x v="19"/>
    <d v="2016-10-28T00:00:00"/>
    <d v="2016-10-28T00:00:00"/>
    <x v="0"/>
    <s v=""/>
    <s v=""/>
    <m/>
    <s v=""/>
    <s v=""/>
    <m/>
    <m/>
    <m/>
    <m/>
    <s v="Given to Austin 10/28 8AM"/>
    <s v=""/>
    <s v=""/>
    <s v=""/>
    <m/>
    <m/>
    <m/>
    <m/>
    <s v=""/>
    <s v=""/>
  </r>
  <r>
    <n v="9760352"/>
    <n v="1"/>
    <s v="6901509"/>
    <s v="TV CABLE DE ORIENTE SA DE CV"/>
    <x v="19"/>
    <d v="2016-10-28T00:00:00"/>
    <d v="2016-10-28T00:00:00"/>
    <x v="0"/>
    <s v=""/>
    <s v=""/>
    <m/>
    <s v=""/>
    <s v=""/>
    <m/>
    <m/>
    <m/>
    <m/>
    <s v="Given to Austin 10/28 8AM"/>
    <s v=""/>
    <s v=""/>
    <s v=""/>
    <m/>
    <m/>
    <m/>
    <m/>
    <s v=""/>
    <s v=""/>
  </r>
  <r>
    <n v="9760380"/>
    <n v="4"/>
    <s v="90711096"/>
    <s v="ARRIS TECHNOLOGY, INC."/>
    <x v="19"/>
    <d v="2016-10-28T00:00:00"/>
    <d v="2016-10-28T00:00:00"/>
    <x v="0"/>
    <s v=""/>
    <s v=""/>
    <m/>
    <s v=""/>
    <s v=""/>
    <m/>
    <m/>
    <m/>
    <m/>
    <s v="Given to Austin 10/28 8AM"/>
    <s v=""/>
    <s v=""/>
    <s v=""/>
    <m/>
    <m/>
    <m/>
    <m/>
    <s v=""/>
    <s v=""/>
  </r>
  <r>
    <n v="9760401"/>
    <n v="36"/>
    <s v="6901454"/>
    <s v="TELMEX COLOMBIA S.A."/>
    <x v="19"/>
    <d v="2016-10-28T00:00:00"/>
    <d v="2016-10-28T00:00:00"/>
    <x v="0"/>
    <s v=""/>
    <s v=""/>
    <m/>
    <s v=""/>
    <s v=""/>
    <m/>
    <m/>
    <m/>
    <m/>
    <s v="Given to Austin 10/28 8AM"/>
    <s v=""/>
    <s v=""/>
    <s v=""/>
    <m/>
    <m/>
    <m/>
    <m/>
    <s v=""/>
    <s v=""/>
  </r>
  <r>
    <n v="9760409"/>
    <n v="4"/>
    <s v="6900332"/>
    <s v="CEBRIDGE CONNECTIONS DBA SUDDENLINK"/>
    <x v="19"/>
    <d v="2016-10-28T00:00:00"/>
    <d v="2016-10-28T00:00:00"/>
    <x v="0"/>
    <s v=""/>
    <s v=""/>
    <m/>
    <s v=""/>
    <s v=""/>
    <m/>
    <m/>
    <m/>
    <m/>
    <s v="Given to Austin 10/28 8AM"/>
    <s v=""/>
    <s v=""/>
    <s v=""/>
    <m/>
    <m/>
    <m/>
    <m/>
    <s v=""/>
    <s v=""/>
  </r>
  <r>
    <n v="9760440"/>
    <n v="1"/>
    <s v="6900351"/>
    <s v="VIDEOTRON LTEE"/>
    <x v="19"/>
    <d v="2016-10-28T00:00:00"/>
    <d v="2016-10-28T00:00:00"/>
    <x v="6"/>
    <s v=""/>
    <s v=""/>
    <m/>
    <s v=""/>
    <s v=""/>
    <m/>
    <m/>
    <m/>
    <m/>
    <s v=""/>
    <s v=""/>
    <e v="#N/A"/>
    <s v=""/>
    <m/>
    <m/>
    <m/>
    <m/>
    <s v=""/>
    <s v=""/>
  </r>
  <r>
    <n v="9760441"/>
    <n v="1"/>
    <s v="20119144"/>
    <s v="NELSONVILLE TV CABLE"/>
    <x v="19"/>
    <d v="2016-10-28T00:00:00"/>
    <d v="2016-10-28T00:00:00"/>
    <x v="6"/>
    <s v=""/>
    <s v=""/>
    <m/>
    <s v=""/>
    <s v=""/>
    <m/>
    <m/>
    <m/>
    <m/>
    <s v=""/>
    <s v=""/>
    <e v="#N/A"/>
    <s v=""/>
    <m/>
    <m/>
    <m/>
    <m/>
    <s v=""/>
    <s v=""/>
  </r>
  <r>
    <n v="9760451"/>
    <n v="3"/>
    <s v="90710602"/>
    <s v="ARRIS TECHNOLOGY, INC."/>
    <x v="19"/>
    <d v="2016-10-28T00:00:00"/>
    <d v="2016-10-28T00:00:00"/>
    <x v="6"/>
    <s v=""/>
    <s v=""/>
    <m/>
    <s v=""/>
    <s v=""/>
    <m/>
    <m/>
    <m/>
    <m/>
    <s v=""/>
    <s v=""/>
    <e v="#N/A"/>
    <s v=""/>
    <m/>
    <m/>
    <m/>
    <m/>
    <s v=""/>
    <s v=""/>
  </r>
  <r>
    <n v="9760471"/>
    <n v="1"/>
    <s v="92001589"/>
    <s v="VIDEOTRON LTEE"/>
    <x v="19"/>
    <d v="2016-10-28T00:00:00"/>
    <d v="2016-10-28T00:00:00"/>
    <x v="6"/>
    <s v=""/>
    <s v=""/>
    <m/>
    <s v=""/>
    <s v=""/>
    <m/>
    <m/>
    <m/>
    <m/>
    <s v=""/>
    <s v=""/>
    <e v="#N/A"/>
    <s v=""/>
    <m/>
    <m/>
    <m/>
    <m/>
    <s v=""/>
    <s v=""/>
  </r>
  <r>
    <n v="9760472"/>
    <n v="1"/>
    <s v="90711102"/>
    <s v="ARRIS TECHNOLOGY, INC."/>
    <x v="19"/>
    <d v="2016-10-28T00:00:00"/>
    <d v="2016-10-28T00:00:00"/>
    <x v="6"/>
    <s v=""/>
    <s v=""/>
    <m/>
    <s v=""/>
    <s v=""/>
    <m/>
    <m/>
    <m/>
    <m/>
    <s v=""/>
    <s v=""/>
    <e v="#N/A"/>
    <s v=""/>
    <m/>
    <m/>
    <m/>
    <m/>
    <s v=""/>
    <s v=""/>
  </r>
  <r>
    <n v="9760507"/>
    <n v="1"/>
    <s v="20117162"/>
    <s v="COMCAST"/>
    <x v="19"/>
    <d v="2016-10-28T00:00:00"/>
    <d v="2016-10-28T00:00:00"/>
    <x v="0"/>
    <s v=""/>
    <s v=""/>
    <m/>
    <s v=""/>
    <s v=""/>
    <m/>
    <m/>
    <m/>
    <m/>
    <s v="10/28 given to Austin 1:45 pm"/>
    <s v="10/28 given to Austin 1:45 pm"/>
    <s v=""/>
    <s v=""/>
    <m/>
    <m/>
    <m/>
    <m/>
    <s v=""/>
    <s v=""/>
  </r>
  <r>
    <n v="9760510"/>
    <n v="1"/>
    <s v="20111841"/>
    <s v="COMCAST"/>
    <x v="19"/>
    <d v="2016-10-28T00:00:00"/>
    <d v="2016-10-28T00:00:00"/>
    <x v="6"/>
    <s v=""/>
    <s v=""/>
    <m/>
    <s v=""/>
    <s v=""/>
    <m/>
    <m/>
    <m/>
    <m/>
    <s v=""/>
    <s v=""/>
    <e v="#N/A"/>
    <s v=""/>
    <m/>
    <m/>
    <m/>
    <m/>
    <s v=""/>
    <s v=""/>
  </r>
  <r>
    <n v="9760511"/>
    <n v="10"/>
    <s v="20118704"/>
    <s v="COMCAST"/>
    <x v="19"/>
    <d v="2016-10-28T00:00:00"/>
    <d v="2016-10-28T00:00:00"/>
    <x v="6"/>
    <s v=""/>
    <s v=""/>
    <m/>
    <s v=""/>
    <s v=""/>
    <m/>
    <m/>
    <m/>
    <m/>
    <s v=""/>
    <s v=""/>
    <e v="#N/A"/>
    <s v=""/>
    <m/>
    <m/>
    <m/>
    <m/>
    <s v=""/>
    <s v=""/>
  </r>
  <r>
    <n v="9760523"/>
    <n v="1"/>
    <s v="6900903"/>
    <s v="CHARTER"/>
    <x v="19"/>
    <d v="2016-10-28T00:00:00"/>
    <d v="2016-10-28T00:00:00"/>
    <x v="6"/>
    <s v=""/>
    <s v=""/>
    <m/>
    <s v=""/>
    <s v=""/>
    <m/>
    <m/>
    <m/>
    <m/>
    <s v=""/>
    <s v=""/>
    <e v="#N/A"/>
    <s v=""/>
    <m/>
    <m/>
    <m/>
    <m/>
    <s v=""/>
    <s v=""/>
  </r>
  <r>
    <n v="9760525"/>
    <n v="21"/>
    <s v="20119490"/>
    <s v="MEDIACOM"/>
    <x v="19"/>
    <d v="2016-10-28T00:00:00"/>
    <d v="2016-10-28T00:00:00"/>
    <x v="6"/>
    <s v=""/>
    <s v=""/>
    <m/>
    <s v=""/>
    <s v=""/>
    <m/>
    <m/>
    <m/>
    <m/>
    <s v=""/>
    <s v=""/>
    <e v="#N/A"/>
    <s v=""/>
    <m/>
    <m/>
    <m/>
    <m/>
    <s v=""/>
    <s v=""/>
  </r>
  <r>
    <n v="9760526"/>
    <n v="1"/>
    <s v="20119486"/>
    <s v="MEDIACOM"/>
    <x v="19"/>
    <d v="2016-10-28T00:00:00"/>
    <d v="2016-10-28T00:00:00"/>
    <x v="6"/>
    <s v=""/>
    <s v=""/>
    <m/>
    <s v=""/>
    <s v=""/>
    <m/>
    <m/>
    <m/>
    <m/>
    <s v=""/>
    <s v=""/>
    <e v="#N/A"/>
    <s v=""/>
    <m/>
    <m/>
    <m/>
    <m/>
    <s v=""/>
    <s v=""/>
  </r>
  <r>
    <n v="9760527"/>
    <n v="1"/>
    <s v="92002813"/>
    <s v="COGECO"/>
    <x v="19"/>
    <d v="2016-10-28T00:00:00"/>
    <d v="2016-10-28T00:00:00"/>
    <x v="6"/>
    <s v=""/>
    <s v=""/>
    <m/>
    <s v=""/>
    <s v=""/>
    <m/>
    <m/>
    <m/>
    <m/>
    <s v=""/>
    <s v=""/>
    <e v="#N/A"/>
    <s v=""/>
    <m/>
    <m/>
    <m/>
    <m/>
    <s v=""/>
    <s v=""/>
  </r>
  <r>
    <n v="9760528"/>
    <n v="1"/>
    <s v="20109958"/>
    <s v="CABLEMAS, S.A. DE C.V."/>
    <x v="19"/>
    <d v="2016-10-28T00:00:00"/>
    <d v="2016-10-28T00:00:00"/>
    <x v="6"/>
    <s v=""/>
    <s v=""/>
    <m/>
    <s v=""/>
    <s v=""/>
    <m/>
    <m/>
    <m/>
    <m/>
    <s v=""/>
    <s v=""/>
    <e v="#N/A"/>
    <s v=""/>
    <m/>
    <m/>
    <m/>
    <m/>
    <s v=""/>
    <s v=""/>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r>
    <m/>
    <m/>
    <m/>
    <m/>
    <x v="20"/>
    <m/>
    <m/>
    <x v="7"/>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9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I25" firstHeaderRow="1" firstDataRow="2" firstDataCol="1"/>
  <pivotFields count="27">
    <pivotField showAll="0"/>
    <pivotField dataField="1" showAll="0"/>
    <pivotField showAll="0"/>
    <pivotField showAll="0"/>
    <pivotField axis="axisRow" showAll="0">
      <items count="23">
        <item x="0"/>
        <item m="1" x="21"/>
        <item x="1"/>
        <item x="2"/>
        <item x="3"/>
        <item x="4"/>
        <item x="5"/>
        <item x="6"/>
        <item x="7"/>
        <item x="8"/>
        <item x="9"/>
        <item x="10"/>
        <item x="11"/>
        <item x="12"/>
        <item x="13"/>
        <item x="14"/>
        <item x="15"/>
        <item x="16"/>
        <item x="17"/>
        <item x="20"/>
        <item x="18"/>
        <item x="19"/>
        <item t="default"/>
      </items>
    </pivotField>
    <pivotField showAll="0"/>
    <pivotField showAll="0" sortType="ascending"/>
    <pivotField axis="axisCol" showAll="0">
      <items count="10">
        <item m="1" x="8"/>
        <item x="5"/>
        <item x="6"/>
        <item x="0"/>
        <item x="2"/>
        <item x="4"/>
        <item x="3"/>
        <item x="1"/>
        <item h="1" x="7"/>
        <item t="default"/>
      </items>
    </pivotField>
    <pivotField showAl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s>
  <rowFields count="1">
    <field x="4"/>
  </rowFields>
  <rowItems count="21">
    <i>
      <x/>
    </i>
    <i>
      <x v="2"/>
    </i>
    <i>
      <x v="3"/>
    </i>
    <i>
      <x v="4"/>
    </i>
    <i>
      <x v="5"/>
    </i>
    <i>
      <x v="6"/>
    </i>
    <i>
      <x v="7"/>
    </i>
    <i>
      <x v="8"/>
    </i>
    <i>
      <x v="9"/>
    </i>
    <i>
      <x v="10"/>
    </i>
    <i>
      <x v="11"/>
    </i>
    <i>
      <x v="12"/>
    </i>
    <i>
      <x v="13"/>
    </i>
    <i>
      <x v="14"/>
    </i>
    <i>
      <x v="15"/>
    </i>
    <i>
      <x v="16"/>
    </i>
    <i>
      <x v="17"/>
    </i>
    <i>
      <x v="18"/>
    </i>
    <i>
      <x v="20"/>
    </i>
    <i>
      <x v="21"/>
    </i>
    <i t="grand">
      <x/>
    </i>
  </rowItems>
  <colFields count="1">
    <field x="7"/>
  </colFields>
  <colItems count="8">
    <i>
      <x v="1"/>
    </i>
    <i>
      <x v="2"/>
    </i>
    <i>
      <x v="3"/>
    </i>
    <i>
      <x v="4"/>
    </i>
    <i>
      <x v="5"/>
    </i>
    <i>
      <x v="6"/>
    </i>
    <i>
      <x v="7"/>
    </i>
    <i t="grand">
      <x/>
    </i>
  </colItems>
  <dataFields count="1">
    <dataField name="Sum of Line Ct" fld="1" baseField="6" baseItem="0"/>
  </dataFields>
  <formats count="230">
    <format dxfId="244">
      <pivotArea outline="0" collapsedLevelsAreSubtotals="1" fieldPosition="0"/>
    </format>
    <format dxfId="243">
      <pivotArea dataOnly="0" labelOnly="1" fieldPosition="0">
        <references count="1">
          <reference field="7" count="0"/>
        </references>
      </pivotArea>
    </format>
    <format dxfId="242">
      <pivotArea dataOnly="0" labelOnly="1" grandCol="1" outline="0" fieldPosition="0"/>
    </format>
    <format dxfId="241">
      <pivotArea outline="0" collapsedLevelsAreSubtotals="1" fieldPosition="0">
        <references count="1">
          <reference field="7" count="1" selected="0">
            <x v="7"/>
          </reference>
        </references>
      </pivotArea>
    </format>
    <format dxfId="240">
      <pivotArea outline="0" collapsedLevelsAreSubtotals="1" fieldPosition="0">
        <references count="1">
          <reference field="7" count="1" selected="0">
            <x v="4"/>
          </reference>
        </references>
      </pivotArea>
    </format>
    <format dxfId="239">
      <pivotArea outline="0" collapsedLevelsAreSubtotals="1" fieldPosition="0">
        <references count="1">
          <reference field="7" count="1" selected="0">
            <x v="0"/>
          </reference>
        </references>
      </pivotArea>
    </format>
    <format dxfId="238">
      <pivotArea field="7" type="button" dataOnly="0" labelOnly="1" outline="0" axis="axisCol" fieldPosition="0"/>
    </format>
    <format dxfId="237">
      <pivotArea dataOnly="0" labelOnly="1" grandRow="1" outline="0" fieldPosition="0"/>
    </format>
    <format dxfId="236">
      <pivotArea dataOnly="0" labelOnly="1" fieldPosition="0">
        <references count="1">
          <reference field="7" count="1">
            <x v="0"/>
          </reference>
        </references>
      </pivotArea>
    </format>
    <format dxfId="235">
      <pivotArea outline="0" collapsedLevelsAreSubtotals="1" fieldPosition="0">
        <references count="1">
          <reference field="7" count="1" selected="0">
            <x v="7"/>
          </reference>
        </references>
      </pivotArea>
    </format>
    <format dxfId="234">
      <pivotArea outline="0" collapsedLevelsAreSubtotals="1" fieldPosition="0">
        <references count="1">
          <reference field="7" count="1" selected="0">
            <x v="4"/>
          </reference>
        </references>
      </pivotArea>
    </format>
    <format dxfId="233">
      <pivotArea outline="0" collapsedLevelsAreSubtotals="1" fieldPosition="0">
        <references count="1">
          <reference field="7" count="1" selected="0">
            <x v="0"/>
          </reference>
        </references>
      </pivotArea>
    </format>
    <format dxfId="232">
      <pivotArea field="7" type="button" dataOnly="0" labelOnly="1" outline="0" axis="axisCol" fieldPosition="0"/>
    </format>
    <format dxfId="231">
      <pivotArea dataOnly="0" labelOnly="1" grandRow="1" outline="0" fieldPosition="0"/>
    </format>
    <format dxfId="230">
      <pivotArea dataOnly="0" labelOnly="1" fieldPosition="0">
        <references count="1">
          <reference field="7" count="1">
            <x v="0"/>
          </reference>
        </references>
      </pivotArea>
    </format>
    <format dxfId="229">
      <pivotArea outline="0" collapsedLevelsAreSubtotals="1" fieldPosition="0">
        <references count="1">
          <reference field="7" count="1" selected="0">
            <x v="7"/>
          </reference>
        </references>
      </pivotArea>
    </format>
    <format dxfId="228">
      <pivotArea outline="0" collapsedLevelsAreSubtotals="1" fieldPosition="0">
        <references count="1">
          <reference field="7" count="1" selected="0">
            <x v="4"/>
          </reference>
        </references>
      </pivotArea>
    </format>
    <format dxfId="227">
      <pivotArea outline="0" collapsedLevelsAreSubtotals="1" fieldPosition="0">
        <references count="1">
          <reference field="7" count="1" selected="0">
            <x v="0"/>
          </reference>
        </references>
      </pivotArea>
    </format>
    <format dxfId="226">
      <pivotArea field="7" type="button" dataOnly="0" labelOnly="1" outline="0" axis="axisCol" fieldPosition="0"/>
    </format>
    <format dxfId="225">
      <pivotArea dataOnly="0" labelOnly="1" grandRow="1" outline="0" fieldPosition="0"/>
    </format>
    <format dxfId="224">
      <pivotArea dataOnly="0" labelOnly="1" fieldPosition="0">
        <references count="1">
          <reference field="7" count="1">
            <x v="0"/>
          </reference>
        </references>
      </pivotArea>
    </format>
    <format dxfId="223">
      <pivotArea outline="0" collapsedLevelsAreSubtotals="1" fieldPosition="0">
        <references count="1">
          <reference field="7" count="1" selected="0">
            <x v="7"/>
          </reference>
        </references>
      </pivotArea>
    </format>
    <format dxfId="222">
      <pivotArea outline="0" collapsedLevelsAreSubtotals="1" fieldPosition="0">
        <references count="1">
          <reference field="7" count="1" selected="0">
            <x v="4"/>
          </reference>
        </references>
      </pivotArea>
    </format>
    <format dxfId="221">
      <pivotArea outline="0" collapsedLevelsAreSubtotals="1" fieldPosition="0">
        <references count="1">
          <reference field="7" count="1" selected="0">
            <x v="0"/>
          </reference>
        </references>
      </pivotArea>
    </format>
    <format dxfId="220">
      <pivotArea field="7" type="button" dataOnly="0" labelOnly="1" outline="0" axis="axisCol" fieldPosition="0"/>
    </format>
    <format dxfId="219">
      <pivotArea dataOnly="0" labelOnly="1" grandRow="1" outline="0" fieldPosition="0"/>
    </format>
    <format dxfId="218">
      <pivotArea dataOnly="0" labelOnly="1" fieldPosition="0">
        <references count="1">
          <reference field="7" count="1">
            <x v="0"/>
          </reference>
        </references>
      </pivotArea>
    </format>
    <format dxfId="217">
      <pivotArea outline="0" collapsedLevelsAreSubtotals="1" fieldPosition="0">
        <references count="1">
          <reference field="7" count="1" selected="0">
            <x v="7"/>
          </reference>
        </references>
      </pivotArea>
    </format>
    <format dxfId="216">
      <pivotArea outline="0" collapsedLevelsAreSubtotals="1" fieldPosition="0">
        <references count="1">
          <reference field="7" count="1" selected="0">
            <x v="4"/>
          </reference>
        </references>
      </pivotArea>
    </format>
    <format dxfId="215">
      <pivotArea outline="0" collapsedLevelsAreSubtotals="1" fieldPosition="0">
        <references count="1">
          <reference field="7" count="1" selected="0">
            <x v="0"/>
          </reference>
        </references>
      </pivotArea>
    </format>
    <format dxfId="214">
      <pivotArea field="7" type="button" dataOnly="0" labelOnly="1" outline="0" axis="axisCol" fieldPosition="0"/>
    </format>
    <format dxfId="213">
      <pivotArea dataOnly="0" labelOnly="1" grandRow="1" outline="0" fieldPosition="0"/>
    </format>
    <format dxfId="212">
      <pivotArea dataOnly="0" labelOnly="1" fieldPosition="0">
        <references count="1">
          <reference field="7" count="1">
            <x v="0"/>
          </reference>
        </references>
      </pivotArea>
    </format>
    <format dxfId="211">
      <pivotArea outline="0" collapsedLevelsAreSubtotals="1" fieldPosition="0">
        <references count="1">
          <reference field="7" count="1" selected="0">
            <x v="7"/>
          </reference>
        </references>
      </pivotArea>
    </format>
    <format dxfId="210">
      <pivotArea outline="0" collapsedLevelsAreSubtotals="1" fieldPosition="0">
        <references count="1">
          <reference field="7" count="1" selected="0">
            <x v="4"/>
          </reference>
        </references>
      </pivotArea>
    </format>
    <format dxfId="209">
      <pivotArea outline="0" collapsedLevelsAreSubtotals="1" fieldPosition="0">
        <references count="1">
          <reference field="7" count="1" selected="0">
            <x v="0"/>
          </reference>
        </references>
      </pivotArea>
    </format>
    <format dxfId="208">
      <pivotArea field="7" type="button" dataOnly="0" labelOnly="1" outline="0" axis="axisCol" fieldPosition="0"/>
    </format>
    <format dxfId="207">
      <pivotArea dataOnly="0" labelOnly="1" grandRow="1" outline="0" fieldPosition="0"/>
    </format>
    <format dxfId="206">
      <pivotArea dataOnly="0" labelOnly="1" fieldPosition="0">
        <references count="1">
          <reference field="7" count="1">
            <x v="0"/>
          </reference>
        </references>
      </pivotArea>
    </format>
    <format dxfId="205">
      <pivotArea outline="0" collapsedLevelsAreSubtotals="1" fieldPosition="0">
        <references count="1">
          <reference field="7" count="1" selected="0">
            <x v="7"/>
          </reference>
        </references>
      </pivotArea>
    </format>
    <format dxfId="204">
      <pivotArea outline="0" collapsedLevelsAreSubtotals="1" fieldPosition="0">
        <references count="1">
          <reference field="7" count="1" selected="0">
            <x v="4"/>
          </reference>
        </references>
      </pivotArea>
    </format>
    <format dxfId="203">
      <pivotArea outline="0" collapsedLevelsAreSubtotals="1" fieldPosition="0">
        <references count="1">
          <reference field="7" count="1" selected="0">
            <x v="0"/>
          </reference>
        </references>
      </pivotArea>
    </format>
    <format dxfId="202">
      <pivotArea field="7" type="button" dataOnly="0" labelOnly="1" outline="0" axis="axisCol" fieldPosition="0"/>
    </format>
    <format dxfId="201">
      <pivotArea dataOnly="0" labelOnly="1" grandRow="1" outline="0" fieldPosition="0"/>
    </format>
    <format dxfId="200">
      <pivotArea dataOnly="0" labelOnly="1" fieldPosition="0">
        <references count="1">
          <reference field="7" count="1">
            <x v="0"/>
          </reference>
        </references>
      </pivotArea>
    </format>
    <format dxfId="199">
      <pivotArea outline="0" collapsedLevelsAreSubtotals="1" fieldPosition="0">
        <references count="1">
          <reference field="7" count="1" selected="0">
            <x v="7"/>
          </reference>
        </references>
      </pivotArea>
    </format>
    <format dxfId="198">
      <pivotArea outline="0" collapsedLevelsAreSubtotals="1" fieldPosition="0">
        <references count="1">
          <reference field="7" count="1" selected="0">
            <x v="4"/>
          </reference>
        </references>
      </pivotArea>
    </format>
    <format dxfId="197">
      <pivotArea outline="0" collapsedLevelsAreSubtotals="1" fieldPosition="0">
        <references count="1">
          <reference field="7" count="1" selected="0">
            <x v="0"/>
          </reference>
        </references>
      </pivotArea>
    </format>
    <format dxfId="196">
      <pivotArea field="7" type="button" dataOnly="0" labelOnly="1" outline="0" axis="axisCol" fieldPosition="0"/>
    </format>
    <format dxfId="195">
      <pivotArea dataOnly="0" labelOnly="1" grandRow="1" outline="0" fieldPosition="0"/>
    </format>
    <format dxfId="194">
      <pivotArea dataOnly="0" labelOnly="1" fieldPosition="0">
        <references count="1">
          <reference field="7" count="1">
            <x v="0"/>
          </reference>
        </references>
      </pivotArea>
    </format>
    <format dxfId="193">
      <pivotArea outline="0" collapsedLevelsAreSubtotals="1" fieldPosition="0">
        <references count="1">
          <reference field="7" count="1" selected="0">
            <x v="7"/>
          </reference>
        </references>
      </pivotArea>
    </format>
    <format dxfId="192">
      <pivotArea outline="0" collapsedLevelsAreSubtotals="1" fieldPosition="0">
        <references count="1">
          <reference field="7" count="1" selected="0">
            <x v="4"/>
          </reference>
        </references>
      </pivotArea>
    </format>
    <format dxfId="191">
      <pivotArea outline="0" collapsedLevelsAreSubtotals="1" fieldPosition="0">
        <references count="1">
          <reference field="7" count="1" selected="0">
            <x v="0"/>
          </reference>
        </references>
      </pivotArea>
    </format>
    <format dxfId="190">
      <pivotArea field="7" type="button" dataOnly="0" labelOnly="1" outline="0" axis="axisCol" fieldPosition="0"/>
    </format>
    <format dxfId="189">
      <pivotArea dataOnly="0" labelOnly="1" grandRow="1" outline="0" fieldPosition="0"/>
    </format>
    <format dxfId="188">
      <pivotArea dataOnly="0" labelOnly="1" fieldPosition="0">
        <references count="1">
          <reference field="7" count="1">
            <x v="0"/>
          </reference>
        </references>
      </pivotArea>
    </format>
    <format dxfId="187">
      <pivotArea outline="0" collapsedLevelsAreSubtotals="1" fieldPosition="0">
        <references count="1">
          <reference field="7" count="1" selected="0">
            <x v="7"/>
          </reference>
        </references>
      </pivotArea>
    </format>
    <format dxfId="186">
      <pivotArea outline="0" collapsedLevelsAreSubtotals="1" fieldPosition="0">
        <references count="1">
          <reference field="7" count="1" selected="0">
            <x v="4"/>
          </reference>
        </references>
      </pivotArea>
    </format>
    <format dxfId="185">
      <pivotArea outline="0" collapsedLevelsAreSubtotals="1" fieldPosition="0">
        <references count="1">
          <reference field="7" count="1" selected="0">
            <x v="0"/>
          </reference>
        </references>
      </pivotArea>
    </format>
    <format dxfId="184">
      <pivotArea field="7" type="button" dataOnly="0" labelOnly="1" outline="0" axis="axisCol" fieldPosition="0"/>
    </format>
    <format dxfId="183">
      <pivotArea dataOnly="0" labelOnly="1" grandRow="1" outline="0" fieldPosition="0"/>
    </format>
    <format dxfId="182">
      <pivotArea dataOnly="0" labelOnly="1" fieldPosition="0">
        <references count="1">
          <reference field="7" count="1">
            <x v="0"/>
          </reference>
        </references>
      </pivotArea>
    </format>
    <format dxfId="181">
      <pivotArea outline="0" collapsedLevelsAreSubtotals="1" fieldPosition="0">
        <references count="1">
          <reference field="7" count="1" selected="0">
            <x v="7"/>
          </reference>
        </references>
      </pivotArea>
    </format>
    <format dxfId="180">
      <pivotArea outline="0" collapsedLevelsAreSubtotals="1" fieldPosition="0">
        <references count="1">
          <reference field="7" count="1" selected="0">
            <x v="4"/>
          </reference>
        </references>
      </pivotArea>
    </format>
    <format dxfId="179">
      <pivotArea outline="0" collapsedLevelsAreSubtotals="1" fieldPosition="0">
        <references count="1">
          <reference field="7" count="1" selected="0">
            <x v="0"/>
          </reference>
        </references>
      </pivotArea>
    </format>
    <format dxfId="178">
      <pivotArea field="7" type="button" dataOnly="0" labelOnly="1" outline="0" axis="axisCol" fieldPosition="0"/>
    </format>
    <format dxfId="177">
      <pivotArea dataOnly="0" labelOnly="1" grandRow="1" outline="0" fieldPosition="0"/>
    </format>
    <format dxfId="176">
      <pivotArea dataOnly="0" labelOnly="1" fieldPosition="0">
        <references count="1">
          <reference field="7" count="1">
            <x v="0"/>
          </reference>
        </references>
      </pivotArea>
    </format>
    <format dxfId="175">
      <pivotArea outline="0" collapsedLevelsAreSubtotals="1" fieldPosition="0">
        <references count="1">
          <reference field="7" count="1" selected="0">
            <x v="7"/>
          </reference>
        </references>
      </pivotArea>
    </format>
    <format dxfId="174">
      <pivotArea outline="0" collapsedLevelsAreSubtotals="1" fieldPosition="0">
        <references count="1">
          <reference field="7" count="1" selected="0">
            <x v="4"/>
          </reference>
        </references>
      </pivotArea>
    </format>
    <format dxfId="173">
      <pivotArea outline="0" collapsedLevelsAreSubtotals="1" fieldPosition="0">
        <references count="1">
          <reference field="7" count="1" selected="0">
            <x v="0"/>
          </reference>
        </references>
      </pivotArea>
    </format>
    <format dxfId="172">
      <pivotArea field="7" type="button" dataOnly="0" labelOnly="1" outline="0" axis="axisCol" fieldPosition="0"/>
    </format>
    <format dxfId="171">
      <pivotArea dataOnly="0" labelOnly="1" grandRow="1" outline="0" fieldPosition="0"/>
    </format>
    <format dxfId="170">
      <pivotArea dataOnly="0" labelOnly="1" fieldPosition="0">
        <references count="1">
          <reference field="7" count="1">
            <x v="0"/>
          </reference>
        </references>
      </pivotArea>
    </format>
    <format dxfId="169">
      <pivotArea outline="0" collapsedLevelsAreSubtotals="1" fieldPosition="0">
        <references count="1">
          <reference field="7" count="1" selected="0">
            <x v="7"/>
          </reference>
        </references>
      </pivotArea>
    </format>
    <format dxfId="168">
      <pivotArea outline="0" collapsedLevelsAreSubtotals="1" fieldPosition="0">
        <references count="1">
          <reference field="7" count="1" selected="0">
            <x v="4"/>
          </reference>
        </references>
      </pivotArea>
    </format>
    <format dxfId="167">
      <pivotArea outline="0" collapsedLevelsAreSubtotals="1" fieldPosition="0">
        <references count="1">
          <reference field="7" count="1" selected="0">
            <x v="0"/>
          </reference>
        </references>
      </pivotArea>
    </format>
    <format dxfId="166">
      <pivotArea field="7" type="button" dataOnly="0" labelOnly="1" outline="0" axis="axisCol" fieldPosition="0"/>
    </format>
    <format dxfId="165">
      <pivotArea dataOnly="0" labelOnly="1" grandRow="1" outline="0" fieldPosition="0"/>
    </format>
    <format dxfId="164">
      <pivotArea dataOnly="0" labelOnly="1" fieldPosition="0">
        <references count="1">
          <reference field="7" count="1">
            <x v="0"/>
          </reference>
        </references>
      </pivotArea>
    </format>
    <format dxfId="163">
      <pivotArea outline="0" collapsedLevelsAreSubtotals="1" fieldPosition="0">
        <references count="1">
          <reference field="7" count="1" selected="0">
            <x v="7"/>
          </reference>
        </references>
      </pivotArea>
    </format>
    <format dxfId="162">
      <pivotArea outline="0" collapsedLevelsAreSubtotals="1" fieldPosition="0">
        <references count="1">
          <reference field="7" count="1" selected="0">
            <x v="4"/>
          </reference>
        </references>
      </pivotArea>
    </format>
    <format dxfId="161">
      <pivotArea outline="0" collapsedLevelsAreSubtotals="1" fieldPosition="0">
        <references count="1">
          <reference field="7" count="1" selected="0">
            <x v="0"/>
          </reference>
        </references>
      </pivotArea>
    </format>
    <format dxfId="160">
      <pivotArea field="7" type="button" dataOnly="0" labelOnly="1" outline="0" axis="axisCol" fieldPosition="0"/>
    </format>
    <format dxfId="159">
      <pivotArea dataOnly="0" labelOnly="1" grandRow="1" outline="0" fieldPosition="0"/>
    </format>
    <format dxfId="158">
      <pivotArea dataOnly="0" labelOnly="1" fieldPosition="0">
        <references count="1">
          <reference field="7" count="1">
            <x v="0"/>
          </reference>
        </references>
      </pivotArea>
    </format>
    <format dxfId="157">
      <pivotArea outline="0" collapsedLevelsAreSubtotals="1" fieldPosition="0">
        <references count="1">
          <reference field="7" count="1" selected="0">
            <x v="7"/>
          </reference>
        </references>
      </pivotArea>
    </format>
    <format dxfId="156">
      <pivotArea outline="0" collapsedLevelsAreSubtotals="1" fieldPosition="0">
        <references count="1">
          <reference field="7" count="1" selected="0">
            <x v="4"/>
          </reference>
        </references>
      </pivotArea>
    </format>
    <format dxfId="155">
      <pivotArea outline="0" collapsedLevelsAreSubtotals="1" fieldPosition="0">
        <references count="1">
          <reference field="7" count="1" selected="0">
            <x v="0"/>
          </reference>
        </references>
      </pivotArea>
    </format>
    <format dxfId="154">
      <pivotArea field="7" type="button" dataOnly="0" labelOnly="1" outline="0" axis="axisCol" fieldPosition="0"/>
    </format>
    <format dxfId="153">
      <pivotArea dataOnly="0" labelOnly="1" grandRow="1" outline="0" fieldPosition="0"/>
    </format>
    <format dxfId="152">
      <pivotArea dataOnly="0" labelOnly="1" fieldPosition="0">
        <references count="1">
          <reference field="7" count="1">
            <x v="0"/>
          </reference>
        </references>
      </pivotArea>
    </format>
    <format dxfId="151">
      <pivotArea grandCol="1" outline="0" collapsedLevelsAreSubtotals="1" fieldPosition="0"/>
    </format>
    <format dxfId="150">
      <pivotArea outline="0" collapsedLevelsAreSubtotals="1" fieldPosition="0">
        <references count="1">
          <reference field="7" count="1" selected="0">
            <x v="0"/>
          </reference>
        </references>
      </pivotArea>
    </format>
    <format dxfId="149">
      <pivotArea field="7" type="button" dataOnly="0" labelOnly="1" outline="0" axis="axisCol" fieldPosition="0"/>
    </format>
    <format dxfId="148">
      <pivotArea dataOnly="0" labelOnly="1" grandRow="1" outline="0" fieldPosition="0"/>
    </format>
    <format dxfId="147">
      <pivotArea dataOnly="0" labelOnly="1" fieldPosition="0">
        <references count="1">
          <reference field="7" count="1">
            <x v="0"/>
          </reference>
        </references>
      </pivotArea>
    </format>
    <format dxfId="146">
      <pivotArea grandCol="1" outline="0" collapsedLevelsAreSubtotals="1" fieldPosition="0"/>
    </format>
    <format dxfId="145">
      <pivotArea outline="0" collapsedLevelsAreSubtotals="1" fieldPosition="0">
        <references count="1">
          <reference field="7" count="1" selected="0">
            <x v="0"/>
          </reference>
        </references>
      </pivotArea>
    </format>
    <format dxfId="144">
      <pivotArea field="7" type="button" dataOnly="0" labelOnly="1" outline="0" axis="axisCol" fieldPosition="0"/>
    </format>
    <format dxfId="143">
      <pivotArea dataOnly="0" labelOnly="1" grandRow="1" outline="0" fieldPosition="0"/>
    </format>
    <format dxfId="142">
      <pivotArea dataOnly="0" labelOnly="1" fieldPosition="0">
        <references count="1">
          <reference field="7" count="1">
            <x v="0"/>
          </reference>
        </references>
      </pivotArea>
    </format>
    <format dxfId="141">
      <pivotArea grandCol="1" outline="0" collapsedLevelsAreSubtotals="1" fieldPosition="0"/>
    </format>
    <format dxfId="140">
      <pivotArea outline="0" collapsedLevelsAreSubtotals="1" fieldPosition="0">
        <references count="1">
          <reference field="7" count="1" selected="0">
            <x v="0"/>
          </reference>
        </references>
      </pivotArea>
    </format>
    <format dxfId="139">
      <pivotArea field="7" type="button" dataOnly="0" labelOnly="1" outline="0" axis="axisCol" fieldPosition="0"/>
    </format>
    <format dxfId="138">
      <pivotArea dataOnly="0" labelOnly="1" grandRow="1" outline="0" fieldPosition="0"/>
    </format>
    <format dxfId="137">
      <pivotArea dataOnly="0" labelOnly="1" fieldPosition="0">
        <references count="1">
          <reference field="7" count="1">
            <x v="0"/>
          </reference>
        </references>
      </pivotArea>
    </format>
    <format dxfId="136">
      <pivotArea grandCol="1" outline="0" collapsedLevelsAreSubtotals="1" fieldPosition="0"/>
    </format>
    <format dxfId="135">
      <pivotArea outline="0" collapsedLevelsAreSubtotals="1" fieldPosition="0">
        <references count="1">
          <reference field="7" count="1" selected="0">
            <x v="0"/>
          </reference>
        </references>
      </pivotArea>
    </format>
    <format dxfId="134">
      <pivotArea field="7" type="button" dataOnly="0" labelOnly="1" outline="0" axis="axisCol" fieldPosition="0"/>
    </format>
    <format dxfId="133">
      <pivotArea dataOnly="0" labelOnly="1" grandRow="1" outline="0" fieldPosition="0"/>
    </format>
    <format dxfId="132">
      <pivotArea dataOnly="0" labelOnly="1" fieldPosition="0">
        <references count="1">
          <reference field="7" count="1">
            <x v="0"/>
          </reference>
        </references>
      </pivotArea>
    </format>
    <format dxfId="131">
      <pivotArea grandCol="1" outline="0" collapsedLevelsAreSubtotals="1" fieldPosition="0"/>
    </format>
    <format dxfId="130">
      <pivotArea outline="0" collapsedLevelsAreSubtotals="1" fieldPosition="0">
        <references count="1">
          <reference field="7" count="1" selected="0">
            <x v="0"/>
          </reference>
        </references>
      </pivotArea>
    </format>
    <format dxfId="129">
      <pivotArea field="7" type="button" dataOnly="0" labelOnly="1" outline="0" axis="axisCol" fieldPosition="0"/>
    </format>
    <format dxfId="128">
      <pivotArea dataOnly="0" labelOnly="1" grandRow="1" outline="0" fieldPosition="0"/>
    </format>
    <format dxfId="127">
      <pivotArea dataOnly="0" labelOnly="1" fieldPosition="0">
        <references count="1">
          <reference field="7" count="1">
            <x v="0"/>
          </reference>
        </references>
      </pivotArea>
    </format>
    <format dxfId="126">
      <pivotArea grandCol="1" outline="0" collapsedLevelsAreSubtotals="1" fieldPosition="0"/>
    </format>
    <format dxfId="125">
      <pivotArea outline="0" collapsedLevelsAreSubtotals="1" fieldPosition="0">
        <references count="1">
          <reference field="7" count="1" selected="0">
            <x v="0"/>
          </reference>
        </references>
      </pivotArea>
    </format>
    <format dxfId="124">
      <pivotArea field="7" type="button" dataOnly="0" labelOnly="1" outline="0" axis="axisCol" fieldPosition="0"/>
    </format>
    <format dxfId="123">
      <pivotArea dataOnly="0" labelOnly="1" grandRow="1" outline="0" fieldPosition="0"/>
    </format>
    <format dxfId="122">
      <pivotArea dataOnly="0" labelOnly="1" fieldPosition="0">
        <references count="1">
          <reference field="7" count="1">
            <x v="0"/>
          </reference>
        </references>
      </pivotArea>
    </format>
    <format dxfId="121">
      <pivotArea grandCol="1" outline="0" collapsedLevelsAreSubtotals="1" fieldPosition="0"/>
    </format>
    <format dxfId="120">
      <pivotArea outline="0" collapsedLevelsAreSubtotals="1" fieldPosition="0">
        <references count="1">
          <reference field="7" count="1" selected="0">
            <x v="0"/>
          </reference>
        </references>
      </pivotArea>
    </format>
    <format dxfId="119">
      <pivotArea field="7" type="button" dataOnly="0" labelOnly="1" outline="0" axis="axisCol" fieldPosition="0"/>
    </format>
    <format dxfId="118">
      <pivotArea dataOnly="0" labelOnly="1" grandRow="1" outline="0" fieldPosition="0"/>
    </format>
    <format dxfId="117">
      <pivotArea dataOnly="0" labelOnly="1" fieldPosition="0">
        <references count="1">
          <reference field="7" count="1">
            <x v="0"/>
          </reference>
        </references>
      </pivotArea>
    </format>
    <format dxfId="116">
      <pivotArea grandCol="1" outline="0" collapsedLevelsAreSubtotals="1" fieldPosition="0"/>
    </format>
    <format dxfId="115">
      <pivotArea outline="0" collapsedLevelsAreSubtotals="1" fieldPosition="0">
        <references count="1">
          <reference field="7" count="0" selected="0"/>
        </references>
      </pivotArea>
    </format>
    <format dxfId="114">
      <pivotArea dataOnly="0" labelOnly="1" grandRow="1" outline="0" fieldPosition="0"/>
    </format>
    <format dxfId="113">
      <pivotArea dataOnly="0" labelOnly="1" fieldPosition="0">
        <references count="1">
          <reference field="7" count="0"/>
        </references>
      </pivotArea>
    </format>
    <format dxfId="112">
      <pivotArea grandCol="1" outline="0" collapsedLevelsAreSubtotals="1" fieldPosition="0"/>
    </format>
    <format dxfId="111">
      <pivotArea outline="0" collapsedLevelsAreSubtotals="1" fieldPosition="0">
        <references count="1">
          <reference field="7" count="0" selected="0"/>
        </references>
      </pivotArea>
    </format>
    <format dxfId="110">
      <pivotArea dataOnly="0" labelOnly="1" grandRow="1" outline="0" fieldPosition="0"/>
    </format>
    <format dxfId="109">
      <pivotArea dataOnly="0" labelOnly="1" fieldPosition="0">
        <references count="1">
          <reference field="7" count="0"/>
        </references>
      </pivotArea>
    </format>
    <format dxfId="108">
      <pivotArea grandCol="1" outline="0" collapsedLevelsAreSubtotals="1" fieldPosition="0"/>
    </format>
    <format dxfId="107">
      <pivotArea outline="0" collapsedLevelsAreSubtotals="1" fieldPosition="0">
        <references count="1">
          <reference field="7" count="0" selected="0"/>
        </references>
      </pivotArea>
    </format>
    <format dxfId="106">
      <pivotArea dataOnly="0" labelOnly="1" grandRow="1" outline="0" fieldPosition="0"/>
    </format>
    <format dxfId="105">
      <pivotArea dataOnly="0" labelOnly="1" fieldPosition="0">
        <references count="1">
          <reference field="7" count="0"/>
        </references>
      </pivotArea>
    </format>
    <format dxfId="104">
      <pivotArea grandCol="1" outline="0" collapsedLevelsAreSubtotals="1" fieldPosition="0"/>
    </format>
    <format dxfId="103">
      <pivotArea outline="0" collapsedLevelsAreSubtotals="1" fieldPosition="0">
        <references count="1">
          <reference field="7" count="0" selected="0"/>
        </references>
      </pivotArea>
    </format>
    <format dxfId="102">
      <pivotArea dataOnly="0" labelOnly="1" grandRow="1" outline="0" fieldPosition="0"/>
    </format>
    <format dxfId="101">
      <pivotArea dataOnly="0" labelOnly="1" fieldPosition="0">
        <references count="1">
          <reference field="7" count="0"/>
        </references>
      </pivotArea>
    </format>
    <format dxfId="100">
      <pivotArea grandCol="1" outline="0" collapsedLevelsAreSubtotals="1" fieldPosition="0"/>
    </format>
    <format dxfId="99">
      <pivotArea outline="0" collapsedLevelsAreSubtotals="1" fieldPosition="0">
        <references count="1">
          <reference field="7" count="0" selected="0"/>
        </references>
      </pivotArea>
    </format>
    <format dxfId="98">
      <pivotArea dataOnly="0" labelOnly="1" grandRow="1" outline="0" fieldPosition="0"/>
    </format>
    <format dxfId="97">
      <pivotArea dataOnly="0" labelOnly="1" fieldPosition="0">
        <references count="1">
          <reference field="7" count="0"/>
        </references>
      </pivotArea>
    </format>
    <format dxfId="96">
      <pivotArea grandCol="1" outline="0" collapsedLevelsAreSubtotals="1" fieldPosition="0"/>
    </format>
    <format dxfId="95">
      <pivotArea outline="0" collapsedLevelsAreSubtotals="1" fieldPosition="0">
        <references count="1">
          <reference field="7" count="0" selected="0"/>
        </references>
      </pivotArea>
    </format>
    <format dxfId="94">
      <pivotArea dataOnly="0" labelOnly="1" grandRow="1" outline="0" fieldPosition="0"/>
    </format>
    <format dxfId="93">
      <pivotArea dataOnly="0" labelOnly="1" fieldPosition="0">
        <references count="1">
          <reference field="7" count="0"/>
        </references>
      </pivotArea>
    </format>
    <format dxfId="92">
      <pivotArea grandCol="1" outline="0" collapsedLevelsAreSubtotals="1" fieldPosition="0"/>
    </format>
    <format dxfId="91">
      <pivotArea outline="0" collapsedLevelsAreSubtotals="1" fieldPosition="0">
        <references count="1">
          <reference field="7" count="0" selected="0"/>
        </references>
      </pivotArea>
    </format>
    <format dxfId="90">
      <pivotArea dataOnly="0" labelOnly="1" grandRow="1" outline="0" fieldPosition="0"/>
    </format>
    <format dxfId="89">
      <pivotArea dataOnly="0" labelOnly="1" fieldPosition="0">
        <references count="1">
          <reference field="7" count="0"/>
        </references>
      </pivotArea>
    </format>
    <format dxfId="88">
      <pivotArea grandCol="1" outline="0" collapsedLevelsAreSubtotals="1" fieldPosition="0"/>
    </format>
    <format dxfId="87">
      <pivotArea outline="0" collapsedLevelsAreSubtotals="1" fieldPosition="0">
        <references count="1">
          <reference field="7" count="0" selected="0"/>
        </references>
      </pivotArea>
    </format>
    <format dxfId="86">
      <pivotArea dataOnly="0" labelOnly="1" grandRow="1" outline="0" fieldPosition="0"/>
    </format>
    <format dxfId="85">
      <pivotArea dataOnly="0" labelOnly="1" fieldPosition="0">
        <references count="1">
          <reference field="7" count="0"/>
        </references>
      </pivotArea>
    </format>
    <format dxfId="84">
      <pivotArea dataOnly="0" labelOnly="1" grandRow="1" outline="0" fieldPosition="0"/>
    </format>
    <format dxfId="83">
      <pivotArea dataOnly="0" labelOnly="1" grandRow="1" outline="0" fieldPosition="0"/>
    </format>
    <format dxfId="82">
      <pivotArea dataOnly="0" labelOnly="1" grandRow="1" outline="0" fieldPosition="0"/>
    </format>
    <format dxfId="81">
      <pivotArea dataOnly="0" labelOnly="1" grandRow="1" outline="0" fieldPosition="0"/>
    </format>
    <format dxfId="80">
      <pivotArea dataOnly="0" labelOnly="1" grandRow="1" outline="0" fieldPosition="0"/>
    </format>
    <format dxfId="79">
      <pivotArea dataOnly="0" labelOnly="1" grandRow="1" outline="0" fieldPosition="0"/>
    </format>
    <format dxfId="78">
      <pivotArea grandCol="1" outline="0" collapsedLevelsAreSubtotals="1" fieldPosition="0"/>
    </format>
    <format dxfId="77">
      <pivotArea outline="0" collapsedLevelsAreSubtotals="1" fieldPosition="0">
        <references count="1">
          <reference field="7" count="0" selected="0"/>
        </references>
      </pivotArea>
    </format>
    <format dxfId="76">
      <pivotArea dataOnly="0" labelOnly="1" grandRow="1" outline="0" fieldPosition="0"/>
    </format>
    <format dxfId="75">
      <pivotArea dataOnly="0" labelOnly="1" fieldPosition="0">
        <references count="1">
          <reference field="7" count="0"/>
        </references>
      </pivotArea>
    </format>
    <format dxfId="74">
      <pivotArea grandRow="1" outline="0" collapsedLevelsAreSubtotals="1" fieldPosition="0"/>
    </format>
    <format dxfId="73">
      <pivotArea dataOnly="0" labelOnly="1" grandRow="1" outline="0" fieldPosition="0"/>
    </format>
    <format dxfId="72">
      <pivotArea grandCol="1" outline="0" collapsedLevelsAreSubtotals="1" fieldPosition="0"/>
    </format>
    <format dxfId="71">
      <pivotArea outline="0" collapsedLevelsAreSubtotals="1" fieldPosition="0">
        <references count="1">
          <reference field="7" count="0" selected="0"/>
        </references>
      </pivotArea>
    </format>
    <format dxfId="70">
      <pivotArea dataOnly="0" labelOnly="1" grandRow="1" outline="0" fieldPosition="0"/>
    </format>
    <format dxfId="69">
      <pivotArea dataOnly="0" labelOnly="1" fieldPosition="0">
        <references count="1">
          <reference field="7" count="0"/>
        </references>
      </pivotArea>
    </format>
    <format dxfId="68">
      <pivotArea grandCol="1" outline="0" collapsedLevelsAreSubtotals="1" fieldPosition="0"/>
    </format>
    <format dxfId="67">
      <pivotArea outline="0" collapsedLevelsAreSubtotals="1" fieldPosition="0">
        <references count="1">
          <reference field="7" count="0" selected="0"/>
        </references>
      </pivotArea>
    </format>
    <format dxfId="66">
      <pivotArea dataOnly="0" labelOnly="1" grandRow="1" outline="0" fieldPosition="0"/>
    </format>
    <format dxfId="65">
      <pivotArea dataOnly="0" labelOnly="1" fieldPosition="0">
        <references count="1">
          <reference field="7" count="0"/>
        </references>
      </pivotArea>
    </format>
    <format dxfId="64">
      <pivotArea grandCol="1" outline="0" collapsedLevelsAreSubtotals="1" fieldPosition="0"/>
    </format>
    <format dxfId="63">
      <pivotArea outline="0" collapsedLevelsAreSubtotals="1" fieldPosition="0">
        <references count="1">
          <reference field="7" count="0" selected="0"/>
        </references>
      </pivotArea>
    </format>
    <format dxfId="62">
      <pivotArea dataOnly="0" labelOnly="1" grandRow="1" outline="0" fieldPosition="0"/>
    </format>
    <format dxfId="61">
      <pivotArea dataOnly="0" labelOnly="1" fieldPosition="0">
        <references count="1">
          <reference field="7" count="0"/>
        </references>
      </pivotArea>
    </format>
    <format dxfId="60">
      <pivotArea grandCol="1" outline="0" collapsedLevelsAreSubtotals="1" fieldPosition="0"/>
    </format>
    <format dxfId="59">
      <pivotArea outline="0" collapsedLevelsAreSubtotals="1" fieldPosition="0">
        <references count="1">
          <reference field="7" count="0" selected="0"/>
        </references>
      </pivotArea>
    </format>
    <format dxfId="58">
      <pivotArea dataOnly="0" labelOnly="1" grandRow="1" outline="0" fieldPosition="0"/>
    </format>
    <format dxfId="57">
      <pivotArea dataOnly="0" labelOnly="1" fieldPosition="0">
        <references count="1">
          <reference field="7" count="0"/>
        </references>
      </pivotArea>
    </format>
    <format dxfId="56">
      <pivotArea grandCol="1" outline="0" collapsedLevelsAreSubtotals="1" fieldPosition="0"/>
    </format>
    <format dxfId="55">
      <pivotArea outline="0" collapsedLevelsAreSubtotals="1" fieldPosition="0">
        <references count="1">
          <reference field="7" count="0" selected="0"/>
        </references>
      </pivotArea>
    </format>
    <format dxfId="54">
      <pivotArea dataOnly="0" labelOnly="1" grandRow="1" outline="0" fieldPosition="0"/>
    </format>
    <format dxfId="53">
      <pivotArea dataOnly="0" labelOnly="1" fieldPosition="0">
        <references count="1">
          <reference field="7" count="0"/>
        </references>
      </pivotArea>
    </format>
    <format dxfId="52">
      <pivotArea grandCol="1" outline="0" collapsedLevelsAreSubtotals="1" fieldPosition="0"/>
    </format>
    <format dxfId="51">
      <pivotArea outline="0" collapsedLevelsAreSubtotals="1" fieldPosition="0">
        <references count="1">
          <reference field="7" count="0" selected="0"/>
        </references>
      </pivotArea>
    </format>
    <format dxfId="50">
      <pivotArea dataOnly="0" labelOnly="1" grandRow="1" outline="0" fieldPosition="0"/>
    </format>
    <format dxfId="49">
      <pivotArea dataOnly="0" labelOnly="1" fieldPosition="0">
        <references count="1">
          <reference field="7" count="0"/>
        </references>
      </pivotArea>
    </format>
    <format dxfId="48">
      <pivotArea grandCol="1" outline="0" collapsedLevelsAreSubtotals="1" fieldPosition="0"/>
    </format>
    <format dxfId="47">
      <pivotArea outline="0" collapsedLevelsAreSubtotals="1" fieldPosition="0">
        <references count="1">
          <reference field="7" count="0" selected="0"/>
        </references>
      </pivotArea>
    </format>
    <format dxfId="46">
      <pivotArea dataOnly="0" labelOnly="1" grandRow="1" outline="0" fieldPosition="0"/>
    </format>
    <format dxfId="45">
      <pivotArea dataOnly="0" labelOnly="1" fieldPosition="0">
        <references count="1">
          <reference field="7" count="0"/>
        </references>
      </pivotArea>
    </format>
    <format dxfId="44">
      <pivotArea grandCol="1" outline="0" collapsedLevelsAreSubtotals="1" fieldPosition="0"/>
    </format>
    <format dxfId="43">
      <pivotArea outline="0" collapsedLevelsAreSubtotals="1" fieldPosition="0">
        <references count="1">
          <reference field="7" count="0" selected="0"/>
        </references>
      </pivotArea>
    </format>
    <format dxfId="42">
      <pivotArea dataOnly="0" labelOnly="1" grandRow="1" outline="0" fieldPosition="0"/>
    </format>
    <format dxfId="41">
      <pivotArea dataOnly="0" labelOnly="1" fieldPosition="0">
        <references count="1">
          <reference field="7" count="0"/>
        </references>
      </pivotArea>
    </format>
    <format dxfId="40">
      <pivotArea grandCol="1" outline="0" collapsedLevelsAreSubtotals="1" fieldPosition="0"/>
    </format>
    <format dxfId="39">
      <pivotArea outline="0" collapsedLevelsAreSubtotals="1" fieldPosition="0">
        <references count="1">
          <reference field="7" count="0" selected="0"/>
        </references>
      </pivotArea>
    </format>
    <format dxfId="38">
      <pivotArea dataOnly="0" labelOnly="1" grandRow="1" outline="0" fieldPosition="0"/>
    </format>
    <format dxfId="37">
      <pivotArea dataOnly="0" labelOnly="1" fieldPosition="0">
        <references count="1">
          <reference field="7" count="0"/>
        </references>
      </pivotArea>
    </format>
    <format dxfId="36">
      <pivotArea grandCol="1" outline="0" collapsedLevelsAreSubtotals="1" fieldPosition="0"/>
    </format>
    <format dxfId="35">
      <pivotArea outline="0" collapsedLevelsAreSubtotals="1" fieldPosition="0">
        <references count="1">
          <reference field="7" count="0" selected="0"/>
        </references>
      </pivotArea>
    </format>
    <format dxfId="34">
      <pivotArea dataOnly="0" labelOnly="1" grandRow="1" outline="0" fieldPosition="0"/>
    </format>
    <format dxfId="33">
      <pivotArea dataOnly="0" labelOnly="1" fieldPosition="0">
        <references count="1">
          <reference field="7" count="0"/>
        </references>
      </pivotArea>
    </format>
    <format dxfId="32">
      <pivotArea grandCol="1" outline="0" collapsedLevelsAreSubtotals="1" fieldPosition="0"/>
    </format>
    <format dxfId="31">
      <pivotArea outline="0" collapsedLevelsAreSubtotals="1" fieldPosition="0">
        <references count="1">
          <reference field="7" count="0" selected="0"/>
        </references>
      </pivotArea>
    </format>
    <format dxfId="30">
      <pivotArea dataOnly="0" labelOnly="1" grandRow="1" outline="0" fieldPosition="0"/>
    </format>
    <format dxfId="29">
      <pivotArea dataOnly="0" labelOnly="1" fieldPosition="0">
        <references count="1">
          <reference field="7" count="0"/>
        </references>
      </pivotArea>
    </format>
    <format dxfId="28">
      <pivotArea grandCol="1" outline="0" collapsedLevelsAreSubtotals="1" fieldPosition="0"/>
    </format>
    <format dxfId="27">
      <pivotArea outline="0" collapsedLevelsAreSubtotals="1" fieldPosition="0">
        <references count="1">
          <reference field="7" count="0" selected="0"/>
        </references>
      </pivotArea>
    </format>
    <format dxfId="26">
      <pivotArea dataOnly="0" labelOnly="1" grandRow="1" outline="0" fieldPosition="0"/>
    </format>
    <format dxfId="25">
      <pivotArea dataOnly="0" labelOnly="1" fieldPosition="0">
        <references count="1">
          <reference field="7" count="0"/>
        </references>
      </pivotArea>
    </format>
    <format dxfId="24">
      <pivotArea grandCol="1" outline="0" collapsedLevelsAreSubtotals="1" fieldPosition="0"/>
    </format>
    <format dxfId="23">
      <pivotArea outline="0" collapsedLevelsAreSubtotals="1" fieldPosition="0">
        <references count="1">
          <reference field="7" count="0" selected="0"/>
        </references>
      </pivotArea>
    </format>
    <format dxfId="22">
      <pivotArea dataOnly="0" labelOnly="1" grandRow="1" outline="0" fieldPosition="0"/>
    </format>
    <format dxfId="21">
      <pivotArea dataOnly="0" labelOnly="1" fieldPosition="0">
        <references count="1">
          <reference field="7" count="0"/>
        </references>
      </pivotArea>
    </format>
    <format dxfId="20">
      <pivotArea outline="0" collapsedLevelsAreSubtotals="1" fieldPosition="0">
        <references count="1">
          <reference field="7" count="1" selected="0">
            <x v="7"/>
          </reference>
        </references>
      </pivotArea>
    </format>
    <format dxfId="19">
      <pivotArea grandCol="1" outline="0" collapsedLevelsAreSubtotals="1" fieldPosition="0"/>
    </format>
    <format dxfId="18">
      <pivotArea outline="0" collapsedLevelsAreSubtotals="1" fieldPosition="0">
        <references count="1">
          <reference field="7" count="6" selected="0">
            <x v="1"/>
            <x v="2"/>
            <x v="3"/>
            <x v="4"/>
            <x v="5"/>
            <x v="6"/>
          </reference>
        </references>
      </pivotArea>
    </format>
    <format dxfId="17">
      <pivotArea dataOnly="0" labelOnly="1" fieldPosition="0">
        <references count="1">
          <reference field="4" count="20">
            <x v="0"/>
            <x v="2"/>
            <x v="3"/>
            <x v="4"/>
            <x v="5"/>
            <x v="6"/>
            <x v="7"/>
            <x v="8"/>
            <x v="9"/>
            <x v="10"/>
            <x v="11"/>
            <x v="12"/>
            <x v="13"/>
            <x v="14"/>
            <x v="15"/>
            <x v="16"/>
            <x v="17"/>
            <x v="18"/>
            <x v="20"/>
            <x v="21"/>
          </reference>
        </references>
      </pivotArea>
    </format>
    <format dxfId="16">
      <pivotArea dataOnly="0" labelOnly="1" grandRow="1" outline="0" fieldPosition="0"/>
    </format>
    <format dxfId="15">
      <pivotArea dataOnly="0" labelOnly="1" fieldPosition="0">
        <references count="1">
          <reference field="7" count="6">
            <x v="1"/>
            <x v="2"/>
            <x v="3"/>
            <x v="4"/>
            <x v="5"/>
            <x v="6"/>
          </reference>
        </references>
      </pivotArea>
    </format>
  </formats>
  <pivotTableStyleInfo name="ArrisPivot"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81"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A3:B497" firstHeaderRow="1" firstDataRow="1" firstDataCol="1"/>
  <pivotFields count="53">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2840">
        <item m="1" x="1402"/>
        <item m="1" x="633"/>
        <item m="1" x="2003"/>
        <item m="1" x="1128"/>
        <item m="1" x="1732"/>
        <item m="1" x="918"/>
        <item m="1" x="1533"/>
        <item m="1" x="1982"/>
        <item m="1" x="2283"/>
        <item m="1" x="2619"/>
        <item m="1" x="1506"/>
        <item m="1" x="865"/>
        <item m="1" x="2387"/>
        <item m="1" x="2678"/>
        <item m="1" x="2752"/>
        <item m="1" x="866"/>
        <item m="1" x="1212"/>
        <item m="1" x="1793"/>
        <item m="1" x="2103"/>
        <item m="1" x="1222"/>
        <item m="1" x="2119"/>
        <item m="1" x="2410"/>
        <item m="1" x="2764"/>
        <item m="1" x="1238"/>
        <item m="1" x="980"/>
        <item m="1" x="1871"/>
        <item m="1" x="2460"/>
        <item m="1" x="2171"/>
        <item m="1" x="2461"/>
        <item m="1" x="990"/>
        <item m="1" x="1872"/>
        <item m="1" x="2838"/>
        <item m="1" x="1295"/>
        <item m="1" x="2470"/>
        <item m="1" x="2777"/>
        <item m="1" x="507"/>
        <item m="1" x="1022"/>
        <item m="1" x="1316"/>
        <item m="1" x="1602"/>
        <item m="1" x="2203"/>
        <item m="1" x="2780"/>
        <item m="1" x="508"/>
        <item m="1" x="509"/>
        <item m="1" x="1026"/>
        <item m="1" x="1319"/>
        <item m="1" x="1605"/>
        <item m="1" x="1903"/>
        <item m="1" x="2204"/>
        <item m="1" x="2492"/>
        <item m="1" x="2782"/>
        <item m="1" x="510"/>
        <item m="1" x="1028"/>
        <item m="1" x="1321"/>
        <item m="1" x="1607"/>
        <item m="1" x="1905"/>
        <item m="1" x="2205"/>
        <item m="1" x="2784"/>
        <item m="1" x="511"/>
        <item m="1" x="1030"/>
        <item m="1" x="1609"/>
        <item m="1" x="1906"/>
        <item m="1" x="1034"/>
        <item m="1" x="1909"/>
        <item m="1" x="1326"/>
        <item m="1" x="2213"/>
        <item m="1" x="2500"/>
        <item m="1" x="2794"/>
        <item m="1" x="1041"/>
        <item m="1" x="519"/>
        <item m="1" x="2222"/>
        <item m="1" x="2508"/>
        <item m="1" x="2803"/>
        <item m="1" x="520"/>
        <item m="1" x="1047"/>
        <item m="1" x="1332"/>
        <item m="1" x="1620"/>
        <item m="1" x="1919"/>
        <item m="1" x="2223"/>
        <item m="1" x="2509"/>
        <item m="1" x="2510"/>
        <item m="1" x="2805"/>
        <item m="1" x="521"/>
        <item m="1" x="1048"/>
        <item m="1" x="1621"/>
        <item m="1" x="1921"/>
        <item m="1" x="2224"/>
        <item m="1" x="2512"/>
        <item m="1" x="2807"/>
        <item m="1" x="522"/>
        <item m="1" x="1628"/>
        <item m="1" x="1928"/>
        <item m="1" x="2230"/>
        <item m="1" x="2519"/>
        <item m="1" x="2813"/>
        <item m="1" x="524"/>
        <item m="1" x="1056"/>
        <item m="1" x="2814"/>
        <item m="1" x="2232"/>
        <item m="1" x="2522"/>
        <item m="1" x="2815"/>
        <item m="1" x="526"/>
        <item m="1" x="1931"/>
        <item m="1" x="2233"/>
        <item m="1" x="1341"/>
        <item m="1" x="1629"/>
        <item m="1" x="1933"/>
        <item m="1" x="2234"/>
        <item m="1" x="2524"/>
        <item m="1" x="2816"/>
        <item m="1" x="527"/>
        <item m="1" x="1058"/>
        <item m="1" x="1342"/>
        <item m="1" x="1630"/>
        <item m="1" x="1934"/>
        <item m="1" x="2235"/>
        <item m="1" x="2525"/>
        <item m="1" x="2817"/>
        <item m="1" x="528"/>
        <item m="1" x="1059"/>
        <item m="1" x="1343"/>
        <item m="1" x="1631"/>
        <item m="1" x="1935"/>
        <item m="1" x="2236"/>
        <item m="1" x="2526"/>
        <item m="1" x="529"/>
        <item m="1" x="1060"/>
        <item m="1" x="1344"/>
        <item m="1" x="1632"/>
        <item m="1" x="2237"/>
        <item m="1" x="2527"/>
        <item m="1" x="1345"/>
        <item m="1" x="1633"/>
        <item m="1" x="1936"/>
        <item m="1" x="2238"/>
        <item m="1" x="2528"/>
        <item m="1" x="530"/>
        <item m="1" x="1634"/>
        <item m="1" x="1937"/>
        <item m="1" x="2239"/>
        <item m="1" x="2529"/>
        <item m="1" x="2819"/>
        <item m="1" x="531"/>
        <item m="1" x="1062"/>
        <item m="1" x="1347"/>
        <item m="1" x="1635"/>
        <item m="1" x="1938"/>
        <item m="1" x="2240"/>
        <item m="1" x="2530"/>
        <item m="1" x="2821"/>
        <item m="1" x="532"/>
        <item m="1" x="1063"/>
        <item m="1" x="1068"/>
        <item m="1" x="1351"/>
        <item m="1" x="1641"/>
        <item m="1" x="1943"/>
        <item m="1" x="2245"/>
        <item m="1" x="2534"/>
        <item m="1" x="2825"/>
        <item m="1" x="534"/>
        <item m="1" x="1069"/>
        <item m="1" x="1352"/>
        <item m="1" x="1642"/>
        <item m="1" x="1944"/>
        <item m="1" x="2246"/>
        <item m="1" x="2535"/>
        <item m="1" x="2826"/>
        <item m="1" x="535"/>
        <item m="1" x="1070"/>
        <item m="1" x="1353"/>
        <item m="1" x="1643"/>
        <item m="1" x="1945"/>
        <item m="1" x="2247"/>
        <item m="1" x="2536"/>
        <item m="1" x="2827"/>
        <item m="1" x="536"/>
        <item m="1" x="1071"/>
        <item m="1" x="1354"/>
        <item m="1" x="1644"/>
        <item m="1" x="1946"/>
        <item m="1" x="2248"/>
        <item m="1" x="2537"/>
        <item m="1" x="2828"/>
        <item m="1" x="537"/>
        <item m="1" x="1072"/>
        <item m="1" x="1355"/>
        <item m="1" x="1645"/>
        <item m="1" x="1947"/>
        <item m="1" x="2249"/>
        <item m="1" x="2538"/>
        <item m="1" x="2829"/>
        <item m="1" x="538"/>
        <item m="1" x="1073"/>
        <item m="1" x="1356"/>
        <item m="1" x="1646"/>
        <item m="1" x="1948"/>
        <item m="1" x="2250"/>
        <item m="1" x="2539"/>
        <item m="1" x="2830"/>
        <item m="1" x="539"/>
        <item m="1" x="1074"/>
        <item m="1" x="1357"/>
        <item m="1" x="1647"/>
        <item m="1" x="1949"/>
        <item m="1" x="2251"/>
        <item m="1" x="2540"/>
        <item m="1" x="2831"/>
        <item m="1" x="540"/>
        <item m="1" x="1075"/>
        <item m="1" x="1358"/>
        <item m="1" x="1648"/>
        <item m="1" x="1950"/>
        <item m="1" x="2252"/>
        <item m="1" x="2541"/>
        <item m="1" x="2832"/>
        <item m="1" x="541"/>
        <item m="1" x="1076"/>
        <item m="1" x="1359"/>
        <item m="1" x="1649"/>
        <item m="1" x="1951"/>
        <item m="1" x="2253"/>
        <item m="1" x="2542"/>
        <item m="1" x="2833"/>
        <item m="1" x="542"/>
        <item m="1" x="1077"/>
        <item m="1" x="1360"/>
        <item m="1" x="1650"/>
        <item m="1" x="1952"/>
        <item m="1" x="2254"/>
        <item m="1" x="2543"/>
        <item m="1" x="2834"/>
        <item m="1" x="543"/>
        <item m="1" x="1078"/>
        <item m="1" x="1361"/>
        <item m="1" x="1651"/>
        <item m="1" x="1080"/>
        <item m="1" x="1081"/>
        <item m="1" x="1364"/>
        <item m="1" x="2836"/>
        <item m="1" x="1954"/>
        <item m="1" x="2255"/>
        <item m="1" x="2545"/>
        <item m="1" x="1082"/>
        <item m="1" x="1365"/>
        <item m="1" x="1652"/>
        <item m="1" x="1955"/>
        <item m="1" x="1366"/>
        <item m="1" x="1653"/>
        <item m="1" x="1956"/>
        <item m="1" x="2256"/>
        <item m="1" x="2546"/>
        <item m="1" x="2837"/>
        <item m="1" x="545"/>
        <item m="1" x="1083"/>
        <item m="1" x="1367"/>
        <item m="1" x="1654"/>
        <item m="1" x="1656"/>
        <item m="1" x="1957"/>
        <item m="1" x="2257"/>
        <item m="1" x="546"/>
        <item m="1" x="1368"/>
        <item m="1" x="2839"/>
        <item m="1" x="547"/>
        <item m="1" x="1958"/>
        <item m="1" x="1657"/>
        <item m="1" x="1959"/>
        <item m="1" x="1084"/>
        <item m="1" x="1085"/>
        <item m="1" x="1369"/>
        <item m="1" x="1658"/>
        <item m="1" x="1960"/>
        <item m="1" x="2258"/>
        <item m="1" x="2547"/>
        <item m="1" x="494"/>
        <item m="1" x="549"/>
        <item m="1" x="1086"/>
        <item m="1" x="1370"/>
        <item m="1" x="1659"/>
        <item m="1" x="495"/>
        <item m="1" x="551"/>
        <item m="1" x="1087"/>
        <item m="1" x="1371"/>
        <item m="1" x="1660"/>
        <item m="1" x="1961"/>
        <item m="1" x="2259"/>
        <item m="1" x="2548"/>
        <item m="1" x="496"/>
        <item m="1" x="552"/>
        <item m="1" x="1088"/>
        <item m="1" x="1372"/>
        <item m="1" x="1661"/>
        <item m="1" x="1962"/>
        <item m="1" x="2260"/>
        <item m="1" x="2549"/>
        <item m="1" x="497"/>
        <item m="1" x="553"/>
        <item m="1" x="1089"/>
        <item m="1" x="1373"/>
        <item m="1" x="1662"/>
        <item m="1" x="1963"/>
        <item m="1" x="2261"/>
        <item m="1" x="2550"/>
        <item m="1" x="498"/>
        <item m="1" x="554"/>
        <item m="1" x="1090"/>
        <item m="1" x="1374"/>
        <item m="1" x="1663"/>
        <item m="1" x="1964"/>
        <item m="1" x="2262"/>
        <item m="1" x="2551"/>
        <item m="1" x="499"/>
        <item m="1" x="555"/>
        <item m="1" x="1091"/>
        <item m="1" x="1375"/>
        <item m="1" x="1664"/>
        <item m="1" x="1965"/>
        <item m="1" x="2263"/>
        <item m="1" x="2552"/>
        <item m="1" x="500"/>
        <item m="1" x="556"/>
        <item m="1" x="1092"/>
        <item m="1" x="1376"/>
        <item m="1" x="1665"/>
        <item m="1" x="1966"/>
        <item m="1" x="2264"/>
        <item m="1" x="2553"/>
        <item m="1" x="501"/>
        <item m="1" x="557"/>
        <item m="1" x="1093"/>
        <item m="1" x="1377"/>
        <item m="1" x="1666"/>
        <item m="1" x="1967"/>
        <item m="1" x="2265"/>
        <item m="1" x="2554"/>
        <item m="1" x="502"/>
        <item m="1" x="559"/>
        <item m="1" x="1094"/>
        <item m="1" x="1378"/>
        <item m="1" x="1667"/>
        <item m="1" x="1968"/>
        <item m="1" x="2266"/>
        <item m="1" x="2555"/>
        <item m="1" x="503"/>
        <item m="1" x="561"/>
        <item m="1" x="1095"/>
        <item m="1" x="1379"/>
        <item m="1" x="1668"/>
        <item m="1" x="1969"/>
        <item m="1" x="2267"/>
        <item m="1" x="2556"/>
        <item m="1" x="504"/>
        <item m="1" x="562"/>
        <item m="1" x="1096"/>
        <item m="1" x="1380"/>
        <item m="1" x="1669"/>
        <item m="1" x="1970"/>
        <item m="1" x="2268"/>
        <item m="1" x="2557"/>
        <item m="1" x="2269"/>
        <item m="1" x="2558"/>
        <item m="1" x="505"/>
        <item m="1" x="566"/>
        <item m="1" x="1097"/>
        <item m="1" x="1381"/>
        <item m="1" x="1670"/>
        <item m="1" x="1671"/>
        <item m="1" x="1971"/>
        <item m="1" x="2559"/>
        <item m="1" x="506"/>
        <item m="1" x="567"/>
        <item m="1" x="1972"/>
        <item m="1" x="1973"/>
        <item m="1" x="1672"/>
        <item m="1" x="1974"/>
        <item m="1" x="2270"/>
        <item m="1" x="2271"/>
        <item m="1" x="2560"/>
        <item m="1" x="512"/>
        <item m="1" x="569"/>
        <item m="1" x="1098"/>
        <item m="1" x="1382"/>
        <item m="1" x="1673"/>
        <item m="1" x="1975"/>
        <item m="1" x="2272"/>
        <item m="1" x="2561"/>
        <item m="1" x="513"/>
        <item m="1" x="570"/>
        <item m="1" x="1099"/>
        <item m="1" x="2562"/>
        <item m="1" x="1976"/>
        <item m="1" x="1100"/>
        <item m="1" x="1383"/>
        <item m="1" x="1674"/>
        <item m="1" x="1977"/>
        <item m="1" x="2273"/>
        <item m="1" x="2563"/>
        <item m="1" x="514"/>
        <item m="1" x="572"/>
        <item m="1" x="1101"/>
        <item m="1" x="1384"/>
        <item m="1" x="1675"/>
        <item m="1" x="1978"/>
        <item m="1" x="1979"/>
        <item m="1" x="2274"/>
        <item m="1" x="2564"/>
        <item m="1" x="515"/>
        <item m="1" x="574"/>
        <item m="1" x="1102"/>
        <item m="1" x="1385"/>
        <item m="1" x="2275"/>
        <item m="1" x="2565"/>
        <item m="1" x="516"/>
        <item m="1" x="575"/>
        <item m="1" x="1103"/>
        <item m="1" x="1386"/>
        <item m="1" x="1676"/>
        <item m="1" x="1980"/>
        <item m="1" x="2276"/>
        <item m="1" x="2566"/>
        <item m="1" x="517"/>
        <item m="1" x="576"/>
        <item m="1" x="1104"/>
        <item m="1" x="1387"/>
        <item m="1" x="1677"/>
        <item m="1" x="1981"/>
        <item m="1" x="2277"/>
        <item m="1" x="2567"/>
        <item m="1" x="518"/>
        <item m="1" x="577"/>
        <item m="1" x="1105"/>
        <item m="1" x="2568"/>
        <item m="1" x="583"/>
        <item m="1" x="2278"/>
        <item m="1" x="2569"/>
        <item m="1" x="523"/>
        <item m="1" x="2570"/>
        <item m="1" x="525"/>
        <item m="1" x="585"/>
        <item m="1" x="1106"/>
        <item m="1" x="1388"/>
        <item m="1" x="1678"/>
        <item m="1" x="1389"/>
        <item m="1" x="1679"/>
        <item m="1" x="1983"/>
        <item m="1" x="2279"/>
        <item m="1" x="2571"/>
        <item x="239"/>
        <item m="1" x="1107"/>
        <item m="1" x="1390"/>
        <item m="1" x="1680"/>
        <item m="1" x="1984"/>
        <item m="1" x="2280"/>
        <item m="1" x="2572"/>
        <item m="1" x="533"/>
        <item m="1" x="587"/>
        <item m="1" x="1108"/>
        <item m="1" x="1391"/>
        <item m="1" x="2281"/>
        <item m="1" x="1392"/>
        <item m="1" x="2573"/>
        <item m="1" x="596"/>
        <item m="1" x="2574"/>
        <item m="1" x="544"/>
        <item m="1" x="1393"/>
        <item m="1" x="1681"/>
        <item m="1" x="1985"/>
        <item m="1" x="2282"/>
        <item m="1" x="1394"/>
        <item m="1" x="1109"/>
        <item m="1" x="599"/>
        <item m="1" x="1986"/>
        <item m="1" x="1110"/>
        <item m="1" x="1987"/>
        <item m="1" x="1682"/>
        <item m="1" x="2284"/>
        <item m="1" x="1683"/>
        <item m="1" x="1988"/>
        <item m="1" x="2575"/>
        <item m="1" x="548"/>
        <item m="1" x="603"/>
        <item m="1" x="2576"/>
        <item m="1" x="550"/>
        <item m="1" x="1684"/>
        <item m="1" x="558"/>
        <item m="1" x="608"/>
        <item m="1" x="1111"/>
        <item m="1" x="1395"/>
        <item m="1" x="1685"/>
        <item m="1" x="1989"/>
        <item m="1" x="2285"/>
        <item m="1" x="2577"/>
        <item m="1" x="560"/>
        <item m="1" x="609"/>
        <item m="1" x="1112"/>
        <item m="1" x="1396"/>
        <item m="1" x="1686"/>
        <item m="1" x="1397"/>
        <item m="1" x="1687"/>
        <item m="1" x="1990"/>
        <item m="1" x="2286"/>
        <item m="1" x="2578"/>
        <item m="1" x="563"/>
        <item m="1" x="610"/>
        <item m="1" x="1113"/>
        <item m="1" x="1398"/>
        <item m="1" x="1688"/>
        <item m="1" x="1991"/>
        <item m="1" x="2287"/>
        <item m="1" x="2579"/>
        <item m="1" x="564"/>
        <item m="1" x="611"/>
        <item m="1" x="1114"/>
        <item m="1" x="1399"/>
        <item m="1" x="1689"/>
        <item m="1" x="1992"/>
        <item m="1" x="2288"/>
        <item m="1" x="2580"/>
        <item m="1" x="565"/>
        <item m="1" x="612"/>
        <item m="1" x="1115"/>
        <item m="1" x="1400"/>
        <item m="1" x="2289"/>
        <item m="1" x="2581"/>
        <item m="1" x="1690"/>
        <item m="1" x="1993"/>
        <item m="1" x="2290"/>
        <item m="1" x="2582"/>
        <item m="1" x="568"/>
        <item m="1" x="2291"/>
        <item m="1" x="615"/>
        <item m="1" x="1116"/>
        <item m="1" x="1401"/>
        <item m="1" x="2292"/>
        <item x="120"/>
        <item m="1" x="1994"/>
        <item m="1" x="2293"/>
        <item m="1" x="1995"/>
        <item m="1" x="1691"/>
        <item m="1" x="571"/>
        <item m="1" x="616"/>
        <item m="1" x="1117"/>
        <item m="1" x="1403"/>
        <item m="1" x="1692"/>
        <item m="1" x="1996"/>
        <item m="1" x="2294"/>
        <item m="1" x="2583"/>
        <item m="1" x="573"/>
        <item m="1" x="617"/>
        <item m="1" x="1118"/>
        <item m="1" x="1404"/>
        <item m="1" x="1693"/>
        <item m="1" x="1119"/>
        <item m="1" x="1405"/>
        <item m="1" x="1694"/>
        <item m="1" x="1997"/>
        <item m="1" x="2295"/>
        <item m="1" x="2584"/>
        <item m="1" x="578"/>
        <item m="1" x="618"/>
        <item m="1" x="1120"/>
        <item m="1" x="1406"/>
        <item m="1" x="1695"/>
        <item m="1" x="1998"/>
        <item m="1" x="2296"/>
        <item m="1" x="2585"/>
        <item m="1" x="579"/>
        <item m="1" x="619"/>
        <item m="1" x="1121"/>
        <item m="1" x="1407"/>
        <item m="1" x="1696"/>
        <item m="1" x="1999"/>
        <item m="1" x="2297"/>
        <item m="1" x="620"/>
        <item m="1" x="1408"/>
        <item m="1" x="1697"/>
        <item m="1" x="2000"/>
        <item m="1" x="2298"/>
        <item m="1" x="2586"/>
        <item m="1" x="580"/>
        <item m="1" x="621"/>
        <item m="1" x="1122"/>
        <item m="1" x="1409"/>
        <item m="1" x="1698"/>
        <item m="1" x="2001"/>
        <item m="1" x="2299"/>
        <item m="1" x="2587"/>
        <item m="1" x="581"/>
        <item m="1" x="622"/>
        <item m="1" x="1123"/>
        <item m="1" x="1410"/>
        <item m="1" x="1699"/>
        <item m="1" x="2002"/>
        <item m="1" x="2300"/>
        <item m="1" x="2588"/>
        <item m="1" x="582"/>
        <item m="1" x="624"/>
        <item m="1" x="1124"/>
        <item m="1" x="1411"/>
        <item m="1" x="1700"/>
        <item m="1" x="1412"/>
        <item m="1" x="2589"/>
        <item m="1" x="2590"/>
        <item m="1" x="584"/>
        <item m="1" x="1125"/>
        <item m="1" x="1413"/>
        <item m="1" x="1701"/>
        <item m="1" x="2591"/>
        <item m="1" x="1414"/>
        <item m="1" x="635"/>
        <item m="1" x="1126"/>
        <item m="1" x="1415"/>
        <item m="1" x="1127"/>
        <item m="1" x="1416"/>
        <item m="1" x="1702"/>
        <item m="1" x="1703"/>
        <item m="1" x="2004"/>
        <item m="1" x="2301"/>
        <item m="1" x="2592"/>
        <item m="1" x="1129"/>
        <item m="1" x="1417"/>
        <item m="1" x="1704"/>
        <item m="1" x="2005"/>
        <item m="1" x="2302"/>
        <item m="1" x="2593"/>
        <item m="1" x="586"/>
        <item m="1" x="636"/>
        <item m="1" x="1130"/>
        <item m="1" x="1418"/>
        <item m="1" x="2303"/>
        <item m="1" x="1131"/>
        <item m="1" x="2006"/>
        <item m="1" x="2594"/>
        <item m="1" x="1132"/>
        <item m="1" x="1133"/>
        <item m="1" x="1705"/>
        <item m="1" x="2007"/>
        <item m="1" x="2304"/>
        <item m="1" x="2595"/>
        <item m="1" x="588"/>
        <item m="1" x="589"/>
        <item m="1" x="641"/>
        <item m="1" x="2008"/>
        <item m="1" x="2305"/>
        <item m="1" x="2596"/>
        <item m="1" x="590"/>
        <item m="1" x="644"/>
        <item m="1" x="1134"/>
        <item m="1" x="1419"/>
        <item x="83"/>
        <item m="1" x="2009"/>
        <item m="1" x="2306"/>
        <item m="1" x="2597"/>
        <item m="1" x="591"/>
        <item m="1" x="645"/>
        <item m="1" x="1135"/>
        <item m="1" x="1420"/>
        <item m="1" x="1706"/>
        <item m="1" x="2010"/>
        <item m="1" x="2307"/>
        <item m="1" x="2598"/>
        <item m="1" x="592"/>
        <item m="1" x="646"/>
        <item m="1" x="1136"/>
        <item m="1" x="1421"/>
        <item m="1" x="1707"/>
        <item m="1" x="2011"/>
        <item m="1" x="2308"/>
        <item m="1" x="2599"/>
        <item m="1" x="593"/>
        <item m="1" x="647"/>
        <item m="1" x="1708"/>
        <item m="1" x="2012"/>
        <item m="1" x="649"/>
        <item m="1" x="1137"/>
        <item m="1" x="1422"/>
        <item m="1" x="2013"/>
        <item m="1" x="2309"/>
        <item m="1" x="2600"/>
        <item m="1" x="594"/>
        <item m="1" x="651"/>
        <item m="1" x="1138"/>
        <item m="1" x="1423"/>
        <item m="1" x="1709"/>
        <item m="1" x="2014"/>
        <item m="1" x="2310"/>
        <item m="1" x="2601"/>
        <item m="1" x="595"/>
        <item m="1" x="652"/>
        <item m="1" x="1139"/>
        <item m="1" x="1424"/>
        <item m="1" x="1710"/>
        <item m="1" x="2015"/>
        <item m="1" x="2311"/>
        <item m="1" x="2602"/>
        <item m="1" x="597"/>
        <item m="1" x="657"/>
        <item m="1" x="1140"/>
        <item m="1" x="1425"/>
        <item m="1" x="1711"/>
        <item m="1" x="2016"/>
        <item m="1" x="1141"/>
        <item m="1" x="1426"/>
        <item m="1" x="1712"/>
        <item m="1" x="2017"/>
        <item m="1" x="2312"/>
        <item m="1" x="2603"/>
        <item m="1" x="598"/>
        <item m="1" x="1713"/>
        <item m="1" x="1427"/>
        <item m="1" x="1714"/>
        <item m="1" x="2018"/>
        <item m="1" x="1428"/>
        <item m="1" x="1715"/>
        <item m="1" x="669"/>
        <item m="1" x="2604"/>
        <item m="1" x="600"/>
        <item m="1" x="673"/>
        <item m="1" x="1142"/>
        <item m="1" x="1143"/>
        <item m="1" x="1429"/>
        <item m="1" x="1716"/>
        <item m="1" x="2019"/>
        <item m="1" x="2313"/>
        <item m="1" x="2314"/>
        <item m="1" x="2605"/>
        <item m="1" x="2020"/>
        <item m="1" x="2315"/>
        <item m="1" x="601"/>
        <item m="1" x="602"/>
        <item m="1" x="679"/>
        <item m="1" x="1430"/>
        <item m="1" x="682"/>
        <item m="1" x="2606"/>
        <item m="1" x="604"/>
        <item m="1" x="691"/>
        <item m="1" x="1144"/>
        <item m="1" x="1431"/>
        <item m="1" x="1717"/>
        <item m="1" x="2021"/>
        <item m="1" x="2316"/>
        <item m="1" x="2607"/>
        <item m="1" x="605"/>
        <item m="1" x="693"/>
        <item m="1" x="1145"/>
        <item m="1" x="1432"/>
        <item m="1" x="1718"/>
        <item m="1" x="2022"/>
        <item m="1" x="2317"/>
        <item m="1" x="2608"/>
        <item m="1" x="606"/>
        <item m="1" x="694"/>
        <item m="1" x="1146"/>
        <item m="1" x="1433"/>
        <item m="1" x="1719"/>
        <item m="1" x="2023"/>
        <item m="1" x="2318"/>
        <item m="1" x="2609"/>
        <item x="20"/>
        <item m="1" x="695"/>
        <item m="1" x="1147"/>
        <item m="1" x="1434"/>
        <item m="1" x="1720"/>
        <item m="1" x="2024"/>
        <item m="1" x="2319"/>
        <item m="1" x="2610"/>
        <item m="1" x="607"/>
        <item m="1" x="696"/>
        <item m="1" x="1148"/>
        <item m="1" x="1435"/>
        <item m="1" x="2025"/>
        <item m="1" x="697"/>
        <item m="1" x="1149"/>
        <item m="1" x="699"/>
        <item x="208"/>
        <item m="1" x="1150"/>
        <item m="1" x="1721"/>
        <item m="1" x="2026"/>
        <item m="1" x="2320"/>
        <item m="1" x="2611"/>
        <item m="1" x="613"/>
        <item m="1" x="700"/>
        <item m="1" x="1151"/>
        <item m="1" x="1436"/>
        <item m="1" x="1722"/>
        <item m="1" x="2027"/>
        <item m="1" x="2321"/>
        <item m="1" x="2028"/>
        <item m="1" x="1437"/>
        <item m="1" x="1723"/>
        <item m="1" x="704"/>
        <item m="1" x="1152"/>
        <item m="1" x="614"/>
        <item m="1" x="705"/>
        <item m="1" x="1153"/>
        <item m="1" x="1438"/>
        <item m="1" x="1724"/>
        <item m="1" x="2029"/>
        <item m="1" x="2030"/>
        <item m="1" x="1439"/>
        <item m="1" x="1440"/>
        <item m="1" x="715"/>
        <item x="139"/>
        <item m="1" x="623"/>
        <item x="136"/>
        <item m="1" x="1725"/>
        <item m="1" x="2322"/>
        <item m="1" x="2612"/>
        <item m="1" x="625"/>
        <item m="1" x="626"/>
        <item m="1" x="720"/>
        <item m="1" x="1441"/>
        <item m="1" x="2613"/>
        <item m="1" x="627"/>
        <item m="1" x="721"/>
        <item m="1" x="2323"/>
        <item m="1" x="2614"/>
        <item m="1" x="628"/>
        <item m="1" x="722"/>
        <item m="1" x="2324"/>
        <item m="1" x="2615"/>
        <item m="1" x="629"/>
        <item m="1" x="723"/>
        <item m="1" x="1154"/>
        <item m="1" x="1442"/>
        <item m="1" x="2616"/>
        <item m="1" x="630"/>
        <item m="1" x="726"/>
        <item m="1" x="1155"/>
        <item x="443"/>
        <item m="1" x="1726"/>
        <item x="432"/>
        <item m="1" x="2325"/>
        <item m="1" x="2617"/>
        <item m="1" x="631"/>
        <item m="1" x="728"/>
        <item m="1" x="632"/>
        <item m="1" x="634"/>
        <item m="1" x="1156"/>
        <item m="1" x="1443"/>
        <item m="1" x="1444"/>
        <item m="1" x="1727"/>
        <item m="1" x="2031"/>
        <item m="1" x="2326"/>
        <item x="257"/>
        <item m="1" x="1728"/>
        <item m="1" x="2032"/>
        <item m="1" x="2327"/>
        <item x="229"/>
        <item m="1" x="2328"/>
        <item m="1" x="2618"/>
        <item m="1" x="637"/>
        <item x="390"/>
        <item m="1" x="1157"/>
        <item m="1" x="1445"/>
        <item m="1" x="638"/>
        <item m="1" x="739"/>
        <item m="1" x="1158"/>
        <item m="1" x="1446"/>
        <item m="1" x="1729"/>
        <item m="1" x="2033"/>
        <item m="1" x="2329"/>
        <item m="1" x="1730"/>
        <item m="1" x="639"/>
        <item m="1" x="741"/>
        <item m="1" x="1159"/>
        <item m="1" x="1447"/>
        <item m="1" x="1160"/>
        <item m="1" x="1448"/>
        <item m="1" x="2620"/>
        <item x="405"/>
        <item m="1" x="745"/>
        <item m="1" x="1161"/>
        <item m="1" x="1449"/>
        <item m="1" x="1731"/>
        <item m="1" x="2034"/>
        <item m="1" x="640"/>
        <item m="1" x="750"/>
        <item m="1" x="2621"/>
        <item x="237"/>
        <item m="1" x="751"/>
        <item m="1" x="1162"/>
        <item m="1" x="1450"/>
        <item m="1" x="1733"/>
        <item m="1" x="2035"/>
        <item m="1" x="2330"/>
        <item m="1" x="2622"/>
        <item m="1" x="642"/>
        <item m="1" x="752"/>
        <item m="1" x="643"/>
        <item m="1" x="756"/>
        <item m="1" x="2623"/>
        <item m="1" x="648"/>
        <item m="1" x="757"/>
        <item m="1" x="1163"/>
        <item m="1" x="1451"/>
        <item x="391"/>
        <item m="1" x="2036"/>
        <item m="1" x="2331"/>
        <item m="1" x="2624"/>
        <item m="1" x="650"/>
        <item m="1" x="1452"/>
        <item m="1" x="1734"/>
        <item m="1" x="2037"/>
        <item m="1" x="2332"/>
        <item m="1" x="2625"/>
        <item m="1" x="653"/>
        <item m="1" x="758"/>
        <item m="1" x="1164"/>
        <item m="1" x="1453"/>
        <item m="1" x="1735"/>
        <item m="1" x="2038"/>
        <item m="1" x="2333"/>
        <item m="1" x="2626"/>
        <item m="1" x="654"/>
        <item m="1" x="759"/>
        <item m="1" x="1165"/>
        <item m="1" x="1454"/>
        <item m="1" x="1736"/>
        <item m="1" x="2039"/>
        <item m="1" x="2334"/>
        <item m="1" x="2627"/>
        <item m="1" x="655"/>
        <item m="1" x="760"/>
        <item m="1" x="1737"/>
        <item m="1" x="1455"/>
        <item m="1" x="1738"/>
        <item m="1" x="2040"/>
        <item m="1" x="2335"/>
        <item m="1" x="2628"/>
        <item m="1" x="656"/>
        <item m="1" x="1456"/>
        <item m="1" x="1739"/>
        <item m="1" x="2041"/>
        <item m="1" x="1457"/>
        <item m="1" x="1740"/>
        <item m="1" x="2042"/>
        <item m="1" x="1458"/>
        <item x="247"/>
        <item m="1" x="2043"/>
        <item m="1" x="2336"/>
        <item x="52"/>
        <item m="1" x="658"/>
        <item m="1" x="773"/>
        <item m="1" x="1166"/>
        <item m="1" x="1459"/>
        <item m="1" x="1741"/>
        <item m="1" x="2044"/>
        <item m="1" x="2337"/>
        <item m="1" x="2629"/>
        <item m="1" x="659"/>
        <item m="1" x="775"/>
        <item m="1" x="1167"/>
        <item m="1" x="1460"/>
        <item m="1" x="1742"/>
        <item m="1" x="2045"/>
        <item m="1" x="2338"/>
        <item m="1" x="2630"/>
        <item m="1" x="660"/>
        <item m="1" x="777"/>
        <item m="1" x="1168"/>
        <item m="1" x="1461"/>
        <item m="1" x="1743"/>
        <item m="1" x="2046"/>
        <item m="1" x="2339"/>
        <item m="1" x="2631"/>
        <item m="1" x="661"/>
        <item m="1" x="779"/>
        <item m="1" x="1169"/>
        <item m="1" x="1462"/>
        <item m="1" x="1744"/>
        <item m="1" x="2047"/>
        <item m="1" x="2340"/>
        <item x="191"/>
        <item m="1" x="662"/>
        <item m="1" x="780"/>
        <item m="1" x="1170"/>
        <item m="1" x="1463"/>
        <item m="1" x="1745"/>
        <item m="1" x="2048"/>
        <item m="1" x="2341"/>
        <item m="1" x="2632"/>
        <item m="1" x="663"/>
        <item m="1" x="782"/>
        <item m="1" x="1171"/>
        <item m="1" x="1464"/>
        <item m="1" x="1746"/>
        <item x="223"/>
        <item m="1" x="2342"/>
        <item m="1" x="2633"/>
        <item m="1" x="1172"/>
        <item m="1" x="1465"/>
        <item m="1" x="1747"/>
        <item m="1" x="2049"/>
        <item m="1" x="2343"/>
        <item m="1" x="2634"/>
        <item m="1" x="664"/>
        <item m="1" x="785"/>
        <item m="1" x="1173"/>
        <item m="1" x="1466"/>
        <item m="1" x="1748"/>
        <item m="1" x="2050"/>
        <item m="1" x="2344"/>
        <item m="1" x="2635"/>
        <item m="1" x="665"/>
        <item m="1" x="787"/>
        <item m="1" x="1174"/>
        <item m="1" x="1467"/>
        <item m="1" x="1749"/>
        <item m="1" x="2051"/>
        <item m="1" x="2345"/>
        <item m="1" x="2636"/>
        <item m="1" x="666"/>
        <item m="1" x="788"/>
        <item x="226"/>
        <item x="332"/>
        <item m="1" x="2052"/>
        <item m="1" x="2346"/>
        <item m="1" x="2637"/>
        <item m="1" x="667"/>
        <item m="1" x="789"/>
        <item m="1" x="1175"/>
        <item m="1" x="1468"/>
        <item m="1" x="1750"/>
        <item m="1" x="2053"/>
        <item m="1" x="2347"/>
        <item m="1" x="2638"/>
        <item m="1" x="668"/>
        <item m="1" x="790"/>
        <item m="1" x="1176"/>
        <item x="486"/>
        <item m="1" x="1751"/>
        <item m="1" x="2054"/>
        <item m="1" x="2348"/>
        <item m="1" x="2055"/>
        <item m="1" x="2349"/>
        <item x="222"/>
        <item m="1" x="670"/>
        <item m="1" x="791"/>
        <item m="1" x="1177"/>
        <item m="1" x="1469"/>
        <item m="1" x="1752"/>
        <item m="1" x="2056"/>
        <item m="1" x="2350"/>
        <item m="1" x="2639"/>
        <item m="1" x="671"/>
        <item m="1" x="792"/>
        <item m="1" x="1178"/>
        <item m="1" x="1470"/>
        <item m="1" x="1753"/>
        <item m="1" x="2057"/>
        <item m="1" x="2351"/>
        <item m="1" x="2640"/>
        <item m="1" x="672"/>
        <item m="1" x="793"/>
        <item m="1" x="1179"/>
        <item m="1" x="1471"/>
        <item m="1" x="1754"/>
        <item m="1" x="2058"/>
        <item m="1" x="2352"/>
        <item m="1" x="2641"/>
        <item m="1" x="674"/>
        <item m="1" x="794"/>
        <item m="1" x="1180"/>
        <item m="1" x="1472"/>
        <item m="1" x="1755"/>
        <item m="1" x="2059"/>
        <item m="1" x="2353"/>
        <item m="1" x="2642"/>
        <item m="1" x="675"/>
        <item m="1" x="796"/>
        <item m="1" x="1181"/>
        <item m="1" x="1473"/>
        <item m="1" x="1756"/>
        <item m="1" x="2060"/>
        <item m="1" x="2354"/>
        <item m="1" x="2643"/>
        <item m="1" x="676"/>
        <item m="1" x="797"/>
        <item m="1" x="1182"/>
        <item m="1" x="1474"/>
        <item m="1" x="1757"/>
        <item m="1" x="2061"/>
        <item m="1" x="2355"/>
        <item x="288"/>
        <item m="1" x="677"/>
        <item m="1" x="798"/>
        <item m="1" x="1183"/>
        <item m="1" x="1475"/>
        <item m="1" x="1758"/>
        <item m="1" x="2062"/>
        <item x="451"/>
        <item m="1" x="2644"/>
        <item m="1" x="799"/>
        <item m="1" x="1184"/>
        <item m="1" x="1476"/>
        <item m="1" x="1759"/>
        <item m="1" x="2063"/>
        <item m="1" x="2356"/>
        <item m="1" x="2645"/>
        <item m="1" x="678"/>
        <item m="1" x="2064"/>
        <item m="1" x="2357"/>
        <item m="1" x="2646"/>
        <item m="1" x="680"/>
        <item m="1" x="805"/>
        <item m="1" x="1185"/>
        <item m="1" x="1477"/>
        <item m="1" x="1760"/>
        <item m="1" x="2065"/>
        <item m="1" x="2358"/>
        <item m="1" x="2647"/>
        <item m="1" x="681"/>
        <item m="1" x="807"/>
        <item m="1" x="1186"/>
        <item m="1" x="1478"/>
        <item m="1" x="1761"/>
        <item m="1" x="2066"/>
        <item m="1" x="2359"/>
        <item m="1" x="2648"/>
        <item x="199"/>
        <item m="1" x="808"/>
        <item m="1" x="1187"/>
        <item m="1" x="1479"/>
        <item m="1" x="1762"/>
        <item m="1" x="2067"/>
        <item m="1" x="2360"/>
        <item m="1" x="2649"/>
        <item x="376"/>
        <item m="1" x="810"/>
        <item m="1" x="1188"/>
        <item m="1" x="1480"/>
        <item m="1" x="1763"/>
        <item m="1" x="2068"/>
        <item m="1" x="2361"/>
        <item m="1" x="2650"/>
        <item m="1" x="2651"/>
        <item m="1" x="683"/>
        <item m="1" x="812"/>
        <item m="1" x="1189"/>
        <item m="1" x="1481"/>
        <item m="1" x="1764"/>
        <item m="1" x="2069"/>
        <item m="1" x="2362"/>
        <item m="1" x="2652"/>
        <item m="1" x="684"/>
        <item m="1" x="814"/>
        <item m="1" x="1190"/>
        <item m="1" x="1482"/>
        <item m="1" x="1765"/>
        <item m="1" x="2070"/>
        <item m="1" x="2363"/>
        <item m="1" x="2653"/>
        <item m="1" x="685"/>
        <item m="1" x="816"/>
        <item m="1" x="1191"/>
        <item m="1" x="1483"/>
        <item m="1" x="1766"/>
        <item m="1" x="2071"/>
        <item m="1" x="2364"/>
        <item m="1" x="2654"/>
        <item m="1" x="686"/>
        <item m="1" x="817"/>
        <item m="1" x="1192"/>
        <item m="1" x="1484"/>
        <item m="1" x="1767"/>
        <item m="1" x="2072"/>
        <item m="1" x="2365"/>
        <item m="1" x="2655"/>
        <item m="1" x="687"/>
        <item m="1" x="818"/>
        <item m="1" x="1193"/>
        <item m="1" x="1485"/>
        <item m="1" x="1768"/>
        <item m="1" x="2073"/>
        <item m="1" x="2366"/>
        <item m="1" x="2656"/>
        <item m="1" x="688"/>
        <item m="1" x="820"/>
        <item m="1" x="1194"/>
        <item m="1" x="1486"/>
        <item m="1" x="1769"/>
        <item m="1" x="2074"/>
        <item m="1" x="2367"/>
        <item m="1" x="2657"/>
        <item m="1" x="689"/>
        <item m="1" x="822"/>
        <item m="1" x="1195"/>
        <item m="1" x="1487"/>
        <item m="1" x="1770"/>
        <item m="1" x="2075"/>
        <item m="1" x="2368"/>
        <item m="1" x="2658"/>
        <item m="1" x="690"/>
        <item m="1" x="823"/>
        <item m="1" x="1196"/>
        <item m="1" x="1488"/>
        <item m="1" x="1771"/>
        <item m="1" x="2076"/>
        <item m="1" x="2369"/>
        <item m="1" x="2659"/>
        <item m="1" x="692"/>
        <item m="1" x="824"/>
        <item m="1" x="1489"/>
        <item m="1" x="2660"/>
        <item x="249"/>
        <item m="1" x="2661"/>
        <item m="1" x="1772"/>
        <item m="1" x="2077"/>
        <item m="1" x="2370"/>
        <item m="1" x="2662"/>
        <item m="1" x="698"/>
        <item m="1" x="834"/>
        <item m="1" x="1197"/>
        <item m="1" x="1490"/>
        <item m="1" x="1773"/>
        <item m="1" x="1774"/>
        <item m="1" x="1491"/>
        <item m="1" x="1775"/>
        <item m="1" x="2078"/>
        <item m="1" x="2371"/>
        <item x="488"/>
        <item m="1" x="2663"/>
        <item m="1" x="701"/>
        <item m="1" x="839"/>
        <item m="1" x="1776"/>
        <item m="1" x="2079"/>
        <item m="1" x="2372"/>
        <item m="1" x="2664"/>
        <item x="319"/>
        <item m="1" x="1492"/>
        <item m="1" x="1777"/>
        <item m="1" x="2080"/>
        <item m="1" x="840"/>
        <item m="1" x="2665"/>
        <item m="1" x="702"/>
        <item m="1" x="841"/>
        <item m="1" x="1198"/>
        <item m="1" x="1493"/>
        <item m="1" x="1778"/>
        <item m="1" x="2081"/>
        <item m="1" x="2373"/>
        <item m="1" x="2666"/>
        <item m="1" x="703"/>
        <item m="1" x="842"/>
        <item x="367"/>
        <item m="1" x="1494"/>
        <item m="1" x="1779"/>
        <item m="1" x="846"/>
        <item m="1" x="1199"/>
        <item m="1" x="1495"/>
        <item m="1" x="1780"/>
        <item m="1" x="2082"/>
        <item m="1" x="2374"/>
        <item m="1" x="2667"/>
        <item m="1" x="706"/>
        <item m="1" x="847"/>
        <item m="1" x="1200"/>
        <item m="1" x="1496"/>
        <item m="1" x="1781"/>
        <item m="1" x="2083"/>
        <item m="1" x="2375"/>
        <item m="1" x="2668"/>
        <item m="1" x="707"/>
        <item m="1" x="848"/>
        <item m="1" x="1201"/>
        <item m="1" x="1497"/>
        <item m="1" x="1782"/>
        <item m="1" x="2084"/>
        <item m="1" x="2376"/>
        <item m="1" x="2669"/>
        <item m="1" x="708"/>
        <item m="1" x="849"/>
        <item m="1" x="1202"/>
        <item m="1" x="1498"/>
        <item m="1" x="1783"/>
        <item m="1" x="2085"/>
        <item m="1" x="2377"/>
        <item m="1" x="2670"/>
        <item m="1" x="709"/>
        <item m="1" x="850"/>
        <item m="1" x="1203"/>
        <item m="1" x="1499"/>
        <item m="1" x="1784"/>
        <item m="1" x="2086"/>
        <item m="1" x="2378"/>
        <item m="1" x="2671"/>
        <item m="1" x="710"/>
        <item m="1" x="2087"/>
        <item m="1" x="855"/>
        <item x="5"/>
        <item m="1" x="2672"/>
        <item m="1" x="711"/>
        <item m="1" x="856"/>
        <item m="1" x="1204"/>
        <item m="1" x="1500"/>
        <item m="1" x="1785"/>
        <item m="1" x="2088"/>
        <item m="1" x="2089"/>
        <item x="205"/>
        <item m="1" x="1786"/>
        <item m="1" x="2090"/>
        <item m="1" x="2379"/>
        <item m="1" x="2380"/>
        <item m="1" x="2673"/>
        <item m="1" x="712"/>
        <item m="1" x="860"/>
        <item m="1" x="1205"/>
        <item m="1" x="1501"/>
        <item m="1" x="1787"/>
        <item m="1" x="1788"/>
        <item m="1" x="2091"/>
        <item m="1" x="2381"/>
        <item m="1" x="1206"/>
        <item m="1" x="1502"/>
        <item m="1" x="1789"/>
        <item m="1" x="1790"/>
        <item m="1" x="2092"/>
        <item m="1" x="2382"/>
        <item m="1" x="2674"/>
        <item x="334"/>
        <item m="1" x="1207"/>
        <item m="1" x="1503"/>
        <item m="1" x="1791"/>
        <item m="1" x="2093"/>
        <item m="1" x="2383"/>
        <item m="1" x="2675"/>
        <item m="1" x="713"/>
        <item m="1" x="862"/>
        <item m="1" x="1208"/>
        <item m="1" x="1504"/>
        <item x="293"/>
        <item m="1" x="2094"/>
        <item m="1" x="2384"/>
        <item m="1" x="2676"/>
        <item m="1" x="714"/>
        <item m="1" x="863"/>
        <item m="1" x="1209"/>
        <item m="1" x="1505"/>
        <item m="1" x="1792"/>
        <item m="1" x="2095"/>
        <item m="1" x="2385"/>
        <item m="1" x="716"/>
        <item m="1" x="864"/>
        <item m="1" x="1210"/>
        <item m="1" x="1507"/>
        <item x="363"/>
        <item m="1" x="2096"/>
        <item m="1" x="2386"/>
        <item m="1" x="2677"/>
        <item m="1" x="717"/>
        <item m="1" x="2097"/>
        <item m="1" x="2388"/>
        <item m="1" x="2679"/>
        <item m="1" x="718"/>
        <item m="1" x="867"/>
        <item m="1" x="1211"/>
        <item m="1" x="1508"/>
        <item m="1" x="1794"/>
        <item m="1" x="2098"/>
        <item m="1" x="2389"/>
        <item m="1" x="2680"/>
        <item m="1" x="719"/>
        <item m="1" x="868"/>
        <item m="1" x="1213"/>
        <item m="1" x="1509"/>
        <item x="365"/>
        <item x="392"/>
        <item m="1" x="2390"/>
        <item x="382"/>
        <item m="1" x="1795"/>
        <item m="1" x="1214"/>
        <item m="1" x="1510"/>
        <item m="1" x="1796"/>
        <item m="1" x="2099"/>
        <item m="1" x="2391"/>
        <item m="1" x="1797"/>
        <item m="1" x="2100"/>
        <item m="1" x="2392"/>
        <item x="251"/>
        <item m="1" x="724"/>
        <item m="1" x="869"/>
        <item m="1" x="1215"/>
        <item m="1" x="1511"/>
        <item m="1" x="1798"/>
        <item x="131"/>
        <item m="1" x="2393"/>
        <item m="1" x="2681"/>
        <item m="1" x="725"/>
        <item m="1" x="870"/>
        <item m="1" x="1216"/>
        <item m="1" x="1512"/>
        <item m="1" x="1799"/>
        <item m="1" x="2101"/>
        <item m="1" x="2394"/>
        <item m="1" x="2682"/>
        <item m="1" x="727"/>
        <item m="1" x="871"/>
        <item m="1" x="1217"/>
        <item m="1" x="1513"/>
        <item m="1" x="1800"/>
        <item m="1" x="2102"/>
        <item m="1" x="2395"/>
        <item m="1" x="2683"/>
        <item m="1" x="729"/>
        <item m="1" x="872"/>
        <item m="1" x="1218"/>
        <item m="1" x="1514"/>
        <item m="1" x="1801"/>
        <item m="1" x="2104"/>
        <item m="1" x="2396"/>
        <item m="1" x="2684"/>
        <item m="1" x="730"/>
        <item m="1" x="873"/>
        <item m="1" x="1219"/>
        <item x="362"/>
        <item m="1" x="1802"/>
        <item m="1" x="2105"/>
        <item m="1" x="2397"/>
        <item m="1" x="2685"/>
        <item m="1" x="731"/>
        <item m="1" x="874"/>
        <item m="1" x="1220"/>
        <item m="1" x="1515"/>
        <item m="1" x="1803"/>
        <item m="1" x="732"/>
        <item m="1" x="1804"/>
        <item m="1" x="2106"/>
        <item m="1" x="2398"/>
        <item m="1" x="2686"/>
        <item m="1" x="733"/>
        <item m="1" x="878"/>
        <item m="1" x="1221"/>
        <item m="1" x="1516"/>
        <item m="1" x="1805"/>
        <item m="1" x="2107"/>
        <item m="1" x="2399"/>
        <item x="204"/>
        <item x="355"/>
        <item x="489"/>
        <item m="1" x="879"/>
        <item m="1" x="2400"/>
        <item m="1" x="2687"/>
        <item m="1" x="734"/>
        <item m="1" x="880"/>
        <item m="1" x="1223"/>
        <item m="1" x="1517"/>
        <item m="1" x="1806"/>
        <item m="1" x="2108"/>
        <item m="1" x="1807"/>
        <item m="1" x="2109"/>
        <item m="1" x="2401"/>
        <item m="1" x="2688"/>
        <item m="1" x="735"/>
        <item m="1" x="881"/>
        <item m="1" x="1224"/>
        <item m="1" x="1518"/>
        <item m="1" x="1808"/>
        <item m="1" x="2110"/>
        <item m="1" x="2402"/>
        <item m="1" x="2689"/>
        <item m="1" x="736"/>
        <item m="1" x="883"/>
        <item m="1" x="1225"/>
        <item m="1" x="1519"/>
        <item m="1" x="1809"/>
        <item m="1" x="2111"/>
        <item m="1" x="2403"/>
        <item m="1" x="2690"/>
        <item m="1" x="737"/>
        <item m="1" x="885"/>
        <item m="1" x="1226"/>
        <item m="1" x="1520"/>
        <item m="1" x="1810"/>
        <item x="374"/>
        <item m="1" x="2404"/>
        <item m="1" x="2691"/>
        <item m="1" x="738"/>
        <item m="1" x="1521"/>
        <item x="238"/>
        <item m="1" x="2112"/>
        <item m="1" x="2405"/>
        <item m="1" x="2692"/>
        <item m="1" x="740"/>
        <item m="1" x="886"/>
        <item m="1" x="1227"/>
        <item m="1" x="1522"/>
        <item m="1" x="1811"/>
        <item m="1" x="2113"/>
        <item m="1" x="2114"/>
        <item m="1" x="2406"/>
        <item m="1" x="2693"/>
        <item m="1" x="742"/>
        <item m="1" x="887"/>
        <item x="162"/>
        <item m="1" x="1523"/>
        <item m="1" x="1812"/>
        <item m="1" x="2115"/>
        <item m="1" x="2407"/>
        <item m="1" x="2694"/>
        <item m="1" x="743"/>
        <item x="202"/>
        <item m="1" x="1228"/>
        <item m="1" x="2695"/>
        <item m="1" x="744"/>
        <item x="384"/>
        <item m="1" x="1229"/>
        <item m="1" x="888"/>
        <item m="1" x="1230"/>
        <item m="1" x="1524"/>
        <item m="1" x="1813"/>
        <item m="1" x="746"/>
        <item m="1" x="891"/>
        <item m="1" x="1231"/>
        <item m="1" x="1525"/>
        <item m="1" x="1814"/>
        <item m="1" x="2116"/>
        <item m="1" x="2408"/>
        <item m="1" x="2696"/>
        <item m="1" x="747"/>
        <item x="24"/>
        <item m="1" x="1232"/>
        <item m="1" x="1233"/>
        <item m="1" x="1526"/>
        <item m="1" x="1815"/>
        <item m="1" x="2117"/>
        <item m="1" x="748"/>
        <item m="1" x="893"/>
        <item m="1" x="1234"/>
        <item m="1" x="1816"/>
        <item m="1" x="2118"/>
        <item m="1" x="2409"/>
        <item m="1" x="2697"/>
        <item m="1" x="749"/>
        <item m="1" x="753"/>
        <item m="1" x="896"/>
        <item m="1" x="1235"/>
        <item m="1" x="1527"/>
        <item m="1" x="1817"/>
        <item m="1" x="2120"/>
        <item m="1" x="2411"/>
        <item m="1" x="2698"/>
        <item m="1" x="754"/>
        <item m="1" x="897"/>
        <item m="1" x="1236"/>
        <item x="418"/>
        <item x="369"/>
        <item m="1" x="2121"/>
        <item x="410"/>
        <item m="1" x="2699"/>
        <item m="1" x="755"/>
        <item m="1" x="898"/>
        <item m="1" x="1237"/>
        <item x="465"/>
        <item m="1" x="1818"/>
        <item m="1" x="2412"/>
        <item m="1" x="1819"/>
        <item m="1" x="2122"/>
        <item m="1" x="2413"/>
        <item m="1" x="2700"/>
        <item m="1" x="761"/>
        <item m="1" x="906"/>
        <item m="1" x="1239"/>
        <item m="1" x="1528"/>
        <item m="1" x="1820"/>
        <item m="1" x="2123"/>
        <item m="1" x="2414"/>
        <item m="1" x="2701"/>
        <item m="1" x="762"/>
        <item m="1" x="908"/>
        <item m="1" x="1240"/>
        <item m="1" x="1529"/>
        <item m="1" x="1821"/>
        <item m="1" x="2124"/>
        <item m="1" x="2415"/>
        <item m="1" x="2702"/>
        <item m="1" x="763"/>
        <item m="1" x="910"/>
        <item m="1" x="1241"/>
        <item m="1" x="1530"/>
        <item m="1" x="1822"/>
        <item x="155"/>
        <item x="183"/>
        <item m="1" x="2703"/>
        <item m="1" x="764"/>
        <item m="1" x="912"/>
        <item m="1" x="1242"/>
        <item m="1" x="1531"/>
        <item m="1" x="1823"/>
        <item m="1" x="2125"/>
        <item m="1" x="2416"/>
        <item m="1" x="2704"/>
        <item m="1" x="765"/>
        <item m="1" x="914"/>
        <item m="1" x="1243"/>
        <item m="1" x="1532"/>
        <item m="1" x="1824"/>
        <item m="1" x="2126"/>
        <item m="1" x="2417"/>
        <item m="1" x="2705"/>
        <item m="1" x="766"/>
        <item m="1" x="916"/>
        <item m="1" x="1244"/>
        <item m="1" x="1534"/>
        <item m="1" x="1825"/>
        <item m="1" x="2127"/>
        <item x="283"/>
        <item m="1" x="2706"/>
        <item m="1" x="767"/>
        <item m="1" x="919"/>
        <item m="1" x="1245"/>
        <item m="1" x="1535"/>
        <item m="1" x="1826"/>
        <item x="333"/>
        <item m="1" x="2418"/>
        <item m="1" x="2707"/>
        <item m="1" x="768"/>
        <item x="368"/>
        <item m="1" x="1246"/>
        <item m="1" x="1536"/>
        <item m="1" x="1827"/>
        <item m="1" x="2128"/>
        <item x="431"/>
        <item m="1" x="2708"/>
        <item m="1" x="769"/>
        <item x="479"/>
        <item m="1" x="1247"/>
        <item m="1" x="1537"/>
        <item m="1" x="1828"/>
        <item x="301"/>
        <item m="1" x="2709"/>
        <item m="1" x="770"/>
        <item m="1" x="2419"/>
        <item m="1" x="2710"/>
        <item m="1" x="771"/>
        <item m="1" x="772"/>
        <item m="1" x="927"/>
        <item m="1" x="1248"/>
        <item m="1" x="1538"/>
        <item m="1" x="1829"/>
        <item m="1" x="2711"/>
        <item m="1" x="774"/>
        <item m="1" x="928"/>
        <item m="1" x="1249"/>
        <item m="1" x="1539"/>
        <item m="1" x="1830"/>
        <item m="1" x="2129"/>
        <item m="1" x="2420"/>
        <item m="1" x="2712"/>
        <item m="1" x="776"/>
        <item m="1" x="930"/>
        <item m="1" x="1250"/>
        <item m="1" x="1540"/>
        <item m="1" x="1831"/>
        <item m="1" x="2130"/>
        <item m="1" x="2421"/>
        <item m="1" x="2713"/>
        <item m="1" x="778"/>
        <item m="1" x="931"/>
        <item m="1" x="1251"/>
        <item m="1" x="1541"/>
        <item m="1" x="2714"/>
        <item m="1" x="781"/>
        <item m="1" x="933"/>
        <item m="1" x="1252"/>
        <item m="1" x="1542"/>
        <item m="1" x="1832"/>
        <item m="1" x="2131"/>
        <item m="1" x="2422"/>
        <item m="1" x="2715"/>
        <item m="1" x="783"/>
        <item m="1" x="935"/>
        <item m="1" x="1253"/>
        <item m="1" x="1543"/>
        <item m="1" x="1833"/>
        <item m="1" x="2132"/>
        <item m="1" x="2423"/>
        <item m="1" x="2716"/>
        <item m="1" x="784"/>
        <item m="1" x="937"/>
        <item m="1" x="1254"/>
        <item m="1" x="1544"/>
        <item m="1" x="1834"/>
        <item m="1" x="2133"/>
        <item m="1" x="2424"/>
        <item m="1" x="2717"/>
        <item m="1" x="786"/>
        <item m="1" x="938"/>
        <item m="1" x="1255"/>
        <item m="1" x="1545"/>
        <item m="1" x="1835"/>
        <item m="1" x="2134"/>
        <item m="1" x="2425"/>
        <item m="1" x="941"/>
        <item m="1" x="1256"/>
        <item m="1" x="1546"/>
        <item m="1" x="1836"/>
        <item m="1" x="2135"/>
        <item m="1" x="2426"/>
        <item m="1" x="2718"/>
        <item m="1" x="795"/>
        <item m="1" x="942"/>
        <item m="1" x="1257"/>
        <item m="1" x="1547"/>
        <item m="1" x="1837"/>
        <item m="1" x="2136"/>
        <item m="1" x="2427"/>
        <item m="1" x="2137"/>
        <item m="1" x="2428"/>
        <item m="1" x="2719"/>
        <item m="1" x="800"/>
        <item m="1" x="946"/>
        <item m="1" x="1258"/>
        <item m="1" x="1548"/>
        <item m="1" x="1838"/>
        <item m="1" x="2138"/>
        <item m="1" x="2429"/>
        <item m="1" x="2720"/>
        <item m="1" x="801"/>
        <item m="1" x="947"/>
        <item m="1" x="1259"/>
        <item m="1" x="1549"/>
        <item m="1" x="1839"/>
        <item m="1" x="2139"/>
        <item m="1" x="2430"/>
        <item m="1" x="2721"/>
        <item m="1" x="802"/>
        <item m="1" x="948"/>
        <item m="1" x="1260"/>
        <item m="1" x="1550"/>
        <item m="1" x="1840"/>
        <item m="1" x="2140"/>
        <item m="1" x="2431"/>
        <item m="1" x="2722"/>
        <item m="1" x="803"/>
        <item m="1" x="949"/>
        <item m="1" x="1261"/>
        <item m="1" x="1551"/>
        <item m="1" x="1841"/>
        <item m="1" x="2141"/>
        <item m="1" x="2432"/>
        <item m="1" x="2723"/>
        <item m="1" x="804"/>
        <item m="1" x="950"/>
        <item m="1" x="1262"/>
        <item m="1" x="1552"/>
        <item m="1" x="1842"/>
        <item m="1" x="2142"/>
        <item m="1" x="2433"/>
        <item m="1" x="2724"/>
        <item m="1" x="806"/>
        <item m="1" x="951"/>
        <item m="1" x="1263"/>
        <item m="1" x="1553"/>
        <item m="1" x="1843"/>
        <item x="234"/>
        <item m="1" x="2434"/>
        <item m="1" x="2725"/>
        <item x="206"/>
        <item m="1" x="953"/>
        <item m="1" x="1264"/>
        <item m="1" x="1554"/>
        <item m="1" x="1844"/>
        <item m="1" x="2143"/>
        <item m="1" x="2435"/>
        <item m="1" x="2726"/>
        <item m="1" x="809"/>
        <item x="491"/>
        <item m="1" x="954"/>
        <item m="1" x="1265"/>
        <item x="9"/>
        <item m="1" x="1845"/>
        <item m="1" x="2144"/>
        <item m="1" x="1846"/>
        <item m="1" x="2145"/>
        <item m="1" x="2436"/>
        <item m="1" x="2727"/>
        <item m="1" x="811"/>
        <item m="1" x="955"/>
        <item x="268"/>
        <item x="437"/>
        <item m="1" x="1847"/>
        <item m="1" x="2146"/>
        <item m="1" x="2437"/>
        <item m="1" x="2728"/>
        <item m="1" x="813"/>
        <item m="1" x="956"/>
        <item m="1" x="1266"/>
        <item m="1" x="1555"/>
        <item m="1" x="1848"/>
        <item m="1" x="2147"/>
        <item m="1" x="2438"/>
        <item m="1" x="2729"/>
        <item m="1" x="815"/>
        <item m="1" x="957"/>
        <item m="1" x="1267"/>
        <item m="1" x="1849"/>
        <item m="1" x="2148"/>
        <item m="1" x="2439"/>
        <item m="1" x="2730"/>
        <item m="1" x="819"/>
        <item m="1" x="959"/>
        <item m="1" x="1268"/>
        <item m="1" x="1556"/>
        <item m="1" x="1850"/>
        <item m="1" x="2149"/>
        <item m="1" x="2440"/>
        <item x="272"/>
        <item m="1" x="821"/>
        <item m="1" x="960"/>
        <item m="1" x="2441"/>
        <item m="1" x="825"/>
        <item m="1" x="961"/>
        <item m="1" x="1269"/>
        <item m="1" x="1557"/>
        <item x="13"/>
        <item m="1" x="2150"/>
        <item m="1" x="2442"/>
        <item m="1" x="2731"/>
        <item m="1" x="826"/>
        <item m="1" x="962"/>
        <item m="1" x="1270"/>
        <item m="1" x="1558"/>
        <item m="1" x="1851"/>
        <item m="1" x="2151"/>
        <item m="1" x="827"/>
        <item m="1" x="968"/>
        <item m="1" x="1271"/>
        <item m="1" x="1559"/>
        <item m="1" x="1852"/>
        <item m="1" x="2152"/>
        <item m="1" x="2443"/>
        <item m="1" x="2732"/>
        <item m="1" x="828"/>
        <item m="1" x="969"/>
        <item m="1" x="1272"/>
        <item m="1" x="1560"/>
        <item m="1" x="1853"/>
        <item m="1" x="2153"/>
        <item m="1" x="2444"/>
        <item m="1" x="2733"/>
        <item m="1" x="829"/>
        <item m="1" x="970"/>
        <item m="1" x="1273"/>
        <item m="1" x="1561"/>
        <item m="1" x="1854"/>
        <item m="1" x="2154"/>
        <item m="1" x="2445"/>
        <item m="1" x="2734"/>
        <item m="1" x="830"/>
        <item m="1" x="971"/>
        <item m="1" x="1274"/>
        <item m="1" x="1562"/>
        <item m="1" x="1855"/>
        <item m="1" x="2155"/>
        <item m="1" x="2446"/>
        <item m="1" x="2735"/>
        <item m="1" x="831"/>
        <item m="1" x="972"/>
        <item m="1" x="1275"/>
        <item m="1" x="1563"/>
        <item m="1" x="1856"/>
        <item m="1" x="2156"/>
        <item m="1" x="2447"/>
        <item m="1" x="2736"/>
        <item m="1" x="832"/>
        <item m="1" x="973"/>
        <item m="1" x="1276"/>
        <item m="1" x="1564"/>
        <item m="1" x="1857"/>
        <item m="1" x="2157"/>
        <item m="1" x="2448"/>
        <item m="1" x="2737"/>
        <item m="1" x="833"/>
        <item m="1" x="974"/>
        <item m="1" x="1277"/>
        <item m="1" x="1565"/>
        <item m="1" x="1858"/>
        <item x="27"/>
        <item x="44"/>
        <item x="43"/>
        <item x="45"/>
        <item m="1" x="975"/>
        <item m="1" x="1278"/>
        <item m="1" x="1566"/>
        <item m="1" x="1859"/>
        <item m="1" x="2158"/>
        <item m="1" x="2449"/>
        <item m="1" x="2738"/>
        <item m="1" x="835"/>
        <item m="1" x="976"/>
        <item m="1" x="1279"/>
        <item m="1" x="1567"/>
        <item m="1" x="1860"/>
        <item m="1" x="2159"/>
        <item m="1" x="2450"/>
        <item m="1" x="2739"/>
        <item m="1" x="836"/>
        <item m="1" x="977"/>
        <item m="1" x="1280"/>
        <item m="1" x="1568"/>
        <item m="1" x="1861"/>
        <item m="1" x="2160"/>
        <item m="1" x="2451"/>
        <item x="352"/>
        <item m="1" x="837"/>
        <item m="1" x="978"/>
        <item m="1" x="1281"/>
        <item x="373"/>
        <item m="1" x="1862"/>
        <item m="1" x="2161"/>
        <item m="1" x="2452"/>
        <item m="1" x="2740"/>
        <item m="1" x="838"/>
        <item m="1" x="979"/>
        <item x="484"/>
        <item m="1" x="1569"/>
        <item m="1" x="1863"/>
        <item m="1" x="2162"/>
        <item m="1" x="1864"/>
        <item m="1" x="2163"/>
        <item x="351"/>
        <item m="1" x="1570"/>
        <item x="403"/>
        <item x="402"/>
        <item m="1" x="1282"/>
        <item x="210"/>
        <item m="1" x="1865"/>
        <item m="1" x="2164"/>
        <item m="1" x="2453"/>
        <item m="1" x="2741"/>
        <item m="1" x="981"/>
        <item x="481"/>
        <item m="1" x="2165"/>
        <item m="1" x="2454"/>
        <item x="273"/>
        <item m="1" x="843"/>
        <item m="1" x="2166"/>
        <item x="470"/>
        <item m="1" x="844"/>
        <item m="1" x="982"/>
        <item m="1" x="1283"/>
        <item m="1" x="1571"/>
        <item m="1" x="1866"/>
        <item m="1" x="2167"/>
        <item m="1" x="2455"/>
        <item m="1" x="2742"/>
        <item m="1" x="845"/>
        <item m="1" x="983"/>
        <item x="476"/>
        <item x="306"/>
        <item m="1" x="1572"/>
        <item m="1" x="1867"/>
        <item m="1" x="2168"/>
        <item m="1" x="2456"/>
        <item m="1" x="2743"/>
        <item m="1" x="851"/>
        <item m="1" x="1284"/>
        <item m="1" x="1573"/>
        <item m="1" x="1868"/>
        <item m="1" x="2169"/>
        <item m="1" x="2457"/>
        <item m="1" x="2744"/>
        <item m="1" x="852"/>
        <item m="1" x="1869"/>
        <item m="1" x="2170"/>
        <item m="1" x="2458"/>
        <item m="1" x="2745"/>
        <item m="1" x="853"/>
        <item m="1" x="984"/>
        <item m="1" x="1285"/>
        <item m="1" x="1574"/>
        <item m="1" x="1870"/>
        <item x="326"/>
        <item m="1" x="2459"/>
        <item m="1" x="2746"/>
        <item m="1" x="854"/>
        <item m="1" x="986"/>
        <item m="1" x="1286"/>
        <item x="185"/>
        <item m="1" x="1575"/>
        <item m="1" x="1873"/>
        <item m="1" x="2172"/>
        <item m="1" x="2462"/>
        <item m="1" x="2747"/>
        <item m="1" x="857"/>
        <item m="1" x="992"/>
        <item m="1" x="1287"/>
        <item m="1" x="1576"/>
        <item m="1" x="1874"/>
        <item m="1" x="2173"/>
        <item x="55"/>
        <item m="1" x="2748"/>
        <item m="1" x="858"/>
        <item m="1" x="993"/>
        <item m="1" x="1288"/>
        <item x="54"/>
        <item m="1" x="1875"/>
        <item m="1" x="2174"/>
        <item m="1" x="2463"/>
        <item m="1" x="2749"/>
        <item m="1" x="859"/>
        <item m="1" x="994"/>
        <item m="1" x="1289"/>
        <item m="1" x="1577"/>
        <item m="1" x="1876"/>
        <item m="1" x="2175"/>
        <item m="1" x="2464"/>
        <item m="1" x="2750"/>
        <item m="1" x="861"/>
        <item m="1" x="995"/>
        <item m="1" x="1290"/>
        <item m="1" x="1578"/>
        <item m="1" x="1877"/>
        <item m="1" x="2176"/>
        <item m="1" x="2465"/>
        <item m="1" x="2751"/>
        <item m="1" x="1291"/>
        <item x="474"/>
        <item x="483"/>
        <item x="117"/>
        <item x="114"/>
        <item x="95"/>
        <item x="109"/>
        <item x="158"/>
        <item m="1" x="2466"/>
        <item m="1" x="2753"/>
        <item m="1" x="875"/>
        <item m="1" x="996"/>
        <item m="1" x="1292"/>
        <item x="100"/>
        <item m="1" x="1878"/>
        <item x="309"/>
        <item m="1" x="2467"/>
        <item x="303"/>
        <item m="1" x="876"/>
        <item m="1" x="997"/>
        <item m="1" x="1293"/>
        <item m="1" x="1579"/>
        <item x="269"/>
        <item m="1" x="2177"/>
        <item x="350"/>
        <item m="1" x="2754"/>
        <item m="1" x="877"/>
        <item x="463"/>
        <item m="1" x="2468"/>
        <item m="1" x="2755"/>
        <item x="111"/>
        <item m="1" x="998"/>
        <item m="1" x="1294"/>
        <item m="1" x="1879"/>
        <item x="336"/>
        <item m="1" x="1580"/>
        <item m="1" x="1880"/>
        <item m="1" x="2178"/>
        <item x="248"/>
        <item m="1" x="2179"/>
        <item m="1" x="2469"/>
        <item m="1" x="2756"/>
        <item m="1" x="882"/>
        <item m="1" x="999"/>
        <item x="137"/>
        <item m="1" x="1581"/>
        <item m="1" x="1881"/>
        <item m="1" x="2180"/>
        <item m="1" x="2471"/>
        <item m="1" x="2757"/>
        <item m="1" x="884"/>
        <item m="1" x="2181"/>
        <item x="150"/>
        <item x="152"/>
        <item x="17"/>
        <item m="1" x="1000"/>
        <item m="1" x="1296"/>
        <item x="473"/>
        <item x="320"/>
        <item m="1" x="2472"/>
        <item x="314"/>
        <item x="285"/>
        <item m="1" x="2182"/>
        <item m="1" x="2473"/>
        <item m="1" x="1582"/>
        <item m="1" x="2183"/>
        <item m="1" x="1297"/>
        <item m="1" x="1583"/>
        <item m="1" x="1882"/>
        <item m="1" x="2184"/>
        <item m="1" x="2474"/>
        <item m="1" x="2758"/>
        <item m="1" x="889"/>
        <item m="1" x="1001"/>
        <item m="1" x="1298"/>
        <item m="1" x="1584"/>
        <item m="1" x="1002"/>
        <item m="1" x="1299"/>
        <item m="1" x="1585"/>
        <item m="1" x="1883"/>
        <item m="1" x="2185"/>
        <item m="1" x="2475"/>
        <item m="1" x="2759"/>
        <item m="1" x="890"/>
        <item m="1" x="1003"/>
        <item x="216"/>
        <item m="1" x="2760"/>
        <item m="1" x="1004"/>
        <item m="1" x="2761"/>
        <item m="1" x="892"/>
        <item m="1" x="1005"/>
        <item m="1" x="1300"/>
        <item m="1" x="1586"/>
        <item m="1" x="1884"/>
        <item m="1" x="2186"/>
        <item m="1" x="2476"/>
        <item m="1" x="2762"/>
        <item m="1" x="894"/>
        <item m="1" x="1006"/>
        <item m="1" x="1301"/>
        <item m="1" x="1587"/>
        <item m="1" x="1885"/>
        <item m="1" x="2187"/>
        <item m="1" x="2477"/>
        <item m="1" x="2763"/>
        <item m="1" x="895"/>
        <item m="1" x="1007"/>
        <item m="1" x="1302"/>
        <item m="1" x="899"/>
        <item m="1" x="1008"/>
        <item m="1" x="1303"/>
        <item m="1" x="1588"/>
        <item m="1" x="1886"/>
        <item m="1" x="2188"/>
        <item m="1" x="2478"/>
        <item m="1" x="2765"/>
        <item m="1" x="900"/>
        <item m="1" x="1009"/>
        <item m="1" x="1304"/>
        <item m="1" x="1589"/>
        <item m="1" x="1887"/>
        <item m="1" x="2189"/>
        <item m="1" x="2479"/>
        <item m="1" x="2766"/>
        <item m="1" x="901"/>
        <item m="1" x="1010"/>
        <item m="1" x="1305"/>
        <item m="1" x="1590"/>
        <item m="1" x="1888"/>
        <item m="1" x="2190"/>
        <item m="1" x="2480"/>
        <item m="1" x="2767"/>
        <item m="1" x="902"/>
        <item m="1" x="1011"/>
        <item m="1" x="1306"/>
        <item m="1" x="1591"/>
        <item m="1" x="1889"/>
        <item m="1" x="2191"/>
        <item m="1" x="2481"/>
        <item m="1" x="2768"/>
        <item m="1" x="903"/>
        <item m="1" x="1012"/>
        <item m="1" x="1307"/>
        <item m="1" x="1592"/>
        <item m="1" x="1890"/>
        <item x="471"/>
        <item x="477"/>
        <item m="1" x="1593"/>
        <item m="1" x="1891"/>
        <item m="1" x="2192"/>
        <item m="1" x="904"/>
        <item m="1" x="1013"/>
        <item m="1" x="1308"/>
        <item m="1" x="1594"/>
        <item m="1" x="1892"/>
        <item m="1" x="2193"/>
        <item m="1" x="2482"/>
        <item m="1" x="2769"/>
        <item m="1" x="905"/>
        <item m="1" x="1014"/>
        <item m="1" x="1309"/>
        <item m="1" x="1595"/>
        <item m="1" x="1893"/>
        <item m="1" x="2194"/>
        <item m="1" x="2483"/>
        <item m="1" x="2770"/>
        <item m="1" x="907"/>
        <item m="1" x="1015"/>
        <item x="133"/>
        <item m="1" x="1596"/>
        <item m="1" x="1894"/>
        <item m="1" x="2195"/>
        <item m="1" x="2484"/>
        <item m="1" x="2771"/>
        <item m="1" x="909"/>
        <item m="1" x="1016"/>
        <item x="125"/>
        <item m="1" x="1597"/>
        <item m="1" x="1895"/>
        <item m="1" x="2196"/>
        <item x="132"/>
        <item m="1" x="2772"/>
        <item m="1" x="911"/>
        <item m="1" x="1017"/>
        <item m="1" x="1310"/>
        <item m="1" x="1598"/>
        <item m="1" x="1896"/>
        <item m="1" x="2197"/>
        <item m="1" x="2485"/>
        <item m="1" x="2773"/>
        <item m="1" x="913"/>
        <item m="1" x="1018"/>
        <item m="1" x="1311"/>
        <item m="1" x="1599"/>
        <item m="1" x="1897"/>
        <item m="1" x="2198"/>
        <item m="1" x="2486"/>
        <item m="1" x="2774"/>
        <item m="1" x="915"/>
        <item m="1" x="1019"/>
        <item m="1" x="1312"/>
        <item m="1" x="1600"/>
        <item m="1" x="1898"/>
        <item m="1" x="2199"/>
        <item x="97"/>
        <item m="1" x="2775"/>
        <item m="1" x="917"/>
        <item m="1" x="1020"/>
        <item m="1" x="1313"/>
        <item m="1" x="1601"/>
        <item m="1" x="1899"/>
        <item m="1" x="2200"/>
        <item m="1" x="2487"/>
        <item m="1" x="2776"/>
        <item m="1" x="920"/>
        <item m="1" x="1021"/>
        <item m="1" x="1314"/>
        <item x="188"/>
        <item m="1" x="1900"/>
        <item m="1" x="2201"/>
        <item m="1" x="2488"/>
        <item m="1" x="2778"/>
        <item m="1" x="921"/>
        <item m="1" x="1023"/>
        <item m="1" x="1315"/>
        <item m="1" x="1603"/>
        <item m="1" x="1901"/>
        <item m="1" x="2202"/>
        <item m="1" x="2489"/>
        <item m="1" x="2779"/>
        <item x="99"/>
        <item m="1" x="1024"/>
        <item x="15"/>
        <item m="1" x="1604"/>
        <item x="21"/>
        <item x="30"/>
        <item m="1" x="2490"/>
        <item x="23"/>
        <item m="1" x="922"/>
        <item m="1" x="1025"/>
        <item m="1" x="1317"/>
        <item x="312"/>
        <item m="1" x="1902"/>
        <item x="304"/>
        <item m="1" x="2491"/>
        <item m="1" x="2781"/>
        <item x="291"/>
        <item m="1" x="1027"/>
        <item m="1" x="1318"/>
        <item m="1" x="1606"/>
        <item m="1" x="1904"/>
        <item x="270"/>
        <item m="1" x="2493"/>
        <item m="1" x="2783"/>
        <item m="1" x="923"/>
        <item m="1" x="1029"/>
        <item m="1" x="1320"/>
        <item m="1" x="1608"/>
        <item x="224"/>
        <item m="1" x="2206"/>
        <item m="1" x="2494"/>
        <item m="1" x="2785"/>
        <item m="1" x="924"/>
        <item m="1" x="1031"/>
        <item x="340"/>
        <item m="1" x="1610"/>
        <item m="1" x="1907"/>
        <item m="1" x="2207"/>
        <item m="1" x="2495"/>
        <item m="1" x="2786"/>
        <item m="1" x="925"/>
        <item m="1" x="1032"/>
        <item m="1" x="1322"/>
        <item x="387"/>
        <item m="1" x="1908"/>
        <item m="1" x="2208"/>
        <item m="1" x="2496"/>
        <item m="1" x="2787"/>
        <item m="1" x="926"/>
        <item m="1" x="1033"/>
        <item m="1" x="1323"/>
        <item m="1" x="1611"/>
        <item x="327"/>
        <item x="41"/>
        <item m="1" x="2209"/>
        <item m="1" x="2497"/>
        <item x="215"/>
        <item m="1" x="2788"/>
        <item m="1" x="929"/>
        <item x="220"/>
        <item x="233"/>
        <item x="357"/>
        <item m="1" x="2210"/>
        <item m="1" x="2498"/>
        <item m="1" x="2789"/>
        <item m="1" x="932"/>
        <item x="244"/>
        <item x="169"/>
        <item x="128"/>
        <item x="18"/>
        <item x="286"/>
        <item m="1" x="2790"/>
        <item m="1" x="934"/>
        <item m="1" x="1035"/>
        <item m="1" x="1324"/>
        <item m="1" x="1612"/>
        <item x="454"/>
        <item m="1" x="2211"/>
        <item x="457"/>
        <item x="459"/>
        <item m="1" x="936"/>
        <item x="167"/>
        <item x="264"/>
        <item m="1" x="1910"/>
        <item m="1" x="2212"/>
        <item m="1" x="2499"/>
        <item m="1" x="2791"/>
        <item m="1" x="939"/>
        <item m="1" x="1036"/>
        <item m="1" x="1325"/>
        <item m="1" x="2792"/>
        <item m="1" x="940"/>
        <item m="1" x="1037"/>
        <item x="70"/>
        <item x="16"/>
        <item x="265"/>
        <item x="217"/>
        <item x="221"/>
        <item m="1" x="2793"/>
        <item m="1" x="1038"/>
        <item m="1" x="1327"/>
        <item m="1" x="1613"/>
        <item m="1" x="1911"/>
        <item m="1" x="2214"/>
        <item m="1" x="2501"/>
        <item m="1" x="2795"/>
        <item m="1" x="943"/>
        <item m="1" x="1039"/>
        <item x="170"/>
        <item m="1" x="1614"/>
        <item m="1" x="1912"/>
        <item m="1" x="2215"/>
        <item m="1" x="2502"/>
        <item m="1" x="2796"/>
        <item m="1" x="944"/>
        <item x="290"/>
        <item x="297"/>
        <item x="300"/>
        <item m="1" x="1913"/>
        <item m="1" x="2216"/>
        <item x="209"/>
        <item m="1" x="2797"/>
        <item m="1" x="945"/>
        <item m="1" x="1040"/>
        <item x="345"/>
        <item m="1" x="1615"/>
        <item m="1" x="1914"/>
        <item m="1" x="2217"/>
        <item m="1" x="2503"/>
        <item m="1" x="1616"/>
        <item x="310"/>
        <item m="1" x="1915"/>
        <item m="1" x="2218"/>
        <item m="1" x="2504"/>
        <item m="1" x="2798"/>
        <item x="341"/>
        <item x="411"/>
        <item x="464"/>
        <item x="456"/>
        <item x="458"/>
        <item m="1" x="2799"/>
        <item m="1" x="952"/>
        <item m="1" x="1042"/>
        <item m="1" x="1328"/>
        <item m="1" x="1617"/>
        <item m="1" x="1916"/>
        <item m="1" x="2219"/>
        <item m="1" x="2505"/>
        <item m="1" x="2800"/>
        <item x="189"/>
        <item x="190"/>
        <item x="184"/>
        <item x="354"/>
        <item x="134"/>
        <item x="78"/>
        <item x="102"/>
        <item x="168"/>
        <item x="49"/>
        <item x="59"/>
        <item x="98"/>
        <item x="46"/>
        <item x="51"/>
        <item x="180"/>
        <item m="1" x="1329"/>
        <item m="1" x="1618"/>
        <item m="1" x="1917"/>
        <item m="1" x="2220"/>
        <item m="1" x="2506"/>
        <item m="1" x="2801"/>
        <item x="194"/>
        <item m="1" x="1043"/>
        <item x="181"/>
        <item x="80"/>
        <item x="198"/>
        <item x="28"/>
        <item x="318"/>
        <item x="292"/>
        <item x="213"/>
        <item m="1" x="1044"/>
        <item m="1" x="1330"/>
        <item x="361"/>
        <item x="366"/>
        <item x="377"/>
        <item x="398"/>
        <item x="397"/>
        <item x="401"/>
        <item x="404"/>
        <item x="407"/>
        <item x="408"/>
        <item x="413"/>
        <item x="412"/>
        <item x="414"/>
        <item x="364"/>
        <item x="372"/>
        <item m="1" x="1045"/>
        <item x="441"/>
        <item m="1" x="1619"/>
        <item m="1" x="1918"/>
        <item m="1" x="2221"/>
        <item m="1" x="2507"/>
        <item x="430"/>
        <item x="442"/>
        <item x="433"/>
        <item x="421"/>
        <item x="422"/>
        <item x="448"/>
        <item x="449"/>
        <item x="446"/>
        <item m="1" x="2802"/>
        <item m="1" x="958"/>
        <item m="1" x="1046"/>
        <item m="1" x="1331"/>
        <item x="243"/>
        <item m="1" x="2804"/>
        <item x="245"/>
        <item x="246"/>
        <item x="250"/>
        <item x="253"/>
        <item m="1" x="1920"/>
        <item x="145"/>
        <item m="1" x="2511"/>
        <item m="1" x="2806"/>
        <item m="1" x="963"/>
        <item m="1" x="1049"/>
        <item m="1" x="1333"/>
        <item m="1" x="1622"/>
        <item m="1" x="1922"/>
        <item x="166"/>
        <item x="172"/>
        <item x="115"/>
        <item m="1" x="964"/>
        <item x="121"/>
        <item m="1" x="1334"/>
        <item m="1" x="1623"/>
        <item m="1" x="1923"/>
        <item m="1" x="2225"/>
        <item x="127"/>
        <item x="129"/>
        <item x="130"/>
        <item m="1" x="1050"/>
        <item m="1" x="1335"/>
        <item x="157"/>
        <item m="1" x="1924"/>
        <item m="1" x="2226"/>
        <item m="1" x="2513"/>
        <item m="1" x="2808"/>
        <item x="26"/>
        <item m="1" x="1051"/>
        <item m="1" x="1336"/>
        <item x="25"/>
        <item m="1" x="1925"/>
        <item x="32"/>
        <item m="1" x="2514"/>
        <item m="1" x="2809"/>
        <item x="311"/>
        <item m="1" x="1052"/>
        <item m="1" x="1337"/>
        <item m="1" x="1624"/>
        <item x="302"/>
        <item m="1" x="2227"/>
        <item m="1" x="2515"/>
        <item m="1" x="2810"/>
        <item x="298"/>
        <item m="1" x="1053"/>
        <item m="1" x="1338"/>
        <item m="1" x="1625"/>
        <item m="1" x="1926"/>
        <item x="271"/>
        <item m="1" x="2516"/>
        <item x="260"/>
        <item m="1" x="965"/>
        <item x="228"/>
        <item x="335"/>
        <item m="1" x="1626"/>
        <item x="348"/>
        <item m="1" x="2228"/>
        <item x="344"/>
        <item x="347"/>
        <item x="415"/>
        <item m="1" x="1054"/>
        <item m="1" x="1339"/>
        <item m="1" x="1627"/>
        <item m="1" x="1927"/>
        <item x="439"/>
        <item m="1" x="2517"/>
        <item m="1" x="2811"/>
        <item m="1" x="966"/>
        <item x="455"/>
        <item m="1" x="1340"/>
        <item x="460"/>
        <item x="452"/>
        <item x="453"/>
        <item m="1" x="2518"/>
        <item m="1" x="2812"/>
        <item m="1" x="967"/>
        <item m="1" x="1055"/>
        <item x="478"/>
        <item x="480"/>
        <item x="482"/>
        <item m="1" x="2229"/>
        <item x="461"/>
        <item x="338"/>
        <item x="339"/>
        <item m="1" x="1057"/>
        <item x="308"/>
        <item m="1" x="1929"/>
        <item m="1" x="2231"/>
        <item m="1" x="2520"/>
        <item x="490"/>
        <item m="1" x="1930"/>
        <item x="19"/>
        <item m="1" x="2521"/>
        <item x="34"/>
        <item x="316"/>
        <item x="337"/>
        <item x="353"/>
        <item x="380"/>
        <item x="436"/>
        <item x="74"/>
        <item x="76"/>
        <item m="1" x="1932"/>
        <item x="370"/>
        <item x="375"/>
        <item x="360"/>
        <item x="485"/>
        <item m="1" x="2523"/>
        <item x="420"/>
        <item x="315"/>
        <item x="176"/>
        <item x="174"/>
        <item x="107"/>
        <item x="287"/>
        <item m="1" x="2818"/>
        <item x="261"/>
        <item x="356"/>
        <item x="393"/>
        <item x="409"/>
        <item x="275"/>
        <item x="276"/>
        <item x="274"/>
        <item x="278"/>
        <item x="440"/>
        <item x="435"/>
        <item x="325"/>
        <item x="212"/>
        <item x="101"/>
        <item x="124"/>
        <item x="108"/>
        <item x="423"/>
        <item m="1" x="1061"/>
        <item x="35"/>
        <item x="161"/>
        <item x="3"/>
        <item x="1"/>
        <item x="323"/>
        <item x="395"/>
        <item x="399"/>
        <item x="385"/>
        <item x="386"/>
        <item x="396"/>
        <item x="383"/>
        <item x="467"/>
        <item x="462"/>
        <item m="1" x="2820"/>
        <item x="252"/>
        <item m="1" x="1346"/>
        <item m="1" x="1636"/>
        <item m="1" x="1939"/>
        <item m="1" x="2241"/>
        <item m="1" x="2531"/>
        <item m="1" x="2822"/>
        <item m="1" x="985"/>
        <item x="143"/>
        <item x="165"/>
        <item m="1" x="1637"/>
        <item m="1" x="1940"/>
        <item m="1" x="2242"/>
        <item m="1" x="2532"/>
        <item x="171"/>
        <item m="1" x="987"/>
        <item m="1" x="1064"/>
        <item x="123"/>
        <item m="1" x="1941"/>
        <item x="146"/>
        <item x="175"/>
        <item m="1" x="2823"/>
        <item x="144"/>
        <item m="1" x="1065"/>
        <item m="1" x="1348"/>
        <item x="138"/>
        <item x="140"/>
        <item m="1" x="2243"/>
        <item x="141"/>
        <item m="1" x="2824"/>
        <item m="1" x="988"/>
        <item x="153"/>
        <item x="159"/>
        <item m="1" x="1638"/>
        <item x="156"/>
        <item x="112"/>
        <item x="182"/>
        <item x="187"/>
        <item x="22"/>
        <item x="33"/>
        <item x="31"/>
        <item x="324"/>
        <item x="305"/>
        <item x="289"/>
        <item x="294"/>
        <item x="296"/>
        <item x="299"/>
        <item m="1" x="1066"/>
        <item m="1" x="1639"/>
        <item m="1" x="1942"/>
        <item x="279"/>
        <item m="1" x="2533"/>
        <item x="262"/>
        <item m="1" x="989"/>
        <item x="203"/>
        <item m="1" x="1349"/>
        <item m="1" x="1640"/>
        <item x="342"/>
        <item m="1" x="2244"/>
        <item x="388"/>
        <item x="445"/>
        <item m="1" x="991"/>
        <item m="1" x="1067"/>
        <item m="1" x="1350"/>
        <item x="466"/>
        <item x="472"/>
        <item x="313"/>
        <item m="1" x="1362"/>
        <item x="200"/>
        <item x="7"/>
        <item x="14"/>
        <item x="8"/>
        <item x="10"/>
        <item x="230"/>
        <item x="359"/>
        <item m="1" x="1079"/>
        <item x="232"/>
        <item x="358"/>
        <item x="424"/>
        <item m="1" x="2544"/>
        <item m="1" x="2835"/>
        <item x="280"/>
        <item m="1" x="1363"/>
        <item m="1" x="1953"/>
        <item x="425"/>
        <item x="241"/>
        <item x="258"/>
        <item x="67"/>
        <item x="57"/>
        <item x="91"/>
        <item x="192"/>
        <item x="195"/>
        <item x="193"/>
        <item x="196"/>
        <item x="434"/>
        <item x="487"/>
        <item x="37"/>
        <item x="38"/>
        <item x="39"/>
        <item x="36"/>
        <item x="207"/>
        <item x="475"/>
        <item x="177"/>
        <item x="2"/>
        <item x="12"/>
        <item x="11"/>
        <item x="211"/>
        <item x="61"/>
        <item x="328"/>
        <item x="254"/>
        <item x="179"/>
        <item x="40"/>
        <item x="329"/>
        <item x="426"/>
        <item x="53"/>
        <item x="64"/>
        <item x="63"/>
        <item x="56"/>
        <item x="186"/>
        <item x="60"/>
        <item x="447"/>
        <item x="321"/>
        <item x="160"/>
        <item x="4"/>
        <item x="214"/>
        <item x="400"/>
        <item x="242"/>
        <item x="240"/>
        <item x="236"/>
        <item x="235"/>
        <item x="62"/>
        <item x="58"/>
        <item x="66"/>
        <item x="75"/>
        <item x="69"/>
        <item x="79"/>
        <item x="135"/>
        <item x="81"/>
        <item x="118"/>
        <item x="119"/>
        <item x="82"/>
        <item m="1" x="1655"/>
        <item x="48"/>
        <item x="77"/>
        <item x="103"/>
        <item x="84"/>
        <item x="87"/>
        <item x="88"/>
        <item x="164"/>
        <item x="105"/>
        <item x="106"/>
        <item x="116"/>
        <item x="149"/>
        <item x="65"/>
        <item x="90"/>
        <item x="92"/>
        <item x="94"/>
        <item x="96"/>
        <item x="163"/>
        <item x="73"/>
        <item x="72"/>
        <item x="85"/>
        <item x="50"/>
        <item x="47"/>
        <item x="68"/>
        <item x="104"/>
        <item x="86"/>
        <item x="110"/>
        <item x="126"/>
        <item x="142"/>
        <item x="151"/>
        <item x="148"/>
        <item x="178"/>
        <item x="147"/>
        <item x="113"/>
        <item x="197"/>
        <item x="71"/>
        <item x="93"/>
        <item x="122"/>
        <item x="29"/>
        <item x="317"/>
        <item x="307"/>
        <item x="295"/>
        <item x="266"/>
        <item x="267"/>
        <item x="277"/>
        <item x="284"/>
        <item x="282"/>
        <item x="281"/>
        <item x="259"/>
        <item x="263"/>
        <item x="218"/>
        <item x="227"/>
        <item x="225"/>
        <item x="231"/>
        <item x="346"/>
        <item x="343"/>
        <item x="379"/>
        <item x="394"/>
        <item x="417"/>
        <item x="371"/>
        <item x="381"/>
        <item x="378"/>
        <item x="389"/>
        <item x="416"/>
        <item x="406"/>
        <item x="419"/>
        <item x="444"/>
        <item x="427"/>
        <item x="428"/>
        <item x="429"/>
        <item x="450"/>
        <item x="469"/>
        <item x="492"/>
        <item x="330"/>
        <item x="219"/>
        <item x="349"/>
        <item x="0"/>
        <item x="468"/>
        <item x="322"/>
        <item x="6"/>
        <item x="331"/>
        <item x="154"/>
        <item x="89"/>
        <item x="173"/>
        <item x="438"/>
        <item x="256"/>
        <item x="255"/>
        <item x="42"/>
        <item x="201"/>
        <item x="49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5"/>
  </rowFields>
  <rowItems count="494">
    <i>
      <x v="445"/>
    </i>
    <i>
      <x v="532"/>
    </i>
    <i>
      <x v="647"/>
    </i>
    <i>
      <x v="756"/>
    </i>
    <i>
      <x v="772"/>
    </i>
    <i>
      <x v="800"/>
    </i>
    <i>
      <x v="802"/>
    </i>
    <i>
      <x v="827"/>
    </i>
    <i>
      <x v="829"/>
    </i>
    <i>
      <x v="842"/>
    </i>
    <i>
      <x v="846"/>
    </i>
    <i>
      <x v="850"/>
    </i>
    <i>
      <x v="868"/>
    </i>
    <i>
      <x v="877"/>
    </i>
    <i>
      <x v="894"/>
    </i>
    <i>
      <x v="936"/>
    </i>
    <i>
      <x v="939"/>
    </i>
    <i>
      <x v="971"/>
    </i>
    <i>
      <x v="985"/>
    </i>
    <i>
      <x v="1012"/>
    </i>
    <i>
      <x v="1013"/>
    </i>
    <i>
      <x v="1028"/>
    </i>
    <i>
      <x v="1034"/>
    </i>
    <i>
      <x v="1082"/>
    </i>
    <i>
      <x v="1089"/>
    </i>
    <i>
      <x v="1118"/>
    </i>
    <i>
      <x v="1126"/>
    </i>
    <i>
      <x v="1203"/>
    </i>
    <i>
      <x v="1219"/>
    </i>
    <i>
      <x v="1227"/>
    </i>
    <i>
      <x v="1243"/>
    </i>
    <i>
      <x v="1288"/>
    </i>
    <i>
      <x v="1297"/>
    </i>
    <i>
      <x v="1318"/>
    </i>
    <i>
      <x v="1329"/>
    </i>
    <i>
      <x v="1344"/>
    </i>
    <i>
      <x v="1364"/>
    </i>
    <i>
      <x v="1365"/>
    </i>
    <i>
      <x v="1367"/>
    </i>
    <i>
      <x v="1377"/>
    </i>
    <i>
      <x v="1383"/>
    </i>
    <i>
      <x v="1413"/>
    </i>
    <i>
      <x v="1435"/>
    </i>
    <i>
      <x v="1436"/>
    </i>
    <i>
      <x v="1437"/>
    </i>
    <i>
      <x v="1472"/>
    </i>
    <i>
      <x v="1477"/>
    </i>
    <i>
      <x v="1492"/>
    </i>
    <i>
      <x v="1499"/>
    </i>
    <i>
      <x v="1503"/>
    </i>
    <i>
      <x v="1518"/>
    </i>
    <i>
      <x v="1543"/>
    </i>
    <i>
      <x v="1544"/>
    </i>
    <i>
      <x v="1546"/>
    </i>
    <i>
      <x v="1551"/>
    </i>
    <i>
      <x v="1579"/>
    </i>
    <i>
      <x v="1580"/>
    </i>
    <i>
      <x v="1604"/>
    </i>
    <i>
      <x v="1611"/>
    </i>
    <i>
      <x v="1615"/>
    </i>
    <i>
      <x v="1620"/>
    </i>
    <i>
      <x v="1623"/>
    </i>
    <i>
      <x v="1627"/>
    </i>
    <i>
      <x v="1753"/>
    </i>
    <i>
      <x v="1756"/>
    </i>
    <i>
      <x v="1765"/>
    </i>
    <i>
      <x v="1768"/>
    </i>
    <i>
      <x v="1777"/>
    </i>
    <i>
      <x v="1778"/>
    </i>
    <i>
      <x v="1805"/>
    </i>
    <i>
      <x v="1813"/>
    </i>
    <i>
      <x v="1876"/>
    </i>
    <i>
      <x v="1877"/>
    </i>
    <i>
      <x v="1878"/>
    </i>
    <i>
      <x v="1879"/>
    </i>
    <i>
      <x v="1902"/>
    </i>
    <i>
      <x v="1906"/>
    </i>
    <i>
      <x v="1913"/>
    </i>
    <i>
      <x v="1919"/>
    </i>
    <i>
      <x v="1921"/>
    </i>
    <i>
      <x v="1922"/>
    </i>
    <i>
      <x v="1924"/>
    </i>
    <i>
      <x v="1930"/>
    </i>
    <i>
      <x v="1933"/>
    </i>
    <i>
      <x v="1936"/>
    </i>
    <i>
      <x v="1947"/>
    </i>
    <i>
      <x v="1948"/>
    </i>
    <i>
      <x v="1971"/>
    </i>
    <i>
      <x v="1977"/>
    </i>
    <i>
      <x v="1989"/>
    </i>
    <i>
      <x v="1994"/>
    </i>
    <i>
      <x v="2016"/>
    </i>
    <i>
      <x v="2017"/>
    </i>
    <i>
      <x v="2018"/>
    </i>
    <i>
      <x v="2019"/>
    </i>
    <i>
      <x v="2020"/>
    </i>
    <i>
      <x v="2021"/>
    </i>
    <i>
      <x v="2022"/>
    </i>
    <i>
      <x v="2028"/>
    </i>
    <i>
      <x v="2030"/>
    </i>
    <i>
      <x v="2032"/>
    </i>
    <i>
      <x v="2037"/>
    </i>
    <i>
      <x v="2039"/>
    </i>
    <i>
      <x v="2042"/>
    </i>
    <i>
      <x v="2045"/>
    </i>
    <i>
      <x v="2049"/>
    </i>
    <i>
      <x v="2053"/>
    </i>
    <i>
      <x v="2059"/>
    </i>
    <i>
      <x v="2067"/>
    </i>
    <i>
      <x v="2068"/>
    </i>
    <i>
      <x v="2069"/>
    </i>
    <i>
      <x v="2072"/>
    </i>
    <i>
      <x v="2073"/>
    </i>
    <i>
      <x v="2075"/>
    </i>
    <i>
      <x v="2076"/>
    </i>
    <i>
      <x v="2100"/>
    </i>
    <i>
      <x v="2160"/>
    </i>
    <i>
      <x v="2161"/>
    </i>
    <i>
      <x v="2183"/>
    </i>
    <i>
      <x v="2191"/>
    </i>
    <i>
      <x v="2195"/>
    </i>
    <i>
      <x v="2219"/>
    </i>
    <i>
      <x v="2232"/>
    </i>
    <i>
      <x v="2245"/>
    </i>
    <i>
      <x v="2247"/>
    </i>
    <i>
      <x v="2249"/>
    </i>
    <i>
      <x v="2250"/>
    </i>
    <i>
      <x v="2252"/>
    </i>
    <i>
      <x v="2256"/>
    </i>
    <i>
      <x v="2258"/>
    </i>
    <i>
      <x v="2261"/>
    </i>
    <i>
      <x v="2266"/>
    </i>
    <i>
      <x v="2273"/>
    </i>
    <i>
      <x v="2279"/>
    </i>
    <i>
      <x v="2288"/>
    </i>
    <i>
      <x v="2297"/>
    </i>
    <i>
      <x v="2298"/>
    </i>
    <i>
      <x v="2301"/>
    </i>
    <i>
      <x v="2304"/>
    </i>
    <i>
      <x v="2305"/>
    </i>
    <i>
      <x v="2306"/>
    </i>
    <i>
      <x v="2311"/>
    </i>
    <i>
      <x v="2312"/>
    </i>
    <i>
      <x v="2313"/>
    </i>
    <i>
      <x v="2314"/>
    </i>
    <i>
      <x v="2315"/>
    </i>
    <i>
      <x v="2321"/>
    </i>
    <i>
      <x v="2323"/>
    </i>
    <i>
      <x v="2324"/>
    </i>
    <i>
      <x v="2326"/>
    </i>
    <i>
      <x v="2327"/>
    </i>
    <i>
      <x v="2338"/>
    </i>
    <i>
      <x v="2339"/>
    </i>
    <i>
      <x v="2340"/>
    </i>
    <i>
      <x v="2341"/>
    </i>
    <i>
      <x v="2342"/>
    </i>
    <i>
      <x v="2353"/>
    </i>
    <i>
      <x v="2360"/>
    </i>
    <i>
      <x v="2361"/>
    </i>
    <i>
      <x v="2362"/>
    </i>
    <i>
      <x v="2365"/>
    </i>
    <i>
      <x v="2369"/>
    </i>
    <i>
      <x v="2375"/>
    </i>
    <i>
      <x v="2380"/>
    </i>
    <i>
      <x v="2381"/>
    </i>
    <i>
      <x v="2382"/>
    </i>
    <i>
      <x v="2383"/>
    </i>
    <i>
      <x v="2384"/>
    </i>
    <i>
      <x v="2394"/>
    </i>
    <i>
      <x v="2395"/>
    </i>
    <i>
      <x v="2396"/>
    </i>
    <i>
      <x v="2397"/>
    </i>
    <i>
      <x v="2398"/>
    </i>
    <i>
      <x v="2399"/>
    </i>
    <i>
      <x v="2400"/>
    </i>
    <i>
      <x v="2401"/>
    </i>
    <i>
      <x v="2402"/>
    </i>
    <i>
      <x v="2403"/>
    </i>
    <i>
      <x v="2404"/>
    </i>
    <i>
      <x v="2405"/>
    </i>
    <i>
      <x v="2406"/>
    </i>
    <i>
      <x v="2407"/>
    </i>
    <i>
      <x v="2414"/>
    </i>
    <i>
      <x v="2416"/>
    </i>
    <i>
      <x v="2417"/>
    </i>
    <i>
      <x v="2418"/>
    </i>
    <i>
      <x v="2419"/>
    </i>
    <i>
      <x v="2420"/>
    </i>
    <i>
      <x v="2421"/>
    </i>
    <i>
      <x v="2422"/>
    </i>
    <i>
      <x v="2425"/>
    </i>
    <i>
      <x v="2426"/>
    </i>
    <i>
      <x v="2427"/>
    </i>
    <i>
      <x v="2428"/>
    </i>
    <i>
      <x v="2429"/>
    </i>
    <i>
      <x v="2430"/>
    </i>
    <i>
      <x v="2431"/>
    </i>
    <i>
      <x v="2432"/>
    </i>
    <i>
      <x v="2433"/>
    </i>
    <i>
      <x v="2434"/>
    </i>
    <i>
      <x v="2435"/>
    </i>
    <i>
      <x v="2436"/>
    </i>
    <i>
      <x v="2437"/>
    </i>
    <i>
      <x v="2438"/>
    </i>
    <i>
      <x v="2440"/>
    </i>
    <i>
      <x v="2445"/>
    </i>
    <i>
      <x v="2446"/>
    </i>
    <i>
      <x v="2447"/>
    </i>
    <i>
      <x v="2448"/>
    </i>
    <i>
      <x v="2449"/>
    </i>
    <i>
      <x v="2450"/>
    </i>
    <i>
      <x v="2451"/>
    </i>
    <i>
      <x v="2452"/>
    </i>
    <i>
      <x v="2457"/>
    </i>
    <i>
      <x v="2459"/>
    </i>
    <i>
      <x v="2460"/>
    </i>
    <i>
      <x v="2461"/>
    </i>
    <i>
      <x v="2462"/>
    </i>
    <i>
      <x v="2464"/>
    </i>
    <i>
      <x v="2472"/>
    </i>
    <i>
      <x v="2473"/>
    </i>
    <i>
      <x v="2474"/>
    </i>
    <i>
      <x v="2476"/>
    </i>
    <i>
      <x v="2481"/>
    </i>
    <i>
      <x v="2482"/>
    </i>
    <i>
      <x v="2483"/>
    </i>
    <i>
      <x v="2486"/>
    </i>
    <i>
      <x v="2491"/>
    </i>
    <i>
      <x v="2494"/>
    </i>
    <i>
      <x v="2496"/>
    </i>
    <i>
      <x v="2499"/>
    </i>
    <i>
      <x v="2503"/>
    </i>
    <i>
      <x v="2507"/>
    </i>
    <i>
      <x v="2512"/>
    </i>
    <i>
      <x v="2514"/>
    </i>
    <i>
      <x v="2516"/>
    </i>
    <i>
      <x v="2517"/>
    </i>
    <i>
      <x v="2519"/>
    </i>
    <i>
      <x v="2521"/>
    </i>
    <i>
      <x v="2522"/>
    </i>
    <i>
      <x v="2523"/>
    </i>
    <i>
      <x v="2528"/>
    </i>
    <i>
      <x v="2532"/>
    </i>
    <i>
      <x v="2534"/>
    </i>
    <i>
      <x v="2535"/>
    </i>
    <i>
      <x v="2536"/>
    </i>
    <i>
      <x v="2541"/>
    </i>
    <i>
      <x v="2542"/>
    </i>
    <i>
      <x v="2543"/>
    </i>
    <i>
      <x v="2545"/>
    </i>
    <i>
      <x v="2546"/>
    </i>
    <i>
      <x v="2547"/>
    </i>
    <i>
      <x v="2549"/>
    </i>
    <i>
      <x v="2553"/>
    </i>
    <i>
      <x v="2555"/>
    </i>
    <i>
      <x v="2557"/>
    </i>
    <i>
      <x v="2558"/>
    </i>
    <i>
      <x v="2559"/>
    </i>
    <i>
      <x v="2560"/>
    </i>
    <i>
      <x v="2561"/>
    </i>
    <i>
      <x v="2562"/>
    </i>
    <i>
      <x v="2563"/>
    </i>
    <i>
      <x v="2564"/>
    </i>
    <i>
      <x v="2566"/>
    </i>
    <i>
      <x v="2567"/>
    </i>
    <i>
      <x v="2568"/>
    </i>
    <i>
      <x v="2569"/>
    </i>
    <i>
      <x v="2571"/>
    </i>
    <i>
      <x v="2572"/>
    </i>
    <i>
      <x v="2573"/>
    </i>
    <i>
      <x v="2574"/>
    </i>
    <i>
      <x v="2575"/>
    </i>
    <i>
      <x v="2576"/>
    </i>
    <i>
      <x v="2578"/>
    </i>
    <i>
      <x v="2579"/>
    </i>
    <i>
      <x v="2580"/>
    </i>
    <i>
      <x v="2581"/>
    </i>
    <i>
      <x v="2582"/>
    </i>
    <i>
      <x v="2583"/>
    </i>
    <i>
      <x v="2584"/>
    </i>
    <i>
      <x v="2585"/>
    </i>
    <i>
      <x v="2586"/>
    </i>
    <i>
      <x v="2587"/>
    </i>
    <i>
      <x v="2588"/>
    </i>
    <i>
      <x v="2589"/>
    </i>
    <i>
      <x v="2590"/>
    </i>
    <i>
      <x v="2591"/>
    </i>
    <i>
      <x v="2592"/>
    </i>
    <i>
      <x v="2593"/>
    </i>
    <i>
      <x v="2595"/>
    </i>
    <i>
      <x v="2596"/>
    </i>
    <i>
      <x v="2597"/>
    </i>
    <i>
      <x v="2598"/>
    </i>
    <i>
      <x v="2599"/>
    </i>
    <i>
      <x v="2600"/>
    </i>
    <i>
      <x v="2601"/>
    </i>
    <i>
      <x v="2602"/>
    </i>
    <i>
      <x v="2603"/>
    </i>
    <i>
      <x v="2604"/>
    </i>
    <i>
      <x v="2605"/>
    </i>
    <i>
      <x v="2606"/>
    </i>
    <i>
      <x v="2607"/>
    </i>
    <i>
      <x v="2609"/>
    </i>
    <i>
      <x v="2617"/>
    </i>
    <i>
      <x v="2618"/>
    </i>
    <i>
      <x v="2623"/>
    </i>
    <i>
      <x v="2626"/>
    </i>
    <i>
      <x v="2628"/>
    </i>
    <i>
      <x v="2629"/>
    </i>
    <i>
      <x v="2631"/>
    </i>
    <i>
      <x v="2634"/>
    </i>
    <i>
      <x v="2635"/>
    </i>
    <i>
      <x v="2637"/>
    </i>
    <i>
      <x v="2640"/>
    </i>
    <i>
      <x v="2641"/>
    </i>
    <i>
      <x v="2643"/>
    </i>
    <i>
      <x v="2644"/>
    </i>
    <i>
      <x v="2645"/>
    </i>
    <i>
      <x v="2646"/>
    </i>
    <i>
      <x v="2647"/>
    </i>
    <i>
      <x v="2648"/>
    </i>
    <i>
      <x v="2649"/>
    </i>
    <i>
      <x v="2650"/>
    </i>
    <i>
      <x v="2651"/>
    </i>
    <i>
      <x v="2652"/>
    </i>
    <i>
      <x v="2653"/>
    </i>
    <i>
      <x v="2654"/>
    </i>
    <i>
      <x v="2655"/>
    </i>
    <i>
      <x v="2659"/>
    </i>
    <i>
      <x v="2661"/>
    </i>
    <i>
      <x v="2663"/>
    </i>
    <i>
      <x v="2666"/>
    </i>
    <i>
      <x v="2668"/>
    </i>
    <i>
      <x v="2669"/>
    </i>
    <i>
      <x v="2673"/>
    </i>
    <i>
      <x v="2674"/>
    </i>
    <i>
      <x v="2675"/>
    </i>
    <i>
      <x v="2677"/>
    </i>
    <i>
      <x v="2678"/>
    </i>
    <i>
      <x v="2679"/>
    </i>
    <i>
      <x v="2680"/>
    </i>
    <i>
      <x v="2681"/>
    </i>
    <i>
      <x v="2682"/>
    </i>
    <i>
      <x v="2683"/>
    </i>
    <i>
      <x v="2685"/>
    </i>
    <i>
      <x v="2686"/>
    </i>
    <i>
      <x v="2687"/>
    </i>
    <i>
      <x v="2690"/>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rowItems>
  <colItems count="1">
    <i/>
  </colItems>
  <dataFields count="1">
    <dataField name="Count of ORG_COD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e13" displayName="Table13" ref="A31:K33" totalsRowShown="0" headerRowDxfId="0" headerRowBorderDxfId="13" tableBorderDxfId="14" totalsRowBorderDxfId="12">
  <autoFilter ref="A31:K33"/>
  <tableColumns count="11">
    <tableColumn id="1" name="Delivery #" dataDxfId="11"/>
    <tableColumn id="2" name="Line Ct" dataDxfId="10"/>
    <tableColumn id="3" name="SO#" dataDxfId="9"/>
    <tableColumn id="6" name="Time Received" dataDxfId="8"/>
    <tableColumn id="7" name="SSD Date" dataDxfId="7"/>
    <tableColumn id="8" name="Status" dataDxfId="6"/>
    <tableColumn id="9" name="Picker Name" dataDxfId="5"/>
    <tableColumn id="13" name="Picking Notes" dataDxfId="4"/>
    <tableColumn id="19" name="Comments / CSR Notes" dataDxfId="3"/>
    <tableColumn id="26" name="Supervisor Comment" dataDxfId="2"/>
    <tableColumn id="27" name="Company Name &amp; Owner of Action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G1000"/>
  <sheetViews>
    <sheetView showGridLines="0" tabSelected="1" zoomScale="90" zoomScaleNormal="90" workbookViewId="0">
      <pane xSplit="1" ySplit="5" topLeftCell="B6" activePane="bottomRight" state="frozen"/>
      <selection sqref="A1:XFD1048576"/>
      <selection pane="topRight" sqref="A1:XFD1048576"/>
      <selection pane="bottomLeft" sqref="A1:XFD1048576"/>
      <selection pane="bottomRight" activeCell="A6" sqref="A6"/>
    </sheetView>
  </sheetViews>
  <sheetFormatPr defaultColWidth="25.85546875" defaultRowHeight="72" customHeight="1" thickBottom="1" x14ac:dyDescent="0.25"/>
  <cols>
    <col min="1" max="1" width="12.140625" style="28" bestFit="1" customWidth="1"/>
    <col min="2" max="2" width="11.5703125" style="28" customWidth="1"/>
    <col min="3" max="3" width="11" style="28" customWidth="1"/>
    <col min="4" max="4" width="18" style="28" hidden="1" customWidth="1"/>
    <col min="5" max="5" width="17.28515625" style="29" customWidth="1"/>
    <col min="6" max="6" width="12.5703125" style="28" customWidth="1"/>
    <col min="7" max="7" width="11.5703125" style="28" customWidth="1"/>
    <col min="8" max="8" width="23.7109375" style="28" customWidth="1"/>
    <col min="9" max="9" width="11.28515625" style="8" hidden="1" customWidth="1"/>
    <col min="10" max="10" width="12.5703125" style="6" hidden="1" customWidth="1"/>
    <col min="11" max="11" width="23.7109375" style="8" hidden="1" customWidth="1"/>
    <col min="12" max="12" width="6.42578125" style="8" hidden="1" customWidth="1"/>
    <col min="13" max="13" width="23.7109375" style="8" customWidth="1"/>
    <col min="14" max="16" width="23.7109375" style="8" hidden="1" customWidth="1"/>
    <col min="17" max="17" width="15.5703125" style="8" hidden="1" customWidth="1"/>
    <col min="18" max="18" width="17.140625" style="8" hidden="1" customWidth="1"/>
    <col min="19" max="19" width="31.85546875" style="6" customWidth="1"/>
    <col min="20" max="20" width="20" style="6" hidden="1" customWidth="1"/>
    <col min="21" max="21" width="20" style="6" customWidth="1"/>
    <col min="22" max="25" width="20" style="6" hidden="1" customWidth="1"/>
    <col min="26" max="26" width="31.85546875" style="6" customWidth="1"/>
    <col min="27" max="27" width="17.140625" style="6" customWidth="1"/>
    <col min="28" max="28" width="14.140625" style="8" hidden="1" customWidth="1"/>
    <col min="29" max="16384" width="25.85546875" style="5"/>
  </cols>
  <sheetData>
    <row r="1" spans="1:33" ht="28.5" customHeight="1" x14ac:dyDescent="0.2">
      <c r="A1" s="26"/>
      <c r="B1" s="26"/>
      <c r="C1" s="26"/>
      <c r="D1" s="26"/>
      <c r="E1" s="27"/>
      <c r="F1" s="26"/>
      <c r="G1" s="26"/>
      <c r="H1" s="26"/>
      <c r="I1" s="19"/>
      <c r="J1" s="18"/>
      <c r="K1" s="19"/>
      <c r="L1" s="19"/>
      <c r="M1" s="19"/>
      <c r="N1" s="19"/>
      <c r="O1" s="19"/>
      <c r="P1" s="19"/>
      <c r="Q1" s="19"/>
      <c r="R1" s="19"/>
      <c r="S1" s="18"/>
      <c r="T1" s="18"/>
      <c r="U1" s="18"/>
      <c r="V1" s="18"/>
      <c r="W1" s="18"/>
      <c r="X1" s="18"/>
      <c r="Y1" s="18"/>
      <c r="Z1" s="18"/>
      <c r="AA1" s="18"/>
      <c r="AB1" s="19"/>
    </row>
    <row r="2" spans="1:33" ht="71.25" customHeight="1" x14ac:dyDescent="0.35">
      <c r="A2" s="26"/>
      <c r="B2" s="26"/>
      <c r="C2" s="26"/>
      <c r="D2" s="26"/>
      <c r="E2" s="104"/>
      <c r="F2" s="26"/>
      <c r="G2" s="26"/>
      <c r="H2" s="26"/>
      <c r="I2" s="19"/>
      <c r="J2" s="18"/>
      <c r="K2" s="19"/>
      <c r="L2" s="19"/>
      <c r="M2" s="19"/>
      <c r="N2" s="19"/>
      <c r="O2" s="19"/>
      <c r="P2" s="19"/>
      <c r="Q2" s="19"/>
      <c r="R2" s="19"/>
      <c r="S2" s="18"/>
      <c r="T2" s="18"/>
      <c r="U2" s="18"/>
      <c r="V2" s="18"/>
      <c r="W2" s="18"/>
      <c r="X2" s="18"/>
      <c r="Y2" s="18"/>
      <c r="Z2" s="105" t="s">
        <v>746</v>
      </c>
      <c r="AA2" s="18"/>
      <c r="AB2" s="19"/>
    </row>
    <row r="3" spans="1:33" ht="57.75" customHeight="1" x14ac:dyDescent="0.2">
      <c r="A3" s="109" t="s">
        <v>19</v>
      </c>
      <c r="B3" s="109"/>
      <c r="C3" s="109"/>
      <c r="D3" s="109"/>
      <c r="E3" s="110"/>
      <c r="F3" s="109"/>
      <c r="G3" s="109"/>
      <c r="H3" s="109"/>
      <c r="I3" s="110"/>
      <c r="J3" s="109"/>
      <c r="K3" s="110"/>
      <c r="L3" s="110"/>
      <c r="M3" s="110"/>
      <c r="N3" s="110"/>
      <c r="O3" s="110"/>
      <c r="P3" s="110"/>
      <c r="Q3" s="110"/>
      <c r="R3" s="110"/>
      <c r="S3" s="109"/>
      <c r="T3" s="109"/>
      <c r="U3" s="109"/>
      <c r="V3" s="109"/>
      <c r="W3" s="109"/>
      <c r="X3" s="109"/>
      <c r="Y3" s="109"/>
      <c r="Z3" s="109"/>
      <c r="AA3" s="109"/>
      <c r="AB3" s="109"/>
    </row>
    <row r="4" spans="1:33" ht="28.5" hidden="1" customHeight="1" x14ac:dyDescent="0.2">
      <c r="A4" s="116" t="s">
        <v>118</v>
      </c>
      <c r="B4" s="117"/>
      <c r="C4" s="117"/>
      <c r="D4" s="117"/>
      <c r="E4" s="117"/>
      <c r="F4" s="117"/>
      <c r="G4" s="118"/>
      <c r="H4" s="94" t="s">
        <v>120</v>
      </c>
      <c r="I4" s="113" t="s">
        <v>119</v>
      </c>
      <c r="J4" s="114"/>
      <c r="K4" s="114"/>
      <c r="L4" s="114"/>
      <c r="M4" s="115"/>
      <c r="N4" s="84"/>
      <c r="O4" s="84"/>
      <c r="P4" s="84"/>
      <c r="Q4" s="82" t="s">
        <v>120</v>
      </c>
      <c r="R4" s="111" t="s">
        <v>121</v>
      </c>
      <c r="S4" s="111"/>
      <c r="T4" s="111"/>
      <c r="U4" s="85"/>
      <c r="V4" s="85"/>
      <c r="W4" s="85"/>
      <c r="X4" s="85"/>
      <c r="Y4" s="85"/>
      <c r="Z4" s="112" t="s">
        <v>122</v>
      </c>
      <c r="AA4" s="112"/>
      <c r="AB4" s="83" t="s">
        <v>117</v>
      </c>
    </row>
    <row r="5" spans="1:33" ht="33.75" customHeight="1" x14ac:dyDescent="0.2">
      <c r="A5" s="72" t="s">
        <v>0</v>
      </c>
      <c r="B5" s="72" t="s">
        <v>50</v>
      </c>
      <c r="C5" s="72" t="s">
        <v>1</v>
      </c>
      <c r="D5" s="72" t="s">
        <v>2</v>
      </c>
      <c r="E5" s="73" t="s">
        <v>51</v>
      </c>
      <c r="F5" s="72" t="s">
        <v>3</v>
      </c>
      <c r="G5" s="72" t="s">
        <v>9</v>
      </c>
      <c r="H5" s="95" t="s">
        <v>231</v>
      </c>
      <c r="I5" s="74" t="s">
        <v>91</v>
      </c>
      <c r="J5" s="75" t="s">
        <v>732</v>
      </c>
      <c r="K5" s="74" t="s">
        <v>164</v>
      </c>
      <c r="L5" s="74" t="s">
        <v>95</v>
      </c>
      <c r="M5" s="74" t="s">
        <v>94</v>
      </c>
      <c r="N5" s="74" t="s">
        <v>211</v>
      </c>
      <c r="O5" s="74" t="s">
        <v>212</v>
      </c>
      <c r="P5" s="74" t="s">
        <v>213</v>
      </c>
      <c r="Q5" s="76" t="s">
        <v>47</v>
      </c>
      <c r="R5" s="77" t="s">
        <v>109</v>
      </c>
      <c r="S5" s="78" t="s">
        <v>102</v>
      </c>
      <c r="T5" s="78" t="s">
        <v>115</v>
      </c>
      <c r="U5" s="108" t="s">
        <v>299</v>
      </c>
      <c r="V5" s="78" t="s">
        <v>214</v>
      </c>
      <c r="W5" s="78" t="s">
        <v>215</v>
      </c>
      <c r="X5" s="78" t="s">
        <v>216</v>
      </c>
      <c r="Y5" s="78" t="s">
        <v>217</v>
      </c>
      <c r="Z5" s="79" t="s">
        <v>116</v>
      </c>
      <c r="AA5" s="80" t="s">
        <v>8</v>
      </c>
      <c r="AB5" s="81" t="s">
        <v>9</v>
      </c>
    </row>
    <row r="6" spans="1:33" ht="105" x14ac:dyDescent="0.25">
      <c r="A6" s="17">
        <v>9749482</v>
      </c>
      <c r="B6" s="30">
        <v>1</v>
      </c>
      <c r="C6" s="17" t="s">
        <v>90</v>
      </c>
      <c r="D6" s="31" t="s">
        <v>11</v>
      </c>
      <c r="E6" s="32">
        <v>42644</v>
      </c>
      <c r="F6" s="33">
        <v>42644</v>
      </c>
      <c r="G6" s="32">
        <v>42644</v>
      </c>
      <c r="H6" s="22" t="s">
        <v>104</v>
      </c>
      <c r="I6" s="23" t="s">
        <v>39</v>
      </c>
      <c r="J6" s="23" t="s">
        <v>39</v>
      </c>
      <c r="K6" s="22"/>
      <c r="L6" s="23" t="s">
        <v>39</v>
      </c>
      <c r="M6" s="23" t="s">
        <v>132</v>
      </c>
      <c r="N6" s="22"/>
      <c r="O6" s="22"/>
      <c r="P6" s="22"/>
      <c r="Q6" s="22"/>
      <c r="R6" s="23" t="s">
        <v>618</v>
      </c>
      <c r="S6" s="23" t="s">
        <v>618</v>
      </c>
      <c r="T6" s="23" t="s">
        <v>39</v>
      </c>
      <c r="U6" s="23" t="s">
        <v>39</v>
      </c>
      <c r="V6" s="22"/>
      <c r="W6" s="22"/>
      <c r="X6" s="22"/>
      <c r="Y6" s="22"/>
      <c r="Z6" s="22" t="s">
        <v>39</v>
      </c>
      <c r="AA6" s="22" t="s">
        <v>39</v>
      </c>
      <c r="AB6"/>
      <c r="AC6"/>
      <c r="AD6"/>
      <c r="AE6"/>
      <c r="AF6"/>
      <c r="AG6"/>
    </row>
    <row r="7" spans="1:33" ht="72" customHeight="1" x14ac:dyDescent="0.25">
      <c r="A7" s="17">
        <v>9750889</v>
      </c>
      <c r="B7" s="30">
        <v>2</v>
      </c>
      <c r="C7" s="17" t="s">
        <v>92</v>
      </c>
      <c r="D7" s="31" t="s">
        <v>20</v>
      </c>
      <c r="E7" s="32">
        <v>42648</v>
      </c>
      <c r="F7" s="33">
        <v>42648</v>
      </c>
      <c r="G7" s="32">
        <v>42648</v>
      </c>
      <c r="H7" s="22" t="s">
        <v>95</v>
      </c>
      <c r="I7" s="23" t="s">
        <v>39</v>
      </c>
      <c r="J7" s="23" t="s">
        <v>39</v>
      </c>
      <c r="K7" s="22"/>
      <c r="L7" s="23" t="s">
        <v>219</v>
      </c>
      <c r="M7" s="23" t="s">
        <v>257</v>
      </c>
      <c r="N7" s="22"/>
      <c r="O7" s="22"/>
      <c r="P7" s="22"/>
      <c r="Q7" s="22"/>
      <c r="R7" s="23" t="s">
        <v>39</v>
      </c>
      <c r="S7" s="23" t="s">
        <v>133</v>
      </c>
      <c r="T7" s="23" t="s">
        <v>39</v>
      </c>
      <c r="U7" s="23" t="s">
        <v>39</v>
      </c>
      <c r="V7" s="22"/>
      <c r="W7" s="22"/>
      <c r="X7" s="22"/>
      <c r="Y7" s="22"/>
      <c r="Z7" s="22" t="s">
        <v>39</v>
      </c>
      <c r="AA7" s="22" t="s">
        <v>39</v>
      </c>
      <c r="AB7" s="1"/>
      <c r="AC7"/>
      <c r="AD7"/>
      <c r="AE7"/>
      <c r="AF7"/>
      <c r="AG7"/>
    </row>
    <row r="8" spans="1:33" ht="72" customHeight="1" x14ac:dyDescent="0.25">
      <c r="A8" s="17">
        <v>9751937</v>
      </c>
      <c r="B8" s="30">
        <v>1</v>
      </c>
      <c r="C8" s="17" t="s">
        <v>105</v>
      </c>
      <c r="D8" s="31" t="s">
        <v>20</v>
      </c>
      <c r="E8" s="32">
        <v>42651</v>
      </c>
      <c r="F8" s="33">
        <v>42651</v>
      </c>
      <c r="G8" s="32">
        <v>42651</v>
      </c>
      <c r="H8" s="22" t="s">
        <v>95</v>
      </c>
      <c r="I8" s="23" t="s">
        <v>39</v>
      </c>
      <c r="J8" s="23" t="s">
        <v>39</v>
      </c>
      <c r="K8" s="22"/>
      <c r="L8" s="23" t="s">
        <v>219</v>
      </c>
      <c r="M8" s="23" t="s">
        <v>258</v>
      </c>
      <c r="N8" s="22"/>
      <c r="O8" s="22"/>
      <c r="P8" s="22"/>
      <c r="Q8" s="22"/>
      <c r="R8" s="23" t="s">
        <v>39</v>
      </c>
      <c r="S8" s="23" t="s">
        <v>95</v>
      </c>
      <c r="T8" s="23" t="s">
        <v>39</v>
      </c>
      <c r="U8" s="23" t="s">
        <v>39</v>
      </c>
      <c r="V8" s="22"/>
      <c r="W8" s="22"/>
      <c r="X8" s="22"/>
      <c r="Y8" s="22"/>
      <c r="Z8" s="22" t="s">
        <v>39</v>
      </c>
      <c r="AA8" s="22" t="s">
        <v>39</v>
      </c>
      <c r="AB8" s="1"/>
      <c r="AC8"/>
      <c r="AD8"/>
      <c r="AE8"/>
      <c r="AF8"/>
      <c r="AG8"/>
    </row>
    <row r="9" spans="1:33" ht="72" customHeight="1" x14ac:dyDescent="0.25">
      <c r="A9" s="17">
        <v>9752653</v>
      </c>
      <c r="B9" s="30">
        <v>2</v>
      </c>
      <c r="C9" s="17" t="s">
        <v>41</v>
      </c>
      <c r="D9" s="31" t="s">
        <v>45</v>
      </c>
      <c r="E9" s="32">
        <v>42654</v>
      </c>
      <c r="F9" s="33">
        <v>42654</v>
      </c>
      <c r="G9" s="32">
        <v>42654</v>
      </c>
      <c r="H9" s="22" t="s">
        <v>95</v>
      </c>
      <c r="I9" s="23" t="s">
        <v>39</v>
      </c>
      <c r="J9" s="23" t="s">
        <v>39</v>
      </c>
      <c r="K9" s="22"/>
      <c r="L9" s="23" t="s">
        <v>219</v>
      </c>
      <c r="M9" s="23" t="s">
        <v>259</v>
      </c>
      <c r="N9" s="22"/>
      <c r="O9" s="22"/>
      <c r="P9" s="22"/>
      <c r="Q9" s="22"/>
      <c r="R9" s="23" t="s">
        <v>111</v>
      </c>
      <c r="S9" s="23" t="s">
        <v>111</v>
      </c>
      <c r="T9" s="23" t="s">
        <v>39</v>
      </c>
      <c r="U9" s="23" t="s">
        <v>39</v>
      </c>
      <c r="V9" s="22"/>
      <c r="W9" s="22"/>
      <c r="X9" s="22"/>
      <c r="Y9" s="22"/>
      <c r="Z9" s="22" t="s">
        <v>39</v>
      </c>
      <c r="AA9" s="22" t="s">
        <v>39</v>
      </c>
      <c r="AB9" s="1"/>
      <c r="AC9"/>
      <c r="AD9"/>
      <c r="AE9"/>
      <c r="AF9"/>
      <c r="AG9"/>
    </row>
    <row r="10" spans="1:33" ht="72" customHeight="1" x14ac:dyDescent="0.25">
      <c r="A10" s="17">
        <v>9752799</v>
      </c>
      <c r="B10" s="30">
        <v>1</v>
      </c>
      <c r="C10" s="17" t="s">
        <v>110</v>
      </c>
      <c r="D10" s="31" t="s">
        <v>16</v>
      </c>
      <c r="E10" s="32">
        <v>42654</v>
      </c>
      <c r="F10" s="33">
        <v>42654</v>
      </c>
      <c r="G10" s="32">
        <v>42654</v>
      </c>
      <c r="H10" s="22" t="s">
        <v>95</v>
      </c>
      <c r="I10" s="23" t="s">
        <v>371</v>
      </c>
      <c r="J10" s="23" t="s">
        <v>39</v>
      </c>
      <c r="K10" s="22"/>
      <c r="L10" s="23" t="s">
        <v>263</v>
      </c>
      <c r="M10" s="23" t="s">
        <v>39</v>
      </c>
      <c r="N10" s="22"/>
      <c r="O10" s="22"/>
      <c r="P10" s="22"/>
      <c r="Q10" s="22"/>
      <c r="R10" s="23" t="s">
        <v>114</v>
      </c>
      <c r="S10" s="23" t="s">
        <v>114</v>
      </c>
      <c r="T10" s="23" t="s">
        <v>39</v>
      </c>
      <c r="U10" s="23" t="s">
        <v>39</v>
      </c>
      <c r="V10" s="22"/>
      <c r="W10" s="22"/>
      <c r="X10" s="22"/>
      <c r="Y10" s="22"/>
      <c r="Z10" s="22" t="s">
        <v>39</v>
      </c>
      <c r="AA10" s="22" t="s">
        <v>39</v>
      </c>
      <c r="AB10" s="1"/>
      <c r="AC10"/>
      <c r="AD10"/>
      <c r="AE10"/>
      <c r="AF10"/>
      <c r="AG10"/>
    </row>
    <row r="11" spans="1:33" ht="72" customHeight="1" x14ac:dyDescent="0.25">
      <c r="A11" s="17">
        <v>9753324</v>
      </c>
      <c r="B11" s="30">
        <v>2</v>
      </c>
      <c r="C11" s="17" t="s">
        <v>123</v>
      </c>
      <c r="D11" s="31" t="s">
        <v>20</v>
      </c>
      <c r="E11" s="32">
        <v>42655</v>
      </c>
      <c r="F11" s="33">
        <v>42655</v>
      </c>
      <c r="G11" s="32">
        <v>42655</v>
      </c>
      <c r="H11" s="22" t="s">
        <v>112</v>
      </c>
      <c r="I11" s="23" t="s">
        <v>223</v>
      </c>
      <c r="J11" s="23" t="s">
        <v>39</v>
      </c>
      <c r="K11" s="22"/>
      <c r="L11" s="23" t="s">
        <v>39</v>
      </c>
      <c r="M11" s="23" t="s">
        <v>39</v>
      </c>
      <c r="N11" s="22"/>
      <c r="O11" s="22"/>
      <c r="P11" s="22"/>
      <c r="Q11" s="22"/>
      <c r="R11" s="23" t="s">
        <v>134</v>
      </c>
      <c r="S11" s="23" t="s">
        <v>134</v>
      </c>
      <c r="T11" s="23" t="s">
        <v>39</v>
      </c>
      <c r="U11" s="23" t="s">
        <v>39</v>
      </c>
      <c r="V11" s="22"/>
      <c r="W11" s="22"/>
      <c r="X11" s="22"/>
      <c r="Y11" s="22"/>
      <c r="Z11" s="22" t="s">
        <v>39</v>
      </c>
      <c r="AA11" s="22" t="s">
        <v>39</v>
      </c>
      <c r="AB11" s="1"/>
      <c r="AC11"/>
      <c r="AD11"/>
      <c r="AE11"/>
      <c r="AF11"/>
      <c r="AG11"/>
    </row>
    <row r="12" spans="1:33" ht="72" customHeight="1" x14ac:dyDescent="0.25">
      <c r="A12" s="17">
        <v>9753344</v>
      </c>
      <c r="B12" s="30">
        <v>9</v>
      </c>
      <c r="C12" s="17" t="s">
        <v>124</v>
      </c>
      <c r="D12" s="31" t="s">
        <v>20</v>
      </c>
      <c r="E12" s="32">
        <v>42655</v>
      </c>
      <c r="F12" s="33">
        <v>42655</v>
      </c>
      <c r="G12" s="32">
        <v>42655</v>
      </c>
      <c r="H12" s="22" t="s">
        <v>112</v>
      </c>
      <c r="I12" s="23" t="s">
        <v>223</v>
      </c>
      <c r="J12" s="23" t="s">
        <v>39</v>
      </c>
      <c r="K12" s="22"/>
      <c r="L12" s="23" t="s">
        <v>39</v>
      </c>
      <c r="M12" s="23" t="s">
        <v>39</v>
      </c>
      <c r="N12" s="22"/>
      <c r="O12" s="22"/>
      <c r="P12" s="22"/>
      <c r="Q12" s="22"/>
      <c r="R12" s="23" t="s">
        <v>134</v>
      </c>
      <c r="S12" s="23" t="s">
        <v>134</v>
      </c>
      <c r="T12" s="23" t="s">
        <v>39</v>
      </c>
      <c r="U12" s="23" t="s">
        <v>39</v>
      </c>
      <c r="V12" s="22"/>
      <c r="W12" s="22"/>
      <c r="X12" s="22"/>
      <c r="Y12" s="22"/>
      <c r="Z12" s="22" t="s">
        <v>39</v>
      </c>
      <c r="AA12" s="22" t="s">
        <v>39</v>
      </c>
      <c r="AB12" s="1"/>
      <c r="AC12"/>
      <c r="AD12"/>
      <c r="AE12"/>
      <c r="AF12"/>
      <c r="AG12"/>
    </row>
    <row r="13" spans="1:33" ht="72" customHeight="1" x14ac:dyDescent="0.25">
      <c r="A13" s="17">
        <v>9753496</v>
      </c>
      <c r="B13" s="30">
        <v>2</v>
      </c>
      <c r="C13" s="17" t="s">
        <v>103</v>
      </c>
      <c r="D13" s="31" t="s">
        <v>52</v>
      </c>
      <c r="E13" s="32">
        <v>42656</v>
      </c>
      <c r="F13" s="33">
        <v>42656</v>
      </c>
      <c r="G13" s="32">
        <v>42656</v>
      </c>
      <c r="H13" s="22" t="s">
        <v>95</v>
      </c>
      <c r="I13" s="23" t="s">
        <v>39</v>
      </c>
      <c r="J13" s="23" t="s">
        <v>39</v>
      </c>
      <c r="K13" s="22"/>
      <c r="L13" s="23" t="s">
        <v>688</v>
      </c>
      <c r="M13" s="23" t="s">
        <v>689</v>
      </c>
      <c r="N13" s="22"/>
      <c r="O13" s="22"/>
      <c r="P13" s="22"/>
      <c r="Q13" s="22"/>
      <c r="R13" s="23" t="s">
        <v>681</v>
      </c>
      <c r="S13" s="23" t="s">
        <v>681</v>
      </c>
      <c r="T13" s="23" t="s">
        <v>39</v>
      </c>
      <c r="U13" s="23" t="s">
        <v>39</v>
      </c>
      <c r="V13" s="22"/>
      <c r="W13" s="22"/>
      <c r="X13" s="22"/>
      <c r="Y13" s="22"/>
      <c r="Z13" s="22" t="s">
        <v>39</v>
      </c>
      <c r="AA13" s="22" t="s">
        <v>39</v>
      </c>
      <c r="AB13" s="1"/>
      <c r="AC13"/>
      <c r="AD13"/>
      <c r="AE13"/>
      <c r="AF13"/>
      <c r="AG13"/>
    </row>
    <row r="14" spans="1:33" ht="72" customHeight="1" x14ac:dyDescent="0.25">
      <c r="A14" s="17">
        <v>9753498</v>
      </c>
      <c r="B14" s="30">
        <v>3</v>
      </c>
      <c r="C14" s="17" t="s">
        <v>44</v>
      </c>
      <c r="D14" s="31" t="s">
        <v>52</v>
      </c>
      <c r="E14" s="32">
        <v>42656</v>
      </c>
      <c r="F14" s="33">
        <v>42656</v>
      </c>
      <c r="G14" s="32">
        <v>42656</v>
      </c>
      <c r="H14" s="22" t="s">
        <v>108</v>
      </c>
      <c r="I14" s="23" t="s">
        <v>39</v>
      </c>
      <c r="J14" s="23" t="s">
        <v>39</v>
      </c>
      <c r="K14" s="22"/>
      <c r="L14" s="23" t="s">
        <v>39</v>
      </c>
      <c r="M14" s="23" t="s">
        <v>39</v>
      </c>
      <c r="N14" s="22"/>
      <c r="O14" s="22"/>
      <c r="P14" s="22"/>
      <c r="Q14" s="22"/>
      <c r="R14" s="23" t="s">
        <v>466</v>
      </c>
      <c r="S14" s="23">
        <v>6900799</v>
      </c>
      <c r="T14" s="23" t="s">
        <v>294</v>
      </c>
      <c r="U14" s="23" t="s">
        <v>579</v>
      </c>
      <c r="V14" s="22"/>
      <c r="W14" s="22"/>
      <c r="X14" s="22"/>
      <c r="Y14" s="22"/>
      <c r="Z14" s="22" t="s">
        <v>39</v>
      </c>
      <c r="AA14" s="22" t="s">
        <v>39</v>
      </c>
      <c r="AB14" s="1"/>
      <c r="AC14"/>
      <c r="AD14"/>
      <c r="AE14"/>
      <c r="AF14"/>
      <c r="AG14"/>
    </row>
    <row r="15" spans="1:33" ht="72" customHeight="1" x14ac:dyDescent="0.25">
      <c r="A15" s="17">
        <v>9753792</v>
      </c>
      <c r="B15" s="30">
        <v>5</v>
      </c>
      <c r="C15" s="17" t="s">
        <v>31</v>
      </c>
      <c r="D15" s="31" t="s">
        <v>11</v>
      </c>
      <c r="E15" s="32">
        <v>42656</v>
      </c>
      <c r="F15" s="33">
        <v>42656</v>
      </c>
      <c r="G15" s="32">
        <v>42656</v>
      </c>
      <c r="H15" s="22" t="s">
        <v>104</v>
      </c>
      <c r="I15" s="23" t="s">
        <v>39</v>
      </c>
      <c r="J15" s="23" t="s">
        <v>39</v>
      </c>
      <c r="K15" s="22"/>
      <c r="L15" s="23" t="s">
        <v>39</v>
      </c>
      <c r="M15" s="23" t="s">
        <v>690</v>
      </c>
      <c r="N15" s="22"/>
      <c r="O15" s="22"/>
      <c r="P15" s="22"/>
      <c r="Q15" s="22"/>
      <c r="R15" s="23" t="s">
        <v>162</v>
      </c>
      <c r="S15" s="23" t="s">
        <v>162</v>
      </c>
      <c r="T15" s="23" t="s">
        <v>39</v>
      </c>
      <c r="U15" s="23" t="s">
        <v>39</v>
      </c>
      <c r="V15" s="22"/>
      <c r="W15" s="22"/>
      <c r="X15" s="22"/>
      <c r="Y15" s="22"/>
      <c r="Z15" s="22" t="s">
        <v>39</v>
      </c>
      <c r="AA15" s="22" t="s">
        <v>39</v>
      </c>
      <c r="AB15" s="1"/>
      <c r="AC15"/>
      <c r="AD15"/>
      <c r="AE15"/>
      <c r="AF15"/>
      <c r="AG15"/>
    </row>
    <row r="16" spans="1:33" ht="72" customHeight="1" x14ac:dyDescent="0.25">
      <c r="A16" s="17">
        <v>9753796</v>
      </c>
      <c r="B16" s="30">
        <v>1</v>
      </c>
      <c r="C16" s="17" t="s">
        <v>138</v>
      </c>
      <c r="D16" s="31" t="s">
        <v>89</v>
      </c>
      <c r="E16" s="32">
        <v>42656</v>
      </c>
      <c r="F16" s="33">
        <v>42656</v>
      </c>
      <c r="G16" s="32">
        <v>42656</v>
      </c>
      <c r="H16" s="22" t="s">
        <v>108</v>
      </c>
      <c r="I16" s="23" t="s">
        <v>223</v>
      </c>
      <c r="J16" s="23" t="s">
        <v>39</v>
      </c>
      <c r="K16" s="22"/>
      <c r="L16" s="23" t="s">
        <v>39</v>
      </c>
      <c r="M16" s="23" t="s">
        <v>39</v>
      </c>
      <c r="N16" s="22"/>
      <c r="O16" s="22"/>
      <c r="P16" s="22"/>
      <c r="Q16" s="22"/>
      <c r="R16" s="23" t="s">
        <v>39</v>
      </c>
      <c r="S16" s="23" t="s">
        <v>162</v>
      </c>
      <c r="T16" s="23" t="s">
        <v>39</v>
      </c>
      <c r="U16" s="23" t="s">
        <v>707</v>
      </c>
      <c r="V16" s="22"/>
      <c r="W16" s="22"/>
      <c r="X16" s="22"/>
      <c r="Y16" s="22"/>
      <c r="Z16" s="22" t="s">
        <v>39</v>
      </c>
      <c r="AA16" s="22" t="s">
        <v>39</v>
      </c>
      <c r="AB16" s="1"/>
      <c r="AC16"/>
      <c r="AD16"/>
      <c r="AE16"/>
      <c r="AF16"/>
      <c r="AG16"/>
    </row>
    <row r="17" spans="1:33" ht="72" customHeight="1" x14ac:dyDescent="0.25">
      <c r="A17" s="17">
        <v>9753814</v>
      </c>
      <c r="B17" s="30">
        <v>1</v>
      </c>
      <c r="C17" s="17" t="s">
        <v>140</v>
      </c>
      <c r="D17" s="31" t="s">
        <v>52</v>
      </c>
      <c r="E17" s="32">
        <v>42656</v>
      </c>
      <c r="F17" s="33">
        <v>42656</v>
      </c>
      <c r="G17" s="32">
        <v>42656</v>
      </c>
      <c r="H17" s="22" t="s">
        <v>108</v>
      </c>
      <c r="I17" s="23" t="s">
        <v>223</v>
      </c>
      <c r="J17" s="23" t="s">
        <v>39</v>
      </c>
      <c r="K17" s="22"/>
      <c r="L17" s="23" t="s">
        <v>39</v>
      </c>
      <c r="M17" s="23" t="s">
        <v>39</v>
      </c>
      <c r="N17" s="22"/>
      <c r="O17" s="22"/>
      <c r="P17" s="22"/>
      <c r="Q17" s="22"/>
      <c r="R17" s="23" t="s">
        <v>39</v>
      </c>
      <c r="S17" s="23" t="s">
        <v>162</v>
      </c>
      <c r="T17" s="23" t="s">
        <v>39</v>
      </c>
      <c r="U17" s="23" t="s">
        <v>569</v>
      </c>
      <c r="V17" s="22"/>
      <c r="W17" s="22"/>
      <c r="X17" s="22"/>
      <c r="Y17" s="22"/>
      <c r="Z17" s="22" t="s">
        <v>39</v>
      </c>
      <c r="AA17" s="22" t="s">
        <v>39</v>
      </c>
      <c r="AB17" s="1"/>
      <c r="AC17"/>
      <c r="AD17"/>
      <c r="AE17"/>
      <c r="AF17"/>
      <c r="AG17"/>
    </row>
    <row r="18" spans="1:33" ht="72" customHeight="1" x14ac:dyDescent="0.25">
      <c r="A18" s="17">
        <v>9753909</v>
      </c>
      <c r="B18" s="30">
        <v>1</v>
      </c>
      <c r="C18" s="17" t="s">
        <v>157</v>
      </c>
      <c r="D18" s="31" t="s">
        <v>52</v>
      </c>
      <c r="E18" s="32">
        <v>42657</v>
      </c>
      <c r="F18" s="33">
        <v>42657</v>
      </c>
      <c r="G18" s="32">
        <v>42657</v>
      </c>
      <c r="H18" s="22" t="s">
        <v>108</v>
      </c>
      <c r="I18" s="23" t="s">
        <v>39</v>
      </c>
      <c r="J18" s="23" t="s">
        <v>39</v>
      </c>
      <c r="K18" s="22"/>
      <c r="L18" s="23" t="s">
        <v>39</v>
      </c>
      <c r="M18" s="23" t="s">
        <v>39</v>
      </c>
      <c r="N18" s="22"/>
      <c r="O18" s="22"/>
      <c r="P18" s="22"/>
      <c r="Q18" s="22"/>
      <c r="R18" s="23" t="s">
        <v>39</v>
      </c>
      <c r="S18" s="23" t="s">
        <v>157</v>
      </c>
      <c r="T18" s="23" t="s">
        <v>294</v>
      </c>
      <c r="U18" s="23" t="s">
        <v>572</v>
      </c>
      <c r="V18" s="22"/>
      <c r="W18" s="22"/>
      <c r="X18" s="22"/>
      <c r="Y18" s="22"/>
      <c r="Z18" s="22" t="s">
        <v>39</v>
      </c>
      <c r="AA18" s="22" t="s">
        <v>39</v>
      </c>
      <c r="AB18" s="1"/>
      <c r="AC18"/>
      <c r="AD18"/>
      <c r="AE18"/>
      <c r="AF18"/>
      <c r="AG18"/>
    </row>
    <row r="19" spans="1:33" ht="72" customHeight="1" x14ac:dyDescent="0.25">
      <c r="A19" s="17">
        <v>9754053</v>
      </c>
      <c r="B19" s="30">
        <v>1</v>
      </c>
      <c r="C19" s="17" t="s">
        <v>148</v>
      </c>
      <c r="D19" s="31" t="s">
        <v>11</v>
      </c>
      <c r="E19" s="32">
        <v>42657</v>
      </c>
      <c r="F19" s="33">
        <v>42657</v>
      </c>
      <c r="G19" s="32">
        <v>42657</v>
      </c>
      <c r="H19" s="22" t="s">
        <v>95</v>
      </c>
      <c r="I19" s="23" t="s">
        <v>371</v>
      </c>
      <c r="J19" s="23" t="s">
        <v>131</v>
      </c>
      <c r="K19" s="22"/>
      <c r="L19" s="23" t="s">
        <v>219</v>
      </c>
      <c r="M19" s="23" t="s">
        <v>39</v>
      </c>
      <c r="N19" s="22"/>
      <c r="O19" s="22"/>
      <c r="P19" s="22"/>
      <c r="Q19" s="22"/>
      <c r="R19" s="23" t="s">
        <v>39</v>
      </c>
      <c r="S19" s="23" t="s">
        <v>163</v>
      </c>
      <c r="T19" s="23" t="s">
        <v>39</v>
      </c>
      <c r="U19" s="23" t="s">
        <v>39</v>
      </c>
      <c r="V19" s="22"/>
      <c r="W19" s="22"/>
      <c r="X19" s="22"/>
      <c r="Y19" s="22"/>
      <c r="Z19" s="22" t="s">
        <v>39</v>
      </c>
      <c r="AA19" s="22" t="s">
        <v>39</v>
      </c>
      <c r="AB19" s="1"/>
      <c r="AC19"/>
      <c r="AD19"/>
      <c r="AE19"/>
      <c r="AF19"/>
      <c r="AG19"/>
    </row>
    <row r="20" spans="1:33" ht="72" customHeight="1" x14ac:dyDescent="0.25">
      <c r="A20" s="17">
        <v>9754137</v>
      </c>
      <c r="B20" s="30">
        <v>2</v>
      </c>
      <c r="C20" s="17" t="s">
        <v>140</v>
      </c>
      <c r="D20" s="31" t="s">
        <v>52</v>
      </c>
      <c r="E20" s="32">
        <v>42657</v>
      </c>
      <c r="F20" s="33">
        <v>42657</v>
      </c>
      <c r="G20" s="32">
        <v>42657</v>
      </c>
      <c r="H20" s="22" t="s">
        <v>95</v>
      </c>
      <c r="I20" s="23" t="s">
        <v>39</v>
      </c>
      <c r="J20" s="23" t="s">
        <v>39</v>
      </c>
      <c r="K20" s="22"/>
      <c r="L20" s="23" t="s">
        <v>219</v>
      </c>
      <c r="M20" s="23" t="s">
        <v>39</v>
      </c>
      <c r="N20" s="22"/>
      <c r="O20" s="22"/>
      <c r="P20" s="22"/>
      <c r="Q20" s="22"/>
      <c r="R20" s="23" t="s">
        <v>619</v>
      </c>
      <c r="S20" s="23" t="s">
        <v>619</v>
      </c>
      <c r="T20" s="23" t="s">
        <v>39</v>
      </c>
      <c r="U20" s="23" t="s">
        <v>39</v>
      </c>
      <c r="V20" s="22"/>
      <c r="W20" s="22"/>
      <c r="X20" s="22"/>
      <c r="Y20" s="22"/>
      <c r="Z20" s="22" t="s">
        <v>39</v>
      </c>
      <c r="AA20" s="22" t="s">
        <v>39</v>
      </c>
      <c r="AB20" s="1"/>
      <c r="AC20"/>
      <c r="AD20"/>
      <c r="AE20"/>
      <c r="AF20"/>
      <c r="AG20"/>
    </row>
    <row r="21" spans="1:33" ht="72" customHeight="1" x14ac:dyDescent="0.25">
      <c r="A21" s="17">
        <v>9754401</v>
      </c>
      <c r="B21" s="30">
        <v>2</v>
      </c>
      <c r="C21" s="17" t="s">
        <v>151</v>
      </c>
      <c r="D21" s="31" t="s">
        <v>11</v>
      </c>
      <c r="E21" s="32">
        <v>42658</v>
      </c>
      <c r="F21" s="33">
        <v>42658</v>
      </c>
      <c r="G21" s="32">
        <v>42658</v>
      </c>
      <c r="H21" s="22" t="s">
        <v>104</v>
      </c>
      <c r="I21" s="23" t="s">
        <v>39</v>
      </c>
      <c r="J21" s="23" t="s">
        <v>39</v>
      </c>
      <c r="K21" s="22"/>
      <c r="L21" s="23" t="s">
        <v>39</v>
      </c>
      <c r="M21" s="23" t="s">
        <v>39</v>
      </c>
      <c r="N21" s="22"/>
      <c r="O21" s="22"/>
      <c r="P21" s="22"/>
      <c r="Q21" s="22"/>
      <c r="R21" s="23" t="s">
        <v>466</v>
      </c>
      <c r="S21" s="23" t="s">
        <v>466</v>
      </c>
      <c r="T21" s="23" t="s">
        <v>39</v>
      </c>
      <c r="U21" s="23" t="s">
        <v>39</v>
      </c>
      <c r="V21" s="22"/>
      <c r="W21" s="22"/>
      <c r="X21" s="22"/>
      <c r="Y21" s="22"/>
      <c r="Z21" s="22" t="s">
        <v>39</v>
      </c>
      <c r="AA21" s="22" t="s">
        <v>39</v>
      </c>
      <c r="AB21" s="1"/>
      <c r="AC21"/>
      <c r="AD21"/>
      <c r="AE21"/>
      <c r="AF21"/>
      <c r="AG21"/>
    </row>
    <row r="22" spans="1:33" ht="72" customHeight="1" x14ac:dyDescent="0.25">
      <c r="A22" s="17">
        <v>9754404</v>
      </c>
      <c r="B22" s="30">
        <v>1</v>
      </c>
      <c r="C22" s="17" t="s">
        <v>24</v>
      </c>
      <c r="D22" s="31" t="s">
        <v>20</v>
      </c>
      <c r="E22" s="32">
        <v>42658</v>
      </c>
      <c r="F22" s="33">
        <v>42658</v>
      </c>
      <c r="G22" s="32">
        <v>42658</v>
      </c>
      <c r="H22" s="22" t="s">
        <v>108</v>
      </c>
      <c r="I22" s="23" t="s">
        <v>39</v>
      </c>
      <c r="J22" s="23" t="s">
        <v>39</v>
      </c>
      <c r="K22" s="22"/>
      <c r="L22" s="23" t="s">
        <v>39</v>
      </c>
      <c r="M22" s="23" t="s">
        <v>39</v>
      </c>
      <c r="N22" s="22"/>
      <c r="O22" s="22"/>
      <c r="P22" s="22"/>
      <c r="Q22" s="22"/>
      <c r="R22" s="23" t="s">
        <v>39</v>
      </c>
      <c r="S22" s="23" t="s">
        <v>39</v>
      </c>
      <c r="T22" s="23" t="e">
        <v>#N/A</v>
      </c>
      <c r="U22" s="23" t="s">
        <v>309</v>
      </c>
      <c r="V22" s="22"/>
      <c r="W22" s="22"/>
      <c r="X22" s="22"/>
      <c r="Y22" s="22"/>
      <c r="Z22" s="22" t="s">
        <v>39</v>
      </c>
      <c r="AA22" s="22" t="s">
        <v>39</v>
      </c>
      <c r="AB22" s="1"/>
      <c r="AC22"/>
      <c r="AD22"/>
      <c r="AE22"/>
      <c r="AF22"/>
      <c r="AG22"/>
    </row>
    <row r="23" spans="1:33" ht="72" customHeight="1" x14ac:dyDescent="0.25">
      <c r="A23" s="17">
        <v>9754436</v>
      </c>
      <c r="B23" s="30">
        <v>1</v>
      </c>
      <c r="C23" s="17" t="s">
        <v>180</v>
      </c>
      <c r="D23" s="31" t="s">
        <v>20</v>
      </c>
      <c r="E23" s="32">
        <v>42658</v>
      </c>
      <c r="F23" s="33">
        <v>42658</v>
      </c>
      <c r="G23" s="32">
        <v>42658</v>
      </c>
      <c r="H23" s="22" t="s">
        <v>95</v>
      </c>
      <c r="I23" s="23" t="s">
        <v>223</v>
      </c>
      <c r="J23" s="23" t="s">
        <v>39</v>
      </c>
      <c r="K23" s="22"/>
      <c r="L23" s="23" t="s">
        <v>263</v>
      </c>
      <c r="M23" s="23" t="s">
        <v>726</v>
      </c>
      <c r="N23" s="22"/>
      <c r="O23" s="22"/>
      <c r="P23" s="22"/>
      <c r="Q23" s="22"/>
      <c r="R23" s="23" t="s">
        <v>224</v>
      </c>
      <c r="S23" s="23" t="s">
        <v>224</v>
      </c>
      <c r="T23" s="23" t="s">
        <v>39</v>
      </c>
      <c r="U23" s="23" t="s">
        <v>39</v>
      </c>
      <c r="V23" s="22"/>
      <c r="W23" s="22"/>
      <c r="X23" s="22"/>
      <c r="Y23" s="22"/>
      <c r="Z23" s="22" t="s">
        <v>39</v>
      </c>
      <c r="AA23" s="22" t="s">
        <v>39</v>
      </c>
      <c r="AB23" s="1"/>
      <c r="AC23"/>
      <c r="AD23"/>
      <c r="AE23"/>
      <c r="AF23"/>
      <c r="AG23"/>
    </row>
    <row r="24" spans="1:33" ht="72" customHeight="1" x14ac:dyDescent="0.25">
      <c r="A24" s="17">
        <v>9754450</v>
      </c>
      <c r="B24" s="30">
        <v>4</v>
      </c>
      <c r="C24" s="17" t="s">
        <v>182</v>
      </c>
      <c r="D24" s="31" t="s">
        <v>38</v>
      </c>
      <c r="E24" s="32">
        <v>42658</v>
      </c>
      <c r="F24" s="33">
        <v>42658</v>
      </c>
      <c r="G24" s="32">
        <v>42658</v>
      </c>
      <c r="H24" s="22" t="s">
        <v>108</v>
      </c>
      <c r="I24" s="23" t="s">
        <v>39</v>
      </c>
      <c r="J24" s="23" t="s">
        <v>39</v>
      </c>
      <c r="K24" s="22"/>
      <c r="L24" s="23" t="s">
        <v>39</v>
      </c>
      <c r="M24" s="23" t="s">
        <v>39</v>
      </c>
      <c r="N24" s="22"/>
      <c r="O24" s="22"/>
      <c r="P24" s="22"/>
      <c r="Q24" s="22"/>
      <c r="R24" s="23" t="s">
        <v>224</v>
      </c>
      <c r="S24" s="23" t="s">
        <v>182</v>
      </c>
      <c r="T24" s="23" t="s">
        <v>131</v>
      </c>
      <c r="U24" s="23" t="s">
        <v>652</v>
      </c>
      <c r="V24" s="22"/>
      <c r="W24" s="22"/>
      <c r="X24" s="22"/>
      <c r="Y24" s="22"/>
      <c r="Z24" s="22" t="s">
        <v>39</v>
      </c>
      <c r="AA24" s="22" t="s">
        <v>39</v>
      </c>
      <c r="AB24" s="1"/>
      <c r="AC24"/>
      <c r="AD24"/>
      <c r="AE24"/>
      <c r="AF24"/>
      <c r="AG24"/>
    </row>
    <row r="25" spans="1:33" ht="72" customHeight="1" x14ac:dyDescent="0.25">
      <c r="A25" s="17">
        <v>9754480</v>
      </c>
      <c r="B25" s="30">
        <v>1</v>
      </c>
      <c r="C25" s="17" t="s">
        <v>183</v>
      </c>
      <c r="D25" s="31" t="s">
        <v>89</v>
      </c>
      <c r="E25" s="32">
        <v>42658</v>
      </c>
      <c r="F25" s="33">
        <v>42658</v>
      </c>
      <c r="G25" s="32">
        <v>42658</v>
      </c>
      <c r="H25" s="22" t="s">
        <v>108</v>
      </c>
      <c r="I25" s="23" t="s">
        <v>39</v>
      </c>
      <c r="J25" s="23" t="s">
        <v>39</v>
      </c>
      <c r="K25" s="22"/>
      <c r="L25" s="23" t="s">
        <v>39</v>
      </c>
      <c r="M25" s="23" t="s">
        <v>260</v>
      </c>
      <c r="N25" s="22"/>
      <c r="O25" s="22"/>
      <c r="P25" s="22"/>
      <c r="Q25" s="22"/>
      <c r="R25" s="23" t="s">
        <v>224</v>
      </c>
      <c r="S25" s="23" t="s">
        <v>224</v>
      </c>
      <c r="T25" s="23" t="s">
        <v>39</v>
      </c>
      <c r="U25" s="23" t="s">
        <v>685</v>
      </c>
      <c r="V25" s="22"/>
      <c r="W25" s="22"/>
      <c r="X25" s="22"/>
      <c r="Y25" s="22"/>
      <c r="Z25" s="22" t="s">
        <v>39</v>
      </c>
      <c r="AA25" s="22" t="s">
        <v>39</v>
      </c>
      <c r="AB25" s="1"/>
      <c r="AC25"/>
      <c r="AD25"/>
      <c r="AE25"/>
      <c r="AF25"/>
      <c r="AG25"/>
    </row>
    <row r="26" spans="1:33" ht="72" customHeight="1" x14ac:dyDescent="0.25">
      <c r="A26" s="17">
        <v>9754481</v>
      </c>
      <c r="B26" s="30">
        <v>1</v>
      </c>
      <c r="C26" s="17" t="s">
        <v>196</v>
      </c>
      <c r="D26" s="31" t="s">
        <v>195</v>
      </c>
      <c r="E26" s="32">
        <v>42658</v>
      </c>
      <c r="F26" s="33">
        <v>42658</v>
      </c>
      <c r="G26" s="32">
        <v>42658</v>
      </c>
      <c r="H26" s="22" t="s">
        <v>112</v>
      </c>
      <c r="I26" s="23" t="s">
        <v>223</v>
      </c>
      <c r="J26" s="23" t="s">
        <v>39</v>
      </c>
      <c r="K26" s="22"/>
      <c r="L26" s="23" t="s">
        <v>39</v>
      </c>
      <c r="M26" s="23" t="s">
        <v>39</v>
      </c>
      <c r="N26" s="22"/>
      <c r="O26" s="22"/>
      <c r="P26" s="22"/>
      <c r="Q26" s="22"/>
      <c r="R26" s="23" t="s">
        <v>224</v>
      </c>
      <c r="S26" s="23" t="s">
        <v>224</v>
      </c>
      <c r="T26" s="23" t="s">
        <v>39</v>
      </c>
      <c r="U26" s="23" t="s">
        <v>39</v>
      </c>
      <c r="V26" s="22"/>
      <c r="W26" s="22"/>
      <c r="X26" s="22"/>
      <c r="Y26" s="22"/>
      <c r="Z26" s="22" t="s">
        <v>39</v>
      </c>
      <c r="AA26" s="22" t="s">
        <v>39</v>
      </c>
      <c r="AB26" s="1"/>
      <c r="AC26"/>
      <c r="AD26"/>
      <c r="AE26"/>
      <c r="AF26"/>
      <c r="AG26"/>
    </row>
    <row r="27" spans="1:33" ht="72" customHeight="1" x14ac:dyDescent="0.25">
      <c r="A27" s="17">
        <v>9754496</v>
      </c>
      <c r="B27" s="30">
        <v>1</v>
      </c>
      <c r="C27" s="17" t="s">
        <v>203</v>
      </c>
      <c r="D27" s="31" t="s">
        <v>202</v>
      </c>
      <c r="E27" s="32">
        <v>42658</v>
      </c>
      <c r="F27" s="33">
        <v>42658</v>
      </c>
      <c r="G27" s="32">
        <v>42658</v>
      </c>
      <c r="H27" s="22" t="s">
        <v>112</v>
      </c>
      <c r="I27" s="23" t="s">
        <v>223</v>
      </c>
      <c r="J27" s="23" t="s">
        <v>39</v>
      </c>
      <c r="K27" s="22"/>
      <c r="L27" s="23" t="s">
        <v>39</v>
      </c>
      <c r="M27" s="23" t="s">
        <v>261</v>
      </c>
      <c r="N27" s="22"/>
      <c r="O27" s="22"/>
      <c r="P27" s="22"/>
      <c r="Q27" s="22"/>
      <c r="R27" s="23" t="s">
        <v>224</v>
      </c>
      <c r="S27" s="23" t="s">
        <v>224</v>
      </c>
      <c r="T27" s="23" t="s">
        <v>39</v>
      </c>
      <c r="U27" s="23" t="s">
        <v>39</v>
      </c>
      <c r="V27" s="22"/>
      <c r="W27" s="22"/>
      <c r="X27" s="22"/>
      <c r="Y27" s="22"/>
      <c r="Z27" s="22" t="s">
        <v>39</v>
      </c>
      <c r="AA27" s="22" t="s">
        <v>39</v>
      </c>
      <c r="AB27" s="1"/>
      <c r="AC27"/>
      <c r="AD27"/>
      <c r="AE27"/>
      <c r="AF27"/>
      <c r="AG27"/>
    </row>
    <row r="28" spans="1:33" ht="72" customHeight="1" x14ac:dyDescent="0.25">
      <c r="A28" s="17">
        <v>9754508</v>
      </c>
      <c r="B28" s="30">
        <v>12</v>
      </c>
      <c r="C28" s="17" t="s">
        <v>182</v>
      </c>
      <c r="D28" s="31" t="s">
        <v>38</v>
      </c>
      <c r="E28" s="32">
        <v>42658</v>
      </c>
      <c r="F28" s="33">
        <v>42658</v>
      </c>
      <c r="G28" s="32">
        <v>42658</v>
      </c>
      <c r="H28" s="22" t="s">
        <v>108</v>
      </c>
      <c r="I28" s="23" t="s">
        <v>39</v>
      </c>
      <c r="J28" s="23" t="s">
        <v>39</v>
      </c>
      <c r="K28" s="22"/>
      <c r="L28" s="23" t="s">
        <v>39</v>
      </c>
      <c r="M28" s="23" t="s">
        <v>39</v>
      </c>
      <c r="N28" s="22"/>
      <c r="O28" s="22"/>
      <c r="P28" s="22"/>
      <c r="Q28" s="22"/>
      <c r="R28" s="23" t="s">
        <v>224</v>
      </c>
      <c r="S28" s="23" t="s">
        <v>182</v>
      </c>
      <c r="T28" s="23" t="s">
        <v>652</v>
      </c>
      <c r="U28" s="23" t="s">
        <v>652</v>
      </c>
      <c r="V28" s="22"/>
      <c r="W28" s="22"/>
      <c r="X28" s="22"/>
      <c r="Y28" s="22"/>
      <c r="Z28" s="22" t="s">
        <v>39</v>
      </c>
      <c r="AA28" s="22" t="s">
        <v>39</v>
      </c>
      <c r="AB28" s="1"/>
      <c r="AC28"/>
      <c r="AD28"/>
      <c r="AE28"/>
      <c r="AF28"/>
      <c r="AG28"/>
    </row>
    <row r="29" spans="1:33" ht="72" customHeight="1" x14ac:dyDescent="0.25">
      <c r="A29" s="17">
        <v>9754556</v>
      </c>
      <c r="B29" s="30">
        <v>1</v>
      </c>
      <c r="C29" s="17" t="s">
        <v>190</v>
      </c>
      <c r="D29" s="31" t="s">
        <v>189</v>
      </c>
      <c r="E29" s="32">
        <v>42658</v>
      </c>
      <c r="F29" s="33">
        <v>42658</v>
      </c>
      <c r="G29" s="32">
        <v>42658</v>
      </c>
      <c r="H29" s="22" t="s">
        <v>108</v>
      </c>
      <c r="I29" s="23" t="s">
        <v>223</v>
      </c>
      <c r="J29" s="23" t="s">
        <v>39</v>
      </c>
      <c r="K29" s="22"/>
      <c r="L29" s="23" t="s">
        <v>39</v>
      </c>
      <c r="M29" s="23" t="s">
        <v>39</v>
      </c>
      <c r="N29" s="22"/>
      <c r="O29" s="22"/>
      <c r="P29" s="22"/>
      <c r="Q29" s="22"/>
      <c r="R29" s="23" t="s">
        <v>262</v>
      </c>
      <c r="S29" s="23" t="s">
        <v>262</v>
      </c>
      <c r="T29" s="23" t="s">
        <v>39</v>
      </c>
      <c r="U29" s="23" t="s">
        <v>548</v>
      </c>
      <c r="V29" s="22"/>
      <c r="W29" s="22"/>
      <c r="X29" s="22"/>
      <c r="Y29" s="22"/>
      <c r="Z29" s="22" t="s">
        <v>39</v>
      </c>
      <c r="AA29" s="22" t="s">
        <v>39</v>
      </c>
      <c r="AB29" s="1"/>
      <c r="AC29"/>
      <c r="AD29"/>
      <c r="AE29"/>
      <c r="AF29"/>
      <c r="AG29"/>
    </row>
    <row r="30" spans="1:33" ht="72" customHeight="1" x14ac:dyDescent="0.25">
      <c r="A30" s="17">
        <v>9754563</v>
      </c>
      <c r="B30" s="30">
        <v>22</v>
      </c>
      <c r="C30" s="17" t="s">
        <v>201</v>
      </c>
      <c r="D30" s="31" t="s">
        <v>200</v>
      </c>
      <c r="E30" s="32">
        <v>42658</v>
      </c>
      <c r="F30" s="33">
        <v>42658</v>
      </c>
      <c r="G30" s="32">
        <v>42658</v>
      </c>
      <c r="H30" s="22" t="s">
        <v>104</v>
      </c>
      <c r="I30" s="23" t="s">
        <v>39</v>
      </c>
      <c r="J30" s="23" t="s">
        <v>39</v>
      </c>
      <c r="K30" s="22"/>
      <c r="L30" s="23" t="s">
        <v>39</v>
      </c>
      <c r="M30" s="23" t="s">
        <v>727</v>
      </c>
      <c r="N30" s="22"/>
      <c r="O30" s="22"/>
      <c r="P30" s="22"/>
      <c r="Q30" s="22"/>
      <c r="R30" s="23" t="s">
        <v>210</v>
      </c>
      <c r="S30" s="23" t="s">
        <v>201</v>
      </c>
      <c r="T30" s="23" t="s">
        <v>131</v>
      </c>
      <c r="U30" s="23" t="s">
        <v>39</v>
      </c>
      <c r="V30" s="22"/>
      <c r="W30" s="22"/>
      <c r="X30" s="22"/>
      <c r="Y30" s="22"/>
      <c r="Z30" s="22" t="s">
        <v>39</v>
      </c>
      <c r="AA30" s="22" t="s">
        <v>39</v>
      </c>
      <c r="AB30" s="1"/>
      <c r="AC30"/>
      <c r="AD30"/>
      <c r="AE30"/>
      <c r="AF30"/>
      <c r="AG30"/>
    </row>
    <row r="31" spans="1:33" ht="72" customHeight="1" x14ac:dyDescent="0.25">
      <c r="A31" s="17">
        <v>9754629</v>
      </c>
      <c r="B31" s="30">
        <v>1</v>
      </c>
      <c r="C31" s="17" t="s">
        <v>181</v>
      </c>
      <c r="D31" s="31" t="s">
        <v>145</v>
      </c>
      <c r="E31" s="32">
        <v>42660</v>
      </c>
      <c r="F31" s="33">
        <v>42660</v>
      </c>
      <c r="G31" s="32">
        <v>42660</v>
      </c>
      <c r="H31" s="22" t="s">
        <v>95</v>
      </c>
      <c r="I31" s="23" t="s">
        <v>39</v>
      </c>
      <c r="J31" s="23" t="s">
        <v>39</v>
      </c>
      <c r="K31" s="22"/>
      <c r="L31" s="23" t="s">
        <v>263</v>
      </c>
      <c r="M31" s="23" t="s">
        <v>264</v>
      </c>
      <c r="N31" s="22"/>
      <c r="O31" s="22"/>
      <c r="P31" s="22"/>
      <c r="Q31" s="22"/>
      <c r="R31" s="23" t="s">
        <v>262</v>
      </c>
      <c r="S31" s="23" t="s">
        <v>262</v>
      </c>
      <c r="T31" s="23" t="s">
        <v>39</v>
      </c>
      <c r="U31" s="23" t="s">
        <v>39</v>
      </c>
      <c r="V31" s="22"/>
      <c r="W31" s="22"/>
      <c r="X31" s="22"/>
      <c r="Y31" s="22"/>
      <c r="Z31" s="22" t="s">
        <v>39</v>
      </c>
      <c r="AA31" s="22" t="s">
        <v>39</v>
      </c>
      <c r="AB31" s="1"/>
      <c r="AC31"/>
      <c r="AD31"/>
      <c r="AE31"/>
      <c r="AF31"/>
      <c r="AG31"/>
    </row>
    <row r="32" spans="1:33" ht="72" customHeight="1" x14ac:dyDescent="0.25">
      <c r="A32" s="17">
        <v>9754637</v>
      </c>
      <c r="B32" s="30">
        <v>1</v>
      </c>
      <c r="C32" s="17" t="s">
        <v>198</v>
      </c>
      <c r="D32" s="31" t="s">
        <v>52</v>
      </c>
      <c r="E32" s="32">
        <v>42660</v>
      </c>
      <c r="F32" s="33">
        <v>42660</v>
      </c>
      <c r="G32" s="32">
        <v>42660</v>
      </c>
      <c r="H32" s="22" t="s">
        <v>95</v>
      </c>
      <c r="I32" s="23" t="s">
        <v>223</v>
      </c>
      <c r="J32" s="23" t="s">
        <v>39</v>
      </c>
      <c r="K32" s="22"/>
      <c r="L32" s="23" t="s">
        <v>263</v>
      </c>
      <c r="M32" s="23" t="s">
        <v>39</v>
      </c>
      <c r="N32" s="22"/>
      <c r="O32" s="22"/>
      <c r="P32" s="22"/>
      <c r="Q32" s="22"/>
      <c r="R32" s="23" t="s">
        <v>262</v>
      </c>
      <c r="S32" s="23" t="s">
        <v>262</v>
      </c>
      <c r="T32" s="23" t="s">
        <v>39</v>
      </c>
      <c r="U32" s="23" t="s">
        <v>39</v>
      </c>
      <c r="V32" s="22"/>
      <c r="W32" s="22"/>
      <c r="X32" s="22"/>
      <c r="Y32" s="22"/>
      <c r="Z32" s="22" t="s">
        <v>39</v>
      </c>
      <c r="AA32" s="22" t="s">
        <v>39</v>
      </c>
      <c r="AB32" s="1"/>
      <c r="AC32"/>
      <c r="AD32"/>
      <c r="AE32"/>
      <c r="AF32"/>
      <c r="AG32"/>
    </row>
    <row r="33" spans="1:33" ht="72" customHeight="1" x14ac:dyDescent="0.25">
      <c r="A33" s="17">
        <v>9754877</v>
      </c>
      <c r="B33" s="30">
        <v>10</v>
      </c>
      <c r="C33" s="17" t="s">
        <v>185</v>
      </c>
      <c r="D33" s="31" t="s">
        <v>11</v>
      </c>
      <c r="E33" s="32">
        <v>42660</v>
      </c>
      <c r="F33" s="33">
        <v>42660</v>
      </c>
      <c r="G33" s="32">
        <v>42660</v>
      </c>
      <c r="H33" s="22" t="s">
        <v>112</v>
      </c>
      <c r="I33" s="23" t="s">
        <v>350</v>
      </c>
      <c r="J33" s="23" t="s">
        <v>39</v>
      </c>
      <c r="K33" s="22"/>
      <c r="L33" s="23" t="s">
        <v>39</v>
      </c>
      <c r="M33" s="23" t="s">
        <v>39</v>
      </c>
      <c r="N33" s="22"/>
      <c r="O33" s="22"/>
      <c r="P33" s="22"/>
      <c r="Q33" s="22"/>
      <c r="R33" s="23" t="s">
        <v>265</v>
      </c>
      <c r="S33" s="23" t="s">
        <v>265</v>
      </c>
      <c r="T33" s="23" t="s">
        <v>39</v>
      </c>
      <c r="U33" s="23" t="s">
        <v>39</v>
      </c>
      <c r="V33" s="22"/>
      <c r="W33" s="22"/>
      <c r="X33" s="22"/>
      <c r="Y33" s="22"/>
      <c r="Z33" s="22" t="s">
        <v>39</v>
      </c>
      <c r="AA33" s="22" t="s">
        <v>39</v>
      </c>
      <c r="AB33" s="1"/>
      <c r="AC33"/>
      <c r="AD33"/>
      <c r="AE33"/>
      <c r="AF33"/>
      <c r="AG33"/>
    </row>
    <row r="34" spans="1:33" ht="72" customHeight="1" x14ac:dyDescent="0.25">
      <c r="A34" s="17">
        <v>9755004</v>
      </c>
      <c r="B34" s="30">
        <v>1</v>
      </c>
      <c r="C34" s="17" t="s">
        <v>205</v>
      </c>
      <c r="D34" s="31" t="s">
        <v>204</v>
      </c>
      <c r="E34" s="32">
        <v>42660</v>
      </c>
      <c r="F34" s="33">
        <v>42660</v>
      </c>
      <c r="G34" s="32">
        <v>42660</v>
      </c>
      <c r="H34" s="22" t="s">
        <v>95</v>
      </c>
      <c r="I34" s="23" t="s">
        <v>266</v>
      </c>
      <c r="J34" s="23" t="s">
        <v>39</v>
      </c>
      <c r="K34" s="22"/>
      <c r="L34" s="23" t="s">
        <v>263</v>
      </c>
      <c r="M34" s="23" t="s">
        <v>39</v>
      </c>
      <c r="N34" s="22"/>
      <c r="O34" s="22"/>
      <c r="P34" s="22"/>
      <c r="Q34" s="22"/>
      <c r="R34" s="23" t="s">
        <v>265</v>
      </c>
      <c r="S34" s="23" t="s">
        <v>265</v>
      </c>
      <c r="T34" s="23" t="s">
        <v>39</v>
      </c>
      <c r="U34" s="23" t="s">
        <v>39</v>
      </c>
      <c r="V34" s="22"/>
      <c r="W34" s="22"/>
      <c r="X34" s="22"/>
      <c r="Y34" s="22"/>
      <c r="Z34" s="22" t="s">
        <v>39</v>
      </c>
      <c r="AA34" s="22" t="s">
        <v>39</v>
      </c>
      <c r="AB34" s="1"/>
      <c r="AC34"/>
      <c r="AD34"/>
      <c r="AE34"/>
      <c r="AF34"/>
      <c r="AG34"/>
    </row>
    <row r="35" spans="1:33" ht="72" customHeight="1" x14ac:dyDescent="0.25">
      <c r="A35" s="17">
        <v>9755021</v>
      </c>
      <c r="B35" s="30">
        <v>1</v>
      </c>
      <c r="C35" s="17" t="s">
        <v>194</v>
      </c>
      <c r="D35" s="31" t="s">
        <v>10</v>
      </c>
      <c r="E35" s="32">
        <v>42660</v>
      </c>
      <c r="F35" s="33">
        <v>42660</v>
      </c>
      <c r="G35" s="32">
        <v>42660</v>
      </c>
      <c r="H35" s="22" t="s">
        <v>112</v>
      </c>
      <c r="I35" s="23" t="s">
        <v>295</v>
      </c>
      <c r="J35" s="23" t="s">
        <v>39</v>
      </c>
      <c r="K35" s="22"/>
      <c r="L35" s="23" t="s">
        <v>39</v>
      </c>
      <c r="M35" s="23" t="s">
        <v>39</v>
      </c>
      <c r="N35" s="22"/>
      <c r="O35" s="22"/>
      <c r="P35" s="22"/>
      <c r="Q35" s="22"/>
      <c r="R35" s="23" t="s">
        <v>265</v>
      </c>
      <c r="S35" s="23" t="s">
        <v>265</v>
      </c>
      <c r="T35" s="23" t="s">
        <v>39</v>
      </c>
      <c r="U35" s="23" t="s">
        <v>39</v>
      </c>
      <c r="V35" s="22"/>
      <c r="W35" s="22"/>
      <c r="X35" s="22"/>
      <c r="Y35" s="22"/>
      <c r="Z35" s="22" t="s">
        <v>39</v>
      </c>
      <c r="AA35" s="22" t="s">
        <v>39</v>
      </c>
      <c r="AB35" s="1"/>
      <c r="AC35"/>
      <c r="AD35"/>
      <c r="AE35"/>
      <c r="AF35"/>
      <c r="AG35"/>
    </row>
    <row r="36" spans="1:33" ht="72" customHeight="1" x14ac:dyDescent="0.25">
      <c r="A36" s="17">
        <v>9755087</v>
      </c>
      <c r="B36" s="30">
        <v>2</v>
      </c>
      <c r="C36" s="17" t="s">
        <v>222</v>
      </c>
      <c r="D36" s="31" t="s">
        <v>52</v>
      </c>
      <c r="E36" s="32">
        <v>42661</v>
      </c>
      <c r="F36" s="33">
        <v>42661</v>
      </c>
      <c r="G36" s="32">
        <v>42661</v>
      </c>
      <c r="H36" s="22" t="s">
        <v>95</v>
      </c>
      <c r="I36" s="23" t="s">
        <v>223</v>
      </c>
      <c r="J36" s="23" t="s">
        <v>39</v>
      </c>
      <c r="K36" s="22"/>
      <c r="L36" s="23" t="s">
        <v>263</v>
      </c>
      <c r="M36" s="23" t="s">
        <v>39</v>
      </c>
      <c r="N36" s="22"/>
      <c r="O36" s="22"/>
      <c r="P36" s="22"/>
      <c r="Q36" s="22"/>
      <c r="R36" s="23" t="s">
        <v>265</v>
      </c>
      <c r="S36" s="23" t="s">
        <v>265</v>
      </c>
      <c r="T36" s="23" t="s">
        <v>39</v>
      </c>
      <c r="U36" s="23" t="s">
        <v>39</v>
      </c>
      <c r="V36" s="22"/>
      <c r="W36" s="22"/>
      <c r="X36" s="22"/>
      <c r="Y36" s="22"/>
      <c r="Z36" s="22" t="s">
        <v>39</v>
      </c>
      <c r="AA36" s="22" t="s">
        <v>39</v>
      </c>
      <c r="AB36" s="1"/>
      <c r="AC36"/>
      <c r="AD36"/>
      <c r="AE36"/>
      <c r="AF36"/>
      <c r="AG36"/>
    </row>
    <row r="37" spans="1:33" ht="72" customHeight="1" x14ac:dyDescent="0.25">
      <c r="A37" s="17">
        <v>9755271</v>
      </c>
      <c r="B37" s="30">
        <v>5</v>
      </c>
      <c r="C37" s="17" t="s">
        <v>206</v>
      </c>
      <c r="D37" s="31" t="s">
        <v>165</v>
      </c>
      <c r="E37" s="32">
        <v>42661</v>
      </c>
      <c r="F37" s="33">
        <v>42661</v>
      </c>
      <c r="G37" s="32">
        <v>42661</v>
      </c>
      <c r="H37" s="22" t="s">
        <v>95</v>
      </c>
      <c r="I37" s="23" t="s">
        <v>295</v>
      </c>
      <c r="J37" s="23" t="s">
        <v>39</v>
      </c>
      <c r="K37" s="22"/>
      <c r="L37" s="23" t="s">
        <v>263</v>
      </c>
      <c r="M37" s="23" t="s">
        <v>39</v>
      </c>
      <c r="N37" s="22"/>
      <c r="O37" s="22"/>
      <c r="P37" s="22"/>
      <c r="Q37" s="22"/>
      <c r="R37" s="23" t="s">
        <v>265</v>
      </c>
      <c r="S37" s="23">
        <v>20116564</v>
      </c>
      <c r="T37" s="23" t="s">
        <v>293</v>
      </c>
      <c r="U37" s="23" t="s">
        <v>39</v>
      </c>
      <c r="V37" s="22"/>
      <c r="W37" s="22"/>
      <c r="X37" s="22"/>
      <c r="Y37" s="22"/>
      <c r="Z37" s="22" t="s">
        <v>39</v>
      </c>
      <c r="AA37" s="22" t="s">
        <v>39</v>
      </c>
      <c r="AB37" s="1"/>
      <c r="AC37"/>
      <c r="AD37"/>
      <c r="AE37"/>
      <c r="AF37"/>
      <c r="AG37"/>
    </row>
    <row r="38" spans="1:33" ht="72" customHeight="1" x14ac:dyDescent="0.25">
      <c r="A38" s="17">
        <v>9755339</v>
      </c>
      <c r="B38" s="30">
        <v>1</v>
      </c>
      <c r="C38" s="17" t="s">
        <v>220</v>
      </c>
      <c r="D38" s="31" t="s">
        <v>16</v>
      </c>
      <c r="E38" s="32">
        <v>42661</v>
      </c>
      <c r="F38" s="33">
        <v>42661</v>
      </c>
      <c r="G38" s="32">
        <v>42661</v>
      </c>
      <c r="H38" s="22" t="s">
        <v>112</v>
      </c>
      <c r="I38" s="23" t="s">
        <v>295</v>
      </c>
      <c r="J38" s="23" t="s">
        <v>39</v>
      </c>
      <c r="K38" s="22"/>
      <c r="L38" s="23" t="s">
        <v>39</v>
      </c>
      <c r="M38" s="23" t="s">
        <v>39</v>
      </c>
      <c r="N38" s="22"/>
      <c r="O38" s="22"/>
      <c r="P38" s="22"/>
      <c r="Q38" s="22"/>
      <c r="R38" s="23" t="s">
        <v>365</v>
      </c>
      <c r="S38" s="23" t="s">
        <v>620</v>
      </c>
      <c r="T38" s="23" t="s">
        <v>131</v>
      </c>
      <c r="U38" s="23" t="s">
        <v>39</v>
      </c>
      <c r="V38" s="22"/>
      <c r="W38" s="22"/>
      <c r="X38" s="22"/>
      <c r="Y38" s="22"/>
      <c r="Z38" s="22" t="s">
        <v>39</v>
      </c>
      <c r="AA38" s="22" t="s">
        <v>39</v>
      </c>
      <c r="AB38" s="1"/>
      <c r="AC38"/>
      <c r="AD38"/>
      <c r="AE38"/>
      <c r="AF38"/>
      <c r="AG38"/>
    </row>
    <row r="39" spans="1:33" ht="72" customHeight="1" x14ac:dyDescent="0.25">
      <c r="A39" s="17">
        <v>9755437</v>
      </c>
      <c r="B39" s="30">
        <v>1</v>
      </c>
      <c r="C39" s="17" t="s">
        <v>233</v>
      </c>
      <c r="D39" s="31" t="s">
        <v>197</v>
      </c>
      <c r="E39" s="32">
        <v>42661</v>
      </c>
      <c r="F39" s="33">
        <v>42661</v>
      </c>
      <c r="G39" s="32">
        <v>42661</v>
      </c>
      <c r="H39" s="22" t="s">
        <v>108</v>
      </c>
      <c r="I39" s="23" t="s">
        <v>223</v>
      </c>
      <c r="J39" s="23" t="s">
        <v>131</v>
      </c>
      <c r="K39" s="22"/>
      <c r="L39" s="23" t="s">
        <v>39</v>
      </c>
      <c r="M39" s="23" t="s">
        <v>39</v>
      </c>
      <c r="N39" s="22"/>
      <c r="O39" s="22"/>
      <c r="P39" s="22"/>
      <c r="Q39" s="22"/>
      <c r="R39" s="23" t="s">
        <v>265</v>
      </c>
      <c r="S39" s="23">
        <v>20114505</v>
      </c>
      <c r="T39" s="23" t="s">
        <v>286</v>
      </c>
      <c r="U39" s="23" t="s">
        <v>286</v>
      </c>
      <c r="V39" s="22"/>
      <c r="W39" s="22"/>
      <c r="X39" s="22"/>
      <c r="Y39" s="22"/>
      <c r="Z39" s="22" t="s">
        <v>39</v>
      </c>
      <c r="AA39" s="22" t="s">
        <v>39</v>
      </c>
      <c r="AB39" s="1"/>
      <c r="AC39"/>
      <c r="AD39"/>
      <c r="AE39"/>
      <c r="AF39"/>
      <c r="AG39"/>
    </row>
    <row r="40" spans="1:33" ht="72" customHeight="1" x14ac:dyDescent="0.25">
      <c r="A40" s="17">
        <v>9755457</v>
      </c>
      <c r="B40" s="30">
        <v>1</v>
      </c>
      <c r="C40" s="17" t="s">
        <v>139</v>
      </c>
      <c r="D40" s="31" t="s">
        <v>13</v>
      </c>
      <c r="E40" s="32">
        <v>42661</v>
      </c>
      <c r="F40" s="33">
        <v>42661</v>
      </c>
      <c r="G40" s="32">
        <v>42661</v>
      </c>
      <c r="H40" s="22" t="s">
        <v>95</v>
      </c>
      <c r="I40" s="23" t="s">
        <v>295</v>
      </c>
      <c r="J40" s="23" t="s">
        <v>39</v>
      </c>
      <c r="K40" s="22"/>
      <c r="L40" s="23" t="s">
        <v>263</v>
      </c>
      <c r="M40" s="23" t="s">
        <v>39</v>
      </c>
      <c r="N40" s="22"/>
      <c r="O40" s="22"/>
      <c r="P40" s="22"/>
      <c r="Q40" s="22"/>
      <c r="R40" s="23" t="s">
        <v>265</v>
      </c>
      <c r="S40" s="23" t="s">
        <v>265</v>
      </c>
      <c r="T40" s="23" t="s">
        <v>39</v>
      </c>
      <c r="U40" s="23" t="s">
        <v>39</v>
      </c>
      <c r="V40" s="22"/>
      <c r="W40" s="22"/>
      <c r="X40" s="22"/>
      <c r="Y40" s="22"/>
      <c r="Z40" s="22" t="s">
        <v>39</v>
      </c>
      <c r="AA40" s="22" t="s">
        <v>39</v>
      </c>
      <c r="AB40" s="1"/>
      <c r="AC40"/>
      <c r="AD40"/>
      <c r="AE40"/>
      <c r="AF40"/>
      <c r="AG40"/>
    </row>
    <row r="41" spans="1:33" ht="72" customHeight="1" x14ac:dyDescent="0.25">
      <c r="A41" s="17">
        <v>9755489</v>
      </c>
      <c r="B41" s="30">
        <v>2</v>
      </c>
      <c r="C41" s="17" t="s">
        <v>221</v>
      </c>
      <c r="D41" s="31" t="s">
        <v>52</v>
      </c>
      <c r="E41" s="32">
        <v>42661</v>
      </c>
      <c r="F41" s="33">
        <v>42661</v>
      </c>
      <c r="G41" s="32">
        <v>42661</v>
      </c>
      <c r="H41" s="22" t="s">
        <v>95</v>
      </c>
      <c r="I41" s="23" t="s">
        <v>93</v>
      </c>
      <c r="J41" s="23" t="s">
        <v>39</v>
      </c>
      <c r="K41" s="22"/>
      <c r="L41" s="23" t="s">
        <v>263</v>
      </c>
      <c r="M41" s="23" t="s">
        <v>39</v>
      </c>
      <c r="N41" s="22"/>
      <c r="O41" s="22"/>
      <c r="P41" s="22"/>
      <c r="Q41" s="22"/>
      <c r="R41" s="23" t="s">
        <v>323</v>
      </c>
      <c r="S41" s="23" t="s">
        <v>323</v>
      </c>
      <c r="T41" s="23" t="s">
        <v>39</v>
      </c>
      <c r="U41" s="23" t="s">
        <v>721</v>
      </c>
      <c r="V41" s="22"/>
      <c r="W41" s="22"/>
      <c r="X41" s="22"/>
      <c r="Y41" s="22"/>
      <c r="Z41" s="22" t="s">
        <v>39</v>
      </c>
      <c r="AA41" s="22" t="s">
        <v>39</v>
      </c>
      <c r="AB41" s="1"/>
      <c r="AC41"/>
      <c r="AD41"/>
      <c r="AE41"/>
      <c r="AF41"/>
      <c r="AG41"/>
    </row>
    <row r="42" spans="1:33" ht="72" customHeight="1" x14ac:dyDescent="0.25">
      <c r="A42" s="17">
        <v>9755529</v>
      </c>
      <c r="B42" s="30">
        <v>1</v>
      </c>
      <c r="C42" s="17" t="s">
        <v>222</v>
      </c>
      <c r="D42" s="31" t="s">
        <v>52</v>
      </c>
      <c r="E42" s="32">
        <v>42661</v>
      </c>
      <c r="F42" s="33">
        <v>42661</v>
      </c>
      <c r="G42" s="32">
        <v>42661</v>
      </c>
      <c r="H42" s="22" t="s">
        <v>108</v>
      </c>
      <c r="I42" s="23" t="s">
        <v>295</v>
      </c>
      <c r="J42" s="23" t="s">
        <v>39</v>
      </c>
      <c r="K42" s="22"/>
      <c r="L42" s="23" t="s">
        <v>39</v>
      </c>
      <c r="M42" s="23" t="s">
        <v>39</v>
      </c>
      <c r="N42" s="22"/>
      <c r="O42" s="22"/>
      <c r="P42" s="22"/>
      <c r="Q42" s="22"/>
      <c r="R42" s="23" t="s">
        <v>682</v>
      </c>
      <c r="S42" s="23" t="s">
        <v>682</v>
      </c>
      <c r="T42" s="23" t="s">
        <v>39</v>
      </c>
      <c r="U42" s="23" t="s">
        <v>722</v>
      </c>
      <c r="V42" s="22"/>
      <c r="W42" s="22"/>
      <c r="X42" s="22"/>
      <c r="Y42" s="22"/>
      <c r="Z42" s="22" t="s">
        <v>39</v>
      </c>
      <c r="AA42" s="22" t="s">
        <v>39</v>
      </c>
      <c r="AB42" s="1"/>
      <c r="AC42"/>
      <c r="AD42"/>
      <c r="AE42"/>
      <c r="AF42"/>
      <c r="AG42"/>
    </row>
    <row r="43" spans="1:33" ht="72" customHeight="1" x14ac:dyDescent="0.25">
      <c r="A43" s="17">
        <v>9755530</v>
      </c>
      <c r="B43" s="30">
        <v>1</v>
      </c>
      <c r="C43" s="17" t="s">
        <v>143</v>
      </c>
      <c r="D43" s="31" t="s">
        <v>52</v>
      </c>
      <c r="E43" s="32">
        <v>42661</v>
      </c>
      <c r="F43" s="33">
        <v>42661</v>
      </c>
      <c r="G43" s="32">
        <v>42661</v>
      </c>
      <c r="H43" s="22" t="s">
        <v>108</v>
      </c>
      <c r="I43" s="23" t="s">
        <v>295</v>
      </c>
      <c r="J43" s="23" t="s">
        <v>39</v>
      </c>
      <c r="K43" s="22"/>
      <c r="L43" s="23" t="s">
        <v>39</v>
      </c>
      <c r="M43" s="23" t="s">
        <v>39</v>
      </c>
      <c r="N43" s="22"/>
      <c r="O43" s="22"/>
      <c r="P43" s="22"/>
      <c r="Q43" s="22"/>
      <c r="R43" s="23" t="s">
        <v>682</v>
      </c>
      <c r="S43" s="23" t="s">
        <v>682</v>
      </c>
      <c r="T43" s="23" t="s">
        <v>39</v>
      </c>
      <c r="U43" s="23" t="s">
        <v>667</v>
      </c>
      <c r="V43" s="22"/>
      <c r="W43" s="22"/>
      <c r="X43" s="22"/>
      <c r="Y43" s="22"/>
      <c r="Z43" s="22" t="s">
        <v>39</v>
      </c>
      <c r="AA43" s="22" t="s">
        <v>39</v>
      </c>
      <c r="AB43" s="1"/>
      <c r="AC43"/>
      <c r="AD43"/>
      <c r="AE43"/>
      <c r="AF43"/>
      <c r="AG43"/>
    </row>
    <row r="44" spans="1:33" ht="72" customHeight="1" x14ac:dyDescent="0.25">
      <c r="A44" s="17">
        <v>9755532</v>
      </c>
      <c r="B44" s="30">
        <v>1</v>
      </c>
      <c r="C44" s="17" t="s">
        <v>240</v>
      </c>
      <c r="D44" s="31" t="s">
        <v>52</v>
      </c>
      <c r="E44" s="32">
        <v>42661</v>
      </c>
      <c r="F44" s="33">
        <v>42661</v>
      </c>
      <c r="G44" s="32">
        <v>42661</v>
      </c>
      <c r="H44" s="22" t="s">
        <v>108</v>
      </c>
      <c r="I44" s="23" t="s">
        <v>295</v>
      </c>
      <c r="J44" s="23" t="s">
        <v>39</v>
      </c>
      <c r="K44" s="22"/>
      <c r="L44" s="23" t="s">
        <v>39</v>
      </c>
      <c r="M44" s="23" t="s">
        <v>39</v>
      </c>
      <c r="N44" s="22"/>
      <c r="O44" s="22"/>
      <c r="P44" s="22"/>
      <c r="Q44" s="22"/>
      <c r="R44" s="23" t="s">
        <v>682</v>
      </c>
      <c r="S44" s="23" t="s">
        <v>682</v>
      </c>
      <c r="T44" s="23" t="s">
        <v>39</v>
      </c>
      <c r="U44" s="23" t="s">
        <v>687</v>
      </c>
      <c r="V44" s="22"/>
      <c r="W44" s="22"/>
      <c r="X44" s="22"/>
      <c r="Y44" s="22"/>
      <c r="Z44" s="22" t="s">
        <v>39</v>
      </c>
      <c r="AA44" s="22" t="s">
        <v>39</v>
      </c>
      <c r="AB44" s="1"/>
      <c r="AC44"/>
      <c r="AD44"/>
      <c r="AE44"/>
      <c r="AF44"/>
      <c r="AG44"/>
    </row>
    <row r="45" spans="1:33" ht="72" customHeight="1" x14ac:dyDescent="0.25">
      <c r="A45" s="17">
        <v>9755652</v>
      </c>
      <c r="B45" s="30">
        <v>7</v>
      </c>
      <c r="C45" s="17" t="s">
        <v>250</v>
      </c>
      <c r="D45" s="31" t="s">
        <v>11</v>
      </c>
      <c r="E45" s="32">
        <v>42662</v>
      </c>
      <c r="F45" s="33">
        <v>42662</v>
      </c>
      <c r="G45" s="32">
        <v>42662</v>
      </c>
      <c r="H45" s="22" t="s">
        <v>112</v>
      </c>
      <c r="I45" s="23" t="s">
        <v>223</v>
      </c>
      <c r="J45" s="23" t="s">
        <v>39</v>
      </c>
      <c r="K45" s="22"/>
      <c r="L45" s="23" t="s">
        <v>39</v>
      </c>
      <c r="M45" s="23" t="s">
        <v>39</v>
      </c>
      <c r="N45" s="22"/>
      <c r="O45" s="22"/>
      <c r="P45" s="22"/>
      <c r="Q45" s="22"/>
      <c r="R45" s="23" t="s">
        <v>323</v>
      </c>
      <c r="S45" s="23" t="s">
        <v>323</v>
      </c>
      <c r="T45" s="23" t="s">
        <v>39</v>
      </c>
      <c r="U45" s="23" t="s">
        <v>39</v>
      </c>
      <c r="V45" s="22"/>
      <c r="W45" s="22"/>
      <c r="X45" s="22"/>
      <c r="Y45" s="22"/>
      <c r="Z45" s="22" t="s">
        <v>39</v>
      </c>
      <c r="AA45" s="22" t="s">
        <v>39</v>
      </c>
      <c r="AB45" s="1"/>
      <c r="AC45"/>
      <c r="AD45"/>
      <c r="AE45"/>
      <c r="AF45"/>
      <c r="AG45"/>
    </row>
    <row r="46" spans="1:33" ht="72" customHeight="1" x14ac:dyDescent="0.25">
      <c r="A46" s="17">
        <v>9755658</v>
      </c>
      <c r="B46" s="30">
        <v>2</v>
      </c>
      <c r="C46" s="17" t="s">
        <v>247</v>
      </c>
      <c r="D46" s="31" t="s">
        <v>20</v>
      </c>
      <c r="E46" s="32">
        <v>42662</v>
      </c>
      <c r="F46" s="33">
        <v>42662</v>
      </c>
      <c r="G46" s="32">
        <v>42662</v>
      </c>
      <c r="H46" s="22" t="s">
        <v>95</v>
      </c>
      <c r="I46" s="23" t="s">
        <v>223</v>
      </c>
      <c r="J46" s="23" t="s">
        <v>39</v>
      </c>
      <c r="K46" s="22"/>
      <c r="L46" s="23" t="s">
        <v>263</v>
      </c>
      <c r="M46" s="23" t="s">
        <v>39</v>
      </c>
      <c r="N46" s="22"/>
      <c r="O46" s="22"/>
      <c r="P46" s="22"/>
      <c r="Q46" s="22"/>
      <c r="R46" s="23" t="s">
        <v>323</v>
      </c>
      <c r="S46" s="23" t="s">
        <v>323</v>
      </c>
      <c r="T46" s="23" t="s">
        <v>39</v>
      </c>
      <c r="U46" s="23" t="s">
        <v>39</v>
      </c>
      <c r="V46" s="22"/>
      <c r="W46" s="22"/>
      <c r="X46" s="22"/>
      <c r="Y46" s="22"/>
      <c r="Z46" s="22" t="s">
        <v>39</v>
      </c>
      <c r="AA46" s="22" t="s">
        <v>39</v>
      </c>
      <c r="AB46" s="1"/>
      <c r="AC46"/>
      <c r="AD46"/>
      <c r="AE46"/>
      <c r="AF46"/>
      <c r="AG46"/>
    </row>
    <row r="47" spans="1:33" ht="72" customHeight="1" x14ac:dyDescent="0.25">
      <c r="A47" s="17">
        <v>9755688</v>
      </c>
      <c r="B47" s="30">
        <v>2</v>
      </c>
      <c r="C47" s="17" t="s">
        <v>221</v>
      </c>
      <c r="D47" s="31" t="s">
        <v>52</v>
      </c>
      <c r="E47" s="32">
        <v>42662</v>
      </c>
      <c r="F47" s="33">
        <v>42662</v>
      </c>
      <c r="G47" s="32">
        <v>42662</v>
      </c>
      <c r="H47" s="22" t="s">
        <v>95</v>
      </c>
      <c r="I47" s="23" t="s">
        <v>93</v>
      </c>
      <c r="J47" s="23" t="s">
        <v>39</v>
      </c>
      <c r="K47" s="22"/>
      <c r="L47" s="23" t="s">
        <v>263</v>
      </c>
      <c r="M47" s="23" t="s">
        <v>39</v>
      </c>
      <c r="N47" s="22"/>
      <c r="O47" s="22"/>
      <c r="P47" s="22"/>
      <c r="Q47" s="22"/>
      <c r="R47" s="23" t="s">
        <v>323</v>
      </c>
      <c r="S47" s="23" t="s">
        <v>323</v>
      </c>
      <c r="T47" s="23" t="s">
        <v>39</v>
      </c>
      <c r="U47" s="23" t="s">
        <v>39</v>
      </c>
      <c r="V47" s="22"/>
      <c r="W47" s="22"/>
      <c r="X47" s="22"/>
      <c r="Y47" s="22"/>
      <c r="Z47" s="22" t="s">
        <v>39</v>
      </c>
      <c r="AA47" s="22" t="s">
        <v>39</v>
      </c>
      <c r="AB47" s="1"/>
      <c r="AC47"/>
      <c r="AD47"/>
      <c r="AE47"/>
      <c r="AF47"/>
      <c r="AG47"/>
    </row>
    <row r="48" spans="1:33" ht="72" customHeight="1" x14ac:dyDescent="0.25">
      <c r="A48" s="17">
        <v>9755804</v>
      </c>
      <c r="B48" s="30">
        <v>7</v>
      </c>
      <c r="C48" s="17" t="s">
        <v>248</v>
      </c>
      <c r="D48" s="31" t="s">
        <v>16</v>
      </c>
      <c r="E48" s="32">
        <v>42662</v>
      </c>
      <c r="F48" s="33">
        <v>42662</v>
      </c>
      <c r="G48" s="32">
        <v>42662</v>
      </c>
      <c r="H48" s="22" t="s">
        <v>732</v>
      </c>
      <c r="I48" s="23" t="s">
        <v>223</v>
      </c>
      <c r="J48" s="23" t="s">
        <v>131</v>
      </c>
      <c r="K48" s="22"/>
      <c r="L48" s="23" t="s">
        <v>39</v>
      </c>
      <c r="M48" s="23" t="s">
        <v>324</v>
      </c>
      <c r="N48" s="22"/>
      <c r="O48" s="22"/>
      <c r="P48" s="22"/>
      <c r="Q48" s="22"/>
      <c r="R48" s="23" t="s">
        <v>621</v>
      </c>
      <c r="S48" s="23" t="s">
        <v>621</v>
      </c>
      <c r="T48" s="23" t="s">
        <v>39</v>
      </c>
      <c r="U48" s="23" t="s">
        <v>39</v>
      </c>
      <c r="V48" s="22"/>
      <c r="W48" s="22"/>
      <c r="X48" s="22"/>
      <c r="Y48" s="22"/>
      <c r="Z48" s="22" t="s">
        <v>39</v>
      </c>
      <c r="AA48" s="22" t="s">
        <v>39</v>
      </c>
      <c r="AB48" s="1"/>
      <c r="AC48"/>
      <c r="AD48"/>
      <c r="AE48"/>
      <c r="AF48"/>
      <c r="AG48"/>
    </row>
    <row r="49" spans="1:33" ht="72" customHeight="1" x14ac:dyDescent="0.25">
      <c r="A49" s="17">
        <v>9755805</v>
      </c>
      <c r="B49" s="30">
        <v>10</v>
      </c>
      <c r="C49" s="17" t="s">
        <v>252</v>
      </c>
      <c r="D49" s="31" t="s">
        <v>153</v>
      </c>
      <c r="E49" s="32">
        <v>42662</v>
      </c>
      <c r="F49" s="33">
        <v>42662</v>
      </c>
      <c r="G49" s="32">
        <v>42662</v>
      </c>
      <c r="H49" s="22" t="s">
        <v>112</v>
      </c>
      <c r="I49" s="23" t="s">
        <v>93</v>
      </c>
      <c r="J49" s="23" t="s">
        <v>39</v>
      </c>
      <c r="K49" s="22"/>
      <c r="L49" s="23" t="s">
        <v>39</v>
      </c>
      <c r="M49" s="23" t="s">
        <v>39</v>
      </c>
      <c r="N49" s="22"/>
      <c r="O49" s="22"/>
      <c r="P49" s="22"/>
      <c r="Q49" s="22"/>
      <c r="R49" s="23" t="s">
        <v>39</v>
      </c>
      <c r="S49" s="23" t="s">
        <v>267</v>
      </c>
      <c r="T49" s="23" t="s">
        <v>39</v>
      </c>
      <c r="U49" s="23" t="s">
        <v>39</v>
      </c>
      <c r="V49" s="22"/>
      <c r="W49" s="22"/>
      <c r="X49" s="22"/>
      <c r="Y49" s="22"/>
      <c r="Z49" s="22" t="s">
        <v>39</v>
      </c>
      <c r="AA49" s="22" t="s">
        <v>39</v>
      </c>
      <c r="AB49" s="1"/>
      <c r="AC49"/>
      <c r="AD49"/>
      <c r="AE49"/>
      <c r="AF49"/>
      <c r="AG49"/>
    </row>
    <row r="50" spans="1:33" ht="72" customHeight="1" x14ac:dyDescent="0.25">
      <c r="A50" s="17">
        <v>9755806</v>
      </c>
      <c r="B50" s="30">
        <v>12</v>
      </c>
      <c r="C50" s="17" t="s">
        <v>256</v>
      </c>
      <c r="D50" s="31" t="s">
        <v>255</v>
      </c>
      <c r="E50" s="32">
        <v>42662</v>
      </c>
      <c r="F50" s="33">
        <v>42662</v>
      </c>
      <c r="G50" s="32">
        <v>42662</v>
      </c>
      <c r="H50" s="22" t="s">
        <v>112</v>
      </c>
      <c r="I50" s="23" t="s">
        <v>295</v>
      </c>
      <c r="J50" s="23" t="s">
        <v>39</v>
      </c>
      <c r="K50" s="22"/>
      <c r="L50" s="23" t="s">
        <v>39</v>
      </c>
      <c r="M50" s="23" t="s">
        <v>39</v>
      </c>
      <c r="N50" s="22"/>
      <c r="O50" s="22"/>
      <c r="P50" s="22"/>
      <c r="Q50" s="22"/>
      <c r="R50" s="23" t="s">
        <v>39</v>
      </c>
      <c r="S50" s="23" t="s">
        <v>267</v>
      </c>
      <c r="T50" s="23" t="s">
        <v>39</v>
      </c>
      <c r="U50" s="23" t="s">
        <v>39</v>
      </c>
      <c r="V50" s="22"/>
      <c r="W50" s="22"/>
      <c r="X50" s="22"/>
      <c r="Y50" s="22"/>
      <c r="Z50" s="22" t="s">
        <v>39</v>
      </c>
      <c r="AA50" s="22" t="s">
        <v>39</v>
      </c>
      <c r="AB50" s="1"/>
      <c r="AC50"/>
      <c r="AD50"/>
      <c r="AE50"/>
      <c r="AF50"/>
      <c r="AG50"/>
    </row>
    <row r="51" spans="1:33" ht="72" customHeight="1" x14ac:dyDescent="0.25">
      <c r="A51" s="17">
        <v>9755986</v>
      </c>
      <c r="B51" s="30">
        <v>2</v>
      </c>
      <c r="C51" s="17" t="s">
        <v>254</v>
      </c>
      <c r="D51" s="31" t="s">
        <v>52</v>
      </c>
      <c r="E51" s="32">
        <v>42662</v>
      </c>
      <c r="F51" s="33">
        <v>42662</v>
      </c>
      <c r="G51" s="32">
        <v>42662</v>
      </c>
      <c r="H51" s="22" t="s">
        <v>95</v>
      </c>
      <c r="I51" s="23" t="s">
        <v>93</v>
      </c>
      <c r="J51" s="23" t="s">
        <v>39</v>
      </c>
      <c r="K51" s="22"/>
      <c r="L51" s="23" t="s">
        <v>263</v>
      </c>
      <c r="M51" s="23" t="s">
        <v>39</v>
      </c>
      <c r="N51" s="22"/>
      <c r="O51" s="22"/>
      <c r="P51" s="22"/>
      <c r="Q51" s="22"/>
      <c r="R51" s="23" t="s">
        <v>296</v>
      </c>
      <c r="S51" s="23" t="s">
        <v>296</v>
      </c>
      <c r="T51" s="23" t="s">
        <v>39</v>
      </c>
      <c r="U51" s="23" t="s">
        <v>565</v>
      </c>
      <c r="V51" s="22"/>
      <c r="W51" s="22"/>
      <c r="X51" s="22"/>
      <c r="Y51" s="22"/>
      <c r="Z51" s="22" t="s">
        <v>39</v>
      </c>
      <c r="AA51" s="22" t="s">
        <v>39</v>
      </c>
      <c r="AB51" s="1"/>
      <c r="AC51"/>
      <c r="AD51"/>
      <c r="AE51"/>
      <c r="AF51"/>
      <c r="AG51"/>
    </row>
    <row r="52" spans="1:33" ht="72" customHeight="1" x14ac:dyDescent="0.25">
      <c r="A52" s="17">
        <v>9756017</v>
      </c>
      <c r="B52" s="30">
        <v>2</v>
      </c>
      <c r="C52" s="17" t="s">
        <v>209</v>
      </c>
      <c r="D52" s="31" t="s">
        <v>11</v>
      </c>
      <c r="E52" s="32">
        <v>42662</v>
      </c>
      <c r="F52" s="33">
        <v>42662</v>
      </c>
      <c r="G52" s="32">
        <v>42662</v>
      </c>
      <c r="H52" s="22" t="s">
        <v>95</v>
      </c>
      <c r="I52" s="23" t="s">
        <v>93</v>
      </c>
      <c r="J52" s="23" t="s">
        <v>39</v>
      </c>
      <c r="K52" s="22"/>
      <c r="L52" s="23" t="s">
        <v>263</v>
      </c>
      <c r="M52" s="23" t="s">
        <v>39</v>
      </c>
      <c r="N52" s="22"/>
      <c r="O52" s="22"/>
      <c r="P52" s="22"/>
      <c r="Q52" s="22"/>
      <c r="R52" s="23" t="s">
        <v>296</v>
      </c>
      <c r="S52" s="23" t="s">
        <v>296</v>
      </c>
      <c r="T52" s="23" t="s">
        <v>39</v>
      </c>
      <c r="U52" s="23" t="s">
        <v>39</v>
      </c>
      <c r="V52" s="22"/>
      <c r="W52" s="22"/>
      <c r="X52" s="22"/>
      <c r="Y52" s="22"/>
      <c r="Z52" s="22" t="s">
        <v>39</v>
      </c>
      <c r="AA52" s="22" t="s">
        <v>39</v>
      </c>
      <c r="AB52" s="1"/>
      <c r="AC52"/>
      <c r="AD52"/>
      <c r="AE52"/>
      <c r="AF52"/>
      <c r="AG52"/>
    </row>
    <row r="53" spans="1:33" ht="72" customHeight="1" x14ac:dyDescent="0.25">
      <c r="A53" s="17">
        <v>9756039</v>
      </c>
      <c r="B53" s="30">
        <v>15</v>
      </c>
      <c r="C53" s="17" t="s">
        <v>269</v>
      </c>
      <c r="D53" s="31" t="s">
        <v>20</v>
      </c>
      <c r="E53" s="32">
        <v>42662</v>
      </c>
      <c r="F53" s="33">
        <v>42662</v>
      </c>
      <c r="G53" s="32">
        <v>42662</v>
      </c>
      <c r="H53" s="22" t="s">
        <v>95</v>
      </c>
      <c r="I53" s="23" t="s">
        <v>223</v>
      </c>
      <c r="J53" s="23" t="s">
        <v>39</v>
      </c>
      <c r="K53" s="22"/>
      <c r="L53" s="23" t="s">
        <v>263</v>
      </c>
      <c r="M53" s="23" t="s">
        <v>39</v>
      </c>
      <c r="N53" s="22"/>
      <c r="O53" s="22"/>
      <c r="P53" s="22"/>
      <c r="Q53" s="22"/>
      <c r="R53" s="23" t="s">
        <v>323</v>
      </c>
      <c r="S53" s="23" t="s">
        <v>323</v>
      </c>
      <c r="T53" s="23" t="s">
        <v>39</v>
      </c>
      <c r="U53" s="23" t="s">
        <v>39</v>
      </c>
      <c r="V53" s="22"/>
      <c r="W53" s="22"/>
      <c r="X53" s="22"/>
      <c r="Y53" s="22"/>
      <c r="Z53" s="22" t="s">
        <v>39</v>
      </c>
      <c r="AA53" s="22" t="s">
        <v>39</v>
      </c>
      <c r="AB53" s="1"/>
      <c r="AC53"/>
      <c r="AD53"/>
      <c r="AE53"/>
      <c r="AF53"/>
      <c r="AG53"/>
    </row>
    <row r="54" spans="1:33" ht="72" customHeight="1" x14ac:dyDescent="0.25">
      <c r="A54" s="17">
        <v>9756046</v>
      </c>
      <c r="B54" s="30">
        <v>8</v>
      </c>
      <c r="C54" s="17" t="s">
        <v>270</v>
      </c>
      <c r="D54" s="31" t="s">
        <v>16</v>
      </c>
      <c r="E54" s="32">
        <v>42662</v>
      </c>
      <c r="F54" s="33">
        <v>42662</v>
      </c>
      <c r="G54" s="32">
        <v>42662</v>
      </c>
      <c r="H54" s="22" t="s">
        <v>732</v>
      </c>
      <c r="I54" s="23" t="s">
        <v>223</v>
      </c>
      <c r="J54" s="23" t="s">
        <v>131</v>
      </c>
      <c r="K54" s="22"/>
      <c r="L54" s="23" t="s">
        <v>39</v>
      </c>
      <c r="M54" s="23" t="s">
        <v>324</v>
      </c>
      <c r="N54" s="22"/>
      <c r="O54" s="22"/>
      <c r="P54" s="22"/>
      <c r="Q54" s="22"/>
      <c r="R54" s="23" t="s">
        <v>622</v>
      </c>
      <c r="S54" s="23" t="s">
        <v>622</v>
      </c>
      <c r="T54" s="23" t="s">
        <v>39</v>
      </c>
      <c r="U54" s="23" t="s">
        <v>39</v>
      </c>
      <c r="V54" s="22"/>
      <c r="W54" s="22"/>
      <c r="X54" s="22"/>
      <c r="Y54" s="22"/>
      <c r="Z54" s="22" t="s">
        <v>39</v>
      </c>
      <c r="AA54" s="22" t="s">
        <v>39</v>
      </c>
      <c r="AB54" s="1"/>
      <c r="AC54"/>
      <c r="AD54"/>
      <c r="AE54"/>
      <c r="AF54"/>
      <c r="AG54"/>
    </row>
    <row r="55" spans="1:33" ht="72" customHeight="1" x14ac:dyDescent="0.25">
      <c r="A55" s="17">
        <v>9756078</v>
      </c>
      <c r="B55" s="30">
        <v>1</v>
      </c>
      <c r="C55" s="17" t="s">
        <v>273</v>
      </c>
      <c r="D55" s="31" t="s">
        <v>52</v>
      </c>
      <c r="E55" s="32">
        <v>42662</v>
      </c>
      <c r="F55" s="33">
        <v>42662</v>
      </c>
      <c r="G55" s="32">
        <v>42662</v>
      </c>
      <c r="H55" s="22" t="s">
        <v>95</v>
      </c>
      <c r="I55" s="23" t="s">
        <v>350</v>
      </c>
      <c r="J55" s="23" t="s">
        <v>39</v>
      </c>
      <c r="K55" s="22"/>
      <c r="L55" s="23" t="s">
        <v>263</v>
      </c>
      <c r="M55" s="23" t="s">
        <v>39</v>
      </c>
      <c r="N55" s="22"/>
      <c r="O55" s="22"/>
      <c r="P55" s="22"/>
      <c r="Q55" s="22"/>
      <c r="R55" s="23" t="s">
        <v>297</v>
      </c>
      <c r="S55" s="23" t="s">
        <v>297</v>
      </c>
      <c r="T55" s="23" t="s">
        <v>39</v>
      </c>
      <c r="U55" s="23" t="s">
        <v>39</v>
      </c>
      <c r="V55" s="22"/>
      <c r="W55" s="22"/>
      <c r="X55" s="22"/>
      <c r="Y55" s="22"/>
      <c r="Z55" s="22" t="s">
        <v>39</v>
      </c>
      <c r="AA55" s="22" t="s">
        <v>39</v>
      </c>
      <c r="AB55" s="1"/>
      <c r="AC55"/>
      <c r="AD55"/>
      <c r="AE55"/>
      <c r="AF55"/>
      <c r="AG55"/>
    </row>
    <row r="56" spans="1:33" ht="72" customHeight="1" x14ac:dyDescent="0.25">
      <c r="A56" s="17">
        <v>9756158</v>
      </c>
      <c r="B56" s="30">
        <v>1</v>
      </c>
      <c r="C56" s="17" t="s">
        <v>167</v>
      </c>
      <c r="D56" s="31" t="s">
        <v>45</v>
      </c>
      <c r="E56" s="32">
        <v>42662</v>
      </c>
      <c r="F56" s="33">
        <v>42662</v>
      </c>
      <c r="G56" s="32">
        <v>42662</v>
      </c>
      <c r="H56" s="22" t="s">
        <v>112</v>
      </c>
      <c r="I56" s="23" t="s">
        <v>93</v>
      </c>
      <c r="J56" s="23" t="s">
        <v>39</v>
      </c>
      <c r="K56" s="22"/>
      <c r="L56" s="23" t="s">
        <v>39</v>
      </c>
      <c r="M56" s="23" t="s">
        <v>39</v>
      </c>
      <c r="N56" s="22"/>
      <c r="O56" s="22"/>
      <c r="P56" s="22"/>
      <c r="Q56" s="22"/>
      <c r="R56" s="23" t="s">
        <v>323</v>
      </c>
      <c r="S56" s="23" t="s">
        <v>323</v>
      </c>
      <c r="T56" s="23" t="s">
        <v>39</v>
      </c>
      <c r="U56" s="23" t="s">
        <v>39</v>
      </c>
      <c r="V56" s="22"/>
      <c r="W56" s="22"/>
      <c r="X56" s="22"/>
      <c r="Y56" s="22"/>
      <c r="Z56" s="22" t="s">
        <v>39</v>
      </c>
      <c r="AA56" s="22" t="s">
        <v>39</v>
      </c>
      <c r="AB56" s="1"/>
      <c r="AC56"/>
      <c r="AD56"/>
      <c r="AE56"/>
      <c r="AF56"/>
      <c r="AG56"/>
    </row>
    <row r="57" spans="1:33" ht="72" customHeight="1" x14ac:dyDescent="0.25">
      <c r="A57" s="17">
        <v>9756256</v>
      </c>
      <c r="B57" s="30">
        <v>1</v>
      </c>
      <c r="C57" s="17" t="s">
        <v>288</v>
      </c>
      <c r="D57" s="31" t="s">
        <v>52</v>
      </c>
      <c r="E57" s="32">
        <v>42663</v>
      </c>
      <c r="F57" s="33">
        <v>42663</v>
      </c>
      <c r="G57" s="32">
        <v>42663</v>
      </c>
      <c r="H57" s="22" t="s">
        <v>112</v>
      </c>
      <c r="I57" s="23" t="s">
        <v>223</v>
      </c>
      <c r="J57" s="23" t="s">
        <v>39</v>
      </c>
      <c r="K57" s="22"/>
      <c r="L57" s="23" t="s">
        <v>39</v>
      </c>
      <c r="M57" s="23" t="s">
        <v>39</v>
      </c>
      <c r="N57" s="22"/>
      <c r="O57" s="22"/>
      <c r="P57" s="22"/>
      <c r="Q57" s="22"/>
      <c r="R57" s="23" t="s">
        <v>323</v>
      </c>
      <c r="S57" s="23" t="s">
        <v>323</v>
      </c>
      <c r="T57" s="23" t="s">
        <v>39</v>
      </c>
      <c r="U57" s="23" t="s">
        <v>39</v>
      </c>
      <c r="V57" s="22"/>
      <c r="W57" s="22"/>
      <c r="X57" s="22"/>
      <c r="Y57" s="22"/>
      <c r="Z57" s="22" t="s">
        <v>39</v>
      </c>
      <c r="AA57" s="22" t="s">
        <v>39</v>
      </c>
      <c r="AB57" s="1"/>
      <c r="AC57"/>
      <c r="AD57"/>
      <c r="AE57"/>
      <c r="AF57"/>
      <c r="AG57"/>
    </row>
    <row r="58" spans="1:33" ht="72" customHeight="1" x14ac:dyDescent="0.25">
      <c r="A58" s="17">
        <v>9756257</v>
      </c>
      <c r="B58" s="30">
        <v>2</v>
      </c>
      <c r="C58" s="17" t="s">
        <v>222</v>
      </c>
      <c r="D58" s="31" t="s">
        <v>52</v>
      </c>
      <c r="E58" s="32">
        <v>42663</v>
      </c>
      <c r="F58" s="33">
        <v>42663</v>
      </c>
      <c r="G58" s="32">
        <v>42663</v>
      </c>
      <c r="H58" s="22" t="s">
        <v>112</v>
      </c>
      <c r="I58" s="23" t="s">
        <v>350</v>
      </c>
      <c r="J58" s="23" t="s">
        <v>39</v>
      </c>
      <c r="K58" s="22"/>
      <c r="L58" s="23" t="s">
        <v>39</v>
      </c>
      <c r="M58" s="23" t="s">
        <v>39</v>
      </c>
      <c r="N58" s="22"/>
      <c r="O58" s="22"/>
      <c r="P58" s="22"/>
      <c r="Q58" s="22"/>
      <c r="R58" s="23" t="s">
        <v>323</v>
      </c>
      <c r="S58" s="23" t="s">
        <v>323</v>
      </c>
      <c r="T58" s="23" t="s">
        <v>39</v>
      </c>
      <c r="U58" s="23" t="s">
        <v>39</v>
      </c>
      <c r="V58" s="22"/>
      <c r="W58" s="22"/>
      <c r="X58" s="22"/>
      <c r="Y58" s="22"/>
      <c r="Z58" s="22" t="s">
        <v>39</v>
      </c>
      <c r="AA58" s="22" t="s">
        <v>39</v>
      </c>
      <c r="AB58" s="1"/>
      <c r="AC58"/>
      <c r="AD58"/>
      <c r="AE58"/>
      <c r="AF58"/>
      <c r="AG58"/>
    </row>
    <row r="59" spans="1:33" ht="72" customHeight="1" x14ac:dyDescent="0.25">
      <c r="A59" s="17">
        <v>9756259</v>
      </c>
      <c r="B59" s="30">
        <v>6</v>
      </c>
      <c r="C59" s="17" t="s">
        <v>287</v>
      </c>
      <c r="D59" s="31" t="s">
        <v>52</v>
      </c>
      <c r="E59" s="32">
        <v>42663</v>
      </c>
      <c r="F59" s="33">
        <v>42663</v>
      </c>
      <c r="G59" s="32">
        <v>42663</v>
      </c>
      <c r="H59" s="22" t="s">
        <v>95</v>
      </c>
      <c r="I59" s="23" t="s">
        <v>223</v>
      </c>
      <c r="J59" s="23" t="s">
        <v>39</v>
      </c>
      <c r="K59" s="22"/>
      <c r="L59" s="23" t="s">
        <v>263</v>
      </c>
      <c r="M59" s="23" t="s">
        <v>39</v>
      </c>
      <c r="N59" s="22"/>
      <c r="O59" s="22"/>
      <c r="P59" s="22"/>
      <c r="Q59" s="22"/>
      <c r="R59" s="23" t="s">
        <v>323</v>
      </c>
      <c r="S59" s="23" t="s">
        <v>323</v>
      </c>
      <c r="T59" s="23" t="s">
        <v>39</v>
      </c>
      <c r="U59" s="23" t="s">
        <v>39</v>
      </c>
      <c r="V59" s="22"/>
      <c r="W59" s="22"/>
      <c r="X59" s="22"/>
      <c r="Y59" s="22"/>
      <c r="Z59" s="22" t="s">
        <v>39</v>
      </c>
      <c r="AA59" s="22" t="s">
        <v>39</v>
      </c>
      <c r="AB59" s="1"/>
      <c r="AC59"/>
      <c r="AD59"/>
      <c r="AE59"/>
      <c r="AF59"/>
      <c r="AG59"/>
    </row>
    <row r="60" spans="1:33" ht="72" customHeight="1" x14ac:dyDescent="0.25">
      <c r="A60" s="17">
        <v>9756264</v>
      </c>
      <c r="B60" s="30">
        <v>2</v>
      </c>
      <c r="C60" s="17" t="s">
        <v>290</v>
      </c>
      <c r="D60" s="31" t="s">
        <v>25</v>
      </c>
      <c r="E60" s="32">
        <v>42663</v>
      </c>
      <c r="F60" s="33">
        <v>42663</v>
      </c>
      <c r="G60" s="32">
        <v>42663</v>
      </c>
      <c r="H60" s="22" t="s">
        <v>112</v>
      </c>
      <c r="I60" s="23" t="s">
        <v>223</v>
      </c>
      <c r="J60" s="23" t="s">
        <v>39</v>
      </c>
      <c r="K60" s="22"/>
      <c r="L60" s="23" t="s">
        <v>39</v>
      </c>
      <c r="M60" s="23" t="s">
        <v>39</v>
      </c>
      <c r="N60" s="22"/>
      <c r="O60" s="22"/>
      <c r="P60" s="22"/>
      <c r="Q60" s="22"/>
      <c r="R60" s="23" t="s">
        <v>323</v>
      </c>
      <c r="S60" s="23" t="s">
        <v>323</v>
      </c>
      <c r="T60" s="23" t="s">
        <v>39</v>
      </c>
      <c r="U60" s="23" t="s">
        <v>39</v>
      </c>
      <c r="V60" s="22"/>
      <c r="W60" s="22"/>
      <c r="X60" s="22"/>
      <c r="Y60" s="22"/>
      <c r="Z60" s="22" t="s">
        <v>39</v>
      </c>
      <c r="AA60" s="22" t="s">
        <v>39</v>
      </c>
      <c r="AB60" s="1"/>
      <c r="AC60"/>
      <c r="AD60"/>
      <c r="AE60"/>
      <c r="AF60"/>
      <c r="AG60"/>
    </row>
    <row r="61" spans="1:33" ht="72" customHeight="1" x14ac:dyDescent="0.25">
      <c r="A61" s="17">
        <v>9756394</v>
      </c>
      <c r="B61" s="30">
        <v>16</v>
      </c>
      <c r="C61" s="17" t="s">
        <v>232</v>
      </c>
      <c r="D61" s="31" t="s">
        <v>20</v>
      </c>
      <c r="E61" s="32">
        <v>42663</v>
      </c>
      <c r="F61" s="33">
        <v>42663</v>
      </c>
      <c r="G61" s="32">
        <v>42663</v>
      </c>
      <c r="H61" s="22" t="s">
        <v>112</v>
      </c>
      <c r="I61" s="23" t="s">
        <v>295</v>
      </c>
      <c r="J61" s="23" t="s">
        <v>39</v>
      </c>
      <c r="K61" s="22"/>
      <c r="L61" s="23" t="s">
        <v>39</v>
      </c>
      <c r="M61" s="23" t="s">
        <v>39</v>
      </c>
      <c r="N61" s="22"/>
      <c r="O61" s="22"/>
      <c r="P61" s="22"/>
      <c r="Q61" s="22"/>
      <c r="R61" s="23" t="s">
        <v>298</v>
      </c>
      <c r="S61" s="23" t="s">
        <v>298</v>
      </c>
      <c r="T61" s="23" t="s">
        <v>39</v>
      </c>
      <c r="U61" s="23" t="s">
        <v>39</v>
      </c>
      <c r="V61" s="22"/>
      <c r="W61" s="22"/>
      <c r="X61" s="22"/>
      <c r="Y61" s="22"/>
      <c r="Z61" s="22" t="s">
        <v>39</v>
      </c>
      <c r="AA61" s="22" t="s">
        <v>39</v>
      </c>
      <c r="AB61" s="1"/>
      <c r="AC61"/>
      <c r="AD61"/>
      <c r="AE61"/>
      <c r="AF61"/>
      <c r="AG61"/>
    </row>
    <row r="62" spans="1:33" ht="72" customHeight="1" x14ac:dyDescent="0.25">
      <c r="A62" s="17">
        <v>9756395</v>
      </c>
      <c r="B62" s="30">
        <v>2</v>
      </c>
      <c r="C62" s="17" t="s">
        <v>279</v>
      </c>
      <c r="D62" s="31" t="s">
        <v>20</v>
      </c>
      <c r="E62" s="32">
        <v>42663</v>
      </c>
      <c r="F62" s="33">
        <v>42663</v>
      </c>
      <c r="G62" s="32">
        <v>42663</v>
      </c>
      <c r="H62" s="22" t="s">
        <v>95</v>
      </c>
      <c r="I62" s="23" t="s">
        <v>223</v>
      </c>
      <c r="J62" s="23" t="s">
        <v>39</v>
      </c>
      <c r="K62" s="22"/>
      <c r="L62" s="23" t="s">
        <v>263</v>
      </c>
      <c r="M62" s="23" t="s">
        <v>39</v>
      </c>
      <c r="N62" s="22"/>
      <c r="O62" s="22"/>
      <c r="P62" s="22"/>
      <c r="Q62" s="22"/>
      <c r="R62" s="23" t="s">
        <v>298</v>
      </c>
      <c r="S62" s="23" t="s">
        <v>298</v>
      </c>
      <c r="T62" s="23" t="s">
        <v>39</v>
      </c>
      <c r="U62" s="23" t="s">
        <v>39</v>
      </c>
      <c r="V62" s="22"/>
      <c r="W62" s="22"/>
      <c r="X62" s="22"/>
      <c r="Y62" s="22"/>
      <c r="Z62" s="22" t="s">
        <v>39</v>
      </c>
      <c r="AA62" s="22" t="s">
        <v>39</v>
      </c>
      <c r="AB62" s="1"/>
      <c r="AC62"/>
      <c r="AD62"/>
      <c r="AE62"/>
      <c r="AF62"/>
      <c r="AG62"/>
    </row>
    <row r="63" spans="1:33" ht="72" customHeight="1" x14ac:dyDescent="0.25">
      <c r="A63" s="17">
        <v>9756419</v>
      </c>
      <c r="B63" s="30">
        <v>1</v>
      </c>
      <c r="C63" s="17" t="s">
        <v>282</v>
      </c>
      <c r="D63" s="31" t="s">
        <v>12</v>
      </c>
      <c r="E63" s="32">
        <v>42663</v>
      </c>
      <c r="F63" s="33">
        <v>42663</v>
      </c>
      <c r="G63" s="32">
        <v>42663</v>
      </c>
      <c r="H63" s="22" t="s">
        <v>95</v>
      </c>
      <c r="I63" s="23" t="s">
        <v>223</v>
      </c>
      <c r="J63" s="23" t="s">
        <v>39</v>
      </c>
      <c r="K63" s="22"/>
      <c r="L63" s="23" t="s">
        <v>263</v>
      </c>
      <c r="M63" s="23" t="s">
        <v>39</v>
      </c>
      <c r="N63" s="22"/>
      <c r="O63" s="22"/>
      <c r="P63" s="22"/>
      <c r="Q63" s="22"/>
      <c r="R63" s="23" t="s">
        <v>298</v>
      </c>
      <c r="S63" s="23" t="s">
        <v>298</v>
      </c>
      <c r="T63" s="23" t="s">
        <v>39</v>
      </c>
      <c r="U63" s="23" t="s">
        <v>716</v>
      </c>
      <c r="V63" s="22"/>
      <c r="W63" s="22"/>
      <c r="X63" s="22"/>
      <c r="Y63" s="22"/>
      <c r="Z63" s="22" t="s">
        <v>39</v>
      </c>
      <c r="AA63" s="22" t="s">
        <v>39</v>
      </c>
      <c r="AB63" s="1"/>
      <c r="AC63"/>
      <c r="AD63"/>
      <c r="AE63"/>
      <c r="AF63"/>
      <c r="AG63"/>
    </row>
    <row r="64" spans="1:33" ht="72" customHeight="1" x14ac:dyDescent="0.25">
      <c r="A64" s="17">
        <v>9756426</v>
      </c>
      <c r="B64" s="30">
        <v>1</v>
      </c>
      <c r="C64" s="17" t="s">
        <v>196</v>
      </c>
      <c r="D64" s="31" t="s">
        <v>195</v>
      </c>
      <c r="E64" s="32">
        <v>42663</v>
      </c>
      <c r="F64" s="33">
        <v>42663</v>
      </c>
      <c r="G64" s="32">
        <v>42663</v>
      </c>
      <c r="H64" s="22" t="s">
        <v>108</v>
      </c>
      <c r="I64" s="23" t="s">
        <v>223</v>
      </c>
      <c r="J64" s="23" t="s">
        <v>294</v>
      </c>
      <c r="K64" s="22"/>
      <c r="L64" s="23" t="s">
        <v>39</v>
      </c>
      <c r="M64" s="23" t="s">
        <v>39</v>
      </c>
      <c r="N64" s="22"/>
      <c r="O64" s="22"/>
      <c r="P64" s="22"/>
      <c r="Q64" s="22"/>
      <c r="R64" s="23" t="s">
        <v>298</v>
      </c>
      <c r="S64" s="23" t="s">
        <v>298</v>
      </c>
      <c r="T64" s="23" t="s">
        <v>39</v>
      </c>
      <c r="U64" s="23" t="s">
        <v>314</v>
      </c>
      <c r="V64" s="22"/>
      <c r="W64" s="22"/>
      <c r="X64" s="22"/>
      <c r="Y64" s="22"/>
      <c r="Z64" s="22" t="s">
        <v>39</v>
      </c>
      <c r="AA64" s="22" t="s">
        <v>39</v>
      </c>
      <c r="AB64" s="1"/>
      <c r="AC64"/>
      <c r="AD64"/>
      <c r="AE64"/>
      <c r="AF64"/>
      <c r="AG64"/>
    </row>
    <row r="65" spans="1:33" ht="72" customHeight="1" x14ac:dyDescent="0.25">
      <c r="A65" s="17">
        <v>9756430</v>
      </c>
      <c r="B65" s="30">
        <v>5</v>
      </c>
      <c r="C65" s="17" t="s">
        <v>222</v>
      </c>
      <c r="D65" s="31" t="s">
        <v>52</v>
      </c>
      <c r="E65" s="32">
        <v>42663</v>
      </c>
      <c r="F65" s="33">
        <v>42663</v>
      </c>
      <c r="G65" s="32">
        <v>42663</v>
      </c>
      <c r="H65" s="22" t="s">
        <v>95</v>
      </c>
      <c r="I65" s="23" t="s">
        <v>223</v>
      </c>
      <c r="J65" s="23" t="s">
        <v>39</v>
      </c>
      <c r="K65" s="22"/>
      <c r="L65" s="23" t="s">
        <v>263</v>
      </c>
      <c r="M65" s="23" t="s">
        <v>39</v>
      </c>
      <c r="N65" s="22"/>
      <c r="O65" s="22"/>
      <c r="P65" s="22"/>
      <c r="Q65" s="22"/>
      <c r="R65" s="23" t="s">
        <v>298</v>
      </c>
      <c r="S65" s="23" t="s">
        <v>298</v>
      </c>
      <c r="T65" s="23" t="s">
        <v>39</v>
      </c>
      <c r="U65" s="23" t="s">
        <v>39</v>
      </c>
      <c r="V65" s="22"/>
      <c r="W65" s="22"/>
      <c r="X65" s="22"/>
      <c r="Y65" s="22"/>
      <c r="Z65" s="22" t="s">
        <v>39</v>
      </c>
      <c r="AA65" s="22" t="s">
        <v>39</v>
      </c>
      <c r="AB65" s="1"/>
      <c r="AC65"/>
      <c r="AD65"/>
      <c r="AE65"/>
      <c r="AF65"/>
      <c r="AG65"/>
    </row>
    <row r="66" spans="1:33" ht="72" customHeight="1" x14ac:dyDescent="0.25">
      <c r="A66" s="17">
        <v>9756435</v>
      </c>
      <c r="B66" s="30">
        <v>1</v>
      </c>
      <c r="C66" s="17" t="s">
        <v>289</v>
      </c>
      <c r="D66" s="31" t="s">
        <v>52</v>
      </c>
      <c r="E66" s="32">
        <v>42663</v>
      </c>
      <c r="F66" s="33">
        <v>42663</v>
      </c>
      <c r="G66" s="32">
        <v>42663</v>
      </c>
      <c r="H66" s="22" t="s">
        <v>95</v>
      </c>
      <c r="I66" s="23" t="s">
        <v>350</v>
      </c>
      <c r="J66" s="23" t="s">
        <v>39</v>
      </c>
      <c r="K66" s="22"/>
      <c r="L66" s="23" t="s">
        <v>263</v>
      </c>
      <c r="M66" s="23" t="s">
        <v>39</v>
      </c>
      <c r="N66" s="22"/>
      <c r="O66" s="22"/>
      <c r="P66" s="22"/>
      <c r="Q66" s="22"/>
      <c r="R66" s="23" t="s">
        <v>298</v>
      </c>
      <c r="S66" s="23" t="s">
        <v>298</v>
      </c>
      <c r="T66" s="23" t="s">
        <v>39</v>
      </c>
      <c r="U66" s="23" t="s">
        <v>39</v>
      </c>
      <c r="V66" s="22"/>
      <c r="W66" s="22"/>
      <c r="X66" s="22"/>
      <c r="Y66" s="22"/>
      <c r="Z66" s="22" t="s">
        <v>39</v>
      </c>
      <c r="AA66" s="22" t="s">
        <v>39</v>
      </c>
      <c r="AB66" s="1"/>
      <c r="AC66"/>
      <c r="AD66"/>
      <c r="AE66"/>
      <c r="AF66"/>
      <c r="AG66"/>
    </row>
    <row r="67" spans="1:33" ht="72" customHeight="1" x14ac:dyDescent="0.25">
      <c r="A67" s="17">
        <v>9756438</v>
      </c>
      <c r="B67" s="30">
        <v>15</v>
      </c>
      <c r="C67" s="17" t="s">
        <v>292</v>
      </c>
      <c r="D67" s="31" t="s">
        <v>291</v>
      </c>
      <c r="E67" s="32">
        <v>42663</v>
      </c>
      <c r="F67" s="33">
        <v>42663</v>
      </c>
      <c r="G67" s="32">
        <v>42663</v>
      </c>
      <c r="H67" s="22" t="s">
        <v>108</v>
      </c>
      <c r="I67" s="23" t="s">
        <v>353</v>
      </c>
      <c r="J67" s="23" t="s">
        <v>294</v>
      </c>
      <c r="K67" s="22"/>
      <c r="L67" s="23" t="s">
        <v>39</v>
      </c>
      <c r="M67" s="23" t="s">
        <v>465</v>
      </c>
      <c r="N67" s="22"/>
      <c r="O67" s="22"/>
      <c r="P67" s="22"/>
      <c r="Q67" s="22"/>
      <c r="R67" s="23" t="s">
        <v>298</v>
      </c>
      <c r="S67" s="23" t="s">
        <v>623</v>
      </c>
      <c r="T67" s="23" t="s">
        <v>131</v>
      </c>
      <c r="U67" s="23" t="s">
        <v>679</v>
      </c>
      <c r="V67" s="22"/>
      <c r="W67" s="22"/>
      <c r="X67" s="22"/>
      <c r="Y67" s="22"/>
      <c r="Z67" s="22" t="s">
        <v>39</v>
      </c>
      <c r="AA67" s="22" t="s">
        <v>39</v>
      </c>
      <c r="AB67" s="1"/>
      <c r="AC67"/>
      <c r="AD67"/>
      <c r="AE67"/>
      <c r="AF67"/>
      <c r="AG67"/>
    </row>
    <row r="68" spans="1:33" ht="72" customHeight="1" x14ac:dyDescent="0.25">
      <c r="A68" s="17">
        <v>9756470</v>
      </c>
      <c r="B68" s="30">
        <v>1</v>
      </c>
      <c r="C68" s="17" t="s">
        <v>284</v>
      </c>
      <c r="D68" s="31" t="s">
        <v>283</v>
      </c>
      <c r="E68" s="32">
        <v>42663</v>
      </c>
      <c r="F68" s="33">
        <v>42663</v>
      </c>
      <c r="G68" s="32">
        <v>42663</v>
      </c>
      <c r="H68" s="22" t="s">
        <v>108</v>
      </c>
      <c r="I68" s="23" t="s">
        <v>353</v>
      </c>
      <c r="J68" s="23" t="s">
        <v>131</v>
      </c>
      <c r="K68" s="22"/>
      <c r="L68" s="23" t="s">
        <v>39</v>
      </c>
      <c r="M68" s="23" t="s">
        <v>39</v>
      </c>
      <c r="N68" s="22"/>
      <c r="O68" s="22"/>
      <c r="P68" s="22"/>
      <c r="Q68" s="22"/>
      <c r="R68" s="23" t="s">
        <v>284</v>
      </c>
      <c r="S68" s="23" t="s">
        <v>284</v>
      </c>
      <c r="T68" s="23" t="s">
        <v>131</v>
      </c>
      <c r="U68" s="23" t="s">
        <v>656</v>
      </c>
      <c r="V68" s="22"/>
      <c r="W68" s="22"/>
      <c r="X68" s="22"/>
      <c r="Y68" s="22"/>
      <c r="Z68" s="22" t="s">
        <v>39</v>
      </c>
      <c r="AA68" s="22" t="s">
        <v>39</v>
      </c>
      <c r="AB68" s="1"/>
      <c r="AC68"/>
      <c r="AD68"/>
      <c r="AE68"/>
      <c r="AF68"/>
      <c r="AG68"/>
    </row>
    <row r="69" spans="1:33" ht="72" customHeight="1" x14ac:dyDescent="0.25">
      <c r="A69" s="17">
        <v>9756794</v>
      </c>
      <c r="B69" s="30">
        <v>2</v>
      </c>
      <c r="C69" s="17" t="s">
        <v>301</v>
      </c>
      <c r="D69" s="31" t="s">
        <v>271</v>
      </c>
      <c r="E69" s="32">
        <v>42663</v>
      </c>
      <c r="F69" s="33">
        <v>42663</v>
      </c>
      <c r="G69" s="32">
        <v>42663</v>
      </c>
      <c r="H69" s="22" t="s">
        <v>112</v>
      </c>
      <c r="I69" s="23" t="s">
        <v>93</v>
      </c>
      <c r="J69" s="23" t="s">
        <v>39</v>
      </c>
      <c r="K69" s="22"/>
      <c r="L69" s="23" t="s">
        <v>39</v>
      </c>
      <c r="M69" s="23" t="s">
        <v>39</v>
      </c>
      <c r="N69" s="22"/>
      <c r="O69" s="22"/>
      <c r="P69" s="22"/>
      <c r="Q69" s="22"/>
      <c r="R69" s="23" t="s">
        <v>323</v>
      </c>
      <c r="S69" s="23" t="s">
        <v>323</v>
      </c>
      <c r="T69" s="23" t="s">
        <v>39</v>
      </c>
      <c r="U69" s="23" t="s">
        <v>39</v>
      </c>
      <c r="V69" s="22"/>
      <c r="W69" s="22"/>
      <c r="X69" s="22"/>
      <c r="Y69" s="22"/>
      <c r="Z69" s="22" t="s">
        <v>39</v>
      </c>
      <c r="AA69" s="22" t="s">
        <v>39</v>
      </c>
      <c r="AB69" s="1"/>
      <c r="AC69"/>
      <c r="AD69"/>
      <c r="AE69"/>
      <c r="AF69"/>
      <c r="AG69"/>
    </row>
    <row r="70" spans="1:33" ht="72" customHeight="1" x14ac:dyDescent="0.25">
      <c r="A70" s="17">
        <v>9756797</v>
      </c>
      <c r="B70" s="30">
        <v>12</v>
      </c>
      <c r="C70" s="17" t="s">
        <v>300</v>
      </c>
      <c r="D70" s="31" t="s">
        <v>16</v>
      </c>
      <c r="E70" s="32">
        <v>42663</v>
      </c>
      <c r="F70" s="33">
        <v>42663</v>
      </c>
      <c r="G70" s="32">
        <v>42663</v>
      </c>
      <c r="H70" s="22" t="s">
        <v>112</v>
      </c>
      <c r="I70" s="23" t="s">
        <v>295</v>
      </c>
      <c r="J70" s="23" t="s">
        <v>39</v>
      </c>
      <c r="K70" s="22"/>
      <c r="L70" s="23" t="s">
        <v>39</v>
      </c>
      <c r="M70" s="23" t="s">
        <v>324</v>
      </c>
      <c r="N70" s="22"/>
      <c r="O70" s="22"/>
      <c r="P70" s="22"/>
      <c r="Q70" s="22"/>
      <c r="R70" s="23" t="s">
        <v>624</v>
      </c>
      <c r="S70" s="23" t="s">
        <v>624</v>
      </c>
      <c r="T70" s="23" t="s">
        <v>39</v>
      </c>
      <c r="U70" s="23" t="s">
        <v>39</v>
      </c>
      <c r="V70" s="22"/>
      <c r="W70" s="22"/>
      <c r="X70" s="22"/>
      <c r="Y70" s="22"/>
      <c r="Z70" s="22" t="s">
        <v>39</v>
      </c>
      <c r="AA70" s="22" t="s">
        <v>39</v>
      </c>
      <c r="AB70" s="1"/>
      <c r="AC70"/>
      <c r="AD70"/>
      <c r="AE70"/>
      <c r="AF70"/>
      <c r="AG70"/>
    </row>
    <row r="71" spans="1:33" ht="72" customHeight="1" x14ac:dyDescent="0.25">
      <c r="A71" s="17">
        <v>9756806</v>
      </c>
      <c r="B71" s="30">
        <v>4</v>
      </c>
      <c r="C71" s="17" t="s">
        <v>302</v>
      </c>
      <c r="D71" s="31" t="s">
        <v>255</v>
      </c>
      <c r="E71" s="32">
        <v>42663</v>
      </c>
      <c r="F71" s="33">
        <v>42663</v>
      </c>
      <c r="G71" s="32">
        <v>42663</v>
      </c>
      <c r="H71" s="22" t="s">
        <v>112</v>
      </c>
      <c r="I71" s="23" t="s">
        <v>93</v>
      </c>
      <c r="J71" s="23" t="s">
        <v>39</v>
      </c>
      <c r="K71" s="22"/>
      <c r="L71" s="23" t="s">
        <v>39</v>
      </c>
      <c r="M71" s="23" t="s">
        <v>39</v>
      </c>
      <c r="N71" s="22"/>
      <c r="O71" s="22"/>
      <c r="P71" s="22"/>
      <c r="Q71" s="22"/>
      <c r="R71" s="23" t="s">
        <v>323</v>
      </c>
      <c r="S71" s="23" t="s">
        <v>323</v>
      </c>
      <c r="T71" s="23" t="s">
        <v>39</v>
      </c>
      <c r="U71" s="23" t="s">
        <v>39</v>
      </c>
      <c r="V71" s="22"/>
      <c r="W71" s="22"/>
      <c r="X71" s="22"/>
      <c r="Y71" s="22"/>
      <c r="Z71" s="22" t="s">
        <v>39</v>
      </c>
      <c r="AA71" s="22" t="s">
        <v>39</v>
      </c>
      <c r="AB71" s="1"/>
      <c r="AC71"/>
      <c r="AD71"/>
      <c r="AE71"/>
      <c r="AF71"/>
      <c r="AG71"/>
    </row>
    <row r="72" spans="1:33" ht="72" customHeight="1" x14ac:dyDescent="0.25">
      <c r="A72" s="17">
        <v>9756816</v>
      </c>
      <c r="B72" s="30">
        <v>4</v>
      </c>
      <c r="C72" s="17" t="s">
        <v>304</v>
      </c>
      <c r="D72" s="31" t="s">
        <v>165</v>
      </c>
      <c r="E72" s="32">
        <v>42663</v>
      </c>
      <c r="F72" s="33">
        <v>42663</v>
      </c>
      <c r="G72" s="32">
        <v>42663</v>
      </c>
      <c r="H72" s="22" t="s">
        <v>112</v>
      </c>
      <c r="I72" s="23" t="s">
        <v>93</v>
      </c>
      <c r="J72" s="23" t="s">
        <v>39</v>
      </c>
      <c r="K72" s="22"/>
      <c r="L72" s="23" t="s">
        <v>39</v>
      </c>
      <c r="M72" s="23" t="s">
        <v>39</v>
      </c>
      <c r="N72" s="22"/>
      <c r="O72" s="22"/>
      <c r="P72" s="22"/>
      <c r="Q72" s="22"/>
      <c r="R72" s="23" t="s">
        <v>323</v>
      </c>
      <c r="S72" s="23" t="s">
        <v>323</v>
      </c>
      <c r="T72" s="23" t="s">
        <v>39</v>
      </c>
      <c r="U72" s="23" t="s">
        <v>39</v>
      </c>
      <c r="V72" s="22"/>
      <c r="W72" s="22"/>
      <c r="X72" s="22"/>
      <c r="Y72" s="22"/>
      <c r="Z72" s="22" t="s">
        <v>39</v>
      </c>
      <c r="AA72" s="22" t="s">
        <v>39</v>
      </c>
      <c r="AB72" s="1"/>
      <c r="AC72"/>
      <c r="AD72"/>
      <c r="AE72"/>
      <c r="AF72"/>
      <c r="AG72"/>
    </row>
    <row r="73" spans="1:33" ht="72" customHeight="1" x14ac:dyDescent="0.25">
      <c r="A73" s="17">
        <v>9756855</v>
      </c>
      <c r="B73" s="30">
        <v>1</v>
      </c>
      <c r="C73" s="17" t="s">
        <v>29</v>
      </c>
      <c r="D73" s="31" t="s">
        <v>12</v>
      </c>
      <c r="E73" s="32">
        <v>42663</v>
      </c>
      <c r="F73" s="33">
        <v>42663</v>
      </c>
      <c r="G73" s="32">
        <v>42663</v>
      </c>
      <c r="H73" s="22" t="s">
        <v>95</v>
      </c>
      <c r="I73" s="23" t="s">
        <v>223</v>
      </c>
      <c r="J73" s="23" t="s">
        <v>39</v>
      </c>
      <c r="K73" s="22"/>
      <c r="L73" s="23" t="s">
        <v>263</v>
      </c>
      <c r="M73" s="23" t="s">
        <v>39</v>
      </c>
      <c r="N73" s="22"/>
      <c r="O73" s="22"/>
      <c r="P73" s="22"/>
      <c r="Q73" s="22"/>
      <c r="R73" s="23" t="s">
        <v>323</v>
      </c>
      <c r="S73" s="23" t="s">
        <v>323</v>
      </c>
      <c r="T73" s="23" t="s">
        <v>39</v>
      </c>
      <c r="U73" s="23" t="s">
        <v>39</v>
      </c>
      <c r="V73" s="22"/>
      <c r="W73" s="22"/>
      <c r="X73" s="22"/>
      <c r="Y73" s="22"/>
      <c r="Z73" s="22" t="s">
        <v>39</v>
      </c>
      <c r="AA73" s="22" t="s">
        <v>39</v>
      </c>
      <c r="AB73" s="1"/>
      <c r="AC73"/>
      <c r="AD73"/>
      <c r="AE73"/>
      <c r="AF73"/>
      <c r="AG73"/>
    </row>
    <row r="74" spans="1:33" ht="72" customHeight="1" x14ac:dyDescent="0.25">
      <c r="A74" s="17">
        <v>9756856</v>
      </c>
      <c r="B74" s="30">
        <v>1</v>
      </c>
      <c r="C74" s="17" t="s">
        <v>53</v>
      </c>
      <c r="D74" s="31" t="s">
        <v>52</v>
      </c>
      <c r="E74" s="32">
        <v>42663</v>
      </c>
      <c r="F74" s="33">
        <v>42663</v>
      </c>
      <c r="G74" s="32">
        <v>42663</v>
      </c>
      <c r="H74" s="22" t="s">
        <v>112</v>
      </c>
      <c r="I74" s="23" t="s">
        <v>223</v>
      </c>
      <c r="J74" s="23" t="s">
        <v>39</v>
      </c>
      <c r="K74" s="22"/>
      <c r="L74" s="23" t="s">
        <v>39</v>
      </c>
      <c r="M74" s="23" t="s">
        <v>39</v>
      </c>
      <c r="N74" s="22"/>
      <c r="O74" s="22"/>
      <c r="P74" s="22"/>
      <c r="Q74" s="22"/>
      <c r="R74" s="23" t="s">
        <v>323</v>
      </c>
      <c r="S74" s="23" t="s">
        <v>323</v>
      </c>
      <c r="T74" s="23" t="s">
        <v>39</v>
      </c>
      <c r="U74" s="23" t="s">
        <v>39</v>
      </c>
      <c r="V74" s="22"/>
      <c r="W74" s="22"/>
      <c r="X74" s="22"/>
      <c r="Y74" s="22"/>
      <c r="Z74" s="22" t="s">
        <v>39</v>
      </c>
      <c r="AA74" s="22" t="s">
        <v>39</v>
      </c>
      <c r="AB74" s="1"/>
      <c r="AC74"/>
      <c r="AD74"/>
      <c r="AE74"/>
      <c r="AF74"/>
      <c r="AG74"/>
    </row>
    <row r="75" spans="1:33" ht="72" customHeight="1" x14ac:dyDescent="0.25">
      <c r="A75" s="17">
        <v>9756908</v>
      </c>
      <c r="B75" s="30">
        <v>2</v>
      </c>
      <c r="C75" s="17" t="s">
        <v>187</v>
      </c>
      <c r="D75" s="31" t="s">
        <v>12</v>
      </c>
      <c r="E75" s="32">
        <v>42663</v>
      </c>
      <c r="F75" s="33">
        <v>42663</v>
      </c>
      <c r="G75" s="32">
        <v>42663</v>
      </c>
      <c r="H75" s="22" t="s">
        <v>95</v>
      </c>
      <c r="I75" s="23" t="s">
        <v>93</v>
      </c>
      <c r="J75" s="23" t="s">
        <v>39</v>
      </c>
      <c r="K75" s="22"/>
      <c r="L75" s="23" t="s">
        <v>263</v>
      </c>
      <c r="M75" s="23" t="s">
        <v>39</v>
      </c>
      <c r="N75" s="22"/>
      <c r="O75" s="22"/>
      <c r="P75" s="22"/>
      <c r="Q75" s="22"/>
      <c r="R75" s="23" t="s">
        <v>351</v>
      </c>
      <c r="S75" s="23" t="s">
        <v>351</v>
      </c>
      <c r="T75" s="23" t="s">
        <v>39</v>
      </c>
      <c r="U75" s="23" t="s">
        <v>39</v>
      </c>
      <c r="V75" s="22"/>
      <c r="W75" s="22"/>
      <c r="X75" s="22"/>
      <c r="Y75" s="22"/>
      <c r="Z75" s="22" t="s">
        <v>39</v>
      </c>
      <c r="AA75" s="22" t="s">
        <v>39</v>
      </c>
      <c r="AB75" s="1"/>
      <c r="AC75"/>
      <c r="AD75"/>
      <c r="AE75"/>
      <c r="AF75"/>
      <c r="AG75"/>
    </row>
    <row r="76" spans="1:33" ht="72" customHeight="1" x14ac:dyDescent="0.25">
      <c r="A76" s="17">
        <v>9756969</v>
      </c>
      <c r="B76" s="30">
        <v>1</v>
      </c>
      <c r="C76" s="17" t="s">
        <v>166</v>
      </c>
      <c r="D76" s="31" t="s">
        <v>165</v>
      </c>
      <c r="E76" s="32">
        <v>42664</v>
      </c>
      <c r="F76" s="33">
        <v>42664</v>
      </c>
      <c r="G76" s="32">
        <v>42664</v>
      </c>
      <c r="H76" s="22" t="s">
        <v>104</v>
      </c>
      <c r="I76" s="23" t="s">
        <v>39</v>
      </c>
      <c r="J76" s="23" t="s">
        <v>39</v>
      </c>
      <c r="K76" s="22"/>
      <c r="L76" s="23" t="s">
        <v>39</v>
      </c>
      <c r="M76" s="23" t="s">
        <v>39</v>
      </c>
      <c r="N76" s="22"/>
      <c r="O76" s="22"/>
      <c r="P76" s="22"/>
      <c r="Q76" s="22"/>
      <c r="R76" s="23" t="s">
        <v>351</v>
      </c>
      <c r="S76" s="23" t="s">
        <v>351</v>
      </c>
      <c r="T76" s="23" t="s">
        <v>39</v>
      </c>
      <c r="U76" s="23" t="s">
        <v>39</v>
      </c>
      <c r="V76" s="22"/>
      <c r="W76" s="22"/>
      <c r="X76" s="22"/>
      <c r="Y76" s="22"/>
      <c r="Z76" s="22" t="s">
        <v>39</v>
      </c>
      <c r="AA76" s="22" t="s">
        <v>39</v>
      </c>
      <c r="AB76" s="1"/>
      <c r="AC76"/>
      <c r="AD76"/>
      <c r="AE76"/>
      <c r="AF76"/>
      <c r="AG76"/>
    </row>
    <row r="77" spans="1:33" ht="72" customHeight="1" x14ac:dyDescent="0.25">
      <c r="A77" s="17">
        <v>9757114</v>
      </c>
      <c r="B77" s="30">
        <v>1</v>
      </c>
      <c r="C77" s="17" t="s">
        <v>305</v>
      </c>
      <c r="D77" s="31" t="s">
        <v>45</v>
      </c>
      <c r="E77" s="32">
        <v>42664</v>
      </c>
      <c r="F77" s="33">
        <v>42664</v>
      </c>
      <c r="G77" s="32">
        <v>42664</v>
      </c>
      <c r="H77" s="22" t="s">
        <v>95</v>
      </c>
      <c r="I77" s="23" t="s">
        <v>352</v>
      </c>
      <c r="J77" s="23" t="s">
        <v>39</v>
      </c>
      <c r="K77" s="22"/>
      <c r="L77" s="23" t="s">
        <v>263</v>
      </c>
      <c r="M77" s="23" t="s">
        <v>39</v>
      </c>
      <c r="N77" s="22"/>
      <c r="O77" s="22"/>
      <c r="P77" s="22"/>
      <c r="Q77" s="22"/>
      <c r="R77" s="23" t="s">
        <v>351</v>
      </c>
      <c r="S77" s="23" t="s">
        <v>351</v>
      </c>
      <c r="T77" s="23" t="s">
        <v>39</v>
      </c>
      <c r="U77" s="23" t="s">
        <v>39</v>
      </c>
      <c r="V77" s="22"/>
      <c r="W77" s="22"/>
      <c r="X77" s="22"/>
      <c r="Y77" s="22"/>
      <c r="Z77" s="22" t="s">
        <v>39</v>
      </c>
      <c r="AA77" s="22" t="s">
        <v>39</v>
      </c>
      <c r="AB77" s="1"/>
      <c r="AC77"/>
      <c r="AD77"/>
      <c r="AE77"/>
      <c r="AF77"/>
      <c r="AG77"/>
    </row>
    <row r="78" spans="1:33" ht="72" customHeight="1" x14ac:dyDescent="0.25">
      <c r="A78" s="17">
        <v>9757115</v>
      </c>
      <c r="B78" s="30">
        <v>1</v>
      </c>
      <c r="C78" s="17" t="s">
        <v>307</v>
      </c>
      <c r="D78" s="31" t="s">
        <v>169</v>
      </c>
      <c r="E78" s="32">
        <v>42664</v>
      </c>
      <c r="F78" s="33">
        <v>42664</v>
      </c>
      <c r="G78" s="32">
        <v>42664</v>
      </c>
      <c r="H78" s="22" t="s">
        <v>95</v>
      </c>
      <c r="I78" s="23" t="s">
        <v>93</v>
      </c>
      <c r="J78" s="23" t="s">
        <v>39</v>
      </c>
      <c r="K78" s="22"/>
      <c r="L78" s="23" t="s">
        <v>263</v>
      </c>
      <c r="M78" s="23" t="s">
        <v>39</v>
      </c>
      <c r="N78" s="22"/>
      <c r="O78" s="22"/>
      <c r="P78" s="22"/>
      <c r="Q78" s="22"/>
      <c r="R78" s="23" t="s">
        <v>351</v>
      </c>
      <c r="S78" s="23" t="s">
        <v>351</v>
      </c>
      <c r="T78" s="23" t="s">
        <v>39</v>
      </c>
      <c r="U78" s="23" t="s">
        <v>39</v>
      </c>
      <c r="V78" s="22"/>
      <c r="W78" s="22"/>
      <c r="X78" s="22"/>
      <c r="Y78" s="22"/>
      <c r="Z78" s="22" t="s">
        <v>39</v>
      </c>
      <c r="AA78" s="22" t="s">
        <v>39</v>
      </c>
      <c r="AB78" s="1"/>
      <c r="AC78"/>
      <c r="AD78"/>
      <c r="AE78"/>
      <c r="AF78"/>
      <c r="AG78"/>
    </row>
    <row r="79" spans="1:33" ht="72" customHeight="1" x14ac:dyDescent="0.25">
      <c r="A79" s="17">
        <v>9757116</v>
      </c>
      <c r="B79" s="30">
        <v>2</v>
      </c>
      <c r="C79" s="17" t="s">
        <v>306</v>
      </c>
      <c r="D79" s="31" t="s">
        <v>169</v>
      </c>
      <c r="E79" s="32">
        <v>42664</v>
      </c>
      <c r="F79" s="33">
        <v>42664</v>
      </c>
      <c r="G79" s="32">
        <v>42664</v>
      </c>
      <c r="H79" s="22" t="s">
        <v>95</v>
      </c>
      <c r="I79" s="23" t="s">
        <v>350</v>
      </c>
      <c r="J79" s="23" t="s">
        <v>39</v>
      </c>
      <c r="K79" s="22"/>
      <c r="L79" s="23" t="s">
        <v>263</v>
      </c>
      <c r="M79" s="23" t="s">
        <v>39</v>
      </c>
      <c r="N79" s="22"/>
      <c r="O79" s="22"/>
      <c r="P79" s="22"/>
      <c r="Q79" s="22"/>
      <c r="R79" s="23" t="s">
        <v>351</v>
      </c>
      <c r="S79" s="23" t="s">
        <v>351</v>
      </c>
      <c r="T79" s="23" t="s">
        <v>39</v>
      </c>
      <c r="U79" s="23" t="s">
        <v>39</v>
      </c>
      <c r="V79" s="22"/>
      <c r="W79" s="22"/>
      <c r="X79" s="22"/>
      <c r="Y79" s="22"/>
      <c r="Z79" s="22" t="s">
        <v>39</v>
      </c>
      <c r="AA79" s="22" t="s">
        <v>39</v>
      </c>
      <c r="AB79" s="1"/>
      <c r="AC79"/>
      <c r="AD79"/>
      <c r="AE79"/>
      <c r="AF79"/>
      <c r="AG79"/>
    </row>
    <row r="80" spans="1:33" ht="72" customHeight="1" x14ac:dyDescent="0.25">
      <c r="A80" s="17">
        <v>9757117</v>
      </c>
      <c r="B80" s="30">
        <v>1</v>
      </c>
      <c r="C80" s="17" t="s">
        <v>308</v>
      </c>
      <c r="D80" s="31" t="s">
        <v>169</v>
      </c>
      <c r="E80" s="32">
        <v>42664</v>
      </c>
      <c r="F80" s="33">
        <v>42664</v>
      </c>
      <c r="G80" s="32">
        <v>42664</v>
      </c>
      <c r="H80" s="22" t="s">
        <v>95</v>
      </c>
      <c r="I80" s="23" t="s">
        <v>350</v>
      </c>
      <c r="J80" s="23" t="s">
        <v>39</v>
      </c>
      <c r="K80" s="22"/>
      <c r="L80" s="23" t="s">
        <v>263</v>
      </c>
      <c r="M80" s="23" t="s">
        <v>39</v>
      </c>
      <c r="N80" s="22"/>
      <c r="O80" s="22"/>
      <c r="P80" s="22"/>
      <c r="Q80" s="22"/>
      <c r="R80" s="23" t="s">
        <v>351</v>
      </c>
      <c r="S80" s="23" t="s">
        <v>351</v>
      </c>
      <c r="T80" s="23" t="s">
        <v>39</v>
      </c>
      <c r="U80" s="23" t="s">
        <v>39</v>
      </c>
      <c r="V80" s="22"/>
      <c r="W80" s="22"/>
      <c r="X80" s="22"/>
      <c r="Y80" s="22"/>
      <c r="Z80" s="22" t="s">
        <v>39</v>
      </c>
      <c r="AA80" s="22" t="s">
        <v>39</v>
      </c>
      <c r="AB80" s="1"/>
      <c r="AC80"/>
      <c r="AD80"/>
      <c r="AE80"/>
      <c r="AF80"/>
      <c r="AG80"/>
    </row>
    <row r="81" spans="1:33" ht="72" customHeight="1" x14ac:dyDescent="0.25">
      <c r="A81" s="17">
        <v>9757140</v>
      </c>
      <c r="B81" s="30">
        <v>4</v>
      </c>
      <c r="C81" s="17" t="s">
        <v>316</v>
      </c>
      <c r="D81" s="31" t="s">
        <v>153</v>
      </c>
      <c r="E81" s="32">
        <v>42664</v>
      </c>
      <c r="F81" s="33">
        <v>42664</v>
      </c>
      <c r="G81" s="32">
        <v>42664</v>
      </c>
      <c r="H81" s="22" t="s">
        <v>95</v>
      </c>
      <c r="I81" s="23" t="s">
        <v>352</v>
      </c>
      <c r="J81" s="23" t="s">
        <v>39</v>
      </c>
      <c r="K81" s="22"/>
      <c r="L81" s="23" t="s">
        <v>263</v>
      </c>
      <c r="M81" s="23" t="s">
        <v>39</v>
      </c>
      <c r="N81" s="22"/>
      <c r="O81" s="22"/>
      <c r="P81" s="22"/>
      <c r="Q81" s="22"/>
      <c r="R81" s="23" t="s">
        <v>351</v>
      </c>
      <c r="S81" s="23" t="s">
        <v>351</v>
      </c>
      <c r="T81" s="23" t="s">
        <v>39</v>
      </c>
      <c r="U81" s="23" t="s">
        <v>39</v>
      </c>
      <c r="V81" s="22"/>
      <c r="W81" s="22"/>
      <c r="X81" s="22"/>
      <c r="Y81" s="22"/>
      <c r="Z81" s="22" t="s">
        <v>39</v>
      </c>
      <c r="AA81" s="22" t="s">
        <v>39</v>
      </c>
      <c r="AB81" s="1"/>
      <c r="AC81"/>
      <c r="AD81"/>
      <c r="AE81"/>
      <c r="AF81"/>
      <c r="AG81"/>
    </row>
    <row r="82" spans="1:33" ht="72" customHeight="1" x14ac:dyDescent="0.25">
      <c r="A82" s="17">
        <v>9757144</v>
      </c>
      <c r="B82" s="30">
        <v>1</v>
      </c>
      <c r="C82" s="17" t="s">
        <v>317</v>
      </c>
      <c r="D82" s="31" t="s">
        <v>52</v>
      </c>
      <c r="E82" s="32">
        <v>42664</v>
      </c>
      <c r="F82" s="33">
        <v>42664</v>
      </c>
      <c r="G82" s="32">
        <v>42664</v>
      </c>
      <c r="H82" s="22" t="s">
        <v>95</v>
      </c>
      <c r="I82" s="23" t="s">
        <v>295</v>
      </c>
      <c r="J82" s="23" t="s">
        <v>39</v>
      </c>
      <c r="K82" s="22"/>
      <c r="L82" s="23" t="s">
        <v>263</v>
      </c>
      <c r="M82" s="23" t="s">
        <v>728</v>
      </c>
      <c r="N82" s="22"/>
      <c r="O82" s="22"/>
      <c r="P82" s="22"/>
      <c r="Q82" s="22"/>
      <c r="R82" s="23" t="s">
        <v>351</v>
      </c>
      <c r="S82" s="23" t="s">
        <v>351</v>
      </c>
      <c r="T82" s="23" t="s">
        <v>39</v>
      </c>
      <c r="U82" s="23" t="s">
        <v>39</v>
      </c>
      <c r="V82" s="22"/>
      <c r="W82" s="22"/>
      <c r="X82" s="22"/>
      <c r="Y82" s="22"/>
      <c r="Z82" s="22" t="s">
        <v>39</v>
      </c>
      <c r="AA82" s="22" t="s">
        <v>39</v>
      </c>
      <c r="AB82" s="1"/>
      <c r="AC82"/>
      <c r="AD82"/>
      <c r="AE82"/>
      <c r="AF82"/>
      <c r="AG82"/>
    </row>
    <row r="83" spans="1:33" ht="72" customHeight="1" x14ac:dyDescent="0.25">
      <c r="A83" s="17">
        <v>9757151</v>
      </c>
      <c r="B83" s="30">
        <v>2</v>
      </c>
      <c r="C83" s="17" t="s">
        <v>322</v>
      </c>
      <c r="D83" s="31" t="s">
        <v>26</v>
      </c>
      <c r="E83" s="32">
        <v>42664</v>
      </c>
      <c r="F83" s="33">
        <v>42664</v>
      </c>
      <c r="G83" s="32">
        <v>42664</v>
      </c>
      <c r="H83" s="22" t="s">
        <v>112</v>
      </c>
      <c r="I83" s="23" t="s">
        <v>93</v>
      </c>
      <c r="J83" s="23" t="s">
        <v>39</v>
      </c>
      <c r="K83" s="22"/>
      <c r="L83" s="23" t="s">
        <v>39</v>
      </c>
      <c r="M83" s="23" t="s">
        <v>39</v>
      </c>
      <c r="N83" s="22"/>
      <c r="O83" s="22"/>
      <c r="P83" s="22"/>
      <c r="Q83" s="22"/>
      <c r="R83" s="23" t="s">
        <v>351</v>
      </c>
      <c r="S83" s="23" t="s">
        <v>351</v>
      </c>
      <c r="T83" s="23" t="s">
        <v>39</v>
      </c>
      <c r="U83" s="23" t="s">
        <v>39</v>
      </c>
      <c r="V83" s="22"/>
      <c r="W83" s="22"/>
      <c r="X83" s="22"/>
      <c r="Y83" s="22"/>
      <c r="Z83" s="22" t="s">
        <v>39</v>
      </c>
      <c r="AA83" s="22" t="s">
        <v>39</v>
      </c>
      <c r="AB83" s="1"/>
      <c r="AC83"/>
      <c r="AD83"/>
      <c r="AE83"/>
      <c r="AF83"/>
      <c r="AG83"/>
    </row>
    <row r="84" spans="1:33" ht="72" customHeight="1" x14ac:dyDescent="0.25">
      <c r="A84" s="17">
        <v>9757219</v>
      </c>
      <c r="B84" s="30">
        <v>3</v>
      </c>
      <c r="C84" s="17" t="s">
        <v>315</v>
      </c>
      <c r="D84" s="31" t="s">
        <v>153</v>
      </c>
      <c r="E84" s="32">
        <v>42664</v>
      </c>
      <c r="F84" s="33">
        <v>42664</v>
      </c>
      <c r="G84" s="32">
        <v>42664</v>
      </c>
      <c r="H84" s="22" t="s">
        <v>95</v>
      </c>
      <c r="I84" s="23" t="s">
        <v>352</v>
      </c>
      <c r="J84" s="23" t="s">
        <v>39</v>
      </c>
      <c r="K84" s="22"/>
      <c r="L84" s="23" t="s">
        <v>263</v>
      </c>
      <c r="M84" s="23" t="s">
        <v>39</v>
      </c>
      <c r="N84" s="22"/>
      <c r="O84" s="22"/>
      <c r="P84" s="22"/>
      <c r="Q84" s="22"/>
      <c r="R84" s="23" t="s">
        <v>351</v>
      </c>
      <c r="S84" s="23" t="s">
        <v>351</v>
      </c>
      <c r="T84" s="23" t="s">
        <v>39</v>
      </c>
      <c r="U84" s="23" t="s">
        <v>39</v>
      </c>
      <c r="V84" s="22"/>
      <c r="W84" s="22"/>
      <c r="X84" s="22"/>
      <c r="Y84" s="22"/>
      <c r="Z84" s="22" t="s">
        <v>39</v>
      </c>
      <c r="AA84" s="22" t="s">
        <v>39</v>
      </c>
      <c r="AB84" s="1"/>
      <c r="AC84"/>
      <c r="AD84"/>
      <c r="AE84"/>
      <c r="AF84"/>
      <c r="AG84"/>
    </row>
    <row r="85" spans="1:33" ht="72" customHeight="1" x14ac:dyDescent="0.25">
      <c r="A85" s="17">
        <v>9757233</v>
      </c>
      <c r="B85" s="30">
        <v>1</v>
      </c>
      <c r="C85" s="17" t="s">
        <v>319</v>
      </c>
      <c r="D85" s="31" t="s">
        <v>52</v>
      </c>
      <c r="E85" s="32">
        <v>42664</v>
      </c>
      <c r="F85" s="33">
        <v>42664</v>
      </c>
      <c r="G85" s="32">
        <v>42664</v>
      </c>
      <c r="H85" s="22" t="s">
        <v>95</v>
      </c>
      <c r="I85" s="23" t="s">
        <v>353</v>
      </c>
      <c r="J85" s="23" t="s">
        <v>39</v>
      </c>
      <c r="K85" s="22"/>
      <c r="L85" s="23" t="s">
        <v>263</v>
      </c>
      <c r="M85" s="23" t="s">
        <v>39</v>
      </c>
      <c r="N85" s="22"/>
      <c r="O85" s="22"/>
      <c r="P85" s="22"/>
      <c r="Q85" s="22"/>
      <c r="R85" s="23" t="s">
        <v>351</v>
      </c>
      <c r="S85" s="23" t="s">
        <v>351</v>
      </c>
      <c r="T85" s="23" t="s">
        <v>39</v>
      </c>
      <c r="U85" s="23" t="s">
        <v>39</v>
      </c>
      <c r="V85" s="22"/>
      <c r="W85" s="22"/>
      <c r="X85" s="22"/>
      <c r="Y85" s="22"/>
      <c r="Z85" s="22" t="s">
        <v>39</v>
      </c>
      <c r="AA85" s="22" t="s">
        <v>39</v>
      </c>
      <c r="AB85" s="1"/>
      <c r="AC85"/>
      <c r="AD85"/>
      <c r="AE85"/>
      <c r="AF85"/>
      <c r="AG85"/>
    </row>
    <row r="86" spans="1:33" ht="72" customHeight="1" x14ac:dyDescent="0.25">
      <c r="A86" s="17">
        <v>9757234</v>
      </c>
      <c r="B86" s="30">
        <v>1</v>
      </c>
      <c r="C86" s="17" t="s">
        <v>318</v>
      </c>
      <c r="D86" s="31" t="s">
        <v>52</v>
      </c>
      <c r="E86" s="32">
        <v>42664</v>
      </c>
      <c r="F86" s="33">
        <v>42664</v>
      </c>
      <c r="G86" s="32">
        <v>42664</v>
      </c>
      <c r="H86" s="22" t="s">
        <v>95</v>
      </c>
      <c r="I86" s="23" t="s">
        <v>353</v>
      </c>
      <c r="J86" s="23" t="s">
        <v>39</v>
      </c>
      <c r="K86" s="22"/>
      <c r="L86" s="23" t="s">
        <v>263</v>
      </c>
      <c r="M86" s="23" t="s">
        <v>39</v>
      </c>
      <c r="N86" s="22"/>
      <c r="O86" s="22"/>
      <c r="P86" s="22"/>
      <c r="Q86" s="22"/>
      <c r="R86" s="23" t="s">
        <v>351</v>
      </c>
      <c r="S86" s="23" t="s">
        <v>351</v>
      </c>
      <c r="T86" s="23" t="s">
        <v>39</v>
      </c>
      <c r="U86" s="23" t="s">
        <v>39</v>
      </c>
      <c r="V86" s="22"/>
      <c r="W86" s="22"/>
      <c r="X86" s="22"/>
      <c r="Y86" s="22"/>
      <c r="Z86" s="22" t="s">
        <v>39</v>
      </c>
      <c r="AA86" s="22" t="s">
        <v>39</v>
      </c>
      <c r="AB86" s="1"/>
      <c r="AC86"/>
      <c r="AD86"/>
      <c r="AE86"/>
      <c r="AF86"/>
      <c r="AG86"/>
    </row>
    <row r="87" spans="1:33" ht="72" customHeight="1" x14ac:dyDescent="0.25">
      <c r="A87" s="17">
        <v>9757256</v>
      </c>
      <c r="B87" s="30">
        <v>2</v>
      </c>
      <c r="C87" s="17" t="s">
        <v>312</v>
      </c>
      <c r="D87" s="31" t="s">
        <v>146</v>
      </c>
      <c r="E87" s="32">
        <v>42664</v>
      </c>
      <c r="F87" s="33">
        <v>42664</v>
      </c>
      <c r="G87" s="32">
        <v>42664</v>
      </c>
      <c r="H87" s="22" t="s">
        <v>95</v>
      </c>
      <c r="I87" s="23" t="s">
        <v>367</v>
      </c>
      <c r="J87" s="23" t="s">
        <v>39</v>
      </c>
      <c r="K87" s="22"/>
      <c r="L87" s="23" t="s">
        <v>263</v>
      </c>
      <c r="M87" s="23" t="s">
        <v>39</v>
      </c>
      <c r="N87" s="22"/>
      <c r="O87" s="22"/>
      <c r="P87" s="22"/>
      <c r="Q87" s="22"/>
      <c r="R87" s="23" t="s">
        <v>392</v>
      </c>
      <c r="S87" s="23" t="s">
        <v>392</v>
      </c>
      <c r="T87" s="23" t="s">
        <v>39</v>
      </c>
      <c r="U87" s="23" t="s">
        <v>39</v>
      </c>
      <c r="V87" s="22"/>
      <c r="W87" s="22"/>
      <c r="X87" s="22"/>
      <c r="Y87" s="22"/>
      <c r="Z87" s="22" t="s">
        <v>39</v>
      </c>
      <c r="AA87" s="22" t="s">
        <v>39</v>
      </c>
      <c r="AB87" s="1"/>
      <c r="AC87"/>
      <c r="AD87"/>
      <c r="AE87"/>
      <c r="AF87"/>
      <c r="AG87"/>
    </row>
    <row r="88" spans="1:33" ht="72" customHeight="1" x14ac:dyDescent="0.25">
      <c r="A88" s="17">
        <v>9757275</v>
      </c>
      <c r="B88" s="30">
        <v>1</v>
      </c>
      <c r="C88" s="17" t="s">
        <v>113</v>
      </c>
      <c r="D88" s="31" t="s">
        <v>26</v>
      </c>
      <c r="E88" s="32">
        <v>42664</v>
      </c>
      <c r="F88" s="33">
        <v>42664</v>
      </c>
      <c r="G88" s="32">
        <v>42664</v>
      </c>
      <c r="H88" s="22" t="s">
        <v>112</v>
      </c>
      <c r="I88" s="23" t="s">
        <v>295</v>
      </c>
      <c r="J88" s="23" t="s">
        <v>39</v>
      </c>
      <c r="K88" s="22"/>
      <c r="L88" s="23" t="s">
        <v>39</v>
      </c>
      <c r="M88" s="23" t="s">
        <v>39</v>
      </c>
      <c r="N88" s="22"/>
      <c r="O88" s="22"/>
      <c r="P88" s="22"/>
      <c r="Q88" s="22"/>
      <c r="R88" s="23" t="s">
        <v>392</v>
      </c>
      <c r="S88" s="23" t="s">
        <v>392</v>
      </c>
      <c r="T88" s="23" t="s">
        <v>39</v>
      </c>
      <c r="U88" s="23" t="s">
        <v>39</v>
      </c>
      <c r="V88" s="22"/>
      <c r="W88" s="22"/>
      <c r="X88" s="22"/>
      <c r="Y88" s="22"/>
      <c r="Z88" s="22" t="s">
        <v>39</v>
      </c>
      <c r="AA88" s="22" t="s">
        <v>39</v>
      </c>
      <c r="AB88" s="1"/>
      <c r="AC88"/>
      <c r="AD88"/>
      <c r="AE88"/>
      <c r="AF88"/>
      <c r="AG88"/>
    </row>
    <row r="89" spans="1:33" ht="72" customHeight="1" x14ac:dyDescent="0.25">
      <c r="A89" s="17">
        <v>9757292</v>
      </c>
      <c r="B89" s="30">
        <v>2</v>
      </c>
      <c r="C89" s="17" t="s">
        <v>188</v>
      </c>
      <c r="D89" s="31" t="s">
        <v>12</v>
      </c>
      <c r="E89" s="32">
        <v>42664</v>
      </c>
      <c r="F89" s="33">
        <v>42664</v>
      </c>
      <c r="G89" s="32">
        <v>42664</v>
      </c>
      <c r="H89" s="22" t="s">
        <v>104</v>
      </c>
      <c r="I89" s="23" t="s">
        <v>39</v>
      </c>
      <c r="J89" s="23" t="s">
        <v>39</v>
      </c>
      <c r="K89" s="22"/>
      <c r="L89" s="23" t="s">
        <v>39</v>
      </c>
      <c r="M89" s="23" t="s">
        <v>39</v>
      </c>
      <c r="N89" s="22"/>
      <c r="O89" s="22"/>
      <c r="P89" s="22"/>
      <c r="Q89" s="22"/>
      <c r="R89" s="23" t="s">
        <v>368</v>
      </c>
      <c r="S89" s="23" t="s">
        <v>368</v>
      </c>
      <c r="T89" s="23" t="s">
        <v>39</v>
      </c>
      <c r="U89" s="23" t="s">
        <v>39</v>
      </c>
      <c r="V89" s="22"/>
      <c r="W89" s="22"/>
      <c r="X89" s="22"/>
      <c r="Y89" s="22"/>
      <c r="Z89" s="22" t="s">
        <v>39</v>
      </c>
      <c r="AA89" s="22" t="s">
        <v>39</v>
      </c>
      <c r="AB89" s="1"/>
      <c r="AC89"/>
      <c r="AD89"/>
      <c r="AE89"/>
      <c r="AF89"/>
      <c r="AG89"/>
    </row>
    <row r="90" spans="1:33" ht="72" customHeight="1" x14ac:dyDescent="0.25">
      <c r="A90" s="17">
        <v>9757315</v>
      </c>
      <c r="B90" s="30">
        <v>12</v>
      </c>
      <c r="C90" s="17" t="s">
        <v>320</v>
      </c>
      <c r="D90" s="31" t="s">
        <v>28</v>
      </c>
      <c r="E90" s="32">
        <v>42664</v>
      </c>
      <c r="F90" s="33">
        <v>42664</v>
      </c>
      <c r="G90" s="32">
        <v>42664</v>
      </c>
      <c r="H90" s="22" t="s">
        <v>112</v>
      </c>
      <c r="I90" s="23" t="s">
        <v>295</v>
      </c>
      <c r="J90" s="23" t="s">
        <v>39</v>
      </c>
      <c r="K90" s="22"/>
      <c r="L90" s="23" t="s">
        <v>39</v>
      </c>
      <c r="M90" s="23" t="s">
        <v>39</v>
      </c>
      <c r="N90" s="22"/>
      <c r="O90" s="22"/>
      <c r="P90" s="22"/>
      <c r="Q90" s="22"/>
      <c r="R90" s="23" t="s">
        <v>392</v>
      </c>
      <c r="S90" s="23" t="s">
        <v>392</v>
      </c>
      <c r="T90" s="23" t="s">
        <v>39</v>
      </c>
      <c r="U90" s="23" t="s">
        <v>39</v>
      </c>
      <c r="V90" s="22"/>
      <c r="W90" s="22"/>
      <c r="X90" s="22"/>
      <c r="Y90" s="22"/>
      <c r="Z90" s="22" t="s">
        <v>39</v>
      </c>
      <c r="AA90" s="22" t="s">
        <v>39</v>
      </c>
      <c r="AB90" s="1"/>
      <c r="AC90"/>
      <c r="AD90"/>
      <c r="AE90"/>
      <c r="AF90"/>
      <c r="AG90"/>
    </row>
    <row r="91" spans="1:33" ht="72" customHeight="1" x14ac:dyDescent="0.25">
      <c r="A91" s="17">
        <v>9757335</v>
      </c>
      <c r="B91" s="30">
        <v>1</v>
      </c>
      <c r="C91" s="17" t="s">
        <v>321</v>
      </c>
      <c r="D91" s="31" t="s">
        <v>28</v>
      </c>
      <c r="E91" s="32">
        <v>42664</v>
      </c>
      <c r="F91" s="33">
        <v>42664</v>
      </c>
      <c r="G91" s="32">
        <v>42664</v>
      </c>
      <c r="H91" s="22" t="s">
        <v>112</v>
      </c>
      <c r="I91" s="23" t="s">
        <v>295</v>
      </c>
      <c r="J91" s="23" t="s">
        <v>39</v>
      </c>
      <c r="K91" s="22"/>
      <c r="L91" s="23" t="s">
        <v>39</v>
      </c>
      <c r="M91" s="23" t="s">
        <v>39</v>
      </c>
      <c r="N91" s="22"/>
      <c r="O91" s="22"/>
      <c r="P91" s="22"/>
      <c r="Q91" s="22"/>
      <c r="R91" s="23" t="s">
        <v>392</v>
      </c>
      <c r="S91" s="23" t="s">
        <v>392</v>
      </c>
      <c r="T91" s="23" t="s">
        <v>39</v>
      </c>
      <c r="U91" s="23" t="s">
        <v>39</v>
      </c>
      <c r="V91" s="22"/>
      <c r="W91" s="22"/>
      <c r="X91" s="22"/>
      <c r="Y91" s="22"/>
      <c r="Z91" s="22" t="s">
        <v>39</v>
      </c>
      <c r="AA91" s="22" t="s">
        <v>39</v>
      </c>
      <c r="AB91" s="1"/>
      <c r="AC91"/>
      <c r="AD91"/>
      <c r="AE91"/>
      <c r="AF91"/>
      <c r="AG91"/>
    </row>
    <row r="92" spans="1:33" ht="72" customHeight="1" x14ac:dyDescent="0.25">
      <c r="A92" s="17">
        <v>9757359</v>
      </c>
      <c r="B92" s="30">
        <v>1</v>
      </c>
      <c r="C92" s="17" t="s">
        <v>313</v>
      </c>
      <c r="D92" s="31" t="s">
        <v>191</v>
      </c>
      <c r="E92" s="32">
        <v>42664</v>
      </c>
      <c r="F92" s="33">
        <v>42664</v>
      </c>
      <c r="G92" s="32">
        <v>42664</v>
      </c>
      <c r="H92" s="22" t="s">
        <v>95</v>
      </c>
      <c r="I92" s="23" t="s">
        <v>295</v>
      </c>
      <c r="J92" s="23" t="s">
        <v>39</v>
      </c>
      <c r="K92" s="22"/>
      <c r="L92" s="23" t="s">
        <v>263</v>
      </c>
      <c r="M92" s="23" t="s">
        <v>728</v>
      </c>
      <c r="N92" s="22"/>
      <c r="O92" s="22"/>
      <c r="P92" s="22"/>
      <c r="Q92" s="22"/>
      <c r="R92" s="23" t="s">
        <v>392</v>
      </c>
      <c r="S92" s="23" t="s">
        <v>392</v>
      </c>
      <c r="T92" s="23" t="s">
        <v>39</v>
      </c>
      <c r="U92" s="23" t="s">
        <v>39</v>
      </c>
      <c r="V92" s="22"/>
      <c r="W92" s="22"/>
      <c r="X92" s="22"/>
      <c r="Y92" s="22"/>
      <c r="Z92" s="22" t="s">
        <v>39</v>
      </c>
      <c r="AA92" s="22" t="s">
        <v>39</v>
      </c>
      <c r="AB92" s="1"/>
      <c r="AC92"/>
      <c r="AD92"/>
      <c r="AE92"/>
      <c r="AF92"/>
      <c r="AG92"/>
    </row>
    <row r="93" spans="1:33" ht="72" customHeight="1" x14ac:dyDescent="0.25">
      <c r="A93" s="17">
        <v>9757426</v>
      </c>
      <c r="B93" s="30">
        <v>4</v>
      </c>
      <c r="C93" s="17" t="s">
        <v>335</v>
      </c>
      <c r="D93" s="31" t="s">
        <v>10</v>
      </c>
      <c r="E93" s="32">
        <v>42664</v>
      </c>
      <c r="F93" s="33">
        <v>42664</v>
      </c>
      <c r="G93" s="32">
        <v>42664</v>
      </c>
      <c r="H93" s="22" t="s">
        <v>112</v>
      </c>
      <c r="I93" s="23" t="s">
        <v>295</v>
      </c>
      <c r="J93" s="23" t="s">
        <v>39</v>
      </c>
      <c r="K93" s="22"/>
      <c r="L93" s="23" t="s">
        <v>39</v>
      </c>
      <c r="M93" s="23" t="s">
        <v>39</v>
      </c>
      <c r="N93" s="22"/>
      <c r="O93" s="22"/>
      <c r="P93" s="22"/>
      <c r="Q93" s="22"/>
      <c r="R93" s="23" t="s">
        <v>682</v>
      </c>
      <c r="S93" s="23" t="s">
        <v>682</v>
      </c>
      <c r="T93" s="23" t="s">
        <v>39</v>
      </c>
      <c r="U93" s="23" t="s">
        <v>39</v>
      </c>
      <c r="V93" s="22"/>
      <c r="W93" s="22"/>
      <c r="X93" s="22"/>
      <c r="Y93" s="22"/>
      <c r="Z93" s="22" t="s">
        <v>39</v>
      </c>
      <c r="AA93" s="22" t="s">
        <v>39</v>
      </c>
      <c r="AB93" s="1"/>
      <c r="AC93"/>
      <c r="AD93"/>
      <c r="AE93"/>
      <c r="AF93"/>
      <c r="AG93"/>
    </row>
    <row r="94" spans="1:33" ht="72" customHeight="1" x14ac:dyDescent="0.25">
      <c r="A94" s="17">
        <v>9757465</v>
      </c>
      <c r="B94" s="30">
        <v>1</v>
      </c>
      <c r="C94" s="17" t="s">
        <v>40</v>
      </c>
      <c r="D94" s="31" t="s">
        <v>20</v>
      </c>
      <c r="E94" s="32">
        <v>42664</v>
      </c>
      <c r="F94" s="33">
        <v>42664</v>
      </c>
      <c r="G94" s="32">
        <v>42664</v>
      </c>
      <c r="H94" s="22" t="s">
        <v>112</v>
      </c>
      <c r="I94" s="23" t="s">
        <v>371</v>
      </c>
      <c r="J94" s="23" t="s">
        <v>39</v>
      </c>
      <c r="K94" s="22"/>
      <c r="L94" s="23" t="s">
        <v>39</v>
      </c>
      <c r="M94" s="23" t="s">
        <v>39</v>
      </c>
      <c r="N94" s="22"/>
      <c r="O94" s="22"/>
      <c r="P94" s="22"/>
      <c r="Q94" s="22"/>
      <c r="R94" s="23" t="s">
        <v>392</v>
      </c>
      <c r="S94" s="23" t="s">
        <v>392</v>
      </c>
      <c r="T94" s="23" t="s">
        <v>39</v>
      </c>
      <c r="U94" s="23" t="s">
        <v>39</v>
      </c>
      <c r="V94" s="22"/>
      <c r="W94" s="22"/>
      <c r="X94" s="22"/>
      <c r="Y94" s="22"/>
      <c r="Z94" s="22" t="s">
        <v>39</v>
      </c>
      <c r="AA94" s="22" t="s">
        <v>39</v>
      </c>
      <c r="AB94" s="1"/>
      <c r="AC94"/>
      <c r="AD94"/>
      <c r="AE94"/>
      <c r="AF94"/>
      <c r="AG94"/>
    </row>
    <row r="95" spans="1:33" ht="72" customHeight="1" x14ac:dyDescent="0.25">
      <c r="A95" s="17">
        <v>9757539</v>
      </c>
      <c r="B95" s="30">
        <v>1</v>
      </c>
      <c r="C95" s="17" t="s">
        <v>326</v>
      </c>
      <c r="D95" s="31" t="s">
        <v>20</v>
      </c>
      <c r="E95" s="32">
        <v>42665</v>
      </c>
      <c r="F95" s="33">
        <v>42665</v>
      </c>
      <c r="G95" s="32">
        <v>42665</v>
      </c>
      <c r="H95" s="22" t="s">
        <v>112</v>
      </c>
      <c r="I95" s="23" t="s">
        <v>371</v>
      </c>
      <c r="J95" s="23" t="s">
        <v>39</v>
      </c>
      <c r="K95" s="22"/>
      <c r="L95" s="23" t="s">
        <v>39</v>
      </c>
      <c r="M95" s="23" t="s">
        <v>39</v>
      </c>
      <c r="N95" s="22"/>
      <c r="O95" s="22"/>
      <c r="P95" s="22"/>
      <c r="Q95" s="22"/>
      <c r="R95" s="23" t="s">
        <v>392</v>
      </c>
      <c r="S95" s="23" t="s">
        <v>392</v>
      </c>
      <c r="T95" s="23" t="s">
        <v>39</v>
      </c>
      <c r="U95" s="23" t="s">
        <v>39</v>
      </c>
      <c r="V95" s="22"/>
      <c r="W95" s="22"/>
      <c r="X95" s="22"/>
      <c r="Y95" s="22"/>
      <c r="Z95" s="22" t="s">
        <v>39</v>
      </c>
      <c r="AA95" s="22" t="s">
        <v>39</v>
      </c>
      <c r="AB95" s="1"/>
      <c r="AC95"/>
      <c r="AD95"/>
      <c r="AE95"/>
      <c r="AF95"/>
      <c r="AG95"/>
    </row>
    <row r="96" spans="1:33" ht="72" customHeight="1" x14ac:dyDescent="0.25">
      <c r="A96" s="17">
        <v>9757544</v>
      </c>
      <c r="B96" s="30">
        <v>3</v>
      </c>
      <c r="C96" s="17" t="s">
        <v>325</v>
      </c>
      <c r="D96" s="31" t="s">
        <v>20</v>
      </c>
      <c r="E96" s="32">
        <v>42665</v>
      </c>
      <c r="F96" s="33">
        <v>42665</v>
      </c>
      <c r="G96" s="32">
        <v>42665</v>
      </c>
      <c r="H96" s="22" t="s">
        <v>95</v>
      </c>
      <c r="I96" s="23" t="s">
        <v>367</v>
      </c>
      <c r="J96" s="23" t="s">
        <v>39</v>
      </c>
      <c r="K96" s="22"/>
      <c r="L96" s="23" t="s">
        <v>263</v>
      </c>
      <c r="M96" s="23" t="s">
        <v>39</v>
      </c>
      <c r="N96" s="22"/>
      <c r="O96" s="22"/>
      <c r="P96" s="22"/>
      <c r="Q96" s="22"/>
      <c r="R96" s="23" t="s">
        <v>392</v>
      </c>
      <c r="S96" s="23" t="s">
        <v>392</v>
      </c>
      <c r="T96" s="23" t="s">
        <v>39</v>
      </c>
      <c r="U96" s="23" t="s">
        <v>39</v>
      </c>
      <c r="V96" s="22"/>
      <c r="W96" s="22"/>
      <c r="X96" s="22"/>
      <c r="Y96" s="22"/>
      <c r="Z96" s="22" t="s">
        <v>39</v>
      </c>
      <c r="AA96" s="22" t="s">
        <v>39</v>
      </c>
      <c r="AB96" s="1"/>
      <c r="AC96"/>
      <c r="AD96"/>
      <c r="AE96"/>
      <c r="AF96"/>
      <c r="AG96"/>
    </row>
    <row r="97" spans="1:33" ht="72" customHeight="1" x14ac:dyDescent="0.25">
      <c r="A97" s="17">
        <v>9757670</v>
      </c>
      <c r="B97" s="30">
        <v>4</v>
      </c>
      <c r="C97" s="17" t="s">
        <v>339</v>
      </c>
      <c r="D97" s="31" t="s">
        <v>28</v>
      </c>
      <c r="E97" s="32">
        <v>42665</v>
      </c>
      <c r="F97" s="33">
        <v>42665</v>
      </c>
      <c r="G97" s="32">
        <v>42665</v>
      </c>
      <c r="H97" s="22" t="s">
        <v>95</v>
      </c>
      <c r="I97" s="23" t="s">
        <v>295</v>
      </c>
      <c r="J97" s="23" t="s">
        <v>39</v>
      </c>
      <c r="K97" s="22"/>
      <c r="L97" s="23" t="s">
        <v>263</v>
      </c>
      <c r="M97" s="23" t="s">
        <v>728</v>
      </c>
      <c r="N97" s="22"/>
      <c r="O97" s="22"/>
      <c r="P97" s="22"/>
      <c r="Q97" s="22"/>
      <c r="R97" s="23" t="s">
        <v>392</v>
      </c>
      <c r="S97" s="23" t="s">
        <v>392</v>
      </c>
      <c r="T97" s="23" t="s">
        <v>39</v>
      </c>
      <c r="U97" s="23" t="s">
        <v>39</v>
      </c>
      <c r="V97" s="22"/>
      <c r="W97" s="22"/>
      <c r="X97" s="22"/>
      <c r="Y97" s="22"/>
      <c r="Z97" s="22" t="s">
        <v>39</v>
      </c>
      <c r="AA97" s="22" t="s">
        <v>39</v>
      </c>
      <c r="AB97" s="1"/>
      <c r="AC97"/>
      <c r="AD97"/>
      <c r="AE97"/>
      <c r="AF97"/>
      <c r="AG97"/>
    </row>
    <row r="98" spans="1:33" ht="72" customHeight="1" x14ac:dyDescent="0.25">
      <c r="A98" s="17">
        <v>9757811</v>
      </c>
      <c r="B98" s="30">
        <v>1</v>
      </c>
      <c r="C98" s="17" t="s">
        <v>340</v>
      </c>
      <c r="D98" s="31" t="s">
        <v>26</v>
      </c>
      <c r="E98" s="32">
        <v>42666</v>
      </c>
      <c r="F98" s="33">
        <v>42666</v>
      </c>
      <c r="G98" s="32">
        <v>42666</v>
      </c>
      <c r="H98" s="22" t="s">
        <v>95</v>
      </c>
      <c r="I98" s="23" t="s">
        <v>295</v>
      </c>
      <c r="J98" s="23" t="s">
        <v>39</v>
      </c>
      <c r="K98" s="22"/>
      <c r="L98" s="23" t="s">
        <v>263</v>
      </c>
      <c r="M98" s="23" t="s">
        <v>726</v>
      </c>
      <c r="N98" s="22"/>
      <c r="O98" s="22"/>
      <c r="P98" s="22"/>
      <c r="Q98" s="22"/>
      <c r="R98" s="23" t="s">
        <v>392</v>
      </c>
      <c r="S98" s="23" t="s">
        <v>392</v>
      </c>
      <c r="T98" s="23" t="s">
        <v>39</v>
      </c>
      <c r="U98" s="23" t="s">
        <v>39</v>
      </c>
      <c r="V98" s="22"/>
      <c r="W98" s="22"/>
      <c r="X98" s="22"/>
      <c r="Y98" s="22"/>
      <c r="Z98" s="22" t="s">
        <v>39</v>
      </c>
      <c r="AA98" s="22" t="s">
        <v>39</v>
      </c>
      <c r="AB98" s="1"/>
      <c r="AC98"/>
      <c r="AD98"/>
      <c r="AE98"/>
      <c r="AF98"/>
      <c r="AG98"/>
    </row>
    <row r="99" spans="1:33" ht="72" customHeight="1" x14ac:dyDescent="0.25">
      <c r="A99" s="17">
        <v>9757870</v>
      </c>
      <c r="B99" s="30">
        <v>2</v>
      </c>
      <c r="C99" s="17" t="s">
        <v>277</v>
      </c>
      <c r="D99" s="31" t="s">
        <v>20</v>
      </c>
      <c r="E99" s="32">
        <v>42667</v>
      </c>
      <c r="F99" s="33">
        <v>42667</v>
      </c>
      <c r="G99" s="32">
        <v>42667</v>
      </c>
      <c r="H99" s="22" t="s">
        <v>112</v>
      </c>
      <c r="I99" s="23" t="s">
        <v>370</v>
      </c>
      <c r="J99" s="23" t="s">
        <v>39</v>
      </c>
      <c r="K99" s="22"/>
      <c r="L99" s="23" t="s">
        <v>39</v>
      </c>
      <c r="M99" s="23" t="s">
        <v>39</v>
      </c>
      <c r="N99" s="22"/>
      <c r="O99" s="22"/>
      <c r="P99" s="22"/>
      <c r="Q99" s="22"/>
      <c r="R99" s="23" t="s">
        <v>625</v>
      </c>
      <c r="S99" s="23" t="s">
        <v>39</v>
      </c>
      <c r="T99" s="23" t="s">
        <v>39</v>
      </c>
      <c r="U99" s="23" t="s">
        <v>39</v>
      </c>
      <c r="V99" s="22"/>
      <c r="W99" s="22"/>
      <c r="X99" s="22"/>
      <c r="Y99" s="22"/>
      <c r="Z99" s="22" t="s">
        <v>39</v>
      </c>
      <c r="AA99" s="22" t="s">
        <v>39</v>
      </c>
      <c r="AB99" s="1"/>
      <c r="AC99"/>
      <c r="AD99"/>
      <c r="AE99"/>
      <c r="AF99"/>
      <c r="AG99"/>
    </row>
    <row r="100" spans="1:33" ht="72" customHeight="1" x14ac:dyDescent="0.25">
      <c r="A100" s="17">
        <v>9757871</v>
      </c>
      <c r="B100" s="30">
        <v>19</v>
      </c>
      <c r="C100" s="17" t="s">
        <v>329</v>
      </c>
      <c r="D100" s="31" t="s">
        <v>20</v>
      </c>
      <c r="E100" s="32">
        <v>42667</v>
      </c>
      <c r="F100" s="33">
        <v>42667</v>
      </c>
      <c r="G100" s="32">
        <v>42667</v>
      </c>
      <c r="H100" s="22" t="s">
        <v>112</v>
      </c>
      <c r="I100" s="23" t="s">
        <v>371</v>
      </c>
      <c r="J100" s="23" t="s">
        <v>39</v>
      </c>
      <c r="K100" s="22"/>
      <c r="L100" s="23" t="s">
        <v>39</v>
      </c>
      <c r="M100" s="23" t="s">
        <v>39</v>
      </c>
      <c r="N100" s="22"/>
      <c r="O100" s="22"/>
      <c r="P100" s="22"/>
      <c r="Q100" s="22"/>
      <c r="R100" s="23" t="s">
        <v>625</v>
      </c>
      <c r="S100" s="23" t="s">
        <v>39</v>
      </c>
      <c r="T100" s="23" t="s">
        <v>39</v>
      </c>
      <c r="U100" s="23" t="s">
        <v>39</v>
      </c>
      <c r="V100" s="22"/>
      <c r="W100" s="22"/>
      <c r="X100" s="22"/>
      <c r="Y100" s="22"/>
      <c r="Z100" s="22" t="s">
        <v>39</v>
      </c>
      <c r="AA100" s="22" t="s">
        <v>39</v>
      </c>
      <c r="AB100" s="1"/>
      <c r="AC100"/>
      <c r="AD100"/>
      <c r="AE100"/>
      <c r="AF100"/>
      <c r="AG100"/>
    </row>
    <row r="101" spans="1:33" ht="72" customHeight="1" x14ac:dyDescent="0.25">
      <c r="A101" s="17">
        <v>9757872</v>
      </c>
      <c r="B101" s="30">
        <v>1</v>
      </c>
      <c r="C101" s="17" t="s">
        <v>243</v>
      </c>
      <c r="D101" s="31" t="s">
        <v>20</v>
      </c>
      <c r="E101" s="32">
        <v>42667</v>
      </c>
      <c r="F101" s="33">
        <v>42667</v>
      </c>
      <c r="G101" s="32">
        <v>42667</v>
      </c>
      <c r="H101" s="22" t="s">
        <v>112</v>
      </c>
      <c r="I101" s="23" t="s">
        <v>370</v>
      </c>
      <c r="J101" s="23" t="s">
        <v>39</v>
      </c>
      <c r="K101" s="22"/>
      <c r="L101" s="23" t="s">
        <v>39</v>
      </c>
      <c r="M101" s="23" t="s">
        <v>39</v>
      </c>
      <c r="N101" s="22"/>
      <c r="O101" s="22"/>
      <c r="P101" s="22"/>
      <c r="Q101" s="22"/>
      <c r="R101" s="23" t="s">
        <v>625</v>
      </c>
      <c r="S101" s="23" t="s">
        <v>39</v>
      </c>
      <c r="T101" s="23" t="s">
        <v>39</v>
      </c>
      <c r="U101" s="23" t="s">
        <v>39</v>
      </c>
      <c r="V101" s="22"/>
      <c r="W101" s="22"/>
      <c r="X101" s="22"/>
      <c r="Y101" s="22"/>
      <c r="Z101" s="22" t="s">
        <v>39</v>
      </c>
      <c r="AA101" s="22" t="s">
        <v>39</v>
      </c>
      <c r="AB101" s="1"/>
      <c r="AC101"/>
      <c r="AD101"/>
      <c r="AE101"/>
      <c r="AF101"/>
      <c r="AG101"/>
    </row>
    <row r="102" spans="1:33" ht="72" customHeight="1" x14ac:dyDescent="0.25">
      <c r="A102" s="17">
        <v>9757873</v>
      </c>
      <c r="B102" s="30">
        <v>1</v>
      </c>
      <c r="C102" s="17" t="s">
        <v>328</v>
      </c>
      <c r="D102" s="31" t="s">
        <v>20</v>
      </c>
      <c r="E102" s="32">
        <v>42667</v>
      </c>
      <c r="F102" s="33">
        <v>42667</v>
      </c>
      <c r="G102" s="32">
        <v>42667</v>
      </c>
      <c r="H102" s="22" t="s">
        <v>108</v>
      </c>
      <c r="I102" s="23" t="s">
        <v>626</v>
      </c>
      <c r="J102" s="23" t="s">
        <v>39</v>
      </c>
      <c r="K102" s="22"/>
      <c r="L102" s="23" t="s">
        <v>39</v>
      </c>
      <c r="M102" s="23" t="s">
        <v>39</v>
      </c>
      <c r="N102" s="22"/>
      <c r="O102" s="22"/>
      <c r="P102" s="22"/>
      <c r="Q102" s="22"/>
      <c r="R102" s="23" t="s">
        <v>625</v>
      </c>
      <c r="S102" s="23" t="s">
        <v>39</v>
      </c>
      <c r="T102" s="23" t="s">
        <v>39</v>
      </c>
      <c r="U102" s="23" t="s">
        <v>697</v>
      </c>
      <c r="V102" s="22"/>
      <c r="W102" s="22"/>
      <c r="X102" s="22"/>
      <c r="Y102" s="22"/>
      <c r="Z102" s="22" t="s">
        <v>39</v>
      </c>
      <c r="AA102" s="22" t="s">
        <v>39</v>
      </c>
      <c r="AB102" s="1"/>
      <c r="AC102"/>
      <c r="AD102"/>
      <c r="AE102"/>
      <c r="AF102"/>
      <c r="AG102"/>
    </row>
    <row r="103" spans="1:33" ht="72" customHeight="1" x14ac:dyDescent="0.25">
      <c r="A103" s="17">
        <v>9757874</v>
      </c>
      <c r="B103" s="30">
        <v>1</v>
      </c>
      <c r="C103" s="17" t="s">
        <v>232</v>
      </c>
      <c r="D103" s="31" t="s">
        <v>20</v>
      </c>
      <c r="E103" s="32">
        <v>42667</v>
      </c>
      <c r="F103" s="33">
        <v>42667</v>
      </c>
      <c r="G103" s="32">
        <v>42667</v>
      </c>
      <c r="H103" s="22" t="s">
        <v>112</v>
      </c>
      <c r="I103" s="23" t="s">
        <v>467</v>
      </c>
      <c r="J103" s="23" t="s">
        <v>39</v>
      </c>
      <c r="K103" s="22"/>
      <c r="L103" s="23" t="s">
        <v>39</v>
      </c>
      <c r="M103" s="23" t="s">
        <v>39</v>
      </c>
      <c r="N103" s="22"/>
      <c r="O103" s="22"/>
      <c r="P103" s="22"/>
      <c r="Q103" s="22"/>
      <c r="R103" s="23" t="s">
        <v>625</v>
      </c>
      <c r="S103" s="23" t="s">
        <v>39</v>
      </c>
      <c r="T103" s="23" t="s">
        <v>39</v>
      </c>
      <c r="U103" s="23" t="s">
        <v>39</v>
      </c>
      <c r="V103" s="22"/>
      <c r="W103" s="22"/>
      <c r="X103" s="22"/>
      <c r="Y103" s="22"/>
      <c r="Z103" s="22" t="s">
        <v>39</v>
      </c>
      <c r="AA103" s="22" t="s">
        <v>39</v>
      </c>
      <c r="AB103" s="1"/>
      <c r="AC103"/>
      <c r="AD103"/>
      <c r="AE103"/>
      <c r="AF103"/>
      <c r="AG103"/>
    </row>
    <row r="104" spans="1:33" ht="72" customHeight="1" x14ac:dyDescent="0.25">
      <c r="A104" s="17">
        <v>9757880</v>
      </c>
      <c r="B104" s="30">
        <v>2</v>
      </c>
      <c r="C104" s="17" t="s">
        <v>172</v>
      </c>
      <c r="D104" s="31" t="s">
        <v>20</v>
      </c>
      <c r="E104" s="32">
        <v>42667</v>
      </c>
      <c r="F104" s="33">
        <v>42667</v>
      </c>
      <c r="G104" s="32">
        <v>42667</v>
      </c>
      <c r="H104" s="22" t="s">
        <v>112</v>
      </c>
      <c r="I104" s="23" t="s">
        <v>370</v>
      </c>
      <c r="J104" s="23" t="s">
        <v>39</v>
      </c>
      <c r="K104" s="22"/>
      <c r="L104" s="23" t="s">
        <v>39</v>
      </c>
      <c r="M104" s="23" t="s">
        <v>39</v>
      </c>
      <c r="N104" s="22"/>
      <c r="O104" s="22"/>
      <c r="P104" s="22"/>
      <c r="Q104" s="22"/>
      <c r="R104" s="23" t="s">
        <v>625</v>
      </c>
      <c r="S104" s="23" t="s">
        <v>39</v>
      </c>
      <c r="T104" s="23" t="s">
        <v>39</v>
      </c>
      <c r="U104" s="23" t="s">
        <v>39</v>
      </c>
      <c r="V104" s="22"/>
      <c r="W104" s="22"/>
      <c r="X104" s="22"/>
      <c r="Y104" s="22"/>
      <c r="Z104" s="22" t="s">
        <v>39</v>
      </c>
      <c r="AA104" s="22" t="s">
        <v>39</v>
      </c>
      <c r="AB104" s="1"/>
      <c r="AC104"/>
      <c r="AD104"/>
      <c r="AE104"/>
      <c r="AF104"/>
      <c r="AG104"/>
    </row>
    <row r="105" spans="1:33" ht="72" customHeight="1" x14ac:dyDescent="0.25">
      <c r="A105" s="17">
        <v>9757882</v>
      </c>
      <c r="B105" s="30">
        <v>1</v>
      </c>
      <c r="C105" s="17" t="s">
        <v>332</v>
      </c>
      <c r="D105" s="31" t="s">
        <v>152</v>
      </c>
      <c r="E105" s="32">
        <v>42667</v>
      </c>
      <c r="F105" s="33">
        <v>42667</v>
      </c>
      <c r="G105" s="32">
        <v>42667</v>
      </c>
      <c r="H105" s="22" t="s">
        <v>108</v>
      </c>
      <c r="I105" s="23" t="s">
        <v>626</v>
      </c>
      <c r="J105" s="23" t="s">
        <v>39</v>
      </c>
      <c r="K105" s="22"/>
      <c r="L105" s="23" t="s">
        <v>39</v>
      </c>
      <c r="M105" s="23" t="s">
        <v>39</v>
      </c>
      <c r="N105" s="22"/>
      <c r="O105" s="22"/>
      <c r="P105" s="22"/>
      <c r="Q105" s="22"/>
      <c r="R105" s="23" t="s">
        <v>625</v>
      </c>
      <c r="S105" s="23" t="s">
        <v>39</v>
      </c>
      <c r="T105" s="23" t="s">
        <v>39</v>
      </c>
      <c r="U105" s="23" t="s">
        <v>659</v>
      </c>
      <c r="V105" s="22"/>
      <c r="W105" s="22"/>
      <c r="X105" s="22"/>
      <c r="Y105" s="22"/>
      <c r="Z105" s="22" t="s">
        <v>39</v>
      </c>
      <c r="AA105" s="22" t="s">
        <v>39</v>
      </c>
      <c r="AB105" s="1"/>
      <c r="AC105"/>
      <c r="AD105"/>
      <c r="AE105"/>
      <c r="AF105"/>
      <c r="AG105"/>
    </row>
    <row r="106" spans="1:33" ht="72" customHeight="1" x14ac:dyDescent="0.25">
      <c r="A106" s="17">
        <v>9757884</v>
      </c>
      <c r="B106" s="30">
        <v>1</v>
      </c>
      <c r="C106" s="17" t="s">
        <v>192</v>
      </c>
      <c r="D106" s="31" t="s">
        <v>191</v>
      </c>
      <c r="E106" s="32">
        <v>42667</v>
      </c>
      <c r="F106" s="33">
        <v>42667</v>
      </c>
      <c r="G106" s="32">
        <v>42667</v>
      </c>
      <c r="H106" s="22" t="s">
        <v>104</v>
      </c>
      <c r="I106" s="23" t="s">
        <v>39</v>
      </c>
      <c r="J106" s="23" t="s">
        <v>39</v>
      </c>
      <c r="K106" s="22"/>
      <c r="L106" s="23" t="s">
        <v>39</v>
      </c>
      <c r="M106" s="23" t="s">
        <v>39</v>
      </c>
      <c r="N106" s="22"/>
      <c r="O106" s="22"/>
      <c r="P106" s="22"/>
      <c r="Q106" s="22"/>
      <c r="R106" s="23" t="s">
        <v>625</v>
      </c>
      <c r="S106" s="23" t="s">
        <v>39</v>
      </c>
      <c r="T106" s="23" t="s">
        <v>39</v>
      </c>
      <c r="U106" s="23" t="s">
        <v>39</v>
      </c>
      <c r="V106" s="22"/>
      <c r="W106" s="22"/>
      <c r="X106" s="22"/>
      <c r="Y106" s="22"/>
      <c r="Z106" s="22" t="s">
        <v>39</v>
      </c>
      <c r="AA106" s="22" t="s">
        <v>39</v>
      </c>
      <c r="AB106" s="1"/>
      <c r="AC106"/>
      <c r="AD106"/>
      <c r="AE106"/>
      <c r="AF106"/>
      <c r="AG106"/>
    </row>
    <row r="107" spans="1:33" ht="72" customHeight="1" x14ac:dyDescent="0.25">
      <c r="A107" s="17">
        <v>9757889</v>
      </c>
      <c r="B107" s="30">
        <v>1</v>
      </c>
      <c r="C107" s="17" t="s">
        <v>330</v>
      </c>
      <c r="D107" s="31" t="s">
        <v>12</v>
      </c>
      <c r="E107" s="32">
        <v>42667</v>
      </c>
      <c r="F107" s="33">
        <v>42667</v>
      </c>
      <c r="G107" s="32">
        <v>42667</v>
      </c>
      <c r="H107" s="22" t="s">
        <v>108</v>
      </c>
      <c r="I107" s="23" t="s">
        <v>370</v>
      </c>
      <c r="J107" s="23" t="s">
        <v>39</v>
      </c>
      <c r="K107" s="22"/>
      <c r="L107" s="23" t="s">
        <v>39</v>
      </c>
      <c r="M107" s="23" t="s">
        <v>39</v>
      </c>
      <c r="N107" s="22"/>
      <c r="O107" s="22"/>
      <c r="P107" s="22"/>
      <c r="Q107" s="22"/>
      <c r="R107" s="23" t="s">
        <v>625</v>
      </c>
      <c r="S107" s="23" t="s">
        <v>39</v>
      </c>
      <c r="T107" s="23" t="s">
        <v>39</v>
      </c>
      <c r="U107" s="23" t="s">
        <v>744</v>
      </c>
      <c r="V107" s="22"/>
      <c r="W107" s="22"/>
      <c r="X107" s="22"/>
      <c r="Y107" s="22"/>
      <c r="Z107" s="22" t="s">
        <v>39</v>
      </c>
      <c r="AA107" s="22" t="s">
        <v>39</v>
      </c>
      <c r="AB107" s="1"/>
      <c r="AC107"/>
      <c r="AD107"/>
      <c r="AE107"/>
      <c r="AF107"/>
      <c r="AG107"/>
    </row>
    <row r="108" spans="1:33" ht="72" customHeight="1" x14ac:dyDescent="0.25">
      <c r="A108" s="17">
        <v>9757891</v>
      </c>
      <c r="B108" s="30">
        <v>3</v>
      </c>
      <c r="C108" s="17" t="s">
        <v>338</v>
      </c>
      <c r="D108" s="31" t="s">
        <v>153</v>
      </c>
      <c r="E108" s="32">
        <v>42667</v>
      </c>
      <c r="F108" s="33">
        <v>42667</v>
      </c>
      <c r="G108" s="32">
        <v>42667</v>
      </c>
      <c r="H108" s="22" t="s">
        <v>112</v>
      </c>
      <c r="I108" s="23" t="s">
        <v>370</v>
      </c>
      <c r="J108" s="23" t="s">
        <v>39</v>
      </c>
      <c r="K108" s="22"/>
      <c r="L108" s="23" t="s">
        <v>39</v>
      </c>
      <c r="M108" s="23" t="s">
        <v>39</v>
      </c>
      <c r="N108" s="22"/>
      <c r="O108" s="22"/>
      <c r="P108" s="22"/>
      <c r="Q108" s="22"/>
      <c r="R108" s="23" t="s">
        <v>625</v>
      </c>
      <c r="S108" s="23" t="s">
        <v>39</v>
      </c>
      <c r="T108" s="23" t="s">
        <v>39</v>
      </c>
      <c r="U108" s="23" t="s">
        <v>39</v>
      </c>
      <c r="V108" s="22"/>
      <c r="W108" s="22"/>
      <c r="X108" s="22"/>
      <c r="Y108" s="22"/>
      <c r="Z108" s="22" t="s">
        <v>39</v>
      </c>
      <c r="AA108" s="22" t="s">
        <v>39</v>
      </c>
      <c r="AB108" s="1"/>
      <c r="AC108"/>
      <c r="AD108"/>
      <c r="AE108"/>
      <c r="AF108"/>
      <c r="AG108"/>
    </row>
    <row r="109" spans="1:33" ht="72" customHeight="1" x14ac:dyDescent="0.25">
      <c r="A109" s="17">
        <v>9757894</v>
      </c>
      <c r="B109" s="30">
        <v>2</v>
      </c>
      <c r="C109" s="17" t="s">
        <v>161</v>
      </c>
      <c r="D109" s="31" t="s">
        <v>25</v>
      </c>
      <c r="E109" s="32">
        <v>42667</v>
      </c>
      <c r="F109" s="33">
        <v>42667</v>
      </c>
      <c r="G109" s="32">
        <v>42667</v>
      </c>
      <c r="H109" s="22" t="s">
        <v>112</v>
      </c>
      <c r="I109" s="23" t="s">
        <v>626</v>
      </c>
      <c r="J109" s="23" t="s">
        <v>39</v>
      </c>
      <c r="K109" s="22"/>
      <c r="L109" s="23" t="s">
        <v>39</v>
      </c>
      <c r="M109" s="23" t="s">
        <v>39</v>
      </c>
      <c r="N109" s="22"/>
      <c r="O109" s="22"/>
      <c r="P109" s="22"/>
      <c r="Q109" s="22"/>
      <c r="R109" s="23" t="s">
        <v>625</v>
      </c>
      <c r="S109" s="23" t="s">
        <v>39</v>
      </c>
      <c r="T109" s="23" t="s">
        <v>39</v>
      </c>
      <c r="U109" s="23" t="s">
        <v>39</v>
      </c>
      <c r="V109" s="22"/>
      <c r="W109" s="22"/>
      <c r="X109" s="22"/>
      <c r="Y109" s="22"/>
      <c r="Z109" s="22" t="s">
        <v>39</v>
      </c>
      <c r="AA109" s="22" t="s">
        <v>39</v>
      </c>
      <c r="AB109" s="1"/>
      <c r="AC109"/>
      <c r="AD109"/>
      <c r="AE109"/>
      <c r="AF109"/>
      <c r="AG109"/>
    </row>
    <row r="110" spans="1:33" ht="72" customHeight="1" x14ac:dyDescent="0.25">
      <c r="A110" s="17">
        <v>9757997</v>
      </c>
      <c r="B110" s="30">
        <v>1</v>
      </c>
      <c r="C110" s="17" t="s">
        <v>175</v>
      </c>
      <c r="D110" s="31" t="s">
        <v>20</v>
      </c>
      <c r="E110" s="32">
        <v>42667</v>
      </c>
      <c r="F110" s="33">
        <v>42667</v>
      </c>
      <c r="G110" s="32">
        <v>42667</v>
      </c>
      <c r="H110" s="22" t="s">
        <v>108</v>
      </c>
      <c r="I110" s="23" t="s">
        <v>369</v>
      </c>
      <c r="J110" s="23" t="s">
        <v>39</v>
      </c>
      <c r="K110" s="22"/>
      <c r="L110" s="23" t="s">
        <v>39</v>
      </c>
      <c r="M110" s="23" t="s">
        <v>39</v>
      </c>
      <c r="N110" s="22"/>
      <c r="O110" s="22"/>
      <c r="P110" s="22"/>
      <c r="Q110" s="22"/>
      <c r="R110" s="23" t="s">
        <v>392</v>
      </c>
      <c r="S110" s="23" t="s">
        <v>175</v>
      </c>
      <c r="T110" s="23" t="s">
        <v>294</v>
      </c>
      <c r="U110" s="23" t="s">
        <v>500</v>
      </c>
      <c r="V110" s="22"/>
      <c r="W110" s="22"/>
      <c r="X110" s="22"/>
      <c r="Y110" s="22"/>
      <c r="Z110" s="22" t="s">
        <v>39</v>
      </c>
      <c r="AA110" s="22" t="s">
        <v>39</v>
      </c>
      <c r="AB110" s="1"/>
      <c r="AC110"/>
      <c r="AD110"/>
      <c r="AE110"/>
      <c r="AF110"/>
      <c r="AG110"/>
    </row>
    <row r="111" spans="1:33" ht="72" customHeight="1" x14ac:dyDescent="0.25">
      <c r="A111" s="17">
        <v>9758069</v>
      </c>
      <c r="B111" s="30">
        <v>12</v>
      </c>
      <c r="C111" s="17" t="s">
        <v>336</v>
      </c>
      <c r="D111" s="31" t="s">
        <v>197</v>
      </c>
      <c r="E111" s="32">
        <v>42667</v>
      </c>
      <c r="F111" s="33">
        <v>42667</v>
      </c>
      <c r="G111" s="32">
        <v>42667</v>
      </c>
      <c r="H111" s="22" t="s">
        <v>112</v>
      </c>
      <c r="I111" s="23" t="s">
        <v>366</v>
      </c>
      <c r="J111" s="23" t="s">
        <v>39</v>
      </c>
      <c r="K111" s="22"/>
      <c r="L111" s="23" t="s">
        <v>39</v>
      </c>
      <c r="M111" s="23" t="s">
        <v>39</v>
      </c>
      <c r="N111" s="22"/>
      <c r="O111" s="22"/>
      <c r="P111" s="22"/>
      <c r="Q111" s="22"/>
      <c r="R111" s="23" t="s">
        <v>392</v>
      </c>
      <c r="S111" s="23" t="s">
        <v>392</v>
      </c>
      <c r="T111" s="23" t="s">
        <v>39</v>
      </c>
      <c r="U111" s="23" t="s">
        <v>39</v>
      </c>
      <c r="V111" s="22"/>
      <c r="W111" s="22"/>
      <c r="X111" s="22"/>
      <c r="Y111" s="22"/>
      <c r="Z111" s="22" t="s">
        <v>39</v>
      </c>
      <c r="AA111" s="22" t="s">
        <v>39</v>
      </c>
      <c r="AB111" s="1"/>
      <c r="AC111"/>
      <c r="AD111"/>
      <c r="AE111"/>
      <c r="AF111"/>
      <c r="AG111"/>
    </row>
    <row r="112" spans="1:33" ht="72" customHeight="1" x14ac:dyDescent="0.25">
      <c r="A112" s="17">
        <v>9758137</v>
      </c>
      <c r="B112" s="30">
        <v>1</v>
      </c>
      <c r="C112" s="17" t="s">
        <v>151</v>
      </c>
      <c r="D112" s="31" t="s">
        <v>11</v>
      </c>
      <c r="E112" s="32">
        <v>42667</v>
      </c>
      <c r="F112" s="33">
        <v>42667</v>
      </c>
      <c r="G112" s="32">
        <v>42667</v>
      </c>
      <c r="H112" s="22" t="s">
        <v>108</v>
      </c>
      <c r="I112" s="23" t="s">
        <v>626</v>
      </c>
      <c r="J112" s="23" t="s">
        <v>39</v>
      </c>
      <c r="K112" s="22"/>
      <c r="L112" s="23" t="s">
        <v>39</v>
      </c>
      <c r="M112" s="23" t="s">
        <v>39</v>
      </c>
      <c r="N112" s="22"/>
      <c r="O112" s="22"/>
      <c r="P112" s="22"/>
      <c r="Q112" s="22"/>
      <c r="R112" s="23" t="s">
        <v>625</v>
      </c>
      <c r="S112" s="23" t="s">
        <v>39</v>
      </c>
      <c r="T112" s="23" t="s">
        <v>39</v>
      </c>
      <c r="U112" s="23" t="s">
        <v>654</v>
      </c>
      <c r="V112" s="22"/>
      <c r="W112" s="22"/>
      <c r="X112" s="22"/>
      <c r="Y112" s="22"/>
      <c r="Z112" s="22" t="s">
        <v>39</v>
      </c>
      <c r="AA112" s="22" t="s">
        <v>39</v>
      </c>
      <c r="AB112" s="1"/>
      <c r="AC112"/>
      <c r="AD112"/>
      <c r="AE112"/>
      <c r="AF112"/>
      <c r="AG112"/>
    </row>
    <row r="113" spans="1:33" ht="72" customHeight="1" x14ac:dyDescent="0.25">
      <c r="A113" s="17">
        <v>9758143</v>
      </c>
      <c r="B113" s="30">
        <v>1</v>
      </c>
      <c r="C113" s="17" t="s">
        <v>129</v>
      </c>
      <c r="D113" s="31" t="s">
        <v>20</v>
      </c>
      <c r="E113" s="32">
        <v>42667</v>
      </c>
      <c r="F113" s="33">
        <v>42667</v>
      </c>
      <c r="G113" s="32">
        <v>42667</v>
      </c>
      <c r="H113" s="22" t="s">
        <v>108</v>
      </c>
      <c r="I113" s="23" t="s">
        <v>626</v>
      </c>
      <c r="J113" s="23" t="s">
        <v>39</v>
      </c>
      <c r="K113" s="22"/>
      <c r="L113" s="23" t="s">
        <v>39</v>
      </c>
      <c r="M113" s="23" t="s">
        <v>39</v>
      </c>
      <c r="N113" s="22"/>
      <c r="O113" s="22"/>
      <c r="P113" s="22"/>
      <c r="Q113" s="22"/>
      <c r="R113" s="23" t="s">
        <v>625</v>
      </c>
      <c r="S113" s="23" t="s">
        <v>39</v>
      </c>
      <c r="T113" s="23" t="s">
        <v>39</v>
      </c>
      <c r="U113" s="23" t="s">
        <v>644</v>
      </c>
      <c r="V113" s="22"/>
      <c r="W113" s="22"/>
      <c r="X113" s="22"/>
      <c r="Y113" s="22"/>
      <c r="Z113" s="22" t="s">
        <v>39</v>
      </c>
      <c r="AA113" s="22" t="s">
        <v>39</v>
      </c>
      <c r="AB113" s="1"/>
      <c r="AC113"/>
      <c r="AD113"/>
      <c r="AE113"/>
      <c r="AF113"/>
      <c r="AG113"/>
    </row>
    <row r="114" spans="1:33" ht="72" customHeight="1" x14ac:dyDescent="0.25">
      <c r="A114" s="17">
        <v>9758179</v>
      </c>
      <c r="B114" s="30">
        <v>1</v>
      </c>
      <c r="C114" s="17" t="s">
        <v>178</v>
      </c>
      <c r="D114" s="31" t="s">
        <v>20</v>
      </c>
      <c r="E114" s="32">
        <v>42667</v>
      </c>
      <c r="F114" s="33">
        <v>42667</v>
      </c>
      <c r="G114" s="32">
        <v>42667</v>
      </c>
      <c r="H114" s="22" t="s">
        <v>108</v>
      </c>
      <c r="I114" s="23" t="s">
        <v>626</v>
      </c>
      <c r="J114" s="23" t="s">
        <v>39</v>
      </c>
      <c r="K114" s="22"/>
      <c r="L114" s="23" t="s">
        <v>39</v>
      </c>
      <c r="M114" s="23" t="s">
        <v>39</v>
      </c>
      <c r="N114" s="22"/>
      <c r="O114" s="22"/>
      <c r="P114" s="22"/>
      <c r="Q114" s="22"/>
      <c r="R114" s="23" t="s">
        <v>625</v>
      </c>
      <c r="S114" s="23" t="s">
        <v>39</v>
      </c>
      <c r="T114" s="23" t="s">
        <v>39</v>
      </c>
      <c r="U114" s="23" t="s">
        <v>701</v>
      </c>
      <c r="V114" s="22"/>
      <c r="W114" s="22"/>
      <c r="X114" s="22"/>
      <c r="Y114" s="22"/>
      <c r="Z114" s="22" t="s">
        <v>39</v>
      </c>
      <c r="AA114" s="22" t="s">
        <v>39</v>
      </c>
      <c r="AB114" s="1"/>
      <c r="AC114"/>
      <c r="AD114"/>
      <c r="AE114"/>
      <c r="AF114"/>
      <c r="AG114"/>
    </row>
    <row r="115" spans="1:33" ht="72" customHeight="1" x14ac:dyDescent="0.25">
      <c r="A115" s="17">
        <v>9758180</v>
      </c>
      <c r="B115" s="30">
        <v>2</v>
      </c>
      <c r="C115" s="17" t="s">
        <v>179</v>
      </c>
      <c r="D115" s="31" t="s">
        <v>20</v>
      </c>
      <c r="E115" s="32">
        <v>42667</v>
      </c>
      <c r="F115" s="33">
        <v>42667</v>
      </c>
      <c r="G115" s="32">
        <v>42667</v>
      </c>
      <c r="H115" s="22" t="s">
        <v>112</v>
      </c>
      <c r="I115" s="23" t="s">
        <v>467</v>
      </c>
      <c r="J115" s="23" t="s">
        <v>39</v>
      </c>
      <c r="K115" s="22"/>
      <c r="L115" s="23" t="s">
        <v>39</v>
      </c>
      <c r="M115" s="23" t="s">
        <v>39</v>
      </c>
      <c r="N115" s="22"/>
      <c r="O115" s="22"/>
      <c r="P115" s="22"/>
      <c r="Q115" s="22"/>
      <c r="R115" s="23" t="s">
        <v>625</v>
      </c>
      <c r="S115" s="23" t="s">
        <v>39</v>
      </c>
      <c r="T115" s="23" t="s">
        <v>39</v>
      </c>
      <c r="U115" s="23" t="s">
        <v>39</v>
      </c>
      <c r="V115" s="22"/>
      <c r="W115" s="22"/>
      <c r="X115" s="22"/>
      <c r="Y115" s="22"/>
      <c r="Z115" s="22" t="s">
        <v>39</v>
      </c>
      <c r="AA115" s="22" t="s">
        <v>39</v>
      </c>
      <c r="AB115" s="1"/>
      <c r="AC115"/>
      <c r="AD115"/>
      <c r="AE115"/>
      <c r="AF115"/>
      <c r="AG115"/>
    </row>
    <row r="116" spans="1:33" ht="72" customHeight="1" x14ac:dyDescent="0.25">
      <c r="A116" s="17">
        <v>9758181</v>
      </c>
      <c r="B116" s="30">
        <v>1</v>
      </c>
      <c r="C116" s="17" t="s">
        <v>166</v>
      </c>
      <c r="D116" s="31" t="s">
        <v>165</v>
      </c>
      <c r="E116" s="32">
        <v>42667</v>
      </c>
      <c r="F116" s="33">
        <v>42667</v>
      </c>
      <c r="G116" s="32">
        <v>42667</v>
      </c>
      <c r="H116" s="22" t="s">
        <v>112</v>
      </c>
      <c r="I116" s="23" t="s">
        <v>626</v>
      </c>
      <c r="J116" s="23" t="s">
        <v>39</v>
      </c>
      <c r="K116" s="22"/>
      <c r="L116" s="23" t="s">
        <v>39</v>
      </c>
      <c r="M116" s="23" t="s">
        <v>39</v>
      </c>
      <c r="N116" s="22"/>
      <c r="O116" s="22"/>
      <c r="P116" s="22"/>
      <c r="Q116" s="22"/>
      <c r="R116" s="23" t="s">
        <v>625</v>
      </c>
      <c r="S116" s="23" t="s">
        <v>39</v>
      </c>
      <c r="T116" s="23" t="s">
        <v>39</v>
      </c>
      <c r="U116" s="23" t="s">
        <v>39</v>
      </c>
      <c r="V116" s="22"/>
      <c r="W116" s="22"/>
      <c r="X116" s="22"/>
      <c r="Y116" s="22"/>
      <c r="Z116" s="22" t="s">
        <v>39</v>
      </c>
      <c r="AA116" s="22" t="s">
        <v>39</v>
      </c>
      <c r="AB116" s="1"/>
      <c r="AC116"/>
      <c r="AD116"/>
      <c r="AE116"/>
      <c r="AF116"/>
      <c r="AG116"/>
    </row>
    <row r="117" spans="1:33" ht="72" customHeight="1" x14ac:dyDescent="0.25">
      <c r="A117" s="17">
        <v>9758184</v>
      </c>
      <c r="B117" s="30">
        <v>1</v>
      </c>
      <c r="C117" s="17" t="s">
        <v>320</v>
      </c>
      <c r="D117" s="31" t="s">
        <v>28</v>
      </c>
      <c r="E117" s="32">
        <v>42667</v>
      </c>
      <c r="F117" s="33">
        <v>42667</v>
      </c>
      <c r="G117" s="32">
        <v>42667</v>
      </c>
      <c r="H117" s="22" t="s">
        <v>112</v>
      </c>
      <c r="I117" s="23" t="s">
        <v>467</v>
      </c>
      <c r="J117" s="23" t="s">
        <v>39</v>
      </c>
      <c r="K117" s="22"/>
      <c r="L117" s="23" t="s">
        <v>39</v>
      </c>
      <c r="M117" s="23" t="s">
        <v>39</v>
      </c>
      <c r="N117" s="22"/>
      <c r="O117" s="22"/>
      <c r="P117" s="22"/>
      <c r="Q117" s="22"/>
      <c r="R117" s="23" t="s">
        <v>625</v>
      </c>
      <c r="S117" s="23" t="s">
        <v>39</v>
      </c>
      <c r="T117" s="23" t="s">
        <v>39</v>
      </c>
      <c r="U117" s="23" t="s">
        <v>39</v>
      </c>
      <c r="V117" s="22"/>
      <c r="W117" s="22"/>
      <c r="X117" s="22"/>
      <c r="Y117" s="22"/>
      <c r="Z117" s="22" t="s">
        <v>39</v>
      </c>
      <c r="AA117" s="22" t="s">
        <v>39</v>
      </c>
      <c r="AB117" s="1"/>
      <c r="AC117"/>
      <c r="AD117"/>
      <c r="AE117"/>
      <c r="AF117"/>
      <c r="AG117"/>
    </row>
    <row r="118" spans="1:33" ht="72" customHeight="1" x14ac:dyDescent="0.25">
      <c r="A118" s="17">
        <v>9758202</v>
      </c>
      <c r="B118" s="30">
        <v>1</v>
      </c>
      <c r="C118" s="17" t="s">
        <v>194</v>
      </c>
      <c r="D118" s="31" t="s">
        <v>10</v>
      </c>
      <c r="E118" s="32">
        <v>42667</v>
      </c>
      <c r="F118" s="33">
        <v>42667</v>
      </c>
      <c r="G118" s="32">
        <v>42667</v>
      </c>
      <c r="H118" s="22" t="s">
        <v>104</v>
      </c>
      <c r="I118" s="23" t="s">
        <v>39</v>
      </c>
      <c r="J118" s="23" t="s">
        <v>39</v>
      </c>
      <c r="K118" s="22"/>
      <c r="L118" s="23" t="s">
        <v>39</v>
      </c>
      <c r="M118" s="23" t="s">
        <v>39</v>
      </c>
      <c r="N118" s="22"/>
      <c r="O118" s="22"/>
      <c r="P118" s="22"/>
      <c r="Q118" s="22"/>
      <c r="R118" s="23" t="s">
        <v>368</v>
      </c>
      <c r="S118" s="23" t="s">
        <v>368</v>
      </c>
      <c r="T118" s="23" t="s">
        <v>39</v>
      </c>
      <c r="U118" s="23" t="s">
        <v>39</v>
      </c>
      <c r="V118" s="22"/>
      <c r="W118" s="22"/>
      <c r="X118" s="22"/>
      <c r="Y118" s="22"/>
      <c r="Z118" s="22" t="s">
        <v>39</v>
      </c>
      <c r="AA118" s="22" t="s">
        <v>39</v>
      </c>
      <c r="AB118" s="1"/>
      <c r="AC118"/>
      <c r="AD118"/>
      <c r="AE118"/>
      <c r="AF118"/>
      <c r="AG118"/>
    </row>
    <row r="119" spans="1:33" ht="72" customHeight="1" x14ac:dyDescent="0.25">
      <c r="A119" s="17">
        <v>9758212</v>
      </c>
      <c r="B119" s="30">
        <v>1</v>
      </c>
      <c r="C119" s="17" t="s">
        <v>334</v>
      </c>
      <c r="D119" s="31" t="s">
        <v>152</v>
      </c>
      <c r="E119" s="32">
        <v>42667</v>
      </c>
      <c r="F119" s="33">
        <v>42667</v>
      </c>
      <c r="G119" s="32">
        <v>42667</v>
      </c>
      <c r="H119" s="22" t="s">
        <v>112</v>
      </c>
      <c r="I119" s="23" t="s">
        <v>370</v>
      </c>
      <c r="J119" s="23" t="s">
        <v>39</v>
      </c>
      <c r="K119" s="22"/>
      <c r="L119" s="23" t="s">
        <v>39</v>
      </c>
      <c r="M119" s="23" t="s">
        <v>39</v>
      </c>
      <c r="N119" s="22"/>
      <c r="O119" s="22"/>
      <c r="P119" s="22"/>
      <c r="Q119" s="22"/>
      <c r="R119" s="23" t="s">
        <v>368</v>
      </c>
      <c r="S119" s="23" t="s">
        <v>368</v>
      </c>
      <c r="T119" s="23" t="s">
        <v>39</v>
      </c>
      <c r="U119" s="23" t="s">
        <v>39</v>
      </c>
      <c r="V119" s="22"/>
      <c r="W119" s="22"/>
      <c r="X119" s="22"/>
      <c r="Y119" s="22"/>
      <c r="Z119" s="22" t="s">
        <v>39</v>
      </c>
      <c r="AA119" s="22" t="s">
        <v>39</v>
      </c>
      <c r="AB119" s="1"/>
      <c r="AC119"/>
      <c r="AD119"/>
      <c r="AE119"/>
      <c r="AF119"/>
      <c r="AG119"/>
    </row>
    <row r="120" spans="1:33" ht="72" customHeight="1" x14ac:dyDescent="0.25">
      <c r="A120" s="17">
        <v>9758213</v>
      </c>
      <c r="B120" s="30">
        <v>13</v>
      </c>
      <c r="C120" s="17" t="s">
        <v>331</v>
      </c>
      <c r="D120" s="31" t="s">
        <v>251</v>
      </c>
      <c r="E120" s="32">
        <v>42667</v>
      </c>
      <c r="F120" s="33">
        <v>42667</v>
      </c>
      <c r="G120" s="32">
        <v>42667</v>
      </c>
      <c r="H120" s="22" t="s">
        <v>112</v>
      </c>
      <c r="I120" s="23" t="s">
        <v>367</v>
      </c>
      <c r="J120" s="23" t="s">
        <v>39</v>
      </c>
      <c r="K120" s="22"/>
      <c r="L120" s="23" t="s">
        <v>39</v>
      </c>
      <c r="M120" s="23" t="s">
        <v>39</v>
      </c>
      <c r="N120" s="22"/>
      <c r="O120" s="22"/>
      <c r="P120" s="22"/>
      <c r="Q120" s="22"/>
      <c r="R120" s="23" t="s">
        <v>392</v>
      </c>
      <c r="S120" s="23" t="s">
        <v>392</v>
      </c>
      <c r="T120" s="23" t="s">
        <v>39</v>
      </c>
      <c r="U120" s="23" t="s">
        <v>39</v>
      </c>
      <c r="V120" s="22"/>
      <c r="W120" s="22"/>
      <c r="X120" s="22"/>
      <c r="Y120" s="22"/>
      <c r="Z120" s="22" t="s">
        <v>39</v>
      </c>
      <c r="AA120" s="22" t="s">
        <v>39</v>
      </c>
      <c r="AB120" s="1"/>
      <c r="AC120"/>
      <c r="AD120"/>
      <c r="AE120"/>
      <c r="AF120"/>
      <c r="AG120"/>
    </row>
    <row r="121" spans="1:33" ht="72" customHeight="1" x14ac:dyDescent="0.25">
      <c r="A121" s="17">
        <v>9758319</v>
      </c>
      <c r="B121" s="30">
        <v>1</v>
      </c>
      <c r="C121" s="17" t="s">
        <v>358</v>
      </c>
      <c r="D121" s="31" t="s">
        <v>344</v>
      </c>
      <c r="E121" s="32">
        <v>42667</v>
      </c>
      <c r="F121" s="33">
        <v>42667</v>
      </c>
      <c r="G121" s="32">
        <v>42667</v>
      </c>
      <c r="H121" s="22" t="s">
        <v>104</v>
      </c>
      <c r="I121" s="23" t="s">
        <v>39</v>
      </c>
      <c r="J121" s="23" t="s">
        <v>39</v>
      </c>
      <c r="K121" s="22"/>
      <c r="L121" s="23" t="s">
        <v>39</v>
      </c>
      <c r="M121" s="23" t="s">
        <v>39</v>
      </c>
      <c r="N121" s="22"/>
      <c r="O121" s="22"/>
      <c r="P121" s="22"/>
      <c r="Q121" s="22"/>
      <c r="R121" s="23" t="s">
        <v>627</v>
      </c>
      <c r="S121" s="23" t="s">
        <v>627</v>
      </c>
      <c r="T121" s="23" t="s">
        <v>131</v>
      </c>
      <c r="U121" s="23" t="s">
        <v>39</v>
      </c>
      <c r="V121" s="22"/>
      <c r="W121" s="22"/>
      <c r="X121" s="22"/>
      <c r="Y121" s="22"/>
      <c r="Z121" s="22" t="s">
        <v>39</v>
      </c>
      <c r="AA121" s="22" t="s">
        <v>39</v>
      </c>
      <c r="AB121" s="1"/>
      <c r="AC121"/>
      <c r="AD121"/>
      <c r="AE121"/>
      <c r="AF121"/>
      <c r="AG121"/>
    </row>
    <row r="122" spans="1:33" ht="72" customHeight="1" x14ac:dyDescent="0.25">
      <c r="A122" s="17">
        <v>9758506</v>
      </c>
      <c r="B122" s="30">
        <v>1</v>
      </c>
      <c r="C122" s="17" t="s">
        <v>320</v>
      </c>
      <c r="D122" s="31" t="s">
        <v>28</v>
      </c>
      <c r="E122" s="32">
        <v>42668</v>
      </c>
      <c r="F122" s="33">
        <v>42668</v>
      </c>
      <c r="G122" s="32">
        <v>42668</v>
      </c>
      <c r="H122" s="22" t="s">
        <v>112</v>
      </c>
      <c r="I122" s="23" t="s">
        <v>371</v>
      </c>
      <c r="J122" s="23" t="s">
        <v>39</v>
      </c>
      <c r="K122" s="22"/>
      <c r="L122" s="23" t="s">
        <v>39</v>
      </c>
      <c r="M122" s="23" t="s">
        <v>39</v>
      </c>
      <c r="N122" s="22"/>
      <c r="O122" s="22"/>
      <c r="P122" s="22"/>
      <c r="Q122" s="22"/>
      <c r="R122" s="23" t="s">
        <v>625</v>
      </c>
      <c r="S122" s="23" t="s">
        <v>39</v>
      </c>
      <c r="T122" s="23" t="s">
        <v>39</v>
      </c>
      <c r="U122" s="23" t="s">
        <v>39</v>
      </c>
      <c r="V122" s="22"/>
      <c r="W122" s="22"/>
      <c r="X122" s="22"/>
      <c r="Y122" s="22"/>
      <c r="Z122" s="22" t="s">
        <v>39</v>
      </c>
      <c r="AA122" s="22" t="s">
        <v>39</v>
      </c>
      <c r="AB122" s="1"/>
      <c r="AC122"/>
      <c r="AD122"/>
      <c r="AE122"/>
      <c r="AF122"/>
      <c r="AG122"/>
    </row>
    <row r="123" spans="1:33" ht="72" customHeight="1" x14ac:dyDescent="0.25">
      <c r="A123" s="17">
        <v>9758507</v>
      </c>
      <c r="B123" s="30">
        <v>1</v>
      </c>
      <c r="C123" s="17" t="s">
        <v>364</v>
      </c>
      <c r="D123" s="31" t="s">
        <v>28</v>
      </c>
      <c r="E123" s="32">
        <v>42668</v>
      </c>
      <c r="F123" s="33">
        <v>42668</v>
      </c>
      <c r="G123" s="32">
        <v>42668</v>
      </c>
      <c r="H123" s="22" t="s">
        <v>112</v>
      </c>
      <c r="I123" s="23" t="s">
        <v>371</v>
      </c>
      <c r="J123" s="23" t="s">
        <v>39</v>
      </c>
      <c r="K123" s="22"/>
      <c r="L123" s="23" t="s">
        <v>39</v>
      </c>
      <c r="M123" s="23" t="s">
        <v>39</v>
      </c>
      <c r="N123" s="22"/>
      <c r="O123" s="22"/>
      <c r="P123" s="22"/>
      <c r="Q123" s="22"/>
      <c r="R123" s="23" t="s">
        <v>625</v>
      </c>
      <c r="S123" s="23" t="s">
        <v>39</v>
      </c>
      <c r="T123" s="23" t="s">
        <v>39</v>
      </c>
      <c r="U123" s="23" t="s">
        <v>39</v>
      </c>
      <c r="V123" s="22"/>
      <c r="W123" s="22"/>
      <c r="X123" s="22"/>
      <c r="Y123" s="22"/>
      <c r="Z123" s="22" t="s">
        <v>39</v>
      </c>
      <c r="AA123" s="22" t="s">
        <v>39</v>
      </c>
      <c r="AB123" s="1"/>
      <c r="AC123"/>
      <c r="AD123"/>
      <c r="AE123"/>
      <c r="AF123"/>
      <c r="AG123"/>
    </row>
    <row r="124" spans="1:33" ht="72" customHeight="1" x14ac:dyDescent="0.25">
      <c r="A124" s="17">
        <v>9758551</v>
      </c>
      <c r="B124" s="30">
        <v>7</v>
      </c>
      <c r="C124" s="17" t="s">
        <v>128</v>
      </c>
      <c r="D124" s="31" t="s">
        <v>20</v>
      </c>
      <c r="E124" s="32">
        <v>42668</v>
      </c>
      <c r="F124" s="33">
        <v>42668</v>
      </c>
      <c r="G124" s="32">
        <v>42668</v>
      </c>
      <c r="H124" s="22" t="s">
        <v>112</v>
      </c>
      <c r="I124" s="23" t="s">
        <v>295</v>
      </c>
      <c r="J124" s="23" t="s">
        <v>39</v>
      </c>
      <c r="K124" s="22"/>
      <c r="L124" s="23" t="s">
        <v>39</v>
      </c>
      <c r="M124" s="23" t="s">
        <v>39</v>
      </c>
      <c r="N124" s="22"/>
      <c r="O124" s="22"/>
      <c r="P124" s="22"/>
      <c r="Q124" s="22"/>
      <c r="R124" s="23" t="s">
        <v>394</v>
      </c>
      <c r="S124" s="23" t="s">
        <v>394</v>
      </c>
      <c r="T124" s="23" t="s">
        <v>39</v>
      </c>
      <c r="U124" s="23" t="s">
        <v>39</v>
      </c>
      <c r="V124" s="22"/>
      <c r="W124" s="22"/>
      <c r="X124" s="22"/>
      <c r="Y124" s="22"/>
      <c r="Z124" s="22" t="s">
        <v>39</v>
      </c>
      <c r="AA124" s="22" t="s">
        <v>39</v>
      </c>
      <c r="AB124" s="1"/>
      <c r="AC124"/>
      <c r="AD124"/>
      <c r="AE124"/>
      <c r="AF124"/>
      <c r="AG124"/>
    </row>
    <row r="125" spans="1:33" ht="72" customHeight="1" x14ac:dyDescent="0.25">
      <c r="A125" s="17">
        <v>9758559</v>
      </c>
      <c r="B125" s="30">
        <v>1</v>
      </c>
      <c r="C125" s="17" t="s">
        <v>106</v>
      </c>
      <c r="D125" s="31" t="s">
        <v>20</v>
      </c>
      <c r="E125" s="32">
        <v>42668</v>
      </c>
      <c r="F125" s="33">
        <v>42668</v>
      </c>
      <c r="G125" s="32">
        <v>42668</v>
      </c>
      <c r="H125" s="22" t="s">
        <v>108</v>
      </c>
      <c r="I125" s="23" t="s">
        <v>369</v>
      </c>
      <c r="J125" s="23" t="s">
        <v>39</v>
      </c>
      <c r="K125" s="22"/>
      <c r="L125" s="23" t="s">
        <v>39</v>
      </c>
      <c r="M125" s="23" t="s">
        <v>39</v>
      </c>
      <c r="N125" s="22"/>
      <c r="O125" s="22"/>
      <c r="P125" s="22"/>
      <c r="Q125" s="22"/>
      <c r="R125" s="23" t="s">
        <v>394</v>
      </c>
      <c r="S125" s="23">
        <v>20115563</v>
      </c>
      <c r="T125" s="23" t="s">
        <v>294</v>
      </c>
      <c r="U125" s="23" t="s">
        <v>396</v>
      </c>
      <c r="V125" s="22"/>
      <c r="W125" s="22"/>
      <c r="X125" s="22"/>
      <c r="Y125" s="22"/>
      <c r="Z125" s="22" t="s">
        <v>39</v>
      </c>
      <c r="AA125" s="22" t="s">
        <v>39</v>
      </c>
      <c r="AB125" s="1"/>
      <c r="AC125"/>
      <c r="AD125"/>
      <c r="AE125"/>
      <c r="AF125"/>
      <c r="AG125"/>
    </row>
    <row r="126" spans="1:33" ht="72" customHeight="1" x14ac:dyDescent="0.25">
      <c r="A126" s="17">
        <v>9758563</v>
      </c>
      <c r="B126" s="30">
        <v>1</v>
      </c>
      <c r="C126" s="17" t="s">
        <v>127</v>
      </c>
      <c r="D126" s="31" t="s">
        <v>20</v>
      </c>
      <c r="E126" s="32">
        <v>42668</v>
      </c>
      <c r="F126" s="33">
        <v>42668</v>
      </c>
      <c r="G126" s="32">
        <v>42668</v>
      </c>
      <c r="H126" s="22" t="s">
        <v>108</v>
      </c>
      <c r="I126" s="23" t="s">
        <v>369</v>
      </c>
      <c r="J126" s="23" t="s">
        <v>39</v>
      </c>
      <c r="K126" s="22"/>
      <c r="L126" s="23" t="s">
        <v>39</v>
      </c>
      <c r="M126" s="23" t="s">
        <v>39</v>
      </c>
      <c r="N126" s="22"/>
      <c r="O126" s="22"/>
      <c r="P126" s="22"/>
      <c r="Q126" s="22"/>
      <c r="R126" s="23" t="s">
        <v>394</v>
      </c>
      <c r="S126" s="23">
        <v>20116327</v>
      </c>
      <c r="T126" s="23" t="s">
        <v>294</v>
      </c>
      <c r="U126" s="23" t="s">
        <v>373</v>
      </c>
      <c r="V126" s="22"/>
      <c r="W126" s="22"/>
      <c r="X126" s="22"/>
      <c r="Y126" s="22"/>
      <c r="Z126" s="22" t="s">
        <v>39</v>
      </c>
      <c r="AA126" s="22" t="s">
        <v>39</v>
      </c>
      <c r="AB126" s="1"/>
      <c r="AC126"/>
      <c r="AD126"/>
      <c r="AE126"/>
      <c r="AF126"/>
      <c r="AG126"/>
    </row>
    <row r="127" spans="1:33" ht="72" customHeight="1" x14ac:dyDescent="0.25">
      <c r="A127" s="17">
        <v>9758587</v>
      </c>
      <c r="B127" s="30">
        <v>1</v>
      </c>
      <c r="C127" s="17" t="s">
        <v>244</v>
      </c>
      <c r="D127" s="31" t="s">
        <v>20</v>
      </c>
      <c r="E127" s="32">
        <v>42668</v>
      </c>
      <c r="F127" s="33">
        <v>42668</v>
      </c>
      <c r="G127" s="32">
        <v>42668</v>
      </c>
      <c r="H127" s="22" t="s">
        <v>108</v>
      </c>
      <c r="I127" s="23" t="s">
        <v>467</v>
      </c>
      <c r="J127" s="23" t="s">
        <v>39</v>
      </c>
      <c r="K127" s="22"/>
      <c r="L127" s="23" t="s">
        <v>39</v>
      </c>
      <c r="M127" s="23" t="s">
        <v>39</v>
      </c>
      <c r="N127" s="22"/>
      <c r="O127" s="22"/>
      <c r="P127" s="22"/>
      <c r="Q127" s="22"/>
      <c r="R127" s="23" t="s">
        <v>477</v>
      </c>
      <c r="S127" s="23" t="s">
        <v>477</v>
      </c>
      <c r="T127" s="23" t="s">
        <v>39</v>
      </c>
      <c r="U127" s="23" t="s">
        <v>495</v>
      </c>
      <c r="V127" s="22"/>
      <c r="W127" s="22"/>
      <c r="X127" s="22"/>
      <c r="Y127" s="22"/>
      <c r="Z127" s="22" t="s">
        <v>39</v>
      </c>
      <c r="AA127" s="22" t="s">
        <v>39</v>
      </c>
      <c r="AB127" s="1"/>
      <c r="AC127"/>
      <c r="AD127"/>
      <c r="AE127"/>
      <c r="AF127"/>
      <c r="AG127"/>
    </row>
    <row r="128" spans="1:33" ht="72" customHeight="1" x14ac:dyDescent="0.25">
      <c r="A128" s="17">
        <v>9758600</v>
      </c>
      <c r="B128" s="30">
        <v>3</v>
      </c>
      <c r="C128" s="17" t="s">
        <v>311</v>
      </c>
      <c r="D128" s="31" t="s">
        <v>20</v>
      </c>
      <c r="E128" s="32">
        <v>42668</v>
      </c>
      <c r="F128" s="33">
        <v>42668</v>
      </c>
      <c r="G128" s="32">
        <v>42668</v>
      </c>
      <c r="H128" s="22" t="s">
        <v>112</v>
      </c>
      <c r="I128" s="23" t="s">
        <v>467</v>
      </c>
      <c r="J128" s="23" t="s">
        <v>39</v>
      </c>
      <c r="K128" s="22"/>
      <c r="L128" s="23" t="s">
        <v>39</v>
      </c>
      <c r="M128" s="23" t="s">
        <v>39</v>
      </c>
      <c r="N128" s="22"/>
      <c r="O128" s="22"/>
      <c r="P128" s="22"/>
      <c r="Q128" s="22"/>
      <c r="R128" s="23" t="s">
        <v>477</v>
      </c>
      <c r="S128" s="23" t="s">
        <v>477</v>
      </c>
      <c r="T128" s="23" t="s">
        <v>39</v>
      </c>
      <c r="U128" s="23" t="s">
        <v>39</v>
      </c>
      <c r="V128" s="22"/>
      <c r="W128" s="22"/>
      <c r="X128" s="22"/>
      <c r="Y128" s="22"/>
      <c r="Z128" s="22" t="s">
        <v>39</v>
      </c>
      <c r="AA128" s="22" t="s">
        <v>39</v>
      </c>
      <c r="AB128" s="1"/>
      <c r="AC128"/>
      <c r="AD128"/>
      <c r="AE128"/>
      <c r="AF128"/>
      <c r="AG128"/>
    </row>
    <row r="129" spans="1:33" ht="72" customHeight="1" x14ac:dyDescent="0.25">
      <c r="A129" s="17">
        <v>9758613</v>
      </c>
      <c r="B129" s="30">
        <v>4</v>
      </c>
      <c r="C129" s="17" t="s">
        <v>172</v>
      </c>
      <c r="D129" s="31" t="s">
        <v>20</v>
      </c>
      <c r="E129" s="32">
        <v>42668</v>
      </c>
      <c r="F129" s="33">
        <v>42668</v>
      </c>
      <c r="G129" s="32">
        <v>42668</v>
      </c>
      <c r="H129" s="22" t="s">
        <v>108</v>
      </c>
      <c r="I129" s="23" t="s">
        <v>467</v>
      </c>
      <c r="J129" s="23" t="s">
        <v>39</v>
      </c>
      <c r="K129" s="22"/>
      <c r="L129" s="23" t="s">
        <v>39</v>
      </c>
      <c r="M129" s="23" t="s">
        <v>39</v>
      </c>
      <c r="N129" s="22"/>
      <c r="O129" s="22"/>
      <c r="P129" s="22"/>
      <c r="Q129" s="22"/>
      <c r="R129" s="23" t="s">
        <v>477</v>
      </c>
      <c r="S129" s="23" t="s">
        <v>477</v>
      </c>
      <c r="T129" s="23" t="s">
        <v>39</v>
      </c>
      <c r="U129" s="23" t="s">
        <v>496</v>
      </c>
      <c r="V129" s="22"/>
      <c r="W129" s="22"/>
      <c r="X129" s="22"/>
      <c r="Y129" s="22"/>
      <c r="Z129" s="22" t="s">
        <v>39</v>
      </c>
      <c r="AA129" s="22" t="s">
        <v>39</v>
      </c>
      <c r="AB129" s="1"/>
      <c r="AC129"/>
      <c r="AD129"/>
      <c r="AE129"/>
      <c r="AF129"/>
      <c r="AG129"/>
    </row>
    <row r="130" spans="1:33" ht="72" customHeight="1" x14ac:dyDescent="0.25">
      <c r="A130" s="17">
        <v>9758615</v>
      </c>
      <c r="B130" s="30">
        <v>1</v>
      </c>
      <c r="C130" s="17" t="s">
        <v>166</v>
      </c>
      <c r="D130" s="31" t="s">
        <v>165</v>
      </c>
      <c r="E130" s="32">
        <v>42668</v>
      </c>
      <c r="F130" s="33">
        <v>42668</v>
      </c>
      <c r="G130" s="32">
        <v>42668</v>
      </c>
      <c r="H130" s="22" t="s">
        <v>112</v>
      </c>
      <c r="I130" s="23" t="s">
        <v>467</v>
      </c>
      <c r="J130" s="23" t="s">
        <v>39</v>
      </c>
      <c r="K130" s="22"/>
      <c r="L130" s="23" t="s">
        <v>39</v>
      </c>
      <c r="M130" s="23" t="s">
        <v>39</v>
      </c>
      <c r="N130" s="22"/>
      <c r="O130" s="22"/>
      <c r="P130" s="22"/>
      <c r="Q130" s="22"/>
      <c r="R130" s="23" t="s">
        <v>625</v>
      </c>
      <c r="S130" s="23" t="s">
        <v>39</v>
      </c>
      <c r="T130" s="23" t="s">
        <v>39</v>
      </c>
      <c r="U130" s="23" t="s">
        <v>39</v>
      </c>
      <c r="V130" s="22"/>
      <c r="W130" s="22"/>
      <c r="X130" s="22"/>
      <c r="Y130" s="22"/>
      <c r="Z130" s="22" t="s">
        <v>39</v>
      </c>
      <c r="AA130" s="22" t="s">
        <v>39</v>
      </c>
      <c r="AB130" s="1"/>
      <c r="AC130"/>
      <c r="AD130"/>
      <c r="AE130"/>
      <c r="AF130"/>
      <c r="AG130"/>
    </row>
    <row r="131" spans="1:33" ht="72" customHeight="1" x14ac:dyDescent="0.25">
      <c r="A131" s="17">
        <v>9758617</v>
      </c>
      <c r="B131" s="30">
        <v>6</v>
      </c>
      <c r="C131" s="17" t="s">
        <v>275</v>
      </c>
      <c r="D131" s="31" t="s">
        <v>45</v>
      </c>
      <c r="E131" s="32">
        <v>42668</v>
      </c>
      <c r="F131" s="33">
        <v>42668</v>
      </c>
      <c r="G131" s="32">
        <v>42668</v>
      </c>
      <c r="H131" s="22" t="s">
        <v>104</v>
      </c>
      <c r="I131" s="23" t="s">
        <v>39</v>
      </c>
      <c r="J131" s="23" t="s">
        <v>39</v>
      </c>
      <c r="K131" s="22"/>
      <c r="L131" s="23" t="s">
        <v>39</v>
      </c>
      <c r="M131" s="23" t="s">
        <v>39</v>
      </c>
      <c r="N131" s="22"/>
      <c r="O131" s="22"/>
      <c r="P131" s="22"/>
      <c r="Q131" s="22"/>
      <c r="R131" s="23" t="s">
        <v>477</v>
      </c>
      <c r="S131" s="23" t="s">
        <v>477</v>
      </c>
      <c r="T131" s="23" t="s">
        <v>39</v>
      </c>
      <c r="U131" s="23" t="s">
        <v>39</v>
      </c>
      <c r="V131" s="22"/>
      <c r="W131" s="22"/>
      <c r="X131" s="22"/>
      <c r="Y131" s="22"/>
      <c r="Z131" s="22" t="s">
        <v>39</v>
      </c>
      <c r="AA131" s="22" t="s">
        <v>39</v>
      </c>
      <c r="AB131" s="1"/>
      <c r="AC131"/>
      <c r="AD131"/>
      <c r="AE131"/>
      <c r="AF131"/>
      <c r="AG131"/>
    </row>
    <row r="132" spans="1:33" ht="72" customHeight="1" x14ac:dyDescent="0.25">
      <c r="A132" s="17">
        <v>9758618</v>
      </c>
      <c r="B132" s="30">
        <v>1</v>
      </c>
      <c r="C132" s="17" t="s">
        <v>242</v>
      </c>
      <c r="D132" s="31" t="s">
        <v>45</v>
      </c>
      <c r="E132" s="32">
        <v>42668</v>
      </c>
      <c r="F132" s="33">
        <v>42668</v>
      </c>
      <c r="G132" s="32">
        <v>42668</v>
      </c>
      <c r="H132" s="22" t="s">
        <v>112</v>
      </c>
      <c r="I132" s="23" t="s">
        <v>371</v>
      </c>
      <c r="J132" s="23" t="s">
        <v>39</v>
      </c>
      <c r="K132" s="22"/>
      <c r="L132" s="23" t="s">
        <v>39</v>
      </c>
      <c r="M132" s="23" t="s">
        <v>39</v>
      </c>
      <c r="N132" s="22"/>
      <c r="O132" s="22"/>
      <c r="P132" s="22"/>
      <c r="Q132" s="22"/>
      <c r="R132" s="23" t="s">
        <v>477</v>
      </c>
      <c r="S132" s="23" t="s">
        <v>477</v>
      </c>
      <c r="T132" s="23" t="s">
        <v>39</v>
      </c>
      <c r="U132" s="23" t="s">
        <v>39</v>
      </c>
      <c r="V132" s="22"/>
      <c r="W132" s="22"/>
      <c r="X132" s="22"/>
      <c r="Y132" s="22"/>
      <c r="Z132" s="22" t="s">
        <v>39</v>
      </c>
      <c r="AA132" s="22" t="s">
        <v>39</v>
      </c>
      <c r="AB132" s="1"/>
      <c r="AC132"/>
      <c r="AD132"/>
      <c r="AE132"/>
      <c r="AF132"/>
      <c r="AG132"/>
    </row>
    <row r="133" spans="1:33" ht="72" customHeight="1" x14ac:dyDescent="0.25">
      <c r="A133" s="17">
        <v>9758620</v>
      </c>
      <c r="B133" s="30">
        <v>1</v>
      </c>
      <c r="C133" s="17" t="s">
        <v>341</v>
      </c>
      <c r="D133" s="31" t="s">
        <v>45</v>
      </c>
      <c r="E133" s="32">
        <v>42668</v>
      </c>
      <c r="F133" s="33">
        <v>42668</v>
      </c>
      <c r="G133" s="32">
        <v>42668</v>
      </c>
      <c r="H133" s="22" t="s">
        <v>112</v>
      </c>
      <c r="I133" s="23" t="s">
        <v>371</v>
      </c>
      <c r="J133" s="23" t="s">
        <v>39</v>
      </c>
      <c r="K133" s="22"/>
      <c r="L133" s="23" t="s">
        <v>39</v>
      </c>
      <c r="M133" s="23" t="s">
        <v>39</v>
      </c>
      <c r="N133" s="22"/>
      <c r="O133" s="22"/>
      <c r="P133" s="22"/>
      <c r="Q133" s="22"/>
      <c r="R133" s="23" t="s">
        <v>477</v>
      </c>
      <c r="S133" s="23" t="s">
        <v>477</v>
      </c>
      <c r="T133" s="23" t="s">
        <v>39</v>
      </c>
      <c r="U133" s="23" t="s">
        <v>39</v>
      </c>
      <c r="V133" s="22"/>
      <c r="W133" s="22"/>
      <c r="X133" s="22"/>
      <c r="Y133" s="22"/>
      <c r="Z133" s="22" t="s">
        <v>39</v>
      </c>
      <c r="AA133" s="22" t="s">
        <v>39</v>
      </c>
      <c r="AB133" s="1"/>
      <c r="AC133"/>
      <c r="AD133"/>
      <c r="AE133"/>
      <c r="AF133"/>
      <c r="AG133"/>
    </row>
    <row r="134" spans="1:33" ht="72" customHeight="1" x14ac:dyDescent="0.25">
      <c r="A134" s="17">
        <v>9758624</v>
      </c>
      <c r="B134" s="30">
        <v>1</v>
      </c>
      <c r="C134" s="17" t="s">
        <v>333</v>
      </c>
      <c r="D134" s="31" t="s">
        <v>152</v>
      </c>
      <c r="E134" s="32">
        <v>42668</v>
      </c>
      <c r="F134" s="33">
        <v>42668</v>
      </c>
      <c r="G134" s="32">
        <v>42668</v>
      </c>
      <c r="H134" s="22" t="s">
        <v>108</v>
      </c>
      <c r="I134" s="23" t="s">
        <v>371</v>
      </c>
      <c r="J134" s="23" t="s">
        <v>39</v>
      </c>
      <c r="K134" s="22"/>
      <c r="L134" s="23" t="s">
        <v>39</v>
      </c>
      <c r="M134" s="23" t="s">
        <v>39</v>
      </c>
      <c r="N134" s="22"/>
      <c r="O134" s="22"/>
      <c r="P134" s="22"/>
      <c r="Q134" s="22"/>
      <c r="R134" s="23" t="s">
        <v>477</v>
      </c>
      <c r="S134" s="23">
        <v>20114972</v>
      </c>
      <c r="T134" s="23" t="s">
        <v>294</v>
      </c>
      <c r="U134" s="23" t="s">
        <v>551</v>
      </c>
      <c r="V134" s="22"/>
      <c r="W134" s="22"/>
      <c r="X134" s="22"/>
      <c r="Y134" s="22"/>
      <c r="Z134" s="22" t="s">
        <v>39</v>
      </c>
      <c r="AA134" s="22" t="s">
        <v>39</v>
      </c>
      <c r="AB134" s="1"/>
      <c r="AC134"/>
      <c r="AD134"/>
      <c r="AE134"/>
      <c r="AF134"/>
      <c r="AG134"/>
    </row>
    <row r="135" spans="1:33" ht="72" customHeight="1" x14ac:dyDescent="0.25">
      <c r="A135" s="17">
        <v>9758626</v>
      </c>
      <c r="B135" s="30">
        <v>2</v>
      </c>
      <c r="C135" s="17" t="s">
        <v>193</v>
      </c>
      <c r="D135" s="31" t="s">
        <v>191</v>
      </c>
      <c r="E135" s="32">
        <v>42668</v>
      </c>
      <c r="F135" s="33">
        <v>42668</v>
      </c>
      <c r="G135" s="32">
        <v>42668</v>
      </c>
      <c r="H135" s="22" t="s">
        <v>108</v>
      </c>
      <c r="I135" s="23" t="s">
        <v>626</v>
      </c>
      <c r="J135" s="23" t="s">
        <v>39</v>
      </c>
      <c r="K135" s="22"/>
      <c r="L135" s="23" t="s">
        <v>39</v>
      </c>
      <c r="M135" s="23" t="s">
        <v>39</v>
      </c>
      <c r="N135" s="22"/>
      <c r="O135" s="22"/>
      <c r="P135" s="22"/>
      <c r="Q135" s="22"/>
      <c r="R135" s="23" t="s">
        <v>625</v>
      </c>
      <c r="S135" s="23" t="s">
        <v>39</v>
      </c>
      <c r="T135" s="23" t="s">
        <v>39</v>
      </c>
      <c r="U135" s="23" t="s">
        <v>657</v>
      </c>
      <c r="V135" s="22"/>
      <c r="W135" s="22"/>
      <c r="X135" s="22"/>
      <c r="Y135" s="22"/>
      <c r="Z135" s="22" t="s">
        <v>39</v>
      </c>
      <c r="AA135" s="22" t="s">
        <v>39</v>
      </c>
      <c r="AB135" s="1"/>
      <c r="AC135"/>
      <c r="AD135"/>
      <c r="AE135"/>
      <c r="AF135"/>
      <c r="AG135"/>
    </row>
    <row r="136" spans="1:33" ht="72" customHeight="1" x14ac:dyDescent="0.25">
      <c r="A136" s="17">
        <v>9758629</v>
      </c>
      <c r="B136" s="30">
        <v>1</v>
      </c>
      <c r="C136" s="17" t="s">
        <v>139</v>
      </c>
      <c r="D136" s="31" t="s">
        <v>13</v>
      </c>
      <c r="E136" s="32">
        <v>42668</v>
      </c>
      <c r="F136" s="33">
        <v>42668</v>
      </c>
      <c r="G136" s="32">
        <v>42668</v>
      </c>
      <c r="H136" s="22" t="s">
        <v>104</v>
      </c>
      <c r="I136" s="23" t="s">
        <v>39</v>
      </c>
      <c r="J136" s="23" t="s">
        <v>39</v>
      </c>
      <c r="K136" s="22"/>
      <c r="L136" s="23" t="s">
        <v>39</v>
      </c>
      <c r="M136" s="23" t="s">
        <v>39</v>
      </c>
      <c r="N136" s="22"/>
      <c r="O136" s="22"/>
      <c r="P136" s="22"/>
      <c r="Q136" s="22"/>
      <c r="R136" s="23" t="s">
        <v>477</v>
      </c>
      <c r="S136" s="23" t="s">
        <v>477</v>
      </c>
      <c r="T136" s="23" t="s">
        <v>39</v>
      </c>
      <c r="U136" s="23" t="s">
        <v>39</v>
      </c>
      <c r="V136" s="22"/>
      <c r="W136" s="22"/>
      <c r="X136" s="22"/>
      <c r="Y136" s="22"/>
      <c r="Z136" s="22" t="s">
        <v>39</v>
      </c>
      <c r="AA136" s="22" t="s">
        <v>39</v>
      </c>
      <c r="AB136" s="1"/>
      <c r="AC136"/>
      <c r="AD136"/>
      <c r="AE136"/>
      <c r="AF136"/>
      <c r="AG136"/>
    </row>
    <row r="137" spans="1:33" ht="72" customHeight="1" x14ac:dyDescent="0.25">
      <c r="A137" s="17">
        <v>9758634</v>
      </c>
      <c r="B137" s="30">
        <v>2</v>
      </c>
      <c r="C137" s="17" t="s">
        <v>347</v>
      </c>
      <c r="D137" s="31" t="s">
        <v>12</v>
      </c>
      <c r="E137" s="32">
        <v>42668</v>
      </c>
      <c r="F137" s="33">
        <v>42668</v>
      </c>
      <c r="G137" s="32">
        <v>42668</v>
      </c>
      <c r="H137" s="22" t="s">
        <v>108</v>
      </c>
      <c r="I137" s="23" t="s">
        <v>367</v>
      </c>
      <c r="J137" s="23" t="s">
        <v>39</v>
      </c>
      <c r="K137" s="22"/>
      <c r="L137" s="23" t="s">
        <v>39</v>
      </c>
      <c r="M137" s="23" t="s">
        <v>39</v>
      </c>
      <c r="N137" s="22"/>
      <c r="O137" s="22"/>
      <c r="P137" s="22"/>
      <c r="Q137" s="22"/>
      <c r="R137" s="23" t="s">
        <v>625</v>
      </c>
      <c r="S137" s="23" t="s">
        <v>39</v>
      </c>
      <c r="T137" s="23" t="s">
        <v>39</v>
      </c>
      <c r="U137" s="23" t="s">
        <v>713</v>
      </c>
      <c r="V137" s="22"/>
      <c r="W137" s="22"/>
      <c r="X137" s="22"/>
      <c r="Y137" s="22"/>
      <c r="Z137" s="22" t="s">
        <v>39</v>
      </c>
      <c r="AA137" s="22" t="s">
        <v>39</v>
      </c>
      <c r="AB137" s="1"/>
      <c r="AC137"/>
      <c r="AD137"/>
      <c r="AE137"/>
      <c r="AF137"/>
      <c r="AG137"/>
    </row>
    <row r="138" spans="1:33" ht="72" customHeight="1" x14ac:dyDescent="0.25">
      <c r="A138" s="17">
        <v>9758641</v>
      </c>
      <c r="B138" s="30">
        <v>2</v>
      </c>
      <c r="C138" s="17" t="s">
        <v>359</v>
      </c>
      <c r="D138" s="31" t="s">
        <v>147</v>
      </c>
      <c r="E138" s="32">
        <v>42668</v>
      </c>
      <c r="F138" s="33">
        <v>42668</v>
      </c>
      <c r="G138" s="32">
        <v>42668</v>
      </c>
      <c r="H138" s="22" t="s">
        <v>104</v>
      </c>
      <c r="I138" s="23" t="s">
        <v>39</v>
      </c>
      <c r="J138" s="23" t="s">
        <v>39</v>
      </c>
      <c r="K138" s="22"/>
      <c r="L138" s="23" t="s">
        <v>39</v>
      </c>
      <c r="M138" s="23" t="s">
        <v>39</v>
      </c>
      <c r="N138" s="22"/>
      <c r="O138" s="22"/>
      <c r="P138" s="22"/>
      <c r="Q138" s="22"/>
      <c r="R138" s="23" t="s">
        <v>628</v>
      </c>
      <c r="S138" s="23" t="s">
        <v>629</v>
      </c>
      <c r="T138" s="23" t="s">
        <v>131</v>
      </c>
      <c r="U138" s="23" t="s">
        <v>39</v>
      </c>
      <c r="V138" s="22"/>
      <c r="W138" s="22"/>
      <c r="X138" s="22"/>
      <c r="Y138" s="22"/>
      <c r="Z138" s="22" t="s">
        <v>39</v>
      </c>
      <c r="AA138" s="22" t="s">
        <v>39</v>
      </c>
      <c r="AB138" s="1"/>
      <c r="AC138"/>
      <c r="AD138"/>
      <c r="AE138"/>
      <c r="AF138"/>
      <c r="AG138"/>
    </row>
    <row r="139" spans="1:33" ht="72" customHeight="1" x14ac:dyDescent="0.25">
      <c r="A139" s="17">
        <v>9758647</v>
      </c>
      <c r="B139" s="30">
        <v>2</v>
      </c>
      <c r="C139" s="17" t="s">
        <v>348</v>
      </c>
      <c r="D139" s="31" t="s">
        <v>153</v>
      </c>
      <c r="E139" s="32">
        <v>42668</v>
      </c>
      <c r="F139" s="33">
        <v>42668</v>
      </c>
      <c r="G139" s="32">
        <v>42668</v>
      </c>
      <c r="H139" s="22" t="s">
        <v>112</v>
      </c>
      <c r="I139" s="23" t="s">
        <v>371</v>
      </c>
      <c r="J139" s="23" t="s">
        <v>39</v>
      </c>
      <c r="K139" s="22"/>
      <c r="L139" s="23" t="s">
        <v>39</v>
      </c>
      <c r="M139" s="23" t="s">
        <v>39</v>
      </c>
      <c r="N139" s="22"/>
      <c r="O139" s="22"/>
      <c r="P139" s="22"/>
      <c r="Q139" s="22"/>
      <c r="R139" s="23" t="s">
        <v>477</v>
      </c>
      <c r="S139" s="23" t="s">
        <v>477</v>
      </c>
      <c r="T139" s="23" t="s">
        <v>39</v>
      </c>
      <c r="U139" s="23" t="s">
        <v>39</v>
      </c>
      <c r="V139" s="22"/>
      <c r="W139" s="22"/>
      <c r="X139" s="22"/>
      <c r="Y139" s="22"/>
      <c r="Z139" s="22" t="s">
        <v>39</v>
      </c>
      <c r="AA139" s="22" t="s">
        <v>39</v>
      </c>
      <c r="AB139" s="1"/>
      <c r="AC139"/>
      <c r="AD139"/>
      <c r="AE139"/>
      <c r="AF139"/>
      <c r="AG139"/>
    </row>
    <row r="140" spans="1:33" ht="72" customHeight="1" x14ac:dyDescent="0.25">
      <c r="A140" s="17">
        <v>9758656</v>
      </c>
      <c r="B140" s="30">
        <v>1</v>
      </c>
      <c r="C140" s="17" t="s">
        <v>363</v>
      </c>
      <c r="D140" s="31" t="s">
        <v>52</v>
      </c>
      <c r="E140" s="32">
        <v>42668</v>
      </c>
      <c r="F140" s="33">
        <v>42668</v>
      </c>
      <c r="G140" s="32">
        <v>42668</v>
      </c>
      <c r="H140" s="22" t="s">
        <v>108</v>
      </c>
      <c r="I140" s="23" t="s">
        <v>370</v>
      </c>
      <c r="J140" s="23" t="s">
        <v>39</v>
      </c>
      <c r="K140" s="22"/>
      <c r="L140" s="23" t="s">
        <v>39</v>
      </c>
      <c r="M140" s="23" t="s">
        <v>39</v>
      </c>
      <c r="N140" s="22"/>
      <c r="O140" s="22"/>
      <c r="P140" s="22"/>
      <c r="Q140" s="22"/>
      <c r="R140" s="23" t="s">
        <v>625</v>
      </c>
      <c r="S140" s="23" t="s">
        <v>39</v>
      </c>
      <c r="T140" s="23" t="s">
        <v>39</v>
      </c>
      <c r="U140" s="23" t="s">
        <v>745</v>
      </c>
      <c r="V140" s="22"/>
      <c r="W140" s="22"/>
      <c r="X140" s="22"/>
      <c r="Y140" s="22"/>
      <c r="Z140" s="22" t="s">
        <v>39</v>
      </c>
      <c r="AA140" s="22" t="s">
        <v>39</v>
      </c>
      <c r="AB140" s="1"/>
      <c r="AC140"/>
      <c r="AD140"/>
      <c r="AE140"/>
      <c r="AF140"/>
      <c r="AG140"/>
    </row>
    <row r="141" spans="1:33" ht="72" customHeight="1" x14ac:dyDescent="0.25">
      <c r="A141" s="17">
        <v>9758690</v>
      </c>
      <c r="B141" s="30">
        <v>3</v>
      </c>
      <c r="C141" s="17" t="s">
        <v>361</v>
      </c>
      <c r="D141" s="31" t="s">
        <v>10</v>
      </c>
      <c r="E141" s="32">
        <v>42668</v>
      </c>
      <c r="F141" s="33">
        <v>42668</v>
      </c>
      <c r="G141" s="32">
        <v>42668</v>
      </c>
      <c r="H141" s="22" t="s">
        <v>112</v>
      </c>
      <c r="I141" s="23" t="s">
        <v>295</v>
      </c>
      <c r="J141" s="23" t="s">
        <v>39</v>
      </c>
      <c r="K141" s="22"/>
      <c r="L141" s="23" t="s">
        <v>39</v>
      </c>
      <c r="M141" s="23" t="s">
        <v>39</v>
      </c>
      <c r="N141" s="22"/>
      <c r="O141" s="22"/>
      <c r="P141" s="22"/>
      <c r="Q141" s="22"/>
      <c r="R141" s="23" t="s">
        <v>682</v>
      </c>
      <c r="S141" s="23" t="s">
        <v>682</v>
      </c>
      <c r="T141" s="23" t="s">
        <v>39</v>
      </c>
      <c r="U141" s="23" t="s">
        <v>39</v>
      </c>
      <c r="V141" s="22"/>
      <c r="W141" s="22"/>
      <c r="X141" s="22"/>
      <c r="Y141" s="22"/>
      <c r="Z141" s="22" t="s">
        <v>39</v>
      </c>
      <c r="AA141" s="22" t="s">
        <v>39</v>
      </c>
      <c r="AB141" s="1"/>
      <c r="AC141"/>
      <c r="AD141"/>
      <c r="AE141"/>
      <c r="AF141"/>
      <c r="AG141"/>
    </row>
    <row r="142" spans="1:33" ht="72" customHeight="1" x14ac:dyDescent="0.25">
      <c r="A142" s="17">
        <v>9758712</v>
      </c>
      <c r="B142" s="30">
        <v>2</v>
      </c>
      <c r="C142" s="17" t="s">
        <v>355</v>
      </c>
      <c r="D142" s="31" t="s">
        <v>207</v>
      </c>
      <c r="E142" s="32">
        <v>42668</v>
      </c>
      <c r="F142" s="33">
        <v>42668</v>
      </c>
      <c r="G142" s="32">
        <v>42668</v>
      </c>
      <c r="H142" s="22" t="s">
        <v>104</v>
      </c>
      <c r="I142" s="23" t="s">
        <v>39</v>
      </c>
      <c r="J142" s="23" t="s">
        <v>39</v>
      </c>
      <c r="K142" s="22"/>
      <c r="L142" s="23" t="s">
        <v>39</v>
      </c>
      <c r="M142" s="23" t="s">
        <v>39</v>
      </c>
      <c r="N142" s="22"/>
      <c r="O142" s="22"/>
      <c r="P142" s="22"/>
      <c r="Q142" s="22"/>
      <c r="R142" s="23" t="s">
        <v>477</v>
      </c>
      <c r="S142" s="23" t="s">
        <v>477</v>
      </c>
      <c r="T142" s="23" t="s">
        <v>39</v>
      </c>
      <c r="U142" s="23" t="s">
        <v>39</v>
      </c>
      <c r="V142" s="22"/>
      <c r="W142" s="22"/>
      <c r="X142" s="22"/>
      <c r="Y142" s="22"/>
      <c r="Z142" s="22" t="s">
        <v>39</v>
      </c>
      <c r="AA142" s="22" t="s">
        <v>39</v>
      </c>
      <c r="AB142" s="1"/>
      <c r="AC142"/>
      <c r="AD142"/>
      <c r="AE142"/>
      <c r="AF142"/>
      <c r="AG142"/>
    </row>
    <row r="143" spans="1:33" ht="72" customHeight="1" x14ac:dyDescent="0.25">
      <c r="A143" s="17">
        <v>9758724</v>
      </c>
      <c r="B143" s="30">
        <v>1</v>
      </c>
      <c r="C143" s="17" t="s">
        <v>343</v>
      </c>
      <c r="D143" s="31" t="s">
        <v>344</v>
      </c>
      <c r="E143" s="32">
        <v>42668</v>
      </c>
      <c r="F143" s="33">
        <v>42668</v>
      </c>
      <c r="G143" s="32">
        <v>42668</v>
      </c>
      <c r="H143" s="22" t="s">
        <v>104</v>
      </c>
      <c r="I143" s="23" t="s">
        <v>39</v>
      </c>
      <c r="J143" s="23" t="s">
        <v>39</v>
      </c>
      <c r="K143" s="22"/>
      <c r="L143" s="23" t="s">
        <v>39</v>
      </c>
      <c r="M143" s="23" t="s">
        <v>39</v>
      </c>
      <c r="N143" s="22"/>
      <c r="O143" s="22"/>
      <c r="P143" s="22"/>
      <c r="Q143" s="22"/>
      <c r="R143" s="23" t="s">
        <v>630</v>
      </c>
      <c r="S143" s="23" t="s">
        <v>631</v>
      </c>
      <c r="T143" s="23" t="s">
        <v>131</v>
      </c>
      <c r="U143" s="23" t="s">
        <v>39</v>
      </c>
      <c r="V143" s="22"/>
      <c r="W143" s="22"/>
      <c r="X143" s="22"/>
      <c r="Y143" s="22"/>
      <c r="Z143" s="22" t="s">
        <v>39</v>
      </c>
      <c r="AA143" s="22" t="s">
        <v>39</v>
      </c>
      <c r="AB143" s="1"/>
      <c r="AC143"/>
      <c r="AD143"/>
      <c r="AE143"/>
      <c r="AF143"/>
      <c r="AG143"/>
    </row>
    <row r="144" spans="1:33" ht="72" customHeight="1" x14ac:dyDescent="0.25">
      <c r="A144" s="17">
        <v>9758758</v>
      </c>
      <c r="B144" s="30">
        <v>11</v>
      </c>
      <c r="C144" s="17" t="s">
        <v>345</v>
      </c>
      <c r="D144" s="31" t="s">
        <v>344</v>
      </c>
      <c r="E144" s="32">
        <v>42668</v>
      </c>
      <c r="F144" s="33">
        <v>42668</v>
      </c>
      <c r="G144" s="32">
        <v>42668</v>
      </c>
      <c r="H144" s="22" t="s">
        <v>112</v>
      </c>
      <c r="I144" s="23" t="s">
        <v>395</v>
      </c>
      <c r="J144" s="23" t="s">
        <v>39</v>
      </c>
      <c r="K144" s="22"/>
      <c r="L144" s="23" t="s">
        <v>39</v>
      </c>
      <c r="M144" s="23" t="s">
        <v>632</v>
      </c>
      <c r="N144" s="22"/>
      <c r="O144" s="22"/>
      <c r="P144" s="22"/>
      <c r="Q144" s="22"/>
      <c r="R144" s="23" t="s">
        <v>633</v>
      </c>
      <c r="S144" s="23" t="s">
        <v>633</v>
      </c>
      <c r="T144" s="23" t="s">
        <v>39</v>
      </c>
      <c r="U144" s="23" t="s">
        <v>39</v>
      </c>
      <c r="V144" s="22"/>
      <c r="W144" s="22"/>
      <c r="X144" s="22"/>
      <c r="Y144" s="22"/>
      <c r="Z144" s="22" t="s">
        <v>39</v>
      </c>
      <c r="AA144" s="22" t="s">
        <v>39</v>
      </c>
      <c r="AB144" s="1"/>
      <c r="AC144"/>
      <c r="AD144"/>
      <c r="AE144"/>
      <c r="AF144"/>
      <c r="AG144"/>
    </row>
    <row r="145" spans="1:33" ht="72" customHeight="1" x14ac:dyDescent="0.25">
      <c r="A145" s="17">
        <v>9758759</v>
      </c>
      <c r="B145" s="30">
        <v>17</v>
      </c>
      <c r="C145" s="17" t="s">
        <v>360</v>
      </c>
      <c r="D145" s="31" t="s">
        <v>89</v>
      </c>
      <c r="E145" s="32">
        <v>42668</v>
      </c>
      <c r="F145" s="33">
        <v>42668</v>
      </c>
      <c r="G145" s="32">
        <v>42668</v>
      </c>
      <c r="H145" s="22" t="s">
        <v>108</v>
      </c>
      <c r="I145" s="23" t="s">
        <v>395</v>
      </c>
      <c r="J145" s="23" t="s">
        <v>39</v>
      </c>
      <c r="K145" s="22"/>
      <c r="L145" s="23" t="s">
        <v>39</v>
      </c>
      <c r="M145" s="23" t="s">
        <v>39</v>
      </c>
      <c r="N145" s="22"/>
      <c r="O145" s="22"/>
      <c r="P145" s="22"/>
      <c r="Q145" s="22"/>
      <c r="R145" s="23" t="s">
        <v>477</v>
      </c>
      <c r="S145" s="23" t="s">
        <v>477</v>
      </c>
      <c r="T145" s="23" t="s">
        <v>39</v>
      </c>
      <c r="U145" s="23" t="s">
        <v>708</v>
      </c>
      <c r="V145" s="22"/>
      <c r="W145" s="22"/>
      <c r="X145" s="22"/>
      <c r="Y145" s="22"/>
      <c r="Z145" s="22" t="s">
        <v>39</v>
      </c>
      <c r="AA145" s="22" t="s">
        <v>39</v>
      </c>
      <c r="AB145" s="1"/>
      <c r="AC145"/>
      <c r="AD145"/>
      <c r="AE145"/>
      <c r="AF145"/>
      <c r="AG145"/>
    </row>
    <row r="146" spans="1:33" ht="72" customHeight="1" x14ac:dyDescent="0.25">
      <c r="A146" s="17">
        <v>9758760</v>
      </c>
      <c r="B146" s="30">
        <v>6</v>
      </c>
      <c r="C146" s="17" t="s">
        <v>362</v>
      </c>
      <c r="D146" s="31" t="s">
        <v>153</v>
      </c>
      <c r="E146" s="32">
        <v>42668</v>
      </c>
      <c r="F146" s="33">
        <v>42668</v>
      </c>
      <c r="G146" s="32">
        <v>42668</v>
      </c>
      <c r="H146" s="22" t="s">
        <v>112</v>
      </c>
      <c r="I146" s="23" t="s">
        <v>395</v>
      </c>
      <c r="J146" s="23" t="s">
        <v>39</v>
      </c>
      <c r="K146" s="22"/>
      <c r="L146" s="23" t="s">
        <v>39</v>
      </c>
      <c r="M146" s="23" t="s">
        <v>39</v>
      </c>
      <c r="N146" s="22"/>
      <c r="O146" s="22"/>
      <c r="P146" s="22"/>
      <c r="Q146" s="22"/>
      <c r="R146" s="23" t="s">
        <v>477</v>
      </c>
      <c r="S146" s="23" t="s">
        <v>477</v>
      </c>
      <c r="T146" s="23" t="s">
        <v>39</v>
      </c>
      <c r="U146" s="23" t="s">
        <v>39</v>
      </c>
      <c r="V146" s="22"/>
      <c r="W146" s="22"/>
      <c r="X146" s="22"/>
      <c r="Y146" s="22"/>
      <c r="Z146" s="22" t="s">
        <v>39</v>
      </c>
      <c r="AA146" s="22" t="s">
        <v>39</v>
      </c>
      <c r="AB146" s="1"/>
      <c r="AC146"/>
      <c r="AD146"/>
      <c r="AE146"/>
      <c r="AF146"/>
      <c r="AG146"/>
    </row>
    <row r="147" spans="1:33" ht="72" customHeight="1" x14ac:dyDescent="0.25">
      <c r="A147" s="17">
        <v>9758783</v>
      </c>
      <c r="B147" s="30">
        <v>1</v>
      </c>
      <c r="C147" s="17" t="s">
        <v>381</v>
      </c>
      <c r="D147" s="31" t="s">
        <v>11</v>
      </c>
      <c r="E147" s="32">
        <v>42668</v>
      </c>
      <c r="F147" s="33">
        <v>42668</v>
      </c>
      <c r="G147" s="32">
        <v>42668</v>
      </c>
      <c r="H147" s="22" t="s">
        <v>108</v>
      </c>
      <c r="I147" s="23" t="s">
        <v>370</v>
      </c>
      <c r="J147" s="23" t="s">
        <v>39</v>
      </c>
      <c r="K147" s="22"/>
      <c r="L147" s="23" t="s">
        <v>39</v>
      </c>
      <c r="M147" s="23" t="s">
        <v>39</v>
      </c>
      <c r="N147" s="22"/>
      <c r="O147" s="22"/>
      <c r="P147" s="22"/>
      <c r="Q147" s="22"/>
      <c r="R147" s="23" t="s">
        <v>625</v>
      </c>
      <c r="S147" s="23" t="s">
        <v>39</v>
      </c>
      <c r="T147" s="23" t="s">
        <v>39</v>
      </c>
      <c r="U147" s="23" t="s">
        <v>710</v>
      </c>
      <c r="V147" s="22"/>
      <c r="W147" s="22"/>
      <c r="X147" s="22"/>
      <c r="Y147" s="22"/>
      <c r="Z147" s="22" t="s">
        <v>39</v>
      </c>
      <c r="AA147" s="22" t="s">
        <v>39</v>
      </c>
      <c r="AB147" s="1"/>
      <c r="AC147"/>
      <c r="AD147"/>
      <c r="AE147"/>
      <c r="AF147"/>
      <c r="AG147"/>
    </row>
    <row r="148" spans="1:33" ht="72" customHeight="1" x14ac:dyDescent="0.25">
      <c r="A148" s="17">
        <v>9758784</v>
      </c>
      <c r="B148" s="30">
        <v>1</v>
      </c>
      <c r="C148" s="17" t="s">
        <v>375</v>
      </c>
      <c r="D148" s="31" t="s">
        <v>20</v>
      </c>
      <c r="E148" s="32">
        <v>42668</v>
      </c>
      <c r="F148" s="33">
        <v>42668</v>
      </c>
      <c r="G148" s="32">
        <v>42668</v>
      </c>
      <c r="H148" s="22" t="s">
        <v>108</v>
      </c>
      <c r="I148" s="23" t="s">
        <v>367</v>
      </c>
      <c r="J148" s="23" t="s">
        <v>39</v>
      </c>
      <c r="K148" s="22"/>
      <c r="L148" s="23" t="s">
        <v>39</v>
      </c>
      <c r="M148" s="23" t="s">
        <v>39</v>
      </c>
      <c r="N148" s="22"/>
      <c r="O148" s="22"/>
      <c r="P148" s="22"/>
      <c r="Q148" s="22"/>
      <c r="R148" s="23" t="s">
        <v>477</v>
      </c>
      <c r="S148" s="23">
        <v>20118636</v>
      </c>
      <c r="T148" s="23" t="s">
        <v>294</v>
      </c>
      <c r="U148" s="23" t="s">
        <v>510</v>
      </c>
      <c r="V148" s="22"/>
      <c r="W148" s="22"/>
      <c r="X148" s="22"/>
      <c r="Y148" s="22"/>
      <c r="Z148" s="22" t="s">
        <v>39</v>
      </c>
      <c r="AA148" s="22" t="s">
        <v>39</v>
      </c>
      <c r="AB148" s="1"/>
      <c r="AC148"/>
      <c r="AD148"/>
      <c r="AE148"/>
      <c r="AF148"/>
      <c r="AG148"/>
    </row>
    <row r="149" spans="1:33" ht="72" customHeight="1" x14ac:dyDescent="0.25">
      <c r="A149" s="17">
        <v>9758785</v>
      </c>
      <c r="B149" s="30">
        <v>1</v>
      </c>
      <c r="C149" s="17" t="s">
        <v>246</v>
      </c>
      <c r="D149" s="31" t="s">
        <v>20</v>
      </c>
      <c r="E149" s="32">
        <v>42668</v>
      </c>
      <c r="F149" s="33">
        <v>42668</v>
      </c>
      <c r="G149" s="32">
        <v>42668</v>
      </c>
      <c r="H149" s="22" t="s">
        <v>95</v>
      </c>
      <c r="I149" s="23" t="s">
        <v>370</v>
      </c>
      <c r="J149" s="23" t="s">
        <v>39</v>
      </c>
      <c r="K149" s="22"/>
      <c r="L149" s="23" t="s">
        <v>688</v>
      </c>
      <c r="M149" s="23" t="s">
        <v>726</v>
      </c>
      <c r="N149" s="22"/>
      <c r="O149" s="22"/>
      <c r="P149" s="22"/>
      <c r="Q149" s="22"/>
      <c r="R149" s="23" t="s">
        <v>625</v>
      </c>
      <c r="S149" s="23" t="s">
        <v>39</v>
      </c>
      <c r="T149" s="23" t="s">
        <v>39</v>
      </c>
      <c r="U149" s="23" t="s">
        <v>39</v>
      </c>
      <c r="V149" s="22"/>
      <c r="W149" s="22"/>
      <c r="X149" s="22"/>
      <c r="Y149" s="22"/>
      <c r="Z149" s="22" t="s">
        <v>39</v>
      </c>
      <c r="AA149" s="22" t="s">
        <v>39</v>
      </c>
      <c r="AB149" s="1"/>
      <c r="AC149"/>
      <c r="AD149"/>
      <c r="AE149"/>
      <c r="AF149"/>
      <c r="AG149"/>
    </row>
    <row r="150" spans="1:33" ht="72" customHeight="1" x14ac:dyDescent="0.25">
      <c r="A150" s="17">
        <v>9758786</v>
      </c>
      <c r="B150" s="30">
        <v>1</v>
      </c>
      <c r="C150" s="17" t="s">
        <v>166</v>
      </c>
      <c r="D150" s="31" t="s">
        <v>165</v>
      </c>
      <c r="E150" s="32">
        <v>42668</v>
      </c>
      <c r="F150" s="33">
        <v>42668</v>
      </c>
      <c r="G150" s="32">
        <v>42668</v>
      </c>
      <c r="H150" s="22" t="s">
        <v>112</v>
      </c>
      <c r="I150" s="23" t="s">
        <v>626</v>
      </c>
      <c r="J150" s="23" t="s">
        <v>39</v>
      </c>
      <c r="K150" s="22"/>
      <c r="L150" s="23" t="s">
        <v>39</v>
      </c>
      <c r="M150" s="23" t="s">
        <v>39</v>
      </c>
      <c r="N150" s="22"/>
      <c r="O150" s="22"/>
      <c r="P150" s="22"/>
      <c r="Q150" s="22"/>
      <c r="R150" s="23" t="s">
        <v>625</v>
      </c>
      <c r="S150" s="23" t="s">
        <v>39</v>
      </c>
      <c r="T150" s="23" t="s">
        <v>39</v>
      </c>
      <c r="U150" s="23" t="s">
        <v>39</v>
      </c>
      <c r="V150" s="22"/>
      <c r="W150" s="22"/>
      <c r="X150" s="22"/>
      <c r="Y150" s="22"/>
      <c r="Z150" s="22" t="s">
        <v>39</v>
      </c>
      <c r="AA150" s="22" t="s">
        <v>39</v>
      </c>
      <c r="AB150" s="1"/>
      <c r="AC150"/>
      <c r="AD150"/>
      <c r="AE150"/>
      <c r="AF150"/>
      <c r="AG150"/>
    </row>
    <row r="151" spans="1:33" ht="72" customHeight="1" x14ac:dyDescent="0.25">
      <c r="A151" s="17">
        <v>9758787</v>
      </c>
      <c r="B151" s="30">
        <v>1</v>
      </c>
      <c r="C151" s="17" t="s">
        <v>331</v>
      </c>
      <c r="D151" s="31" t="s">
        <v>251</v>
      </c>
      <c r="E151" s="32">
        <v>42668</v>
      </c>
      <c r="F151" s="33">
        <v>42668</v>
      </c>
      <c r="G151" s="32">
        <v>42668</v>
      </c>
      <c r="H151" s="22" t="s">
        <v>108</v>
      </c>
      <c r="I151" s="23" t="s">
        <v>370</v>
      </c>
      <c r="J151" s="23" t="s">
        <v>39</v>
      </c>
      <c r="K151" s="22"/>
      <c r="L151" s="23" t="s">
        <v>39</v>
      </c>
      <c r="M151" s="23" t="s">
        <v>39</v>
      </c>
      <c r="N151" s="22"/>
      <c r="O151" s="22"/>
      <c r="P151" s="22"/>
      <c r="Q151" s="22"/>
      <c r="R151" s="23" t="s">
        <v>625</v>
      </c>
      <c r="S151" s="23" t="s">
        <v>39</v>
      </c>
      <c r="T151" s="23" t="s">
        <v>39</v>
      </c>
      <c r="U151" s="23" t="s">
        <v>717</v>
      </c>
      <c r="V151" s="22"/>
      <c r="W151" s="22"/>
      <c r="X151" s="22"/>
      <c r="Y151" s="22"/>
      <c r="Z151" s="22" t="s">
        <v>39</v>
      </c>
      <c r="AA151" s="22" t="s">
        <v>39</v>
      </c>
      <c r="AB151" s="1"/>
      <c r="AC151"/>
      <c r="AD151"/>
      <c r="AE151"/>
      <c r="AF151"/>
      <c r="AG151"/>
    </row>
    <row r="152" spans="1:33" ht="72" customHeight="1" x14ac:dyDescent="0.25">
      <c r="A152" s="17">
        <v>9758793</v>
      </c>
      <c r="B152" s="30">
        <v>1</v>
      </c>
      <c r="C152" s="17" t="s">
        <v>389</v>
      </c>
      <c r="D152" s="31" t="s">
        <v>25</v>
      </c>
      <c r="E152" s="32">
        <v>42668</v>
      </c>
      <c r="F152" s="33">
        <v>42668</v>
      </c>
      <c r="G152" s="32">
        <v>42668</v>
      </c>
      <c r="H152" s="22" t="s">
        <v>95</v>
      </c>
      <c r="I152" s="23" t="s">
        <v>467</v>
      </c>
      <c r="J152" s="23" t="s">
        <v>39</v>
      </c>
      <c r="K152" s="22"/>
      <c r="L152" s="23" t="s">
        <v>263</v>
      </c>
      <c r="M152" s="23" t="s">
        <v>728</v>
      </c>
      <c r="N152" s="22"/>
      <c r="O152" s="22"/>
      <c r="P152" s="22"/>
      <c r="Q152" s="22"/>
      <c r="R152" s="23" t="s">
        <v>477</v>
      </c>
      <c r="S152" s="23" t="s">
        <v>477</v>
      </c>
      <c r="T152" s="23" t="s">
        <v>39</v>
      </c>
      <c r="U152" s="23" t="s">
        <v>39</v>
      </c>
      <c r="V152" s="22"/>
      <c r="W152" s="22"/>
      <c r="X152" s="22"/>
      <c r="Y152" s="22"/>
      <c r="Z152" s="22" t="s">
        <v>39</v>
      </c>
      <c r="AA152" s="22" t="s">
        <v>39</v>
      </c>
      <c r="AB152" s="1"/>
      <c r="AC152"/>
      <c r="AD152"/>
      <c r="AE152"/>
      <c r="AF152"/>
      <c r="AG152"/>
    </row>
    <row r="153" spans="1:33" ht="72" customHeight="1" x14ac:dyDescent="0.25">
      <c r="A153" s="17">
        <v>9758795</v>
      </c>
      <c r="B153" s="30">
        <v>1</v>
      </c>
      <c r="C153" s="17" t="s">
        <v>390</v>
      </c>
      <c r="D153" s="31" t="s">
        <v>25</v>
      </c>
      <c r="E153" s="32">
        <v>42668</v>
      </c>
      <c r="F153" s="33">
        <v>42668</v>
      </c>
      <c r="G153" s="32">
        <v>42668</v>
      </c>
      <c r="H153" s="22" t="s">
        <v>112</v>
      </c>
      <c r="I153" s="23" t="s">
        <v>467</v>
      </c>
      <c r="J153" s="23" t="s">
        <v>39</v>
      </c>
      <c r="K153" s="22"/>
      <c r="L153" s="23" t="s">
        <v>39</v>
      </c>
      <c r="M153" s="23" t="s">
        <v>39</v>
      </c>
      <c r="N153" s="22"/>
      <c r="O153" s="22"/>
      <c r="P153" s="22"/>
      <c r="Q153" s="22"/>
      <c r="R153" s="23" t="s">
        <v>477</v>
      </c>
      <c r="S153" s="23" t="s">
        <v>477</v>
      </c>
      <c r="T153" s="23" t="s">
        <v>39</v>
      </c>
      <c r="U153" s="23" t="s">
        <v>39</v>
      </c>
      <c r="V153" s="22"/>
      <c r="W153" s="22"/>
      <c r="X153" s="22"/>
      <c r="Y153" s="22"/>
      <c r="Z153" s="22" t="s">
        <v>39</v>
      </c>
      <c r="AA153" s="22" t="s">
        <v>39</v>
      </c>
      <c r="AB153" s="1"/>
      <c r="AC153"/>
      <c r="AD153"/>
      <c r="AE153"/>
      <c r="AF153"/>
      <c r="AG153"/>
    </row>
    <row r="154" spans="1:33" ht="72" customHeight="1" x14ac:dyDescent="0.25">
      <c r="A154" s="17">
        <v>9758796</v>
      </c>
      <c r="B154" s="30">
        <v>3</v>
      </c>
      <c r="C154" s="17" t="s">
        <v>391</v>
      </c>
      <c r="D154" s="31" t="s">
        <v>25</v>
      </c>
      <c r="E154" s="32">
        <v>42668</v>
      </c>
      <c r="F154" s="33">
        <v>42668</v>
      </c>
      <c r="G154" s="32">
        <v>42668</v>
      </c>
      <c r="H154" s="22" t="s">
        <v>95</v>
      </c>
      <c r="I154" s="23" t="s">
        <v>467</v>
      </c>
      <c r="J154" s="23" t="s">
        <v>39</v>
      </c>
      <c r="K154" s="22"/>
      <c r="L154" s="23" t="s">
        <v>263</v>
      </c>
      <c r="M154" s="23" t="s">
        <v>728</v>
      </c>
      <c r="N154" s="22"/>
      <c r="O154" s="22"/>
      <c r="P154" s="22"/>
      <c r="Q154" s="22"/>
      <c r="R154" s="23" t="s">
        <v>477</v>
      </c>
      <c r="S154" s="23" t="s">
        <v>477</v>
      </c>
      <c r="T154" s="23" t="s">
        <v>39</v>
      </c>
      <c r="U154" s="23" t="s">
        <v>39</v>
      </c>
      <c r="V154" s="22"/>
      <c r="W154" s="22"/>
      <c r="X154" s="22"/>
      <c r="Y154" s="22"/>
      <c r="Z154" s="22" t="s">
        <v>39</v>
      </c>
      <c r="AA154" s="22" t="s">
        <v>39</v>
      </c>
      <c r="AB154" s="1"/>
      <c r="AC154"/>
      <c r="AD154"/>
      <c r="AE154"/>
      <c r="AF154"/>
      <c r="AG154"/>
    </row>
    <row r="155" spans="1:33" ht="72" customHeight="1" x14ac:dyDescent="0.25">
      <c r="A155" s="17">
        <v>9758811</v>
      </c>
      <c r="B155" s="30">
        <v>9</v>
      </c>
      <c r="C155" s="17" t="s">
        <v>374</v>
      </c>
      <c r="D155" s="31" t="s">
        <v>20</v>
      </c>
      <c r="E155" s="32">
        <v>42668</v>
      </c>
      <c r="F155" s="33">
        <v>42668</v>
      </c>
      <c r="G155" s="32">
        <v>42668</v>
      </c>
      <c r="H155" s="22" t="s">
        <v>112</v>
      </c>
      <c r="I155" s="23" t="s">
        <v>371</v>
      </c>
      <c r="J155" s="23" t="s">
        <v>39</v>
      </c>
      <c r="K155" s="22"/>
      <c r="L155" s="23" t="s">
        <v>39</v>
      </c>
      <c r="M155" s="23" t="s">
        <v>39</v>
      </c>
      <c r="N155" s="22"/>
      <c r="O155" s="22"/>
      <c r="P155" s="22"/>
      <c r="Q155" s="22"/>
      <c r="R155" s="23" t="s">
        <v>625</v>
      </c>
      <c r="S155" s="23" t="s">
        <v>39</v>
      </c>
      <c r="T155" s="23" t="s">
        <v>39</v>
      </c>
      <c r="U155" s="23" t="s">
        <v>39</v>
      </c>
      <c r="V155" s="22"/>
      <c r="W155" s="22"/>
      <c r="X155" s="22"/>
      <c r="Y155" s="22"/>
      <c r="Z155" s="22" t="s">
        <v>39</v>
      </c>
      <c r="AA155" s="22" t="s">
        <v>39</v>
      </c>
      <c r="AB155" s="1"/>
      <c r="AC155"/>
      <c r="AD155"/>
      <c r="AE155"/>
      <c r="AF155"/>
      <c r="AG155"/>
    </row>
    <row r="156" spans="1:33" ht="72" customHeight="1" x14ac:dyDescent="0.25">
      <c r="A156" s="17">
        <v>9758812</v>
      </c>
      <c r="B156" s="30">
        <v>1</v>
      </c>
      <c r="C156" s="17" t="s">
        <v>107</v>
      </c>
      <c r="D156" s="31" t="s">
        <v>14</v>
      </c>
      <c r="E156" s="32">
        <v>42668</v>
      </c>
      <c r="F156" s="33">
        <v>42668</v>
      </c>
      <c r="G156" s="32">
        <v>42668</v>
      </c>
      <c r="H156" s="22" t="s">
        <v>108</v>
      </c>
      <c r="I156" s="23" t="s">
        <v>467</v>
      </c>
      <c r="J156" s="23" t="s">
        <v>39</v>
      </c>
      <c r="K156" s="22"/>
      <c r="L156" s="23" t="s">
        <v>39</v>
      </c>
      <c r="M156" s="23" t="s">
        <v>39</v>
      </c>
      <c r="N156" s="22"/>
      <c r="O156" s="22"/>
      <c r="P156" s="22"/>
      <c r="Q156" s="22"/>
      <c r="R156" s="23" t="s">
        <v>477</v>
      </c>
      <c r="S156" s="23" t="s">
        <v>477</v>
      </c>
      <c r="T156" s="23" t="s">
        <v>39</v>
      </c>
      <c r="U156" s="23" t="s">
        <v>743</v>
      </c>
      <c r="V156" s="22"/>
      <c r="W156" s="22"/>
      <c r="X156" s="22"/>
      <c r="Y156" s="22"/>
      <c r="Z156" s="22" t="s">
        <v>39</v>
      </c>
      <c r="AA156" s="22" t="s">
        <v>39</v>
      </c>
      <c r="AB156" s="1"/>
      <c r="AC156"/>
      <c r="AD156"/>
      <c r="AE156"/>
      <c r="AF156"/>
      <c r="AG156"/>
    </row>
    <row r="157" spans="1:33" ht="72" customHeight="1" x14ac:dyDescent="0.25">
      <c r="A157" s="17">
        <v>9758863</v>
      </c>
      <c r="B157" s="30">
        <v>1</v>
      </c>
      <c r="C157" s="17" t="s">
        <v>208</v>
      </c>
      <c r="D157" s="31" t="s">
        <v>20</v>
      </c>
      <c r="E157" s="32">
        <v>42668</v>
      </c>
      <c r="F157" s="33">
        <v>42668</v>
      </c>
      <c r="G157" s="32">
        <v>42668</v>
      </c>
      <c r="H157" s="22" t="s">
        <v>108</v>
      </c>
      <c r="I157" s="23" t="s">
        <v>626</v>
      </c>
      <c r="J157" s="23" t="s">
        <v>39</v>
      </c>
      <c r="K157" s="22"/>
      <c r="L157" s="23" t="s">
        <v>39</v>
      </c>
      <c r="M157" s="23" t="s">
        <v>39</v>
      </c>
      <c r="N157" s="22"/>
      <c r="O157" s="22"/>
      <c r="P157" s="22"/>
      <c r="Q157" s="22"/>
      <c r="R157" s="23" t="s">
        <v>625</v>
      </c>
      <c r="S157" s="23" t="s">
        <v>39</v>
      </c>
      <c r="T157" s="23" t="s">
        <v>39</v>
      </c>
      <c r="U157" s="23" t="s">
        <v>691</v>
      </c>
      <c r="V157" s="22"/>
      <c r="W157" s="22"/>
      <c r="X157" s="22"/>
      <c r="Y157" s="22"/>
      <c r="Z157" s="22" t="s">
        <v>39</v>
      </c>
      <c r="AA157" s="22" t="s">
        <v>39</v>
      </c>
      <c r="AB157" s="1"/>
      <c r="AC157"/>
      <c r="AD157"/>
      <c r="AE157"/>
      <c r="AF157"/>
      <c r="AG157"/>
    </row>
    <row r="158" spans="1:33" ht="72" customHeight="1" x14ac:dyDescent="0.25">
      <c r="A158" s="17">
        <v>9758864</v>
      </c>
      <c r="B158" s="30">
        <v>1</v>
      </c>
      <c r="C158" s="17" t="s">
        <v>166</v>
      </c>
      <c r="D158" s="31" t="s">
        <v>165</v>
      </c>
      <c r="E158" s="32">
        <v>42668</v>
      </c>
      <c r="F158" s="33">
        <v>42668</v>
      </c>
      <c r="G158" s="32">
        <v>42668</v>
      </c>
      <c r="H158" s="22" t="s">
        <v>112</v>
      </c>
      <c r="I158" s="23" t="s">
        <v>367</v>
      </c>
      <c r="J158" s="23" t="s">
        <v>39</v>
      </c>
      <c r="K158" s="22"/>
      <c r="L158" s="23" t="s">
        <v>39</v>
      </c>
      <c r="M158" s="23" t="s">
        <v>39</v>
      </c>
      <c r="N158" s="22"/>
      <c r="O158" s="22"/>
      <c r="P158" s="22"/>
      <c r="Q158" s="22"/>
      <c r="R158" s="23" t="s">
        <v>625</v>
      </c>
      <c r="S158" s="23" t="s">
        <v>39</v>
      </c>
      <c r="T158" s="23" t="s">
        <v>39</v>
      </c>
      <c r="U158" s="23" t="s">
        <v>39</v>
      </c>
      <c r="V158" s="22"/>
      <c r="W158" s="22"/>
      <c r="X158" s="22"/>
      <c r="Y158" s="22"/>
      <c r="Z158" s="22" t="s">
        <v>39</v>
      </c>
      <c r="AA158" s="22" t="s">
        <v>39</v>
      </c>
      <c r="AB158" s="1"/>
      <c r="AC158"/>
      <c r="AD158"/>
      <c r="AE158"/>
      <c r="AF158"/>
      <c r="AG158"/>
    </row>
    <row r="159" spans="1:33" ht="72" customHeight="1" x14ac:dyDescent="0.25">
      <c r="A159" s="17">
        <v>9758865</v>
      </c>
      <c r="B159" s="30">
        <v>1</v>
      </c>
      <c r="C159" s="17" t="s">
        <v>382</v>
      </c>
      <c r="D159" s="31" t="s">
        <v>12</v>
      </c>
      <c r="E159" s="32">
        <v>42668</v>
      </c>
      <c r="F159" s="33">
        <v>42668</v>
      </c>
      <c r="G159" s="32">
        <v>42668</v>
      </c>
      <c r="H159" s="22" t="s">
        <v>108</v>
      </c>
      <c r="I159" s="23" t="s">
        <v>467</v>
      </c>
      <c r="J159" s="23" t="s">
        <v>39</v>
      </c>
      <c r="K159" s="22"/>
      <c r="L159" s="23" t="s">
        <v>39</v>
      </c>
      <c r="M159" s="23" t="s">
        <v>39</v>
      </c>
      <c r="N159" s="22"/>
      <c r="O159" s="22"/>
      <c r="P159" s="22"/>
      <c r="Q159" s="22"/>
      <c r="R159" s="23" t="s">
        <v>625</v>
      </c>
      <c r="S159" s="23" t="s">
        <v>39</v>
      </c>
      <c r="T159" s="23" t="s">
        <v>39</v>
      </c>
      <c r="U159" s="23" t="s">
        <v>712</v>
      </c>
      <c r="V159" s="22"/>
      <c r="W159" s="22"/>
      <c r="X159" s="22"/>
      <c r="Y159" s="22"/>
      <c r="Z159" s="22" t="s">
        <v>39</v>
      </c>
      <c r="AA159" s="22" t="s">
        <v>39</v>
      </c>
      <c r="AB159" s="1"/>
      <c r="AC159"/>
      <c r="AD159"/>
      <c r="AE159"/>
      <c r="AF159"/>
      <c r="AG159"/>
    </row>
    <row r="160" spans="1:33" ht="72" customHeight="1" x14ac:dyDescent="0.25">
      <c r="A160" s="17">
        <v>9758866</v>
      </c>
      <c r="B160" s="30">
        <v>1</v>
      </c>
      <c r="C160" s="17" t="s">
        <v>378</v>
      </c>
      <c r="D160" s="31" t="s">
        <v>344</v>
      </c>
      <c r="E160" s="32">
        <v>42668</v>
      </c>
      <c r="F160" s="33">
        <v>42668</v>
      </c>
      <c r="G160" s="32">
        <v>42668</v>
      </c>
      <c r="H160" s="22" t="s">
        <v>112</v>
      </c>
      <c r="I160" s="23" t="s">
        <v>367</v>
      </c>
      <c r="J160" s="23" t="s">
        <v>39</v>
      </c>
      <c r="K160" s="22"/>
      <c r="L160" s="23" t="s">
        <v>39</v>
      </c>
      <c r="M160" s="23" t="s">
        <v>39</v>
      </c>
      <c r="N160" s="22"/>
      <c r="O160" s="22"/>
      <c r="P160" s="22"/>
      <c r="Q160" s="22"/>
      <c r="R160" s="23" t="s">
        <v>627</v>
      </c>
      <c r="S160" s="23" t="s">
        <v>627</v>
      </c>
      <c r="T160" s="23" t="s">
        <v>131</v>
      </c>
      <c r="U160" s="23" t="s">
        <v>39</v>
      </c>
      <c r="V160" s="22"/>
      <c r="W160" s="22"/>
      <c r="X160" s="22"/>
      <c r="Y160" s="22"/>
      <c r="Z160" s="22" t="s">
        <v>39</v>
      </c>
      <c r="AA160" s="22" t="s">
        <v>39</v>
      </c>
      <c r="AB160" s="1"/>
      <c r="AC160"/>
      <c r="AD160"/>
      <c r="AE160"/>
      <c r="AF160"/>
      <c r="AG160"/>
    </row>
    <row r="161" spans="1:33" ht="72" customHeight="1" x14ac:dyDescent="0.25">
      <c r="A161" s="17">
        <v>9758867</v>
      </c>
      <c r="B161" s="30">
        <v>2</v>
      </c>
      <c r="C161" s="17" t="s">
        <v>379</v>
      </c>
      <c r="D161" s="31" t="s">
        <v>344</v>
      </c>
      <c r="E161" s="32">
        <v>42668</v>
      </c>
      <c r="F161" s="33">
        <v>42668</v>
      </c>
      <c r="G161" s="32">
        <v>42668</v>
      </c>
      <c r="H161" s="22" t="s">
        <v>112</v>
      </c>
      <c r="I161" s="23" t="s">
        <v>367</v>
      </c>
      <c r="J161" s="23" t="s">
        <v>39</v>
      </c>
      <c r="K161" s="22"/>
      <c r="L161" s="23" t="s">
        <v>39</v>
      </c>
      <c r="M161" s="23" t="s">
        <v>39</v>
      </c>
      <c r="N161" s="22"/>
      <c r="O161" s="22"/>
      <c r="P161" s="22"/>
      <c r="Q161" s="22"/>
      <c r="R161" s="23" t="s">
        <v>477</v>
      </c>
      <c r="S161" s="23" t="s">
        <v>477</v>
      </c>
      <c r="T161" s="23" t="s">
        <v>39</v>
      </c>
      <c r="U161" s="23" t="s">
        <v>39</v>
      </c>
      <c r="V161" s="22"/>
      <c r="W161" s="22"/>
      <c r="X161" s="22"/>
      <c r="Y161" s="22"/>
      <c r="Z161" s="22" t="s">
        <v>39</v>
      </c>
      <c r="AA161" s="22" t="s">
        <v>39</v>
      </c>
      <c r="AB161" s="1"/>
      <c r="AC161"/>
      <c r="AD161"/>
      <c r="AE161"/>
      <c r="AF161"/>
      <c r="AG161"/>
    </row>
    <row r="162" spans="1:33" ht="72" customHeight="1" x14ac:dyDescent="0.25">
      <c r="A162" s="17">
        <v>9758887</v>
      </c>
      <c r="B162" s="30">
        <v>13</v>
      </c>
      <c r="C162" s="17" t="s">
        <v>376</v>
      </c>
      <c r="D162" s="31" t="s">
        <v>20</v>
      </c>
      <c r="E162" s="32">
        <v>42668</v>
      </c>
      <c r="F162" s="33">
        <v>42668</v>
      </c>
      <c r="G162" s="32">
        <v>42668</v>
      </c>
      <c r="H162" s="22" t="s">
        <v>108</v>
      </c>
      <c r="I162" s="23" t="s">
        <v>467</v>
      </c>
      <c r="J162" s="23" t="s">
        <v>39</v>
      </c>
      <c r="K162" s="22"/>
      <c r="L162" s="23" t="s">
        <v>39</v>
      </c>
      <c r="M162" s="23" t="s">
        <v>39</v>
      </c>
      <c r="N162" s="22"/>
      <c r="O162" s="22"/>
      <c r="P162" s="22"/>
      <c r="Q162" s="22"/>
      <c r="R162" s="23" t="s">
        <v>477</v>
      </c>
      <c r="S162" s="23" t="s">
        <v>477</v>
      </c>
      <c r="T162" s="23" t="s">
        <v>39</v>
      </c>
      <c r="U162" s="23" t="s">
        <v>738</v>
      </c>
      <c r="V162" s="22"/>
      <c r="W162" s="22"/>
      <c r="X162" s="22"/>
      <c r="Y162" s="22"/>
      <c r="Z162" s="22" t="s">
        <v>39</v>
      </c>
      <c r="AA162" s="22" t="s">
        <v>39</v>
      </c>
      <c r="AB162" s="1"/>
      <c r="AC162"/>
      <c r="AD162"/>
      <c r="AE162"/>
      <c r="AF162"/>
      <c r="AG162"/>
    </row>
    <row r="163" spans="1:33" ht="72" customHeight="1" x14ac:dyDescent="0.25">
      <c r="A163" s="17">
        <v>9758894</v>
      </c>
      <c r="B163" s="30">
        <v>2</v>
      </c>
      <c r="C163" s="17" t="s">
        <v>139</v>
      </c>
      <c r="D163" s="31" t="s">
        <v>13</v>
      </c>
      <c r="E163" s="32">
        <v>42668</v>
      </c>
      <c r="F163" s="33">
        <v>42668</v>
      </c>
      <c r="G163" s="32">
        <v>42668</v>
      </c>
      <c r="H163" s="22" t="s">
        <v>112</v>
      </c>
      <c r="I163" s="23" t="s">
        <v>467</v>
      </c>
      <c r="J163" s="23" t="s">
        <v>39</v>
      </c>
      <c r="K163" s="22"/>
      <c r="L163" s="23" t="s">
        <v>39</v>
      </c>
      <c r="M163" s="23" t="s">
        <v>39</v>
      </c>
      <c r="N163" s="22"/>
      <c r="O163" s="22"/>
      <c r="P163" s="22"/>
      <c r="Q163" s="22"/>
      <c r="R163" s="23" t="s">
        <v>477</v>
      </c>
      <c r="S163" s="23" t="s">
        <v>477</v>
      </c>
      <c r="T163" s="23" t="s">
        <v>39</v>
      </c>
      <c r="U163" s="23" t="s">
        <v>39</v>
      </c>
      <c r="V163" s="22"/>
      <c r="W163" s="22"/>
      <c r="X163" s="22"/>
      <c r="Y163" s="22"/>
      <c r="Z163" s="22" t="s">
        <v>39</v>
      </c>
      <c r="AA163" s="22" t="s">
        <v>39</v>
      </c>
      <c r="AB163" s="1"/>
      <c r="AC163"/>
      <c r="AD163"/>
      <c r="AE163"/>
      <c r="AF163"/>
      <c r="AG163"/>
    </row>
    <row r="164" spans="1:33" ht="72" customHeight="1" x14ac:dyDescent="0.25">
      <c r="A164" s="17">
        <v>9758895</v>
      </c>
      <c r="B164" s="30">
        <v>2</v>
      </c>
      <c r="C164" s="17" t="s">
        <v>384</v>
      </c>
      <c r="D164" s="31" t="s">
        <v>13</v>
      </c>
      <c r="E164" s="32">
        <v>42668</v>
      </c>
      <c r="F164" s="33">
        <v>42668</v>
      </c>
      <c r="G164" s="32">
        <v>42668</v>
      </c>
      <c r="H164" s="22" t="s">
        <v>112</v>
      </c>
      <c r="I164" s="23" t="s">
        <v>467</v>
      </c>
      <c r="J164" s="23" t="s">
        <v>39</v>
      </c>
      <c r="K164" s="22"/>
      <c r="L164" s="23" t="s">
        <v>39</v>
      </c>
      <c r="M164" s="23" t="s">
        <v>39</v>
      </c>
      <c r="N164" s="22"/>
      <c r="O164" s="22"/>
      <c r="P164" s="22"/>
      <c r="Q164" s="22"/>
      <c r="R164" s="23" t="s">
        <v>477</v>
      </c>
      <c r="S164" s="23" t="s">
        <v>477</v>
      </c>
      <c r="T164" s="23" t="s">
        <v>39</v>
      </c>
      <c r="U164" s="23" t="s">
        <v>39</v>
      </c>
      <c r="V164" s="22"/>
      <c r="W164" s="22"/>
      <c r="X164" s="22"/>
      <c r="Y164" s="22"/>
      <c r="Z164" s="22" t="s">
        <v>39</v>
      </c>
      <c r="AA164" s="22" t="s">
        <v>39</v>
      </c>
      <c r="AB164" s="1"/>
      <c r="AC164"/>
      <c r="AD164"/>
      <c r="AE164"/>
      <c r="AF164"/>
      <c r="AG164"/>
    </row>
    <row r="165" spans="1:33" ht="72" customHeight="1" x14ac:dyDescent="0.25">
      <c r="A165" s="17">
        <v>9758896</v>
      </c>
      <c r="B165" s="30">
        <v>2</v>
      </c>
      <c r="C165" s="17" t="s">
        <v>385</v>
      </c>
      <c r="D165" s="31" t="s">
        <v>13</v>
      </c>
      <c r="E165" s="32">
        <v>42668</v>
      </c>
      <c r="F165" s="33">
        <v>42668</v>
      </c>
      <c r="G165" s="32">
        <v>42668</v>
      </c>
      <c r="H165" s="22" t="s">
        <v>112</v>
      </c>
      <c r="I165" s="23" t="s">
        <v>467</v>
      </c>
      <c r="J165" s="23" t="s">
        <v>39</v>
      </c>
      <c r="K165" s="22"/>
      <c r="L165" s="23" t="s">
        <v>39</v>
      </c>
      <c r="M165" s="23" t="s">
        <v>39</v>
      </c>
      <c r="N165" s="22"/>
      <c r="O165" s="22"/>
      <c r="P165" s="22"/>
      <c r="Q165" s="22"/>
      <c r="R165" s="23" t="s">
        <v>477</v>
      </c>
      <c r="S165" s="23" t="s">
        <v>477</v>
      </c>
      <c r="T165" s="23" t="s">
        <v>39</v>
      </c>
      <c r="U165" s="23" t="s">
        <v>39</v>
      </c>
      <c r="V165" s="22"/>
      <c r="W165" s="22"/>
      <c r="X165" s="22"/>
      <c r="Y165" s="22"/>
      <c r="Z165" s="22" t="s">
        <v>39</v>
      </c>
      <c r="AA165" s="22" t="s">
        <v>39</v>
      </c>
      <c r="AB165" s="1"/>
      <c r="AC165"/>
      <c r="AD165"/>
      <c r="AE165"/>
      <c r="AF165"/>
      <c r="AG165"/>
    </row>
    <row r="166" spans="1:33" ht="72" customHeight="1" x14ac:dyDescent="0.25">
      <c r="A166" s="17">
        <v>9758899</v>
      </c>
      <c r="B166" s="30">
        <v>12</v>
      </c>
      <c r="C166" s="17" t="s">
        <v>377</v>
      </c>
      <c r="D166" s="31" t="s">
        <v>146</v>
      </c>
      <c r="E166" s="32">
        <v>42668</v>
      </c>
      <c r="F166" s="33">
        <v>42668</v>
      </c>
      <c r="G166" s="32">
        <v>42668</v>
      </c>
      <c r="H166" s="22" t="s">
        <v>112</v>
      </c>
      <c r="I166" s="23" t="s">
        <v>467</v>
      </c>
      <c r="J166" s="23" t="s">
        <v>39</v>
      </c>
      <c r="K166" s="22"/>
      <c r="L166" s="23" t="s">
        <v>39</v>
      </c>
      <c r="M166" s="23" t="s">
        <v>39</v>
      </c>
      <c r="N166" s="22"/>
      <c r="O166" s="22"/>
      <c r="P166" s="22"/>
      <c r="Q166" s="22"/>
      <c r="R166" s="23" t="s">
        <v>477</v>
      </c>
      <c r="S166" s="23" t="s">
        <v>477</v>
      </c>
      <c r="T166" s="23" t="s">
        <v>39</v>
      </c>
      <c r="U166" s="23" t="s">
        <v>39</v>
      </c>
      <c r="V166" s="22"/>
      <c r="W166" s="22"/>
      <c r="X166" s="22"/>
      <c r="Y166" s="22"/>
      <c r="Z166" s="22" t="s">
        <v>39</v>
      </c>
      <c r="AA166" s="22" t="s">
        <v>39</v>
      </c>
      <c r="AB166" s="1"/>
      <c r="AC166"/>
      <c r="AD166"/>
      <c r="AE166"/>
      <c r="AF166"/>
      <c r="AG166"/>
    </row>
    <row r="167" spans="1:33" ht="72" customHeight="1" x14ac:dyDescent="0.25">
      <c r="A167" s="17">
        <v>9758903</v>
      </c>
      <c r="B167" s="30">
        <v>5</v>
      </c>
      <c r="C167" s="17" t="s">
        <v>388</v>
      </c>
      <c r="D167" s="31" t="s">
        <v>153</v>
      </c>
      <c r="E167" s="32">
        <v>42668</v>
      </c>
      <c r="F167" s="33">
        <v>42668</v>
      </c>
      <c r="G167" s="32">
        <v>42668</v>
      </c>
      <c r="H167" s="22" t="s">
        <v>112</v>
      </c>
      <c r="I167" s="23" t="s">
        <v>371</v>
      </c>
      <c r="J167" s="23" t="s">
        <v>39</v>
      </c>
      <c r="K167" s="22"/>
      <c r="L167" s="23" t="s">
        <v>39</v>
      </c>
      <c r="M167" s="23" t="s">
        <v>39</v>
      </c>
      <c r="N167" s="22"/>
      <c r="O167" s="22"/>
      <c r="P167" s="22"/>
      <c r="Q167" s="22"/>
      <c r="R167" s="23" t="s">
        <v>625</v>
      </c>
      <c r="S167" s="23" t="s">
        <v>39</v>
      </c>
      <c r="T167" s="23" t="s">
        <v>39</v>
      </c>
      <c r="U167" s="23" t="s">
        <v>39</v>
      </c>
      <c r="V167" s="22"/>
      <c r="W167" s="22"/>
      <c r="X167" s="22"/>
      <c r="Y167" s="22"/>
      <c r="Z167" s="22" t="s">
        <v>39</v>
      </c>
      <c r="AA167" s="22" t="s">
        <v>39</v>
      </c>
      <c r="AB167" s="1"/>
      <c r="AC167"/>
      <c r="AD167"/>
      <c r="AE167"/>
      <c r="AF167"/>
      <c r="AG167"/>
    </row>
    <row r="168" spans="1:33" ht="72" customHeight="1" x14ac:dyDescent="0.25">
      <c r="A168" s="17">
        <v>9758921</v>
      </c>
      <c r="B168" s="30">
        <v>16</v>
      </c>
      <c r="C168" s="17" t="s">
        <v>386</v>
      </c>
      <c r="D168" s="31" t="s">
        <v>152</v>
      </c>
      <c r="E168" s="32">
        <v>42668</v>
      </c>
      <c r="F168" s="33">
        <v>42668</v>
      </c>
      <c r="G168" s="32">
        <v>42668</v>
      </c>
      <c r="H168" s="22" t="s">
        <v>112</v>
      </c>
      <c r="I168" s="23" t="s">
        <v>395</v>
      </c>
      <c r="J168" s="23" t="s">
        <v>39</v>
      </c>
      <c r="K168" s="22"/>
      <c r="L168" s="23" t="s">
        <v>39</v>
      </c>
      <c r="M168" s="23" t="s">
        <v>39</v>
      </c>
      <c r="N168" s="22"/>
      <c r="O168" s="22"/>
      <c r="P168" s="22"/>
      <c r="Q168" s="22"/>
      <c r="R168" s="23" t="s">
        <v>477</v>
      </c>
      <c r="S168" s="23" t="s">
        <v>477</v>
      </c>
      <c r="T168" s="23" t="s">
        <v>39</v>
      </c>
      <c r="U168" s="23" t="s">
        <v>39</v>
      </c>
      <c r="V168" s="22"/>
      <c r="W168" s="22"/>
      <c r="X168" s="22"/>
      <c r="Y168" s="22"/>
      <c r="Z168" s="22" t="s">
        <v>39</v>
      </c>
      <c r="AA168" s="22" t="s">
        <v>39</v>
      </c>
      <c r="AB168" s="1"/>
      <c r="AC168"/>
      <c r="AD168"/>
      <c r="AE168"/>
      <c r="AF168"/>
      <c r="AG168"/>
    </row>
    <row r="169" spans="1:33" ht="72" customHeight="1" x14ac:dyDescent="0.25">
      <c r="A169" s="17">
        <v>9758941</v>
      </c>
      <c r="B169" s="30">
        <v>1</v>
      </c>
      <c r="C169" s="17" t="s">
        <v>428</v>
      </c>
      <c r="D169" s="31" t="s">
        <v>153</v>
      </c>
      <c r="E169" s="32">
        <v>42668</v>
      </c>
      <c r="F169" s="33">
        <v>42668</v>
      </c>
      <c r="G169" s="32">
        <v>42668</v>
      </c>
      <c r="H169" s="22" t="s">
        <v>112</v>
      </c>
      <c r="I169" s="23" t="s">
        <v>367</v>
      </c>
      <c r="J169" s="23" t="s">
        <v>39</v>
      </c>
      <c r="K169" s="22"/>
      <c r="L169" s="23" t="s">
        <v>39</v>
      </c>
      <c r="M169" s="23" t="s">
        <v>39</v>
      </c>
      <c r="N169" s="22"/>
      <c r="O169" s="22"/>
      <c r="P169" s="22"/>
      <c r="Q169" s="22"/>
      <c r="R169" s="23" t="s">
        <v>477</v>
      </c>
      <c r="S169" s="23" t="s">
        <v>477</v>
      </c>
      <c r="T169" s="23" t="s">
        <v>39</v>
      </c>
      <c r="U169" s="23" t="s">
        <v>39</v>
      </c>
      <c r="V169" s="22"/>
      <c r="W169" s="22"/>
      <c r="X169" s="22"/>
      <c r="Y169" s="22"/>
      <c r="Z169" s="22" t="s">
        <v>39</v>
      </c>
      <c r="AA169" s="22" t="s">
        <v>39</v>
      </c>
      <c r="AB169" s="1"/>
      <c r="AC169"/>
      <c r="AD169"/>
      <c r="AE169"/>
      <c r="AF169"/>
      <c r="AG169"/>
    </row>
    <row r="170" spans="1:33" ht="72" customHeight="1" x14ac:dyDescent="0.25">
      <c r="A170" s="17">
        <v>9758942</v>
      </c>
      <c r="B170" s="30">
        <v>1</v>
      </c>
      <c r="C170" s="17" t="s">
        <v>287</v>
      </c>
      <c r="D170" s="31" t="s">
        <v>52</v>
      </c>
      <c r="E170" s="32">
        <v>42668</v>
      </c>
      <c r="F170" s="33">
        <v>42668</v>
      </c>
      <c r="G170" s="32">
        <v>42668</v>
      </c>
      <c r="H170" s="22" t="s">
        <v>112</v>
      </c>
      <c r="I170" s="23" t="s">
        <v>367</v>
      </c>
      <c r="J170" s="23" t="s">
        <v>39</v>
      </c>
      <c r="K170" s="22"/>
      <c r="L170" s="23" t="s">
        <v>39</v>
      </c>
      <c r="M170" s="23" t="s">
        <v>39</v>
      </c>
      <c r="N170" s="22"/>
      <c r="O170" s="22"/>
      <c r="P170" s="22"/>
      <c r="Q170" s="22"/>
      <c r="R170" s="23" t="s">
        <v>477</v>
      </c>
      <c r="S170" s="23" t="s">
        <v>477</v>
      </c>
      <c r="T170" s="23" t="s">
        <v>39</v>
      </c>
      <c r="U170" s="23" t="s">
        <v>39</v>
      </c>
      <c r="V170" s="22"/>
      <c r="W170" s="22"/>
      <c r="X170" s="22"/>
      <c r="Y170" s="22"/>
      <c r="Z170" s="22" t="s">
        <v>39</v>
      </c>
      <c r="AA170" s="22" t="s">
        <v>39</v>
      </c>
      <c r="AB170" s="1"/>
      <c r="AC170"/>
      <c r="AD170"/>
      <c r="AE170"/>
      <c r="AF170"/>
      <c r="AG170"/>
    </row>
    <row r="171" spans="1:33" ht="72" customHeight="1" x14ac:dyDescent="0.25">
      <c r="A171" s="17">
        <v>9758943</v>
      </c>
      <c r="B171" s="30">
        <v>2</v>
      </c>
      <c r="C171" s="17" t="s">
        <v>459</v>
      </c>
      <c r="D171" s="31" t="s">
        <v>25</v>
      </c>
      <c r="E171" s="32">
        <v>42668</v>
      </c>
      <c r="F171" s="33">
        <v>42668</v>
      </c>
      <c r="G171" s="32">
        <v>42668</v>
      </c>
      <c r="H171" s="22" t="s">
        <v>95</v>
      </c>
      <c r="I171" s="23" t="s">
        <v>467</v>
      </c>
      <c r="J171" s="23" t="s">
        <v>39</v>
      </c>
      <c r="K171" s="22"/>
      <c r="L171" s="23" t="s">
        <v>263</v>
      </c>
      <c r="M171" s="23" t="s">
        <v>728</v>
      </c>
      <c r="N171" s="22"/>
      <c r="O171" s="22"/>
      <c r="P171" s="22"/>
      <c r="Q171" s="22"/>
      <c r="R171" s="23" t="s">
        <v>477</v>
      </c>
      <c r="S171" s="23" t="s">
        <v>477</v>
      </c>
      <c r="T171" s="23" t="s">
        <v>39</v>
      </c>
      <c r="U171" s="23" t="s">
        <v>39</v>
      </c>
      <c r="V171" s="22"/>
      <c r="W171" s="22"/>
      <c r="X171" s="22"/>
      <c r="Y171" s="22"/>
      <c r="Z171" s="22" t="s">
        <v>39</v>
      </c>
      <c r="AA171" s="22" t="s">
        <v>39</v>
      </c>
      <c r="AB171" s="1"/>
      <c r="AC171"/>
      <c r="AD171"/>
      <c r="AE171"/>
      <c r="AF171"/>
      <c r="AG171"/>
    </row>
    <row r="172" spans="1:33" ht="72" customHeight="1" x14ac:dyDescent="0.25">
      <c r="A172" s="17">
        <v>9758950</v>
      </c>
      <c r="B172" s="30">
        <v>1</v>
      </c>
      <c r="C172" s="17" t="s">
        <v>390</v>
      </c>
      <c r="D172" s="31" t="s">
        <v>25</v>
      </c>
      <c r="E172" s="32">
        <v>42668</v>
      </c>
      <c r="F172" s="33">
        <v>42668</v>
      </c>
      <c r="G172" s="32">
        <v>42668</v>
      </c>
      <c r="H172" s="22" t="s">
        <v>112</v>
      </c>
      <c r="I172" s="23" t="s">
        <v>367</v>
      </c>
      <c r="J172" s="23" t="s">
        <v>39</v>
      </c>
      <c r="K172" s="22"/>
      <c r="L172" s="23" t="s">
        <v>39</v>
      </c>
      <c r="M172" s="23" t="s">
        <v>39</v>
      </c>
      <c r="N172" s="22"/>
      <c r="O172" s="22"/>
      <c r="P172" s="22"/>
      <c r="Q172" s="22"/>
      <c r="R172" s="23" t="s">
        <v>625</v>
      </c>
      <c r="S172" s="23" t="s">
        <v>39</v>
      </c>
      <c r="T172" s="23" t="s">
        <v>39</v>
      </c>
      <c r="U172" s="23" t="s">
        <v>39</v>
      </c>
      <c r="V172" s="22"/>
      <c r="W172" s="22"/>
      <c r="X172" s="22"/>
      <c r="Y172" s="22"/>
      <c r="Z172" s="22" t="s">
        <v>39</v>
      </c>
      <c r="AA172" s="22" t="s">
        <v>39</v>
      </c>
      <c r="AB172" s="1"/>
      <c r="AC172"/>
      <c r="AD172"/>
      <c r="AE172"/>
      <c r="AF172"/>
      <c r="AG172"/>
    </row>
    <row r="173" spans="1:33" ht="72" customHeight="1" x14ac:dyDescent="0.25">
      <c r="A173" s="17">
        <v>9758951</v>
      </c>
      <c r="B173" s="30">
        <v>1</v>
      </c>
      <c r="C173" s="17" t="s">
        <v>456</v>
      </c>
      <c r="D173" s="31" t="s">
        <v>25</v>
      </c>
      <c r="E173" s="32">
        <v>42668</v>
      </c>
      <c r="F173" s="33">
        <v>42668</v>
      </c>
      <c r="G173" s="32">
        <v>42668</v>
      </c>
      <c r="H173" s="22" t="s">
        <v>112</v>
      </c>
      <c r="I173" s="23" t="s">
        <v>367</v>
      </c>
      <c r="J173" s="23" t="s">
        <v>39</v>
      </c>
      <c r="K173" s="22"/>
      <c r="L173" s="23" t="s">
        <v>39</v>
      </c>
      <c r="M173" s="23" t="s">
        <v>39</v>
      </c>
      <c r="N173" s="22"/>
      <c r="O173" s="22"/>
      <c r="P173" s="22"/>
      <c r="Q173" s="22"/>
      <c r="R173" s="23" t="s">
        <v>625</v>
      </c>
      <c r="S173" s="23" t="s">
        <v>39</v>
      </c>
      <c r="T173" s="23" t="s">
        <v>39</v>
      </c>
      <c r="U173" s="23" t="s">
        <v>39</v>
      </c>
      <c r="V173" s="22"/>
      <c r="W173" s="22"/>
      <c r="X173" s="22"/>
      <c r="Y173" s="22"/>
      <c r="Z173" s="22" t="s">
        <v>39</v>
      </c>
      <c r="AA173" s="22" t="s">
        <v>39</v>
      </c>
      <c r="AB173" s="1"/>
      <c r="AC173"/>
      <c r="AD173"/>
      <c r="AE173"/>
      <c r="AF173"/>
      <c r="AG173"/>
    </row>
    <row r="174" spans="1:33" ht="72" customHeight="1" x14ac:dyDescent="0.25">
      <c r="A174" s="17">
        <v>9758973</v>
      </c>
      <c r="B174" s="30">
        <v>1</v>
      </c>
      <c r="C174" s="17" t="s">
        <v>416</v>
      </c>
      <c r="D174" s="31" t="s">
        <v>20</v>
      </c>
      <c r="E174" s="32">
        <v>42669</v>
      </c>
      <c r="F174" s="33">
        <v>42669</v>
      </c>
      <c r="G174" s="32">
        <v>42669</v>
      </c>
      <c r="H174" s="22" t="s">
        <v>108</v>
      </c>
      <c r="I174" s="23" t="s">
        <v>223</v>
      </c>
      <c r="J174" s="23" t="s">
        <v>39</v>
      </c>
      <c r="K174" s="22"/>
      <c r="L174" s="23" t="s">
        <v>39</v>
      </c>
      <c r="M174" s="23" t="s">
        <v>39</v>
      </c>
      <c r="N174" s="22"/>
      <c r="O174" s="22"/>
      <c r="P174" s="22"/>
      <c r="Q174" s="22"/>
      <c r="R174" s="23" t="s">
        <v>634</v>
      </c>
      <c r="S174" s="23">
        <v>6901009</v>
      </c>
      <c r="T174" s="23" t="s">
        <v>294</v>
      </c>
      <c r="U174" s="23" t="s">
        <v>521</v>
      </c>
      <c r="V174" s="22"/>
      <c r="W174" s="22"/>
      <c r="X174" s="22"/>
      <c r="Y174" s="22"/>
      <c r="Z174" s="22" t="s">
        <v>39</v>
      </c>
      <c r="AA174" s="22" t="s">
        <v>39</v>
      </c>
      <c r="AB174" s="1"/>
      <c r="AC174"/>
      <c r="AD174"/>
      <c r="AE174"/>
      <c r="AF174"/>
      <c r="AG174"/>
    </row>
    <row r="175" spans="1:33" ht="72" customHeight="1" x14ac:dyDescent="0.25">
      <c r="A175" s="17">
        <v>9758974</v>
      </c>
      <c r="B175" s="30">
        <v>1</v>
      </c>
      <c r="C175" s="17" t="s">
        <v>417</v>
      </c>
      <c r="D175" s="31" t="s">
        <v>20</v>
      </c>
      <c r="E175" s="32">
        <v>42669</v>
      </c>
      <c r="F175" s="33">
        <v>42669</v>
      </c>
      <c r="G175" s="32">
        <v>42669</v>
      </c>
      <c r="H175" s="22" t="s">
        <v>108</v>
      </c>
      <c r="I175" s="23" t="s">
        <v>223</v>
      </c>
      <c r="J175" s="23" t="s">
        <v>39</v>
      </c>
      <c r="K175" s="22"/>
      <c r="L175" s="23" t="s">
        <v>39</v>
      </c>
      <c r="M175" s="23" t="s">
        <v>39</v>
      </c>
      <c r="N175" s="22"/>
      <c r="O175" s="22"/>
      <c r="P175" s="22"/>
      <c r="Q175" s="22"/>
      <c r="R175" s="23" t="s">
        <v>634</v>
      </c>
      <c r="S175" s="23">
        <v>6901028</v>
      </c>
      <c r="T175" s="23" t="s">
        <v>294</v>
      </c>
      <c r="U175" s="23" t="s">
        <v>522</v>
      </c>
      <c r="V175" s="22"/>
      <c r="W175" s="22"/>
      <c r="X175" s="22"/>
      <c r="Y175" s="22"/>
      <c r="Z175" s="22" t="s">
        <v>39</v>
      </c>
      <c r="AA175" s="22" t="s">
        <v>39</v>
      </c>
      <c r="AB175" s="1"/>
      <c r="AC175"/>
      <c r="AD175"/>
      <c r="AE175"/>
      <c r="AF175"/>
      <c r="AG175"/>
    </row>
    <row r="176" spans="1:33" ht="72" customHeight="1" x14ac:dyDescent="0.25">
      <c r="A176" s="17">
        <v>9758975</v>
      </c>
      <c r="B176" s="30">
        <v>1</v>
      </c>
      <c r="C176" s="17" t="s">
        <v>414</v>
      </c>
      <c r="D176" s="31" t="s">
        <v>20</v>
      </c>
      <c r="E176" s="32">
        <v>42669</v>
      </c>
      <c r="F176" s="33">
        <v>42669</v>
      </c>
      <c r="G176" s="32">
        <v>42669</v>
      </c>
      <c r="H176" s="22" t="s">
        <v>108</v>
      </c>
      <c r="I176" s="23" t="s">
        <v>223</v>
      </c>
      <c r="J176" s="23" t="s">
        <v>39</v>
      </c>
      <c r="K176" s="22"/>
      <c r="L176" s="23" t="s">
        <v>39</v>
      </c>
      <c r="M176" s="23" t="s">
        <v>39</v>
      </c>
      <c r="N176" s="22"/>
      <c r="O176" s="22"/>
      <c r="P176" s="22"/>
      <c r="Q176" s="22"/>
      <c r="R176" s="23" t="s">
        <v>634</v>
      </c>
      <c r="S176" s="23">
        <v>6900837</v>
      </c>
      <c r="T176" s="23" t="s">
        <v>294</v>
      </c>
      <c r="U176" s="23" t="s">
        <v>519</v>
      </c>
      <c r="V176" s="22"/>
      <c r="W176" s="22"/>
      <c r="X176" s="22"/>
      <c r="Y176" s="22"/>
      <c r="Z176" s="22" t="s">
        <v>39</v>
      </c>
      <c r="AA176" s="22" t="s">
        <v>39</v>
      </c>
      <c r="AB176" s="1"/>
      <c r="AC176"/>
      <c r="AD176"/>
      <c r="AE176"/>
      <c r="AF176"/>
      <c r="AG176"/>
    </row>
    <row r="177" spans="1:33" ht="72" customHeight="1" x14ac:dyDescent="0.25">
      <c r="A177" s="17">
        <v>9758976</v>
      </c>
      <c r="B177" s="30">
        <v>21</v>
      </c>
      <c r="C177" s="17" t="s">
        <v>432</v>
      </c>
      <c r="D177" s="31" t="s">
        <v>153</v>
      </c>
      <c r="E177" s="32">
        <v>42669</v>
      </c>
      <c r="F177" s="33">
        <v>42669</v>
      </c>
      <c r="G177" s="32">
        <v>42669</v>
      </c>
      <c r="H177" s="22" t="s">
        <v>112</v>
      </c>
      <c r="I177" s="23" t="s">
        <v>371</v>
      </c>
      <c r="J177" s="23" t="s">
        <v>39</v>
      </c>
      <c r="K177" s="22"/>
      <c r="L177" s="23" t="s">
        <v>39</v>
      </c>
      <c r="M177" s="23" t="s">
        <v>39</v>
      </c>
      <c r="N177" s="22"/>
      <c r="O177" s="22"/>
      <c r="P177" s="22"/>
      <c r="Q177" s="22"/>
      <c r="R177" s="23" t="s">
        <v>625</v>
      </c>
      <c r="S177" s="23" t="s">
        <v>39</v>
      </c>
      <c r="T177" s="23" t="s">
        <v>39</v>
      </c>
      <c r="U177" s="23" t="s">
        <v>39</v>
      </c>
      <c r="V177" s="22"/>
      <c r="W177" s="22"/>
      <c r="X177" s="22"/>
      <c r="Y177" s="22"/>
      <c r="Z177" s="22" t="s">
        <v>39</v>
      </c>
      <c r="AA177" s="22" t="s">
        <v>39</v>
      </c>
      <c r="AB177" s="1"/>
      <c r="AC177"/>
      <c r="AD177"/>
      <c r="AE177"/>
      <c r="AF177"/>
      <c r="AG177"/>
    </row>
    <row r="178" spans="1:33" ht="72" customHeight="1" x14ac:dyDescent="0.25">
      <c r="A178" s="17">
        <v>9759013</v>
      </c>
      <c r="B178" s="30">
        <v>1</v>
      </c>
      <c r="C178" s="17" t="s">
        <v>128</v>
      </c>
      <c r="D178" s="31" t="s">
        <v>20</v>
      </c>
      <c r="E178" s="32">
        <v>42669</v>
      </c>
      <c r="F178" s="33">
        <v>42669</v>
      </c>
      <c r="G178" s="32">
        <v>42669</v>
      </c>
      <c r="H178" s="22" t="s">
        <v>104</v>
      </c>
      <c r="I178" s="23" t="s">
        <v>39</v>
      </c>
      <c r="J178" s="23" t="s">
        <v>39</v>
      </c>
      <c r="K178" s="22"/>
      <c r="L178" s="23" t="s">
        <v>39</v>
      </c>
      <c r="M178" s="23" t="s">
        <v>39</v>
      </c>
      <c r="N178" s="22"/>
      <c r="O178" s="22"/>
      <c r="P178" s="22"/>
      <c r="Q178" s="22"/>
      <c r="R178" s="23" t="s">
        <v>683</v>
      </c>
      <c r="S178" s="23" t="s">
        <v>39</v>
      </c>
      <c r="T178" s="23" t="s">
        <v>39</v>
      </c>
      <c r="U178" s="23" t="s">
        <v>39</v>
      </c>
      <c r="V178" s="22"/>
      <c r="W178" s="22"/>
      <c r="X178" s="22"/>
      <c r="Y178" s="22"/>
      <c r="Z178" s="22" t="s">
        <v>39</v>
      </c>
      <c r="AA178" s="22" t="s">
        <v>39</v>
      </c>
      <c r="AB178" s="1"/>
      <c r="AC178"/>
      <c r="AD178"/>
      <c r="AE178"/>
      <c r="AF178"/>
      <c r="AG178"/>
    </row>
    <row r="179" spans="1:33" ht="72" customHeight="1" x14ac:dyDescent="0.25">
      <c r="A179" s="17">
        <v>9759014</v>
      </c>
      <c r="B179" s="30">
        <v>1</v>
      </c>
      <c r="C179" s="17" t="s">
        <v>405</v>
      </c>
      <c r="D179" s="31" t="s">
        <v>20</v>
      </c>
      <c r="E179" s="32">
        <v>42669</v>
      </c>
      <c r="F179" s="33">
        <v>42669</v>
      </c>
      <c r="G179" s="32">
        <v>42669</v>
      </c>
      <c r="H179" s="22" t="s">
        <v>104</v>
      </c>
      <c r="I179" s="23" t="s">
        <v>39</v>
      </c>
      <c r="J179" s="23" t="s">
        <v>39</v>
      </c>
      <c r="K179" s="22"/>
      <c r="L179" s="23" t="s">
        <v>39</v>
      </c>
      <c r="M179" s="23" t="s">
        <v>39</v>
      </c>
      <c r="N179" s="22"/>
      <c r="O179" s="22"/>
      <c r="P179" s="22"/>
      <c r="Q179" s="22"/>
      <c r="R179" s="23" t="s">
        <v>683</v>
      </c>
      <c r="S179" s="23" t="s">
        <v>39</v>
      </c>
      <c r="T179" s="23" t="s">
        <v>39</v>
      </c>
      <c r="U179" s="23" t="s">
        <v>39</v>
      </c>
      <c r="V179" s="22"/>
      <c r="W179" s="22"/>
      <c r="X179" s="22"/>
      <c r="Y179" s="22"/>
      <c r="Z179" s="22" t="s">
        <v>39</v>
      </c>
      <c r="AA179" s="22" t="s">
        <v>39</v>
      </c>
      <c r="AB179" s="1"/>
      <c r="AC179"/>
      <c r="AD179"/>
      <c r="AE179"/>
      <c r="AF179"/>
      <c r="AG179"/>
    </row>
    <row r="180" spans="1:33" ht="72" customHeight="1" x14ac:dyDescent="0.25">
      <c r="A180" s="17">
        <v>9759015</v>
      </c>
      <c r="B180" s="30">
        <v>1</v>
      </c>
      <c r="C180" s="17" t="s">
        <v>408</v>
      </c>
      <c r="D180" s="31" t="s">
        <v>20</v>
      </c>
      <c r="E180" s="32">
        <v>42669</v>
      </c>
      <c r="F180" s="33">
        <v>42669</v>
      </c>
      <c r="G180" s="32">
        <v>42669</v>
      </c>
      <c r="H180" s="22" t="s">
        <v>104</v>
      </c>
      <c r="I180" s="23" t="s">
        <v>39</v>
      </c>
      <c r="J180" s="23" t="s">
        <v>39</v>
      </c>
      <c r="K180" s="22"/>
      <c r="L180" s="23" t="s">
        <v>39</v>
      </c>
      <c r="M180" s="23" t="s">
        <v>39</v>
      </c>
      <c r="N180" s="22"/>
      <c r="O180" s="22"/>
      <c r="P180" s="22"/>
      <c r="Q180" s="22"/>
      <c r="R180" s="23" t="s">
        <v>683</v>
      </c>
      <c r="S180" s="23" t="s">
        <v>39</v>
      </c>
      <c r="T180" s="23" t="s">
        <v>39</v>
      </c>
      <c r="U180" s="23" t="s">
        <v>39</v>
      </c>
      <c r="V180" s="22"/>
      <c r="W180" s="22"/>
      <c r="X180" s="22"/>
      <c r="Y180" s="22"/>
      <c r="Z180" s="22" t="s">
        <v>39</v>
      </c>
      <c r="AA180" s="22" t="s">
        <v>39</v>
      </c>
      <c r="AB180" s="1"/>
      <c r="AC180"/>
      <c r="AD180"/>
      <c r="AE180"/>
      <c r="AF180"/>
      <c r="AG180"/>
    </row>
    <row r="181" spans="1:33" ht="72" customHeight="1" x14ac:dyDescent="0.25">
      <c r="A181" s="17">
        <v>9759016</v>
      </c>
      <c r="B181" s="30">
        <v>3</v>
      </c>
      <c r="C181" s="17" t="s">
        <v>411</v>
      </c>
      <c r="D181" s="31" t="s">
        <v>20</v>
      </c>
      <c r="E181" s="32">
        <v>42669</v>
      </c>
      <c r="F181" s="33">
        <v>42669</v>
      </c>
      <c r="G181" s="32">
        <v>42669</v>
      </c>
      <c r="H181" s="22" t="s">
        <v>104</v>
      </c>
      <c r="I181" s="23" t="s">
        <v>39</v>
      </c>
      <c r="J181" s="23" t="s">
        <v>39</v>
      </c>
      <c r="K181" s="22"/>
      <c r="L181" s="23" t="s">
        <v>39</v>
      </c>
      <c r="M181" s="23" t="s">
        <v>39</v>
      </c>
      <c r="N181" s="22"/>
      <c r="O181" s="22"/>
      <c r="P181" s="22"/>
      <c r="Q181" s="22"/>
      <c r="R181" s="23" t="s">
        <v>683</v>
      </c>
      <c r="S181" s="23" t="s">
        <v>39</v>
      </c>
      <c r="T181" s="23" t="s">
        <v>39</v>
      </c>
      <c r="U181" s="23" t="s">
        <v>39</v>
      </c>
      <c r="V181" s="22"/>
      <c r="W181" s="22"/>
      <c r="X181" s="22"/>
      <c r="Y181" s="22"/>
      <c r="Z181" s="22" t="s">
        <v>39</v>
      </c>
      <c r="AA181" s="22" t="s">
        <v>39</v>
      </c>
      <c r="AB181" s="1"/>
      <c r="AC181"/>
      <c r="AD181"/>
      <c r="AE181"/>
      <c r="AF181"/>
      <c r="AG181"/>
    </row>
    <row r="182" spans="1:33" ht="72" customHeight="1" x14ac:dyDescent="0.25">
      <c r="A182" s="17">
        <v>9759017</v>
      </c>
      <c r="B182" s="30">
        <v>1</v>
      </c>
      <c r="C182" s="17" t="s">
        <v>399</v>
      </c>
      <c r="D182" s="31" t="s">
        <v>20</v>
      </c>
      <c r="E182" s="32">
        <v>42669</v>
      </c>
      <c r="F182" s="33">
        <v>42669</v>
      </c>
      <c r="G182" s="32">
        <v>42669</v>
      </c>
      <c r="H182" s="22" t="s">
        <v>104</v>
      </c>
      <c r="I182" s="23" t="s">
        <v>39</v>
      </c>
      <c r="J182" s="23" t="s">
        <v>39</v>
      </c>
      <c r="K182" s="22"/>
      <c r="L182" s="23" t="s">
        <v>39</v>
      </c>
      <c r="M182" s="23" t="s">
        <v>39</v>
      </c>
      <c r="N182" s="22"/>
      <c r="O182" s="22"/>
      <c r="P182" s="22"/>
      <c r="Q182" s="22"/>
      <c r="R182" s="23" t="s">
        <v>683</v>
      </c>
      <c r="S182" s="23" t="s">
        <v>39</v>
      </c>
      <c r="T182" s="23" t="s">
        <v>39</v>
      </c>
      <c r="U182" s="23" t="s">
        <v>39</v>
      </c>
      <c r="V182" s="22"/>
      <c r="W182" s="22"/>
      <c r="X182" s="22"/>
      <c r="Y182" s="22"/>
      <c r="Z182" s="22" t="s">
        <v>39</v>
      </c>
      <c r="AA182" s="22" t="s">
        <v>39</v>
      </c>
      <c r="AB182" s="1"/>
      <c r="AC182"/>
      <c r="AD182"/>
      <c r="AE182"/>
      <c r="AF182"/>
      <c r="AG182"/>
    </row>
    <row r="183" spans="1:33" ht="72" customHeight="1" x14ac:dyDescent="0.25">
      <c r="A183" s="17">
        <v>9759018</v>
      </c>
      <c r="B183" s="30">
        <v>1</v>
      </c>
      <c r="C183" s="17" t="s">
        <v>402</v>
      </c>
      <c r="D183" s="31" t="s">
        <v>20</v>
      </c>
      <c r="E183" s="32">
        <v>42669</v>
      </c>
      <c r="F183" s="33">
        <v>42669</v>
      </c>
      <c r="G183" s="32">
        <v>42669</v>
      </c>
      <c r="H183" s="22" t="s">
        <v>104</v>
      </c>
      <c r="I183" s="23" t="s">
        <v>39</v>
      </c>
      <c r="J183" s="23" t="s">
        <v>39</v>
      </c>
      <c r="K183" s="22"/>
      <c r="L183" s="23" t="s">
        <v>39</v>
      </c>
      <c r="M183" s="23" t="s">
        <v>39</v>
      </c>
      <c r="N183" s="22"/>
      <c r="O183" s="22"/>
      <c r="P183" s="22"/>
      <c r="Q183" s="22"/>
      <c r="R183" s="23" t="s">
        <v>683</v>
      </c>
      <c r="S183" s="23" t="s">
        <v>39</v>
      </c>
      <c r="T183" s="23" t="s">
        <v>39</v>
      </c>
      <c r="U183" s="23" t="s">
        <v>39</v>
      </c>
      <c r="V183" s="22"/>
      <c r="W183" s="22"/>
      <c r="X183" s="22"/>
      <c r="Y183" s="22"/>
      <c r="Z183" s="22" t="s">
        <v>39</v>
      </c>
      <c r="AA183" s="22" t="s">
        <v>39</v>
      </c>
      <c r="AB183" s="1"/>
      <c r="AC183"/>
      <c r="AD183"/>
      <c r="AE183"/>
      <c r="AF183"/>
      <c r="AG183"/>
    </row>
    <row r="184" spans="1:33" ht="72" customHeight="1" x14ac:dyDescent="0.25">
      <c r="A184" s="17">
        <v>9759019</v>
      </c>
      <c r="B184" s="30">
        <v>1</v>
      </c>
      <c r="C184" s="17" t="s">
        <v>407</v>
      </c>
      <c r="D184" s="31" t="s">
        <v>20</v>
      </c>
      <c r="E184" s="32">
        <v>42669</v>
      </c>
      <c r="F184" s="33">
        <v>42669</v>
      </c>
      <c r="G184" s="32">
        <v>42669</v>
      </c>
      <c r="H184" s="22" t="s">
        <v>104</v>
      </c>
      <c r="I184" s="23" t="s">
        <v>39</v>
      </c>
      <c r="J184" s="23" t="s">
        <v>39</v>
      </c>
      <c r="K184" s="22"/>
      <c r="L184" s="23" t="s">
        <v>39</v>
      </c>
      <c r="M184" s="23" t="s">
        <v>39</v>
      </c>
      <c r="N184" s="22"/>
      <c r="O184" s="22"/>
      <c r="P184" s="22"/>
      <c r="Q184" s="22"/>
      <c r="R184" s="23" t="s">
        <v>683</v>
      </c>
      <c r="S184" s="23" t="s">
        <v>39</v>
      </c>
      <c r="T184" s="23" t="s">
        <v>39</v>
      </c>
      <c r="U184" s="23" t="s">
        <v>39</v>
      </c>
      <c r="V184" s="22"/>
      <c r="W184" s="22"/>
      <c r="X184" s="22"/>
      <c r="Y184" s="22"/>
      <c r="Z184" s="22" t="s">
        <v>39</v>
      </c>
      <c r="AA184" s="22" t="s">
        <v>39</v>
      </c>
      <c r="AB184" s="1"/>
      <c r="AC184"/>
      <c r="AD184"/>
      <c r="AE184"/>
      <c r="AF184"/>
      <c r="AG184"/>
    </row>
    <row r="185" spans="1:33" ht="72" customHeight="1" x14ac:dyDescent="0.25">
      <c r="A185" s="17">
        <v>9759020</v>
      </c>
      <c r="B185" s="30">
        <v>2</v>
      </c>
      <c r="C185" s="17" t="s">
        <v>398</v>
      </c>
      <c r="D185" s="31" t="s">
        <v>20</v>
      </c>
      <c r="E185" s="32">
        <v>42669</v>
      </c>
      <c r="F185" s="33">
        <v>42669</v>
      </c>
      <c r="G185" s="32">
        <v>42669</v>
      </c>
      <c r="H185" s="22" t="s">
        <v>104</v>
      </c>
      <c r="I185" s="23" t="s">
        <v>39</v>
      </c>
      <c r="J185" s="23" t="s">
        <v>39</v>
      </c>
      <c r="K185" s="22"/>
      <c r="L185" s="23" t="s">
        <v>39</v>
      </c>
      <c r="M185" s="23" t="s">
        <v>39</v>
      </c>
      <c r="N185" s="22"/>
      <c r="O185" s="22"/>
      <c r="P185" s="22"/>
      <c r="Q185" s="22"/>
      <c r="R185" s="23" t="s">
        <v>683</v>
      </c>
      <c r="S185" s="23" t="s">
        <v>39</v>
      </c>
      <c r="T185" s="23" t="s">
        <v>39</v>
      </c>
      <c r="U185" s="23" t="s">
        <v>39</v>
      </c>
      <c r="V185" s="22"/>
      <c r="W185" s="22"/>
      <c r="X185" s="22"/>
      <c r="Y185" s="22"/>
      <c r="Z185" s="22" t="s">
        <v>39</v>
      </c>
      <c r="AA185" s="22" t="s">
        <v>39</v>
      </c>
      <c r="AB185" s="1"/>
      <c r="AC185"/>
      <c r="AD185"/>
      <c r="AE185"/>
      <c r="AF185"/>
      <c r="AG185"/>
    </row>
    <row r="186" spans="1:33" ht="72" customHeight="1" x14ac:dyDescent="0.25">
      <c r="A186" s="17">
        <v>9759021</v>
      </c>
      <c r="B186" s="30">
        <v>1</v>
      </c>
      <c r="C186" s="17" t="s">
        <v>400</v>
      </c>
      <c r="D186" s="31" t="s">
        <v>20</v>
      </c>
      <c r="E186" s="32">
        <v>42669</v>
      </c>
      <c r="F186" s="33">
        <v>42669</v>
      </c>
      <c r="G186" s="32">
        <v>42669</v>
      </c>
      <c r="H186" s="22" t="s">
        <v>104</v>
      </c>
      <c r="I186" s="23" t="s">
        <v>39</v>
      </c>
      <c r="J186" s="23" t="s">
        <v>39</v>
      </c>
      <c r="K186" s="22"/>
      <c r="L186" s="23" t="s">
        <v>39</v>
      </c>
      <c r="M186" s="23" t="s">
        <v>39</v>
      </c>
      <c r="N186" s="22"/>
      <c r="O186" s="22"/>
      <c r="P186" s="22"/>
      <c r="Q186" s="22"/>
      <c r="R186" s="23" t="s">
        <v>683</v>
      </c>
      <c r="S186" s="23" t="s">
        <v>39</v>
      </c>
      <c r="T186" s="23" t="s">
        <v>39</v>
      </c>
      <c r="U186" s="23" t="s">
        <v>39</v>
      </c>
      <c r="V186" s="22"/>
      <c r="W186" s="22"/>
      <c r="X186" s="22"/>
      <c r="Y186" s="22"/>
      <c r="Z186" s="22" t="s">
        <v>39</v>
      </c>
      <c r="AA186" s="22" t="s">
        <v>39</v>
      </c>
      <c r="AB186" s="1"/>
      <c r="AC186"/>
      <c r="AD186"/>
      <c r="AE186"/>
      <c r="AF186"/>
      <c r="AG186"/>
    </row>
    <row r="187" spans="1:33" ht="72" customHeight="1" x14ac:dyDescent="0.25">
      <c r="A187" s="17">
        <v>9759022</v>
      </c>
      <c r="B187" s="30">
        <v>1</v>
      </c>
      <c r="C187" s="17" t="s">
        <v>412</v>
      </c>
      <c r="D187" s="31" t="s">
        <v>20</v>
      </c>
      <c r="E187" s="32">
        <v>42669</v>
      </c>
      <c r="F187" s="33">
        <v>42669</v>
      </c>
      <c r="G187" s="32">
        <v>42669</v>
      </c>
      <c r="H187" s="22" t="s">
        <v>108</v>
      </c>
      <c r="I187" s="23" t="s">
        <v>223</v>
      </c>
      <c r="J187" s="23" t="s">
        <v>39</v>
      </c>
      <c r="K187" s="22"/>
      <c r="L187" s="23" t="s">
        <v>39</v>
      </c>
      <c r="M187" s="23" t="s">
        <v>39</v>
      </c>
      <c r="N187" s="22"/>
      <c r="O187" s="22"/>
      <c r="P187" s="22"/>
      <c r="Q187" s="22"/>
      <c r="R187" s="23" t="s">
        <v>634</v>
      </c>
      <c r="S187" s="23">
        <v>6900015</v>
      </c>
      <c r="T187" s="23" t="s">
        <v>294</v>
      </c>
      <c r="U187" s="23" t="s">
        <v>516</v>
      </c>
      <c r="V187" s="22"/>
      <c r="W187" s="22"/>
      <c r="X187" s="22"/>
      <c r="Y187" s="22"/>
      <c r="Z187" s="22" t="s">
        <v>39</v>
      </c>
      <c r="AA187" s="22" t="s">
        <v>39</v>
      </c>
      <c r="AB187" s="1"/>
      <c r="AC187"/>
      <c r="AD187"/>
      <c r="AE187"/>
      <c r="AF187"/>
      <c r="AG187"/>
    </row>
    <row r="188" spans="1:33" ht="72" customHeight="1" x14ac:dyDescent="0.25">
      <c r="A188" s="17">
        <v>9759029</v>
      </c>
      <c r="B188" s="30">
        <v>1</v>
      </c>
      <c r="C188" s="17" t="s">
        <v>418</v>
      </c>
      <c r="D188" s="31" t="s">
        <v>20</v>
      </c>
      <c r="E188" s="32">
        <v>42669</v>
      </c>
      <c r="F188" s="33">
        <v>42669</v>
      </c>
      <c r="G188" s="32">
        <v>42669</v>
      </c>
      <c r="H188" s="22" t="s">
        <v>108</v>
      </c>
      <c r="I188" s="23" t="s">
        <v>371</v>
      </c>
      <c r="J188" s="23" t="s">
        <v>39</v>
      </c>
      <c r="K188" s="22"/>
      <c r="L188" s="23" t="s">
        <v>39</v>
      </c>
      <c r="M188" s="23" t="s">
        <v>39</v>
      </c>
      <c r="N188" s="22"/>
      <c r="O188" s="22"/>
      <c r="P188" s="22"/>
      <c r="Q188" s="22"/>
      <c r="R188" s="23" t="s">
        <v>634</v>
      </c>
      <c r="S188" s="23" t="s">
        <v>634</v>
      </c>
      <c r="T188" s="23" t="s">
        <v>39</v>
      </c>
      <c r="U188" s="23" t="s">
        <v>525</v>
      </c>
      <c r="V188" s="22"/>
      <c r="W188" s="22"/>
      <c r="X188" s="22"/>
      <c r="Y188" s="22"/>
      <c r="Z188" s="22" t="s">
        <v>39</v>
      </c>
      <c r="AA188" s="22" t="s">
        <v>39</v>
      </c>
      <c r="AB188" s="1"/>
      <c r="AC188"/>
      <c r="AD188"/>
      <c r="AE188"/>
      <c r="AF188"/>
      <c r="AG188"/>
    </row>
    <row r="189" spans="1:33" ht="72" customHeight="1" x14ac:dyDescent="0.25">
      <c r="A189" s="17">
        <v>9759031</v>
      </c>
      <c r="B189" s="30">
        <v>1</v>
      </c>
      <c r="C189" s="17" t="s">
        <v>413</v>
      </c>
      <c r="D189" s="31" t="s">
        <v>20</v>
      </c>
      <c r="E189" s="32">
        <v>42669</v>
      </c>
      <c r="F189" s="33">
        <v>42669</v>
      </c>
      <c r="G189" s="32">
        <v>42669</v>
      </c>
      <c r="H189" s="22" t="s">
        <v>108</v>
      </c>
      <c r="I189" s="23" t="s">
        <v>223</v>
      </c>
      <c r="J189" s="23" t="s">
        <v>39</v>
      </c>
      <c r="K189" s="22"/>
      <c r="L189" s="23" t="s">
        <v>39</v>
      </c>
      <c r="M189" s="23" t="s">
        <v>39</v>
      </c>
      <c r="N189" s="22"/>
      <c r="O189" s="22"/>
      <c r="P189" s="22"/>
      <c r="Q189" s="22"/>
      <c r="R189" s="23" t="s">
        <v>634</v>
      </c>
      <c r="S189" s="23">
        <v>6900785</v>
      </c>
      <c r="T189" s="23" t="s">
        <v>294</v>
      </c>
      <c r="U189" s="23" t="s">
        <v>517</v>
      </c>
      <c r="V189" s="22"/>
      <c r="W189" s="22"/>
      <c r="X189" s="22"/>
      <c r="Y189" s="22"/>
      <c r="Z189" s="22" t="s">
        <v>39</v>
      </c>
      <c r="AA189" s="22" t="s">
        <v>39</v>
      </c>
      <c r="AB189" s="1"/>
      <c r="AC189"/>
      <c r="AD189"/>
      <c r="AE189"/>
      <c r="AF189"/>
      <c r="AG189"/>
    </row>
    <row r="190" spans="1:33" ht="72" customHeight="1" x14ac:dyDescent="0.25">
      <c r="A190" s="17">
        <v>9759032</v>
      </c>
      <c r="B190" s="30">
        <v>1</v>
      </c>
      <c r="C190" s="17" t="s">
        <v>406</v>
      </c>
      <c r="D190" s="31" t="s">
        <v>20</v>
      </c>
      <c r="E190" s="32">
        <v>42669</v>
      </c>
      <c r="F190" s="33">
        <v>42669</v>
      </c>
      <c r="G190" s="32">
        <v>42669</v>
      </c>
      <c r="H190" s="22" t="s">
        <v>104</v>
      </c>
      <c r="I190" s="23" t="s">
        <v>39</v>
      </c>
      <c r="J190" s="23" t="s">
        <v>39</v>
      </c>
      <c r="K190" s="22"/>
      <c r="L190" s="23" t="s">
        <v>39</v>
      </c>
      <c r="M190" s="23" t="s">
        <v>39</v>
      </c>
      <c r="N190" s="22"/>
      <c r="O190" s="22"/>
      <c r="P190" s="22"/>
      <c r="Q190" s="22"/>
      <c r="R190" s="23" t="s">
        <v>683</v>
      </c>
      <c r="S190" s="23" t="s">
        <v>39</v>
      </c>
      <c r="T190" s="23" t="s">
        <v>39</v>
      </c>
      <c r="U190" s="23" t="s">
        <v>39</v>
      </c>
      <c r="V190" s="22"/>
      <c r="W190" s="22"/>
      <c r="X190" s="22"/>
      <c r="Y190" s="22"/>
      <c r="Z190" s="22" t="s">
        <v>39</v>
      </c>
      <c r="AA190" s="22" t="s">
        <v>39</v>
      </c>
      <c r="AB190" s="1"/>
      <c r="AC190"/>
      <c r="AD190"/>
      <c r="AE190"/>
      <c r="AF190"/>
      <c r="AG190"/>
    </row>
    <row r="191" spans="1:33" ht="72" customHeight="1" x14ac:dyDescent="0.25">
      <c r="A191" s="17">
        <v>9759033</v>
      </c>
      <c r="B191" s="30">
        <v>2</v>
      </c>
      <c r="C191" s="17" t="s">
        <v>419</v>
      </c>
      <c r="D191" s="31" t="s">
        <v>145</v>
      </c>
      <c r="E191" s="32">
        <v>42669</v>
      </c>
      <c r="F191" s="33">
        <v>42669</v>
      </c>
      <c r="G191" s="32">
        <v>42669</v>
      </c>
      <c r="H191" s="22" t="s">
        <v>104</v>
      </c>
      <c r="I191" s="23" t="s">
        <v>39</v>
      </c>
      <c r="J191" s="23" t="s">
        <v>39</v>
      </c>
      <c r="K191" s="22"/>
      <c r="L191" s="23" t="s">
        <v>39</v>
      </c>
      <c r="M191" s="23" t="s">
        <v>39</v>
      </c>
      <c r="N191" s="22"/>
      <c r="O191" s="22"/>
      <c r="P191" s="22"/>
      <c r="Q191" s="22"/>
      <c r="R191" s="23" t="s">
        <v>683</v>
      </c>
      <c r="S191" s="23" t="s">
        <v>39</v>
      </c>
      <c r="T191" s="23" t="s">
        <v>39</v>
      </c>
      <c r="U191" s="23" t="s">
        <v>39</v>
      </c>
      <c r="V191" s="22"/>
      <c r="W191" s="22"/>
      <c r="X191" s="22"/>
      <c r="Y191" s="22"/>
      <c r="Z191" s="22" t="s">
        <v>39</v>
      </c>
      <c r="AA191" s="22" t="s">
        <v>39</v>
      </c>
      <c r="AB191" s="1"/>
      <c r="AC191"/>
      <c r="AD191"/>
      <c r="AE191"/>
      <c r="AF191"/>
      <c r="AG191"/>
    </row>
    <row r="192" spans="1:33" ht="72" customHeight="1" x14ac:dyDescent="0.25">
      <c r="A192" s="17">
        <v>9759034</v>
      </c>
      <c r="B192" s="30">
        <v>1</v>
      </c>
      <c r="C192" s="17" t="s">
        <v>342</v>
      </c>
      <c r="D192" s="31" t="s">
        <v>45</v>
      </c>
      <c r="E192" s="32">
        <v>42669</v>
      </c>
      <c r="F192" s="33">
        <v>42669</v>
      </c>
      <c r="G192" s="32">
        <v>42669</v>
      </c>
      <c r="H192" s="22" t="s">
        <v>104</v>
      </c>
      <c r="I192" s="23" t="s">
        <v>39</v>
      </c>
      <c r="J192" s="23" t="s">
        <v>39</v>
      </c>
      <c r="K192" s="22"/>
      <c r="L192" s="23" t="s">
        <v>39</v>
      </c>
      <c r="M192" s="23" t="s">
        <v>39</v>
      </c>
      <c r="N192" s="22"/>
      <c r="O192" s="22"/>
      <c r="P192" s="22"/>
      <c r="Q192" s="22"/>
      <c r="R192" s="23" t="s">
        <v>683</v>
      </c>
      <c r="S192" s="23" t="s">
        <v>39</v>
      </c>
      <c r="T192" s="23" t="s">
        <v>39</v>
      </c>
      <c r="U192" s="23" t="s">
        <v>39</v>
      </c>
      <c r="V192" s="22"/>
      <c r="W192" s="22"/>
      <c r="X192" s="22"/>
      <c r="Y192" s="22"/>
      <c r="Z192" s="22" t="s">
        <v>39</v>
      </c>
      <c r="AA192" s="22" t="s">
        <v>39</v>
      </c>
      <c r="AB192" s="1"/>
      <c r="AC192"/>
      <c r="AD192"/>
      <c r="AE192"/>
      <c r="AF192"/>
      <c r="AG192"/>
    </row>
    <row r="193" spans="1:33" ht="72" customHeight="1" x14ac:dyDescent="0.25">
      <c r="A193" s="17">
        <v>9759035</v>
      </c>
      <c r="B193" s="30">
        <v>19</v>
      </c>
      <c r="C193" s="17" t="s">
        <v>424</v>
      </c>
      <c r="D193" s="31" t="s">
        <v>10</v>
      </c>
      <c r="E193" s="32">
        <v>42669</v>
      </c>
      <c r="F193" s="33">
        <v>42669</v>
      </c>
      <c r="G193" s="32">
        <v>42669</v>
      </c>
      <c r="H193" s="22" t="s">
        <v>476</v>
      </c>
      <c r="I193" s="23" t="s">
        <v>39</v>
      </c>
      <c r="J193" s="23" t="s">
        <v>39</v>
      </c>
      <c r="K193" s="22"/>
      <c r="L193" s="23" t="s">
        <v>39</v>
      </c>
      <c r="M193" s="23" t="s">
        <v>39</v>
      </c>
      <c r="N193" s="22"/>
      <c r="O193" s="22"/>
      <c r="P193" s="22"/>
      <c r="Q193" s="22"/>
      <c r="R193" s="23" t="s">
        <v>39</v>
      </c>
      <c r="S193" s="23" t="s">
        <v>39</v>
      </c>
      <c r="T193" s="23" t="e">
        <v>#N/A</v>
      </c>
      <c r="U193" s="23" t="s">
        <v>39</v>
      </c>
      <c r="V193" s="22"/>
      <c r="W193" s="22"/>
      <c r="X193" s="22"/>
      <c r="Y193" s="22"/>
      <c r="Z193" s="22" t="s">
        <v>39</v>
      </c>
      <c r="AA193" s="22" t="s">
        <v>39</v>
      </c>
      <c r="AB193" s="1"/>
      <c r="AC193"/>
      <c r="AD193"/>
      <c r="AE193"/>
      <c r="AF193"/>
      <c r="AG193"/>
    </row>
    <row r="194" spans="1:33" ht="72" customHeight="1" x14ac:dyDescent="0.25">
      <c r="A194" s="17">
        <v>9759036</v>
      </c>
      <c r="B194" s="30">
        <v>1</v>
      </c>
      <c r="C194" s="17" t="s">
        <v>139</v>
      </c>
      <c r="D194" s="31" t="s">
        <v>13</v>
      </c>
      <c r="E194" s="32">
        <v>42669</v>
      </c>
      <c r="F194" s="33">
        <v>42669</v>
      </c>
      <c r="G194" s="32">
        <v>42669</v>
      </c>
      <c r="H194" s="22" t="s">
        <v>112</v>
      </c>
      <c r="I194" s="23" t="s">
        <v>395</v>
      </c>
      <c r="J194" s="23" t="s">
        <v>39</v>
      </c>
      <c r="K194" s="22"/>
      <c r="L194" s="23" t="s">
        <v>39</v>
      </c>
      <c r="M194" s="23" t="s">
        <v>39</v>
      </c>
      <c r="N194" s="22"/>
      <c r="O194" s="22"/>
      <c r="P194" s="22"/>
      <c r="Q194" s="22"/>
      <c r="R194" s="23" t="s">
        <v>634</v>
      </c>
      <c r="S194" s="23" t="s">
        <v>634</v>
      </c>
      <c r="T194" s="23" t="s">
        <v>39</v>
      </c>
      <c r="U194" s="23" t="s">
        <v>39</v>
      </c>
      <c r="V194" s="22"/>
      <c r="W194" s="22"/>
      <c r="X194" s="22"/>
      <c r="Y194" s="22"/>
      <c r="Z194" s="22" t="s">
        <v>39</v>
      </c>
      <c r="AA194" s="22" t="s">
        <v>39</v>
      </c>
      <c r="AB194" s="1"/>
      <c r="AC194"/>
      <c r="AD194"/>
      <c r="AE194"/>
      <c r="AF194"/>
      <c r="AG194"/>
    </row>
    <row r="195" spans="1:33" ht="72" customHeight="1" x14ac:dyDescent="0.25">
      <c r="A195" s="17">
        <v>9759037</v>
      </c>
      <c r="B195" s="30">
        <v>2</v>
      </c>
      <c r="C195" s="17" t="s">
        <v>421</v>
      </c>
      <c r="D195" s="31" t="s">
        <v>420</v>
      </c>
      <c r="E195" s="32">
        <v>42669</v>
      </c>
      <c r="F195" s="33">
        <v>42669</v>
      </c>
      <c r="G195" s="32">
        <v>42669</v>
      </c>
      <c r="H195" s="22" t="s">
        <v>104</v>
      </c>
      <c r="I195" s="23" t="s">
        <v>39</v>
      </c>
      <c r="J195" s="23" t="s">
        <v>39</v>
      </c>
      <c r="K195" s="22"/>
      <c r="L195" s="23" t="s">
        <v>39</v>
      </c>
      <c r="M195" s="23" t="s">
        <v>39</v>
      </c>
      <c r="N195" s="22"/>
      <c r="O195" s="22"/>
      <c r="P195" s="22"/>
      <c r="Q195" s="22"/>
      <c r="R195" s="23" t="s">
        <v>683</v>
      </c>
      <c r="S195" s="23" t="s">
        <v>39</v>
      </c>
      <c r="T195" s="23" t="s">
        <v>39</v>
      </c>
      <c r="U195" s="23" t="s">
        <v>39</v>
      </c>
      <c r="V195" s="22"/>
      <c r="W195" s="22"/>
      <c r="X195" s="22"/>
      <c r="Y195" s="22"/>
      <c r="Z195" s="22" t="s">
        <v>39</v>
      </c>
      <c r="AA195" s="22" t="s">
        <v>39</v>
      </c>
      <c r="AB195" s="1"/>
      <c r="AC195"/>
      <c r="AD195"/>
      <c r="AE195"/>
      <c r="AF195"/>
      <c r="AG195"/>
    </row>
    <row r="196" spans="1:33" ht="72" customHeight="1" x14ac:dyDescent="0.25">
      <c r="A196" s="17">
        <v>9759040</v>
      </c>
      <c r="B196" s="30">
        <v>1</v>
      </c>
      <c r="C196" s="17" t="s">
        <v>433</v>
      </c>
      <c r="D196" s="31" t="s">
        <v>52</v>
      </c>
      <c r="E196" s="32">
        <v>42669</v>
      </c>
      <c r="F196" s="33">
        <v>42669</v>
      </c>
      <c r="G196" s="32">
        <v>42669</v>
      </c>
      <c r="H196" s="22" t="s">
        <v>104</v>
      </c>
      <c r="I196" s="23" t="s">
        <v>39</v>
      </c>
      <c r="J196" s="23" t="s">
        <v>39</v>
      </c>
      <c r="K196" s="22"/>
      <c r="L196" s="23" t="s">
        <v>39</v>
      </c>
      <c r="M196" s="23" t="s">
        <v>39</v>
      </c>
      <c r="N196" s="22"/>
      <c r="O196" s="22"/>
      <c r="P196" s="22"/>
      <c r="Q196" s="22"/>
      <c r="R196" s="23" t="s">
        <v>683</v>
      </c>
      <c r="S196" s="23" t="s">
        <v>39</v>
      </c>
      <c r="T196" s="23" t="s">
        <v>39</v>
      </c>
      <c r="U196" s="23" t="s">
        <v>39</v>
      </c>
      <c r="V196" s="22"/>
      <c r="W196" s="22"/>
      <c r="X196" s="22"/>
      <c r="Y196" s="22"/>
      <c r="Z196" s="22" t="s">
        <v>39</v>
      </c>
      <c r="AA196" s="22" t="s">
        <v>39</v>
      </c>
      <c r="AB196" s="1"/>
      <c r="AC196"/>
      <c r="AD196"/>
      <c r="AE196"/>
      <c r="AF196"/>
      <c r="AG196"/>
    </row>
    <row r="197" spans="1:33" ht="72" customHeight="1" x14ac:dyDescent="0.25">
      <c r="A197" s="17">
        <v>9759041</v>
      </c>
      <c r="B197" s="30">
        <v>1</v>
      </c>
      <c r="C197" s="17" t="s">
        <v>222</v>
      </c>
      <c r="D197" s="31" t="s">
        <v>52</v>
      </c>
      <c r="E197" s="32">
        <v>42669</v>
      </c>
      <c r="F197" s="33">
        <v>42669</v>
      </c>
      <c r="G197" s="32">
        <v>42669</v>
      </c>
      <c r="H197" s="22" t="s">
        <v>104</v>
      </c>
      <c r="I197" s="23" t="s">
        <v>39</v>
      </c>
      <c r="J197" s="23" t="s">
        <v>39</v>
      </c>
      <c r="K197" s="22"/>
      <c r="L197" s="23" t="s">
        <v>39</v>
      </c>
      <c r="M197" s="23" t="s">
        <v>39</v>
      </c>
      <c r="N197" s="22"/>
      <c r="O197" s="22"/>
      <c r="P197" s="22"/>
      <c r="Q197" s="22"/>
      <c r="R197" s="23" t="s">
        <v>683</v>
      </c>
      <c r="S197" s="23" t="s">
        <v>39</v>
      </c>
      <c r="T197" s="23" t="s">
        <v>39</v>
      </c>
      <c r="U197" s="23" t="s">
        <v>39</v>
      </c>
      <c r="V197" s="22"/>
      <c r="W197" s="22"/>
      <c r="X197" s="22"/>
      <c r="Y197" s="22"/>
      <c r="Z197" s="22" t="s">
        <v>39</v>
      </c>
      <c r="AA197" s="22" t="s">
        <v>39</v>
      </c>
      <c r="AB197" s="1"/>
      <c r="AC197"/>
      <c r="AD197"/>
      <c r="AE197"/>
      <c r="AF197"/>
      <c r="AG197"/>
    </row>
    <row r="198" spans="1:33" ht="72" customHeight="1" x14ac:dyDescent="0.25">
      <c r="A198" s="17">
        <v>9759042</v>
      </c>
      <c r="B198" s="30">
        <v>1</v>
      </c>
      <c r="C198" s="17" t="s">
        <v>198</v>
      </c>
      <c r="D198" s="31" t="s">
        <v>52</v>
      </c>
      <c r="E198" s="32">
        <v>42669</v>
      </c>
      <c r="F198" s="33">
        <v>42669</v>
      </c>
      <c r="G198" s="32">
        <v>42669</v>
      </c>
      <c r="H198" s="22" t="s">
        <v>104</v>
      </c>
      <c r="I198" s="23" t="s">
        <v>39</v>
      </c>
      <c r="J198" s="23" t="s">
        <v>39</v>
      </c>
      <c r="K198" s="22"/>
      <c r="L198" s="23" t="s">
        <v>39</v>
      </c>
      <c r="M198" s="23" t="s">
        <v>39</v>
      </c>
      <c r="N198" s="22"/>
      <c r="O198" s="22"/>
      <c r="P198" s="22"/>
      <c r="Q198" s="22"/>
      <c r="R198" s="23" t="s">
        <v>683</v>
      </c>
      <c r="S198" s="23" t="s">
        <v>39</v>
      </c>
      <c r="T198" s="23" t="s">
        <v>39</v>
      </c>
      <c r="U198" s="23" t="s">
        <v>39</v>
      </c>
      <c r="V198" s="22"/>
      <c r="W198" s="22"/>
      <c r="X198" s="22"/>
      <c r="Y198" s="22"/>
      <c r="Z198" s="22" t="s">
        <v>39</v>
      </c>
      <c r="AA198" s="22" t="s">
        <v>39</v>
      </c>
      <c r="AB198" s="1"/>
      <c r="AC198"/>
      <c r="AD198"/>
      <c r="AE198"/>
      <c r="AF198"/>
      <c r="AG198"/>
    </row>
    <row r="199" spans="1:33" ht="72" customHeight="1" x14ac:dyDescent="0.25">
      <c r="A199" s="17">
        <v>9759043</v>
      </c>
      <c r="B199" s="30">
        <v>1</v>
      </c>
      <c r="C199" s="17" t="s">
        <v>435</v>
      </c>
      <c r="D199" s="31" t="s">
        <v>52</v>
      </c>
      <c r="E199" s="32">
        <v>42669</v>
      </c>
      <c r="F199" s="33">
        <v>42669</v>
      </c>
      <c r="G199" s="32">
        <v>42669</v>
      </c>
      <c r="H199" s="22" t="s">
        <v>104</v>
      </c>
      <c r="I199" s="23" t="s">
        <v>39</v>
      </c>
      <c r="J199" s="23" t="s">
        <v>39</v>
      </c>
      <c r="K199" s="22"/>
      <c r="L199" s="23" t="s">
        <v>39</v>
      </c>
      <c r="M199" s="23" t="s">
        <v>39</v>
      </c>
      <c r="N199" s="22"/>
      <c r="O199" s="22"/>
      <c r="P199" s="22"/>
      <c r="Q199" s="22"/>
      <c r="R199" s="23" t="s">
        <v>683</v>
      </c>
      <c r="S199" s="23" t="s">
        <v>39</v>
      </c>
      <c r="T199" s="23" t="s">
        <v>39</v>
      </c>
      <c r="U199" s="23" t="s">
        <v>39</v>
      </c>
      <c r="V199" s="22"/>
      <c r="W199" s="22"/>
      <c r="X199" s="22"/>
      <c r="Y199" s="22"/>
      <c r="Z199" s="22" t="s">
        <v>39</v>
      </c>
      <c r="AA199" s="22" t="s">
        <v>39</v>
      </c>
      <c r="AB199" s="1"/>
      <c r="AC199"/>
      <c r="AD199"/>
      <c r="AE199"/>
      <c r="AF199"/>
      <c r="AG199"/>
    </row>
    <row r="200" spans="1:33" ht="72" customHeight="1" x14ac:dyDescent="0.25">
      <c r="A200" s="17">
        <v>9759044</v>
      </c>
      <c r="B200" s="30">
        <v>3</v>
      </c>
      <c r="C200" s="17" t="s">
        <v>156</v>
      </c>
      <c r="D200" s="31" t="s">
        <v>52</v>
      </c>
      <c r="E200" s="32">
        <v>42669</v>
      </c>
      <c r="F200" s="33">
        <v>42669</v>
      </c>
      <c r="G200" s="32">
        <v>42669</v>
      </c>
      <c r="H200" s="22" t="s">
        <v>104</v>
      </c>
      <c r="I200" s="23" t="s">
        <v>39</v>
      </c>
      <c r="J200" s="23" t="s">
        <v>39</v>
      </c>
      <c r="K200" s="22"/>
      <c r="L200" s="23" t="s">
        <v>39</v>
      </c>
      <c r="M200" s="23" t="s">
        <v>39</v>
      </c>
      <c r="N200" s="22"/>
      <c r="O200" s="22"/>
      <c r="P200" s="22"/>
      <c r="Q200" s="22"/>
      <c r="R200" s="23" t="s">
        <v>683</v>
      </c>
      <c r="S200" s="23" t="s">
        <v>39</v>
      </c>
      <c r="T200" s="23" t="s">
        <v>39</v>
      </c>
      <c r="U200" s="23" t="s">
        <v>39</v>
      </c>
      <c r="V200" s="22"/>
      <c r="W200" s="22"/>
      <c r="X200" s="22"/>
      <c r="Y200" s="22"/>
      <c r="Z200" s="22" t="s">
        <v>39</v>
      </c>
      <c r="AA200" s="22" t="s">
        <v>39</v>
      </c>
      <c r="AB200" s="1"/>
      <c r="AC200"/>
      <c r="AD200"/>
      <c r="AE200"/>
      <c r="AF200"/>
      <c r="AG200"/>
    </row>
    <row r="201" spans="1:33" ht="72" customHeight="1" x14ac:dyDescent="0.25">
      <c r="A201" s="17">
        <v>9759045</v>
      </c>
      <c r="B201" s="30">
        <v>1</v>
      </c>
      <c r="C201" s="17" t="s">
        <v>437</v>
      </c>
      <c r="D201" s="31" t="s">
        <v>52</v>
      </c>
      <c r="E201" s="32">
        <v>42669</v>
      </c>
      <c r="F201" s="33">
        <v>42669</v>
      </c>
      <c r="G201" s="32">
        <v>42669</v>
      </c>
      <c r="H201" s="22" t="s">
        <v>104</v>
      </c>
      <c r="I201" s="23" t="s">
        <v>39</v>
      </c>
      <c r="J201" s="23" t="s">
        <v>39</v>
      </c>
      <c r="K201" s="22"/>
      <c r="L201" s="23" t="s">
        <v>39</v>
      </c>
      <c r="M201" s="23" t="s">
        <v>39</v>
      </c>
      <c r="N201" s="22"/>
      <c r="O201" s="22"/>
      <c r="P201" s="22"/>
      <c r="Q201" s="22"/>
      <c r="R201" s="23" t="s">
        <v>683</v>
      </c>
      <c r="S201" s="23" t="s">
        <v>39</v>
      </c>
      <c r="T201" s="23" t="s">
        <v>39</v>
      </c>
      <c r="U201" s="23" t="s">
        <v>39</v>
      </c>
      <c r="V201" s="22"/>
      <c r="W201" s="22"/>
      <c r="X201" s="22"/>
      <c r="Y201" s="22"/>
      <c r="Z201" s="22" t="s">
        <v>39</v>
      </c>
      <c r="AA201" s="22" t="s">
        <v>39</v>
      </c>
      <c r="AB201" s="1"/>
      <c r="AC201"/>
      <c r="AD201"/>
      <c r="AE201"/>
      <c r="AF201"/>
      <c r="AG201"/>
    </row>
    <row r="202" spans="1:33" ht="72" customHeight="1" x14ac:dyDescent="0.25">
      <c r="A202" s="17">
        <v>9759046</v>
      </c>
      <c r="B202" s="30">
        <v>3</v>
      </c>
      <c r="C202" s="17" t="s">
        <v>438</v>
      </c>
      <c r="D202" s="31" t="s">
        <v>52</v>
      </c>
      <c r="E202" s="32">
        <v>42669</v>
      </c>
      <c r="F202" s="33">
        <v>42669</v>
      </c>
      <c r="G202" s="32">
        <v>42669</v>
      </c>
      <c r="H202" s="22" t="s">
        <v>104</v>
      </c>
      <c r="I202" s="23" t="s">
        <v>39</v>
      </c>
      <c r="J202" s="23" t="s">
        <v>39</v>
      </c>
      <c r="K202" s="22"/>
      <c r="L202" s="23" t="s">
        <v>39</v>
      </c>
      <c r="M202" s="23" t="s">
        <v>39</v>
      </c>
      <c r="N202" s="22"/>
      <c r="O202" s="22"/>
      <c r="P202" s="22"/>
      <c r="Q202" s="22"/>
      <c r="R202" s="23" t="s">
        <v>683</v>
      </c>
      <c r="S202" s="23" t="s">
        <v>39</v>
      </c>
      <c r="T202" s="23" t="s">
        <v>39</v>
      </c>
      <c r="U202" s="23" t="s">
        <v>39</v>
      </c>
      <c r="V202" s="22"/>
      <c r="W202" s="22"/>
      <c r="X202" s="22"/>
      <c r="Y202" s="22"/>
      <c r="Z202" s="22" t="s">
        <v>39</v>
      </c>
      <c r="AA202" s="22" t="s">
        <v>39</v>
      </c>
      <c r="AB202" s="1"/>
      <c r="AC202"/>
      <c r="AD202"/>
      <c r="AE202"/>
      <c r="AF202"/>
      <c r="AG202"/>
    </row>
    <row r="203" spans="1:33" ht="72" customHeight="1" x14ac:dyDescent="0.25">
      <c r="A203" s="17">
        <v>9759047</v>
      </c>
      <c r="B203" s="30">
        <v>15</v>
      </c>
      <c r="C203" s="17" t="s">
        <v>439</v>
      </c>
      <c r="D203" s="31" t="s">
        <v>52</v>
      </c>
      <c r="E203" s="32">
        <v>42669</v>
      </c>
      <c r="F203" s="33">
        <v>42669</v>
      </c>
      <c r="G203" s="32">
        <v>42669</v>
      </c>
      <c r="H203" s="22" t="s">
        <v>104</v>
      </c>
      <c r="I203" s="23" t="s">
        <v>39</v>
      </c>
      <c r="J203" s="23" t="s">
        <v>39</v>
      </c>
      <c r="K203" s="22"/>
      <c r="L203" s="23" t="s">
        <v>39</v>
      </c>
      <c r="M203" s="23" t="s">
        <v>39</v>
      </c>
      <c r="N203" s="22"/>
      <c r="O203" s="22"/>
      <c r="P203" s="22"/>
      <c r="Q203" s="22"/>
      <c r="R203" s="23" t="s">
        <v>683</v>
      </c>
      <c r="S203" s="23" t="s">
        <v>39</v>
      </c>
      <c r="T203" s="23" t="s">
        <v>39</v>
      </c>
      <c r="U203" s="23" t="s">
        <v>39</v>
      </c>
      <c r="V203" s="22"/>
      <c r="W203" s="22"/>
      <c r="X203" s="22"/>
      <c r="Y203" s="22"/>
      <c r="Z203" s="22" t="s">
        <v>39</v>
      </c>
      <c r="AA203" s="22" t="s">
        <v>39</v>
      </c>
      <c r="AB203" s="1"/>
      <c r="AC203"/>
      <c r="AD203"/>
      <c r="AE203"/>
      <c r="AF203"/>
      <c r="AG203"/>
    </row>
    <row r="204" spans="1:33" ht="72" customHeight="1" x14ac:dyDescent="0.25">
      <c r="A204" s="17">
        <v>9759048</v>
      </c>
      <c r="B204" s="30">
        <v>1</v>
      </c>
      <c r="C204" s="17" t="s">
        <v>440</v>
      </c>
      <c r="D204" s="31" t="s">
        <v>52</v>
      </c>
      <c r="E204" s="32">
        <v>42669</v>
      </c>
      <c r="F204" s="33">
        <v>42669</v>
      </c>
      <c r="G204" s="32">
        <v>42669</v>
      </c>
      <c r="H204" s="22" t="s">
        <v>104</v>
      </c>
      <c r="I204" s="23" t="s">
        <v>39</v>
      </c>
      <c r="J204" s="23" t="s">
        <v>39</v>
      </c>
      <c r="K204" s="22"/>
      <c r="L204" s="23" t="s">
        <v>39</v>
      </c>
      <c r="M204" s="23" t="s">
        <v>39</v>
      </c>
      <c r="N204" s="22"/>
      <c r="O204" s="22"/>
      <c r="P204" s="22"/>
      <c r="Q204" s="22"/>
      <c r="R204" s="23" t="s">
        <v>683</v>
      </c>
      <c r="S204" s="23" t="s">
        <v>39</v>
      </c>
      <c r="T204" s="23" t="s">
        <v>39</v>
      </c>
      <c r="U204" s="23" t="s">
        <v>39</v>
      </c>
      <c r="V204" s="22"/>
      <c r="W204" s="22"/>
      <c r="X204" s="22"/>
      <c r="Y204" s="22"/>
      <c r="Z204" s="22" t="s">
        <v>39</v>
      </c>
      <c r="AA204" s="22" t="s">
        <v>39</v>
      </c>
      <c r="AB204" s="1"/>
      <c r="AC204"/>
      <c r="AD204"/>
      <c r="AE204"/>
      <c r="AF204"/>
      <c r="AG204"/>
    </row>
    <row r="205" spans="1:33" ht="72" customHeight="1" x14ac:dyDescent="0.25">
      <c r="A205" s="17">
        <v>9759049</v>
      </c>
      <c r="B205" s="30">
        <v>1</v>
      </c>
      <c r="C205" s="17" t="s">
        <v>159</v>
      </c>
      <c r="D205" s="31" t="s">
        <v>52</v>
      </c>
      <c r="E205" s="32">
        <v>42669</v>
      </c>
      <c r="F205" s="33">
        <v>42669</v>
      </c>
      <c r="G205" s="32">
        <v>42669</v>
      </c>
      <c r="H205" s="22" t="s">
        <v>104</v>
      </c>
      <c r="I205" s="23" t="s">
        <v>39</v>
      </c>
      <c r="J205" s="23" t="s">
        <v>39</v>
      </c>
      <c r="K205" s="22"/>
      <c r="L205" s="23" t="s">
        <v>39</v>
      </c>
      <c r="M205" s="23" t="s">
        <v>39</v>
      </c>
      <c r="N205" s="22"/>
      <c r="O205" s="22"/>
      <c r="P205" s="22"/>
      <c r="Q205" s="22"/>
      <c r="R205" s="23" t="s">
        <v>683</v>
      </c>
      <c r="S205" s="23" t="s">
        <v>39</v>
      </c>
      <c r="T205" s="23" t="s">
        <v>39</v>
      </c>
      <c r="U205" s="23" t="s">
        <v>39</v>
      </c>
      <c r="V205" s="22"/>
      <c r="W205" s="22"/>
      <c r="X205" s="22"/>
      <c r="Y205" s="22"/>
      <c r="Z205" s="22" t="s">
        <v>39</v>
      </c>
      <c r="AA205" s="22" t="s">
        <v>39</v>
      </c>
      <c r="AB205" s="1"/>
      <c r="AC205"/>
      <c r="AD205"/>
      <c r="AE205"/>
      <c r="AF205"/>
      <c r="AG205"/>
    </row>
    <row r="206" spans="1:33" ht="72" customHeight="1" x14ac:dyDescent="0.25">
      <c r="A206" s="17">
        <v>9759050</v>
      </c>
      <c r="B206" s="30">
        <v>1</v>
      </c>
      <c r="C206" s="17" t="s">
        <v>158</v>
      </c>
      <c r="D206" s="31" t="s">
        <v>52</v>
      </c>
      <c r="E206" s="32">
        <v>42669</v>
      </c>
      <c r="F206" s="33">
        <v>42669</v>
      </c>
      <c r="G206" s="32">
        <v>42669</v>
      </c>
      <c r="H206" s="22" t="s">
        <v>104</v>
      </c>
      <c r="I206" s="23" t="s">
        <v>39</v>
      </c>
      <c r="J206" s="23" t="s">
        <v>39</v>
      </c>
      <c r="K206" s="22"/>
      <c r="L206" s="23" t="s">
        <v>39</v>
      </c>
      <c r="M206" s="23" t="s">
        <v>39</v>
      </c>
      <c r="N206" s="22"/>
      <c r="O206" s="22"/>
      <c r="P206" s="22"/>
      <c r="Q206" s="22"/>
      <c r="R206" s="23" t="s">
        <v>683</v>
      </c>
      <c r="S206" s="23" t="s">
        <v>39</v>
      </c>
      <c r="T206" s="23" t="s">
        <v>39</v>
      </c>
      <c r="U206" s="23" t="s">
        <v>39</v>
      </c>
      <c r="V206" s="22"/>
      <c r="W206" s="22"/>
      <c r="X206" s="22"/>
      <c r="Y206" s="22"/>
      <c r="Z206" s="22" t="s">
        <v>39</v>
      </c>
      <c r="AA206" s="22" t="s">
        <v>39</v>
      </c>
      <c r="AB206" s="1"/>
      <c r="AC206"/>
      <c r="AD206"/>
      <c r="AE206"/>
      <c r="AF206"/>
      <c r="AG206"/>
    </row>
    <row r="207" spans="1:33" ht="72" customHeight="1" x14ac:dyDescent="0.25">
      <c r="A207" s="17">
        <v>9759051</v>
      </c>
      <c r="B207" s="30">
        <v>1</v>
      </c>
      <c r="C207" s="17" t="s">
        <v>441</v>
      </c>
      <c r="D207" s="31" t="s">
        <v>52</v>
      </c>
      <c r="E207" s="32">
        <v>42669</v>
      </c>
      <c r="F207" s="33">
        <v>42669</v>
      </c>
      <c r="G207" s="32">
        <v>42669</v>
      </c>
      <c r="H207" s="22" t="s">
        <v>104</v>
      </c>
      <c r="I207" s="23" t="s">
        <v>39</v>
      </c>
      <c r="J207" s="23" t="s">
        <v>39</v>
      </c>
      <c r="K207" s="22"/>
      <c r="L207" s="23" t="s">
        <v>39</v>
      </c>
      <c r="M207" s="23" t="s">
        <v>39</v>
      </c>
      <c r="N207" s="22"/>
      <c r="O207" s="22"/>
      <c r="P207" s="22"/>
      <c r="Q207" s="22"/>
      <c r="R207" s="23" t="s">
        <v>683</v>
      </c>
      <c r="S207" s="23" t="s">
        <v>39</v>
      </c>
      <c r="T207" s="23" t="s">
        <v>39</v>
      </c>
      <c r="U207" s="23" t="s">
        <v>39</v>
      </c>
      <c r="V207" s="22"/>
      <c r="W207" s="22"/>
      <c r="X207" s="22"/>
      <c r="Y207" s="22"/>
      <c r="Z207" s="22" t="s">
        <v>39</v>
      </c>
      <c r="AA207" s="22" t="s">
        <v>39</v>
      </c>
      <c r="AB207" s="1"/>
      <c r="AC207"/>
      <c r="AD207"/>
      <c r="AE207"/>
      <c r="AF207"/>
      <c r="AG207"/>
    </row>
    <row r="208" spans="1:33" ht="72" customHeight="1" x14ac:dyDescent="0.25">
      <c r="A208" s="17">
        <v>9759052</v>
      </c>
      <c r="B208" s="30">
        <v>1</v>
      </c>
      <c r="C208" s="17" t="s">
        <v>434</v>
      </c>
      <c r="D208" s="31" t="s">
        <v>52</v>
      </c>
      <c r="E208" s="32">
        <v>42669</v>
      </c>
      <c r="F208" s="33">
        <v>42669</v>
      </c>
      <c r="G208" s="32">
        <v>42669</v>
      </c>
      <c r="H208" s="22" t="s">
        <v>104</v>
      </c>
      <c r="I208" s="23" t="s">
        <v>39</v>
      </c>
      <c r="J208" s="23" t="s">
        <v>39</v>
      </c>
      <c r="K208" s="22"/>
      <c r="L208" s="23" t="s">
        <v>39</v>
      </c>
      <c r="M208" s="23" t="s">
        <v>39</v>
      </c>
      <c r="N208" s="22"/>
      <c r="O208" s="22"/>
      <c r="P208" s="22"/>
      <c r="Q208" s="22"/>
      <c r="R208" s="23" t="s">
        <v>683</v>
      </c>
      <c r="S208" s="23" t="s">
        <v>39</v>
      </c>
      <c r="T208" s="23" t="s">
        <v>39</v>
      </c>
      <c r="U208" s="23" t="s">
        <v>39</v>
      </c>
      <c r="V208" s="22"/>
      <c r="W208" s="22"/>
      <c r="X208" s="22"/>
      <c r="Y208" s="22"/>
      <c r="Z208" s="22" t="s">
        <v>39</v>
      </c>
      <c r="AA208" s="22" t="s">
        <v>39</v>
      </c>
      <c r="AB208" s="1"/>
      <c r="AC208"/>
      <c r="AD208"/>
      <c r="AE208"/>
      <c r="AF208"/>
      <c r="AG208"/>
    </row>
    <row r="209" spans="1:33" ht="72" customHeight="1" x14ac:dyDescent="0.25">
      <c r="A209" s="17">
        <v>9759053</v>
      </c>
      <c r="B209" s="30">
        <v>1</v>
      </c>
      <c r="C209" s="17" t="s">
        <v>253</v>
      </c>
      <c r="D209" s="31" t="s">
        <v>52</v>
      </c>
      <c r="E209" s="32">
        <v>42669</v>
      </c>
      <c r="F209" s="33">
        <v>42669</v>
      </c>
      <c r="G209" s="32">
        <v>42669</v>
      </c>
      <c r="H209" s="22" t="s">
        <v>104</v>
      </c>
      <c r="I209" s="23" t="s">
        <v>39</v>
      </c>
      <c r="J209" s="23" t="s">
        <v>39</v>
      </c>
      <c r="K209" s="22"/>
      <c r="L209" s="23" t="s">
        <v>39</v>
      </c>
      <c r="M209" s="23" t="s">
        <v>39</v>
      </c>
      <c r="N209" s="22"/>
      <c r="O209" s="22"/>
      <c r="P209" s="22"/>
      <c r="Q209" s="22"/>
      <c r="R209" s="23" t="s">
        <v>683</v>
      </c>
      <c r="S209" s="23" t="s">
        <v>39</v>
      </c>
      <c r="T209" s="23" t="s">
        <v>39</v>
      </c>
      <c r="U209" s="23" t="s">
        <v>39</v>
      </c>
      <c r="V209" s="22"/>
      <c r="W209" s="22"/>
      <c r="X209" s="22"/>
      <c r="Y209" s="22"/>
      <c r="Z209" s="22" t="s">
        <v>39</v>
      </c>
      <c r="AA209" s="22" t="s">
        <v>39</v>
      </c>
      <c r="AB209" s="1"/>
      <c r="AC209"/>
      <c r="AD209"/>
      <c r="AE209"/>
      <c r="AF209"/>
      <c r="AG209"/>
    </row>
    <row r="210" spans="1:33" ht="72" customHeight="1" x14ac:dyDescent="0.25">
      <c r="A210" s="17">
        <v>9759055</v>
      </c>
      <c r="B210" s="30">
        <v>3</v>
      </c>
      <c r="C210" s="17" t="s">
        <v>448</v>
      </c>
      <c r="D210" s="31" t="s">
        <v>52</v>
      </c>
      <c r="E210" s="32">
        <v>42669</v>
      </c>
      <c r="F210" s="33">
        <v>42669</v>
      </c>
      <c r="G210" s="32">
        <v>42669</v>
      </c>
      <c r="H210" s="22" t="s">
        <v>104</v>
      </c>
      <c r="I210" s="23" t="s">
        <v>39</v>
      </c>
      <c r="J210" s="23" t="s">
        <v>39</v>
      </c>
      <c r="K210" s="22"/>
      <c r="L210" s="23" t="s">
        <v>39</v>
      </c>
      <c r="M210" s="23" t="s">
        <v>39</v>
      </c>
      <c r="N210" s="22"/>
      <c r="O210" s="22"/>
      <c r="P210" s="22"/>
      <c r="Q210" s="22"/>
      <c r="R210" s="23" t="s">
        <v>683</v>
      </c>
      <c r="S210" s="23" t="s">
        <v>39</v>
      </c>
      <c r="T210" s="23" t="s">
        <v>39</v>
      </c>
      <c r="U210" s="23" t="s">
        <v>39</v>
      </c>
      <c r="V210" s="22"/>
      <c r="W210" s="22"/>
      <c r="X210" s="22"/>
      <c r="Y210" s="22"/>
      <c r="Z210" s="22" t="s">
        <v>39</v>
      </c>
      <c r="AA210" s="22" t="s">
        <v>39</v>
      </c>
      <c r="AB210" s="1"/>
      <c r="AC210"/>
      <c r="AD210"/>
      <c r="AE210"/>
      <c r="AF210"/>
      <c r="AG210"/>
    </row>
    <row r="211" spans="1:33" ht="72" customHeight="1" x14ac:dyDescent="0.25">
      <c r="A211" s="17">
        <v>9759060</v>
      </c>
      <c r="B211" s="30">
        <v>1</v>
      </c>
      <c r="C211" s="17" t="s">
        <v>445</v>
      </c>
      <c r="D211" s="31" t="s">
        <v>52</v>
      </c>
      <c r="E211" s="32">
        <v>42669</v>
      </c>
      <c r="F211" s="33">
        <v>42669</v>
      </c>
      <c r="G211" s="32">
        <v>42669</v>
      </c>
      <c r="H211" s="22" t="s">
        <v>108</v>
      </c>
      <c r="I211" s="23" t="s">
        <v>371</v>
      </c>
      <c r="J211" s="23" t="s">
        <v>39</v>
      </c>
      <c r="K211" s="22"/>
      <c r="L211" s="23" t="s">
        <v>39</v>
      </c>
      <c r="M211" s="23" t="s">
        <v>39</v>
      </c>
      <c r="N211" s="22"/>
      <c r="O211" s="22"/>
      <c r="P211" s="22"/>
      <c r="Q211" s="22"/>
      <c r="R211" s="23" t="s">
        <v>634</v>
      </c>
      <c r="S211" s="23">
        <v>6900751</v>
      </c>
      <c r="T211" s="23" t="s">
        <v>294</v>
      </c>
      <c r="U211" s="23" t="s">
        <v>578</v>
      </c>
      <c r="V211" s="22"/>
      <c r="W211" s="22"/>
      <c r="X211" s="22"/>
      <c r="Y211" s="22"/>
      <c r="Z211" s="22" t="s">
        <v>39</v>
      </c>
      <c r="AA211" s="22" t="s">
        <v>39</v>
      </c>
      <c r="AB211" s="1"/>
      <c r="AC211"/>
      <c r="AD211"/>
      <c r="AE211"/>
      <c r="AF211"/>
      <c r="AG211"/>
    </row>
    <row r="212" spans="1:33" ht="72" customHeight="1" x14ac:dyDescent="0.25">
      <c r="A212" s="17">
        <v>9759061</v>
      </c>
      <c r="B212" s="30">
        <v>4</v>
      </c>
      <c r="C212" s="17" t="s">
        <v>449</v>
      </c>
      <c r="D212" s="31" t="s">
        <v>52</v>
      </c>
      <c r="E212" s="32">
        <v>42669</v>
      </c>
      <c r="F212" s="33">
        <v>42669</v>
      </c>
      <c r="G212" s="32">
        <v>42669</v>
      </c>
      <c r="H212" s="22" t="s">
        <v>104</v>
      </c>
      <c r="I212" s="23" t="s">
        <v>39</v>
      </c>
      <c r="J212" s="23" t="s">
        <v>39</v>
      </c>
      <c r="K212" s="22"/>
      <c r="L212" s="23" t="s">
        <v>39</v>
      </c>
      <c r="M212" s="23" t="s">
        <v>39</v>
      </c>
      <c r="N212" s="22"/>
      <c r="O212" s="22"/>
      <c r="P212" s="22"/>
      <c r="Q212" s="22"/>
      <c r="R212" s="23" t="s">
        <v>683</v>
      </c>
      <c r="S212" s="23" t="s">
        <v>39</v>
      </c>
      <c r="T212" s="23" t="s">
        <v>39</v>
      </c>
      <c r="U212" s="23" t="s">
        <v>39</v>
      </c>
      <c r="V212" s="22"/>
      <c r="W212" s="22"/>
      <c r="X212" s="22"/>
      <c r="Y212" s="22"/>
      <c r="Z212" s="22" t="s">
        <v>39</v>
      </c>
      <c r="AA212" s="22" t="s">
        <v>39</v>
      </c>
      <c r="AB212" s="1"/>
      <c r="AC212"/>
      <c r="AD212"/>
      <c r="AE212"/>
      <c r="AF212"/>
      <c r="AG212"/>
    </row>
    <row r="213" spans="1:33" ht="72" customHeight="1" x14ac:dyDescent="0.25">
      <c r="A213" s="17">
        <v>9759062</v>
      </c>
      <c r="B213" s="30">
        <v>1</v>
      </c>
      <c r="C213" s="17" t="s">
        <v>446</v>
      </c>
      <c r="D213" s="31" t="s">
        <v>52</v>
      </c>
      <c r="E213" s="32">
        <v>42669</v>
      </c>
      <c r="F213" s="33">
        <v>42669</v>
      </c>
      <c r="G213" s="32">
        <v>42669</v>
      </c>
      <c r="H213" s="22" t="s">
        <v>108</v>
      </c>
      <c r="I213" s="23" t="s">
        <v>371</v>
      </c>
      <c r="J213" s="23" t="s">
        <v>39</v>
      </c>
      <c r="K213" s="22"/>
      <c r="L213" s="23" t="s">
        <v>39</v>
      </c>
      <c r="M213" s="23" t="s">
        <v>39</v>
      </c>
      <c r="N213" s="22"/>
      <c r="O213" s="22"/>
      <c r="P213" s="22"/>
      <c r="Q213" s="22"/>
      <c r="R213" s="23" t="s">
        <v>634</v>
      </c>
      <c r="S213" s="23">
        <v>6900830</v>
      </c>
      <c r="T213" s="23" t="s">
        <v>294</v>
      </c>
      <c r="U213" s="23" t="s">
        <v>580</v>
      </c>
      <c r="V213" s="22"/>
      <c r="W213" s="22"/>
      <c r="X213" s="22"/>
      <c r="Y213" s="22"/>
      <c r="Z213" s="22" t="s">
        <v>39</v>
      </c>
      <c r="AA213" s="22" t="s">
        <v>39</v>
      </c>
      <c r="AB213" s="1"/>
      <c r="AC213"/>
      <c r="AD213"/>
      <c r="AE213"/>
      <c r="AF213"/>
      <c r="AG213"/>
    </row>
    <row r="214" spans="1:33" ht="72" customHeight="1" x14ac:dyDescent="0.25">
      <c r="A214" s="17">
        <v>9759063</v>
      </c>
      <c r="B214" s="30">
        <v>2</v>
      </c>
      <c r="C214" s="17" t="s">
        <v>443</v>
      </c>
      <c r="D214" s="31" t="s">
        <v>52</v>
      </c>
      <c r="E214" s="32">
        <v>42669</v>
      </c>
      <c r="F214" s="33">
        <v>42669</v>
      </c>
      <c r="G214" s="32">
        <v>42669</v>
      </c>
      <c r="H214" s="22" t="s">
        <v>104</v>
      </c>
      <c r="I214" s="23" t="s">
        <v>39</v>
      </c>
      <c r="J214" s="23" t="s">
        <v>39</v>
      </c>
      <c r="K214" s="22"/>
      <c r="L214" s="23" t="s">
        <v>39</v>
      </c>
      <c r="M214" s="23" t="s">
        <v>39</v>
      </c>
      <c r="N214" s="22"/>
      <c r="O214" s="22"/>
      <c r="P214" s="22"/>
      <c r="Q214" s="22"/>
      <c r="R214" s="23" t="s">
        <v>683</v>
      </c>
      <c r="S214" s="23" t="s">
        <v>39</v>
      </c>
      <c r="T214" s="23" t="s">
        <v>39</v>
      </c>
      <c r="U214" s="23" t="s">
        <v>39</v>
      </c>
      <c r="V214" s="22"/>
      <c r="W214" s="22"/>
      <c r="X214" s="22"/>
      <c r="Y214" s="22"/>
      <c r="Z214" s="22" t="s">
        <v>39</v>
      </c>
      <c r="AA214" s="22" t="s">
        <v>39</v>
      </c>
      <c r="AB214" s="1"/>
      <c r="AC214"/>
      <c r="AD214"/>
      <c r="AE214"/>
      <c r="AF214"/>
      <c r="AG214"/>
    </row>
    <row r="215" spans="1:33" ht="72" customHeight="1" x14ac:dyDescent="0.25">
      <c r="A215" s="17">
        <v>9759064</v>
      </c>
      <c r="B215" s="30">
        <v>1</v>
      </c>
      <c r="C215" s="17" t="s">
        <v>444</v>
      </c>
      <c r="D215" s="31" t="s">
        <v>52</v>
      </c>
      <c r="E215" s="32">
        <v>42669</v>
      </c>
      <c r="F215" s="33">
        <v>42669</v>
      </c>
      <c r="G215" s="32">
        <v>42669</v>
      </c>
      <c r="H215" s="22" t="s">
        <v>104</v>
      </c>
      <c r="I215" s="23" t="s">
        <v>39</v>
      </c>
      <c r="J215" s="23" t="s">
        <v>39</v>
      </c>
      <c r="K215" s="22"/>
      <c r="L215" s="23" t="s">
        <v>39</v>
      </c>
      <c r="M215" s="23" t="s">
        <v>39</v>
      </c>
      <c r="N215" s="22"/>
      <c r="O215" s="22"/>
      <c r="P215" s="22"/>
      <c r="Q215" s="22"/>
      <c r="R215" s="23" t="s">
        <v>683</v>
      </c>
      <c r="S215" s="23" t="s">
        <v>39</v>
      </c>
      <c r="T215" s="23" t="s">
        <v>39</v>
      </c>
      <c r="U215" s="23" t="s">
        <v>39</v>
      </c>
      <c r="V215" s="22"/>
      <c r="W215" s="22"/>
      <c r="X215" s="22"/>
      <c r="Y215" s="22"/>
      <c r="Z215" s="22" t="s">
        <v>39</v>
      </c>
      <c r="AA215" s="22" t="s">
        <v>39</v>
      </c>
      <c r="AB215" s="1"/>
      <c r="AC215"/>
      <c r="AD215"/>
      <c r="AE215"/>
      <c r="AF215"/>
      <c r="AG215"/>
    </row>
    <row r="216" spans="1:33" ht="72" customHeight="1" x14ac:dyDescent="0.25">
      <c r="A216" s="17">
        <v>9759065</v>
      </c>
      <c r="B216" s="30">
        <v>23</v>
      </c>
      <c r="C216" s="17" t="s">
        <v>451</v>
      </c>
      <c r="D216" s="31" t="s">
        <v>349</v>
      </c>
      <c r="E216" s="32">
        <v>42669</v>
      </c>
      <c r="F216" s="33">
        <v>42669</v>
      </c>
      <c r="G216" s="32">
        <v>42669</v>
      </c>
      <c r="H216" s="22" t="s">
        <v>104</v>
      </c>
      <c r="I216" s="23" t="s">
        <v>39</v>
      </c>
      <c r="J216" s="23" t="s">
        <v>39</v>
      </c>
      <c r="K216" s="22"/>
      <c r="L216" s="23" t="s">
        <v>39</v>
      </c>
      <c r="M216" s="23" t="s">
        <v>39</v>
      </c>
      <c r="N216" s="22"/>
      <c r="O216" s="22"/>
      <c r="P216" s="22"/>
      <c r="Q216" s="22"/>
      <c r="R216" s="23" t="s">
        <v>683</v>
      </c>
      <c r="S216" s="23" t="s">
        <v>39</v>
      </c>
      <c r="T216" s="23" t="s">
        <v>39</v>
      </c>
      <c r="U216" s="23" t="s">
        <v>39</v>
      </c>
      <c r="V216" s="22"/>
      <c r="W216" s="22"/>
      <c r="X216" s="22"/>
      <c r="Y216" s="22"/>
      <c r="Z216" s="22" t="s">
        <v>39</v>
      </c>
      <c r="AA216" s="22" t="s">
        <v>39</v>
      </c>
      <c r="AB216" s="1"/>
      <c r="AC216"/>
      <c r="AD216"/>
      <c r="AE216"/>
      <c r="AF216"/>
      <c r="AG216"/>
    </row>
    <row r="217" spans="1:33" ht="72" customHeight="1" x14ac:dyDescent="0.25">
      <c r="A217" s="17">
        <v>9759066</v>
      </c>
      <c r="B217" s="30">
        <v>21</v>
      </c>
      <c r="C217" s="17" t="s">
        <v>452</v>
      </c>
      <c r="D217" s="31" t="s">
        <v>349</v>
      </c>
      <c r="E217" s="32">
        <v>42669</v>
      </c>
      <c r="F217" s="33">
        <v>42669</v>
      </c>
      <c r="G217" s="32">
        <v>42669</v>
      </c>
      <c r="H217" s="22" t="s">
        <v>104</v>
      </c>
      <c r="I217" s="23" t="s">
        <v>39</v>
      </c>
      <c r="J217" s="23" t="s">
        <v>39</v>
      </c>
      <c r="K217" s="22"/>
      <c r="L217" s="23" t="s">
        <v>39</v>
      </c>
      <c r="M217" s="23" t="s">
        <v>39</v>
      </c>
      <c r="N217" s="22"/>
      <c r="O217" s="22"/>
      <c r="P217" s="22"/>
      <c r="Q217" s="22"/>
      <c r="R217" s="23" t="s">
        <v>683</v>
      </c>
      <c r="S217" s="23" t="s">
        <v>39</v>
      </c>
      <c r="T217" s="23" t="s">
        <v>39</v>
      </c>
      <c r="U217" s="23" t="s">
        <v>39</v>
      </c>
      <c r="V217" s="22"/>
      <c r="W217" s="22"/>
      <c r="X217" s="22"/>
      <c r="Y217" s="22"/>
      <c r="Z217" s="22" t="s">
        <v>39</v>
      </c>
      <c r="AA217" s="22" t="s">
        <v>39</v>
      </c>
      <c r="AB217" s="1"/>
      <c r="AC217"/>
      <c r="AD217"/>
      <c r="AE217"/>
      <c r="AF217"/>
      <c r="AG217"/>
    </row>
    <row r="218" spans="1:33" ht="72" customHeight="1" x14ac:dyDescent="0.25">
      <c r="A218" s="17">
        <v>9759067</v>
      </c>
      <c r="B218" s="30">
        <v>23</v>
      </c>
      <c r="C218" s="17" t="s">
        <v>450</v>
      </c>
      <c r="D218" s="31" t="s">
        <v>349</v>
      </c>
      <c r="E218" s="32">
        <v>42669</v>
      </c>
      <c r="F218" s="33">
        <v>42669</v>
      </c>
      <c r="G218" s="32">
        <v>42669</v>
      </c>
      <c r="H218" s="22" t="s">
        <v>104</v>
      </c>
      <c r="I218" s="23" t="s">
        <v>39</v>
      </c>
      <c r="J218" s="23" t="s">
        <v>39</v>
      </c>
      <c r="K218" s="22"/>
      <c r="L218" s="23" t="s">
        <v>39</v>
      </c>
      <c r="M218" s="23" t="s">
        <v>39</v>
      </c>
      <c r="N218" s="22"/>
      <c r="O218" s="22"/>
      <c r="P218" s="22"/>
      <c r="Q218" s="22"/>
      <c r="R218" s="23" t="s">
        <v>683</v>
      </c>
      <c r="S218" s="23" t="s">
        <v>39</v>
      </c>
      <c r="T218" s="23" t="s">
        <v>39</v>
      </c>
      <c r="U218" s="23" t="s">
        <v>39</v>
      </c>
      <c r="V218" s="22"/>
      <c r="W218" s="22"/>
      <c r="X218" s="22"/>
      <c r="Y218" s="22"/>
      <c r="Z218" s="22" t="s">
        <v>39</v>
      </c>
      <c r="AA218" s="22" t="s">
        <v>39</v>
      </c>
      <c r="AB218" s="1"/>
      <c r="AC218"/>
      <c r="AD218"/>
      <c r="AE218"/>
      <c r="AF218"/>
      <c r="AG218"/>
    </row>
    <row r="219" spans="1:33" ht="72" customHeight="1" x14ac:dyDescent="0.25">
      <c r="A219" s="17">
        <v>9759139</v>
      </c>
      <c r="B219" s="30">
        <v>1</v>
      </c>
      <c r="C219" s="17" t="s">
        <v>149</v>
      </c>
      <c r="D219" s="31" t="s">
        <v>11</v>
      </c>
      <c r="E219" s="32">
        <v>42669</v>
      </c>
      <c r="F219" s="33">
        <v>42669</v>
      </c>
      <c r="G219" s="32">
        <v>42669</v>
      </c>
      <c r="H219" s="22" t="s">
        <v>108</v>
      </c>
      <c r="I219" s="23" t="s">
        <v>223</v>
      </c>
      <c r="J219" s="23" t="s">
        <v>39</v>
      </c>
      <c r="K219" s="22"/>
      <c r="L219" s="23" t="s">
        <v>39</v>
      </c>
      <c r="M219" s="23" t="s">
        <v>39</v>
      </c>
      <c r="N219" s="22"/>
      <c r="O219" s="22"/>
      <c r="P219" s="22"/>
      <c r="Q219" s="22"/>
      <c r="R219" s="23" t="s">
        <v>634</v>
      </c>
      <c r="S219" s="23">
        <v>20115533</v>
      </c>
      <c r="T219" s="23" t="s">
        <v>294</v>
      </c>
      <c r="U219" s="23" t="s">
        <v>535</v>
      </c>
      <c r="V219" s="22"/>
      <c r="W219" s="22"/>
      <c r="X219" s="22"/>
      <c r="Y219" s="22"/>
      <c r="Z219" s="22" t="s">
        <v>39</v>
      </c>
      <c r="AA219" s="22" t="s">
        <v>39</v>
      </c>
      <c r="AB219" s="1"/>
      <c r="AC219"/>
      <c r="AD219"/>
      <c r="AE219"/>
      <c r="AF219"/>
      <c r="AG219"/>
    </row>
    <row r="220" spans="1:33" ht="72" customHeight="1" x14ac:dyDescent="0.25">
      <c r="A220" s="17">
        <v>9759141</v>
      </c>
      <c r="B220" s="30">
        <v>1</v>
      </c>
      <c r="C220" s="17" t="s">
        <v>150</v>
      </c>
      <c r="D220" s="31" t="s">
        <v>11</v>
      </c>
      <c r="E220" s="32">
        <v>42669</v>
      </c>
      <c r="F220" s="33">
        <v>42669</v>
      </c>
      <c r="G220" s="32">
        <v>42669</v>
      </c>
      <c r="H220" s="22" t="s">
        <v>108</v>
      </c>
      <c r="I220" s="23" t="s">
        <v>223</v>
      </c>
      <c r="J220" s="23" t="s">
        <v>39</v>
      </c>
      <c r="K220" s="22"/>
      <c r="L220" s="23" t="s">
        <v>39</v>
      </c>
      <c r="M220" s="23" t="s">
        <v>39</v>
      </c>
      <c r="N220" s="22"/>
      <c r="O220" s="22"/>
      <c r="P220" s="22"/>
      <c r="Q220" s="22"/>
      <c r="R220" s="23" t="s">
        <v>634</v>
      </c>
      <c r="S220" s="23">
        <v>20116069</v>
      </c>
      <c r="T220" s="23" t="s">
        <v>294</v>
      </c>
      <c r="U220" s="23" t="s">
        <v>536</v>
      </c>
      <c r="V220" s="22"/>
      <c r="W220" s="22"/>
      <c r="X220" s="22"/>
      <c r="Y220" s="22"/>
      <c r="Z220" s="22" t="s">
        <v>39</v>
      </c>
      <c r="AA220" s="22" t="s">
        <v>39</v>
      </c>
      <c r="AB220" s="1"/>
      <c r="AC220"/>
      <c r="AD220"/>
      <c r="AE220"/>
      <c r="AF220"/>
      <c r="AG220"/>
    </row>
    <row r="221" spans="1:33" ht="72" customHeight="1" x14ac:dyDescent="0.25">
      <c r="A221" s="17">
        <v>9759142</v>
      </c>
      <c r="B221" s="30">
        <v>1</v>
      </c>
      <c r="C221" s="17" t="s">
        <v>151</v>
      </c>
      <c r="D221" s="31" t="s">
        <v>11</v>
      </c>
      <c r="E221" s="32">
        <v>42669</v>
      </c>
      <c r="F221" s="33">
        <v>42669</v>
      </c>
      <c r="G221" s="32">
        <v>42669</v>
      </c>
      <c r="H221" s="22" t="s">
        <v>108</v>
      </c>
      <c r="I221" s="23" t="s">
        <v>223</v>
      </c>
      <c r="J221" s="23" t="s">
        <v>39</v>
      </c>
      <c r="K221" s="22"/>
      <c r="L221" s="23" t="s">
        <v>39</v>
      </c>
      <c r="M221" s="23" t="s">
        <v>39</v>
      </c>
      <c r="N221" s="22"/>
      <c r="O221" s="22"/>
      <c r="P221" s="22"/>
      <c r="Q221" s="22"/>
      <c r="R221" s="23" t="s">
        <v>634</v>
      </c>
      <c r="S221" s="23">
        <v>20116775</v>
      </c>
      <c r="T221" s="23" t="s">
        <v>294</v>
      </c>
      <c r="U221" s="23" t="s">
        <v>537</v>
      </c>
      <c r="V221" s="22"/>
      <c r="W221" s="22"/>
      <c r="X221" s="22"/>
      <c r="Y221" s="22"/>
      <c r="Z221" s="22" t="s">
        <v>39</v>
      </c>
      <c r="AA221" s="22" t="s">
        <v>39</v>
      </c>
      <c r="AB221" s="1"/>
      <c r="AC221"/>
      <c r="AD221"/>
      <c r="AE221"/>
      <c r="AF221"/>
      <c r="AG221"/>
    </row>
    <row r="222" spans="1:33" ht="72" customHeight="1" x14ac:dyDescent="0.25">
      <c r="A222" s="17">
        <v>9759143</v>
      </c>
      <c r="B222" s="30">
        <v>2</v>
      </c>
      <c r="C222" s="17" t="s">
        <v>185</v>
      </c>
      <c r="D222" s="31" t="s">
        <v>11</v>
      </c>
      <c r="E222" s="32">
        <v>42669</v>
      </c>
      <c r="F222" s="33">
        <v>42669</v>
      </c>
      <c r="G222" s="32">
        <v>42669</v>
      </c>
      <c r="H222" s="22" t="s">
        <v>108</v>
      </c>
      <c r="I222" s="23" t="s">
        <v>223</v>
      </c>
      <c r="J222" s="23" t="s">
        <v>39</v>
      </c>
      <c r="K222" s="22"/>
      <c r="L222" s="23" t="s">
        <v>39</v>
      </c>
      <c r="M222" s="23" t="s">
        <v>39</v>
      </c>
      <c r="N222" s="22"/>
      <c r="O222" s="22"/>
      <c r="P222" s="22"/>
      <c r="Q222" s="22"/>
      <c r="R222" s="23" t="s">
        <v>634</v>
      </c>
      <c r="S222" s="23">
        <v>20117173</v>
      </c>
      <c r="T222" s="23" t="s">
        <v>294</v>
      </c>
      <c r="U222" s="23" t="s">
        <v>538</v>
      </c>
      <c r="V222" s="22"/>
      <c r="W222" s="22"/>
      <c r="X222" s="22"/>
      <c r="Y222" s="22"/>
      <c r="Z222" s="22" t="s">
        <v>39</v>
      </c>
      <c r="AA222" s="22" t="s">
        <v>39</v>
      </c>
      <c r="AB222" s="1"/>
      <c r="AC222"/>
      <c r="AD222"/>
      <c r="AE222"/>
      <c r="AF222"/>
      <c r="AG222"/>
    </row>
    <row r="223" spans="1:33" ht="72" customHeight="1" x14ac:dyDescent="0.25">
      <c r="A223" s="17">
        <v>9759144</v>
      </c>
      <c r="B223" s="30">
        <v>1</v>
      </c>
      <c r="C223" s="17" t="s">
        <v>280</v>
      </c>
      <c r="D223" s="31" t="s">
        <v>11</v>
      </c>
      <c r="E223" s="32">
        <v>42669</v>
      </c>
      <c r="F223" s="33">
        <v>42669</v>
      </c>
      <c r="G223" s="32">
        <v>42669</v>
      </c>
      <c r="H223" s="22" t="s">
        <v>108</v>
      </c>
      <c r="I223" s="23" t="s">
        <v>223</v>
      </c>
      <c r="J223" s="23" t="s">
        <v>39</v>
      </c>
      <c r="K223" s="22"/>
      <c r="L223" s="23" t="s">
        <v>39</v>
      </c>
      <c r="M223" s="23" t="s">
        <v>39</v>
      </c>
      <c r="N223" s="22"/>
      <c r="O223" s="22"/>
      <c r="P223" s="22"/>
      <c r="Q223" s="22"/>
      <c r="R223" s="23" t="s">
        <v>634</v>
      </c>
      <c r="S223" s="23">
        <v>20117879</v>
      </c>
      <c r="T223" s="23" t="s">
        <v>294</v>
      </c>
      <c r="U223" s="23" t="s">
        <v>539</v>
      </c>
      <c r="V223" s="22"/>
      <c r="W223" s="22"/>
      <c r="X223" s="22"/>
      <c r="Y223" s="22"/>
      <c r="Z223" s="22" t="s">
        <v>39</v>
      </c>
      <c r="AA223" s="22" t="s">
        <v>39</v>
      </c>
      <c r="AB223" s="1"/>
      <c r="AC223"/>
      <c r="AD223"/>
      <c r="AE223"/>
      <c r="AF223"/>
      <c r="AG223"/>
    </row>
    <row r="224" spans="1:33" ht="72" customHeight="1" x14ac:dyDescent="0.25">
      <c r="A224" s="17">
        <v>9759146</v>
      </c>
      <c r="B224" s="30">
        <v>1</v>
      </c>
      <c r="C224" s="17" t="s">
        <v>137</v>
      </c>
      <c r="D224" s="31" t="s">
        <v>20</v>
      </c>
      <c r="E224" s="32">
        <v>42669</v>
      </c>
      <c r="F224" s="33">
        <v>42669</v>
      </c>
      <c r="G224" s="32">
        <v>42669</v>
      </c>
      <c r="H224" s="22" t="s">
        <v>108</v>
      </c>
      <c r="I224" s="23" t="s">
        <v>223</v>
      </c>
      <c r="J224" s="23" t="s">
        <v>39</v>
      </c>
      <c r="K224" s="22"/>
      <c r="L224" s="23" t="s">
        <v>39</v>
      </c>
      <c r="M224" s="23" t="s">
        <v>39</v>
      </c>
      <c r="N224" s="22"/>
      <c r="O224" s="22"/>
      <c r="P224" s="22"/>
      <c r="Q224" s="22"/>
      <c r="R224" s="23" t="s">
        <v>634</v>
      </c>
      <c r="S224" s="23">
        <v>20116672</v>
      </c>
      <c r="T224" s="23" t="s">
        <v>294</v>
      </c>
      <c r="U224" s="23" t="s">
        <v>504</v>
      </c>
      <c r="V224" s="22"/>
      <c r="W224" s="22"/>
      <c r="X224" s="22"/>
      <c r="Y224" s="22"/>
      <c r="Z224" s="22" t="s">
        <v>39</v>
      </c>
      <c r="AA224" s="22" t="s">
        <v>39</v>
      </c>
      <c r="AB224" s="1"/>
      <c r="AC224"/>
      <c r="AD224"/>
      <c r="AE224"/>
      <c r="AF224"/>
      <c r="AG224"/>
    </row>
    <row r="225" spans="1:33" ht="72" customHeight="1" x14ac:dyDescent="0.25">
      <c r="A225" s="17">
        <v>9759154</v>
      </c>
      <c r="B225" s="30">
        <v>1</v>
      </c>
      <c r="C225" s="17" t="s">
        <v>357</v>
      </c>
      <c r="D225" s="31" t="s">
        <v>20</v>
      </c>
      <c r="E225" s="32">
        <v>42669</v>
      </c>
      <c r="F225" s="33">
        <v>42669</v>
      </c>
      <c r="G225" s="32">
        <v>42669</v>
      </c>
      <c r="H225" s="22" t="s">
        <v>108</v>
      </c>
      <c r="I225" s="23" t="s">
        <v>223</v>
      </c>
      <c r="J225" s="23" t="s">
        <v>39</v>
      </c>
      <c r="K225" s="22"/>
      <c r="L225" s="23" t="s">
        <v>39</v>
      </c>
      <c r="M225" s="23" t="s">
        <v>39</v>
      </c>
      <c r="N225" s="22"/>
      <c r="O225" s="22"/>
      <c r="P225" s="22"/>
      <c r="Q225" s="22"/>
      <c r="R225" s="23" t="s">
        <v>634</v>
      </c>
      <c r="S225" s="23">
        <v>20118339</v>
      </c>
      <c r="T225" s="23" t="s">
        <v>294</v>
      </c>
      <c r="U225" s="23" t="s">
        <v>509</v>
      </c>
      <c r="V225" s="22"/>
      <c r="W225" s="22"/>
      <c r="X225" s="22"/>
      <c r="Y225" s="22"/>
      <c r="Z225" s="22" t="s">
        <v>39</v>
      </c>
      <c r="AA225" s="22" t="s">
        <v>39</v>
      </c>
      <c r="AB225" s="1"/>
      <c r="AC225"/>
      <c r="AD225"/>
      <c r="AE225"/>
      <c r="AF225"/>
      <c r="AG225"/>
    </row>
    <row r="226" spans="1:33" ht="72" customHeight="1" x14ac:dyDescent="0.25">
      <c r="A226" s="17">
        <v>9759155</v>
      </c>
      <c r="B226" s="30">
        <v>1</v>
      </c>
      <c r="C226" s="17" t="s">
        <v>376</v>
      </c>
      <c r="D226" s="31" t="s">
        <v>20</v>
      </c>
      <c r="E226" s="32">
        <v>42669</v>
      </c>
      <c r="F226" s="33">
        <v>42669</v>
      </c>
      <c r="G226" s="32">
        <v>42669</v>
      </c>
      <c r="H226" s="22" t="s">
        <v>108</v>
      </c>
      <c r="I226" s="23" t="s">
        <v>223</v>
      </c>
      <c r="J226" s="23" t="s">
        <v>39</v>
      </c>
      <c r="K226" s="22"/>
      <c r="L226" s="23" t="s">
        <v>39</v>
      </c>
      <c r="M226" s="23" t="s">
        <v>39</v>
      </c>
      <c r="N226" s="22"/>
      <c r="O226" s="22"/>
      <c r="P226" s="22"/>
      <c r="Q226" s="22"/>
      <c r="R226" s="23" t="s">
        <v>634</v>
      </c>
      <c r="S226" s="23">
        <v>20118694</v>
      </c>
      <c r="T226" s="23" t="s">
        <v>294</v>
      </c>
      <c r="U226" s="23" t="s">
        <v>511</v>
      </c>
      <c r="V226" s="22"/>
      <c r="W226" s="22"/>
      <c r="X226" s="22"/>
      <c r="Y226" s="22"/>
      <c r="Z226" s="22" t="s">
        <v>39</v>
      </c>
      <c r="AA226" s="22" t="s">
        <v>39</v>
      </c>
      <c r="AB226" s="1"/>
      <c r="AC226"/>
      <c r="AD226"/>
      <c r="AE226"/>
      <c r="AF226"/>
      <c r="AG226"/>
    </row>
    <row r="227" spans="1:33" ht="72" customHeight="1" x14ac:dyDescent="0.25">
      <c r="A227" s="17">
        <v>9759156</v>
      </c>
      <c r="B227" s="30">
        <v>1</v>
      </c>
      <c r="C227" s="17" t="s">
        <v>329</v>
      </c>
      <c r="D227" s="31" t="s">
        <v>20</v>
      </c>
      <c r="E227" s="32">
        <v>42669</v>
      </c>
      <c r="F227" s="33">
        <v>42669</v>
      </c>
      <c r="G227" s="32">
        <v>42669</v>
      </c>
      <c r="H227" s="22" t="s">
        <v>108</v>
      </c>
      <c r="I227" s="23" t="s">
        <v>223</v>
      </c>
      <c r="J227" s="23" t="s">
        <v>39</v>
      </c>
      <c r="K227" s="22"/>
      <c r="L227" s="23" t="s">
        <v>39</v>
      </c>
      <c r="M227" s="23" t="s">
        <v>39</v>
      </c>
      <c r="N227" s="22"/>
      <c r="O227" s="22"/>
      <c r="P227" s="22"/>
      <c r="Q227" s="22"/>
      <c r="R227" s="23" t="s">
        <v>634</v>
      </c>
      <c r="S227" s="23">
        <v>20114877</v>
      </c>
      <c r="T227" s="23" t="s">
        <v>294</v>
      </c>
      <c r="U227" s="23" t="s">
        <v>501</v>
      </c>
      <c r="V227" s="22"/>
      <c r="W227" s="22"/>
      <c r="X227" s="22"/>
      <c r="Y227" s="22"/>
      <c r="Z227" s="22" t="s">
        <v>39</v>
      </c>
      <c r="AA227" s="22" t="s">
        <v>39</v>
      </c>
      <c r="AB227" s="1"/>
      <c r="AC227"/>
      <c r="AD227"/>
      <c r="AE227"/>
      <c r="AF227"/>
      <c r="AG227"/>
    </row>
    <row r="228" spans="1:33" ht="72" customHeight="1" x14ac:dyDescent="0.25">
      <c r="A228" s="17">
        <v>9759158</v>
      </c>
      <c r="B228" s="30">
        <v>1</v>
      </c>
      <c r="C228" s="17" t="s">
        <v>410</v>
      </c>
      <c r="D228" s="31" t="s">
        <v>20</v>
      </c>
      <c r="E228" s="32">
        <v>42669</v>
      </c>
      <c r="F228" s="33">
        <v>42669</v>
      </c>
      <c r="G228" s="32">
        <v>42669</v>
      </c>
      <c r="H228" s="22" t="s">
        <v>112</v>
      </c>
      <c r="I228" s="23" t="s">
        <v>367</v>
      </c>
      <c r="J228" s="23" t="s">
        <v>39</v>
      </c>
      <c r="K228" s="22"/>
      <c r="L228" s="23" t="s">
        <v>39</v>
      </c>
      <c r="M228" s="23" t="s">
        <v>39</v>
      </c>
      <c r="N228" s="22"/>
      <c r="O228" s="22"/>
      <c r="P228" s="22"/>
      <c r="Q228" s="22"/>
      <c r="R228" s="23" t="s">
        <v>634</v>
      </c>
      <c r="S228" s="23" t="s">
        <v>634</v>
      </c>
      <c r="T228" s="23" t="s">
        <v>39</v>
      </c>
      <c r="U228" s="23" t="s">
        <v>39</v>
      </c>
      <c r="V228" s="22"/>
      <c r="W228" s="22"/>
      <c r="X228" s="22"/>
      <c r="Y228" s="22"/>
      <c r="Z228" s="22" t="s">
        <v>39</v>
      </c>
      <c r="AA228" s="22" t="s">
        <v>39</v>
      </c>
      <c r="AB228" s="1"/>
      <c r="AC228"/>
      <c r="AD228"/>
      <c r="AE228"/>
      <c r="AF228"/>
      <c r="AG228"/>
    </row>
    <row r="229" spans="1:33" ht="72" customHeight="1" x14ac:dyDescent="0.25">
      <c r="A229" s="17">
        <v>9759163</v>
      </c>
      <c r="B229" s="30">
        <v>1</v>
      </c>
      <c r="C229" s="17" t="s">
        <v>246</v>
      </c>
      <c r="D229" s="31" t="s">
        <v>20</v>
      </c>
      <c r="E229" s="32">
        <v>42669</v>
      </c>
      <c r="F229" s="33">
        <v>42669</v>
      </c>
      <c r="G229" s="32">
        <v>42669</v>
      </c>
      <c r="H229" s="22" t="s">
        <v>108</v>
      </c>
      <c r="I229" s="23" t="s">
        <v>467</v>
      </c>
      <c r="J229" s="23" t="s">
        <v>39</v>
      </c>
      <c r="K229" s="22"/>
      <c r="L229" s="23" t="s">
        <v>39</v>
      </c>
      <c r="M229" s="23" t="s">
        <v>39</v>
      </c>
      <c r="N229" s="22"/>
      <c r="O229" s="22"/>
      <c r="P229" s="22"/>
      <c r="Q229" s="22"/>
      <c r="R229" s="23" t="s">
        <v>634</v>
      </c>
      <c r="S229" s="23">
        <v>20116270</v>
      </c>
      <c r="T229" s="23" t="s">
        <v>294</v>
      </c>
      <c r="U229" s="23" t="s">
        <v>502</v>
      </c>
      <c r="V229" s="22"/>
      <c r="W229" s="22"/>
      <c r="X229" s="22"/>
      <c r="Y229" s="22"/>
      <c r="Z229" s="22" t="s">
        <v>39</v>
      </c>
      <c r="AA229" s="22" t="s">
        <v>39</v>
      </c>
      <c r="AB229" s="1"/>
      <c r="AC229"/>
      <c r="AD229"/>
      <c r="AE229"/>
      <c r="AF229"/>
      <c r="AG229"/>
    </row>
    <row r="230" spans="1:33" ht="72" customHeight="1" x14ac:dyDescent="0.25">
      <c r="A230" s="17">
        <v>9759164</v>
      </c>
      <c r="B230" s="30">
        <v>1</v>
      </c>
      <c r="C230" s="17" t="s">
        <v>278</v>
      </c>
      <c r="D230" s="31" t="s">
        <v>20</v>
      </c>
      <c r="E230" s="32">
        <v>42669</v>
      </c>
      <c r="F230" s="33">
        <v>42669</v>
      </c>
      <c r="G230" s="32">
        <v>42669</v>
      </c>
      <c r="H230" s="22" t="s">
        <v>108</v>
      </c>
      <c r="I230" s="23" t="s">
        <v>467</v>
      </c>
      <c r="J230" s="23" t="s">
        <v>39</v>
      </c>
      <c r="K230" s="22"/>
      <c r="L230" s="23" t="s">
        <v>39</v>
      </c>
      <c r="M230" s="23" t="s">
        <v>39</v>
      </c>
      <c r="N230" s="22"/>
      <c r="O230" s="22"/>
      <c r="P230" s="22"/>
      <c r="Q230" s="22"/>
      <c r="R230" s="23" t="s">
        <v>634</v>
      </c>
      <c r="S230" s="23">
        <v>20116272</v>
      </c>
      <c r="T230" s="23" t="s">
        <v>294</v>
      </c>
      <c r="U230" s="23" t="s">
        <v>503</v>
      </c>
      <c r="V230" s="22"/>
      <c r="W230" s="22"/>
      <c r="X230" s="22"/>
      <c r="Y230" s="22"/>
      <c r="Z230" s="22" t="s">
        <v>39</v>
      </c>
      <c r="AA230" s="22" t="s">
        <v>39</v>
      </c>
      <c r="AB230" s="1"/>
      <c r="AC230"/>
      <c r="AD230"/>
      <c r="AE230"/>
      <c r="AF230"/>
      <c r="AG230"/>
    </row>
    <row r="231" spans="1:33" ht="72" customHeight="1" x14ac:dyDescent="0.25">
      <c r="A231" s="17">
        <v>9759165</v>
      </c>
      <c r="B231" s="30">
        <v>2</v>
      </c>
      <c r="C231" s="17" t="s">
        <v>356</v>
      </c>
      <c r="D231" s="31" t="s">
        <v>20</v>
      </c>
      <c r="E231" s="32">
        <v>42669</v>
      </c>
      <c r="F231" s="33">
        <v>42669</v>
      </c>
      <c r="G231" s="32">
        <v>42669</v>
      </c>
      <c r="H231" s="22" t="s">
        <v>108</v>
      </c>
      <c r="I231" s="23" t="s">
        <v>367</v>
      </c>
      <c r="J231" s="23" t="s">
        <v>39</v>
      </c>
      <c r="K231" s="22"/>
      <c r="L231" s="23" t="s">
        <v>39</v>
      </c>
      <c r="M231" s="23" t="s">
        <v>39</v>
      </c>
      <c r="N231" s="22"/>
      <c r="O231" s="22"/>
      <c r="P231" s="22"/>
      <c r="Q231" s="22"/>
      <c r="R231" s="23" t="s">
        <v>625</v>
      </c>
      <c r="S231" s="23" t="s">
        <v>39</v>
      </c>
      <c r="T231" s="23" t="s">
        <v>39</v>
      </c>
      <c r="U231" s="23" t="s">
        <v>643</v>
      </c>
      <c r="V231" s="22"/>
      <c r="W231" s="22"/>
      <c r="X231" s="22"/>
      <c r="Y231" s="22"/>
      <c r="Z231" s="22" t="s">
        <v>39</v>
      </c>
      <c r="AA231" s="22" t="s">
        <v>39</v>
      </c>
      <c r="AB231" s="1"/>
      <c r="AC231"/>
      <c r="AD231"/>
      <c r="AE231"/>
      <c r="AF231"/>
      <c r="AG231"/>
    </row>
    <row r="232" spans="1:33" ht="72" customHeight="1" x14ac:dyDescent="0.25">
      <c r="A232" s="17">
        <v>9759168</v>
      </c>
      <c r="B232" s="30">
        <v>2</v>
      </c>
      <c r="C232" s="17" t="s">
        <v>232</v>
      </c>
      <c r="D232" s="31" t="s">
        <v>20</v>
      </c>
      <c r="E232" s="32">
        <v>42669</v>
      </c>
      <c r="F232" s="33">
        <v>42669</v>
      </c>
      <c r="G232" s="32">
        <v>42669</v>
      </c>
      <c r="H232" s="22" t="s">
        <v>108</v>
      </c>
      <c r="I232" s="23" t="s">
        <v>467</v>
      </c>
      <c r="J232" s="23" t="s">
        <v>39</v>
      </c>
      <c r="K232" s="22"/>
      <c r="L232" s="23" t="s">
        <v>39</v>
      </c>
      <c r="M232" s="23" t="s">
        <v>39</v>
      </c>
      <c r="N232" s="22"/>
      <c r="O232" s="22"/>
      <c r="P232" s="22"/>
      <c r="Q232" s="22"/>
      <c r="R232" s="23" t="s">
        <v>634</v>
      </c>
      <c r="S232" s="23" t="s">
        <v>634</v>
      </c>
      <c r="T232" s="23" t="s">
        <v>39</v>
      </c>
      <c r="U232" s="23" t="s">
        <v>703</v>
      </c>
      <c r="V232" s="22"/>
      <c r="W232" s="22"/>
      <c r="X232" s="22"/>
      <c r="Y232" s="22"/>
      <c r="Z232" s="22" t="s">
        <v>39</v>
      </c>
      <c r="AA232" s="22" t="s">
        <v>39</v>
      </c>
      <c r="AB232" s="1"/>
      <c r="AC232"/>
      <c r="AD232"/>
      <c r="AE232"/>
      <c r="AF232"/>
      <c r="AG232"/>
    </row>
    <row r="233" spans="1:33" ht="72" customHeight="1" x14ac:dyDescent="0.25">
      <c r="A233" s="17">
        <v>9759173</v>
      </c>
      <c r="B233" s="30">
        <v>1</v>
      </c>
      <c r="C233" s="17" t="s">
        <v>305</v>
      </c>
      <c r="D233" s="31" t="s">
        <v>45</v>
      </c>
      <c r="E233" s="32">
        <v>42669</v>
      </c>
      <c r="F233" s="33">
        <v>42669</v>
      </c>
      <c r="G233" s="32">
        <v>42669</v>
      </c>
      <c r="H233" s="22" t="s">
        <v>104</v>
      </c>
      <c r="I233" s="23" t="s">
        <v>39</v>
      </c>
      <c r="J233" s="23" t="s">
        <v>39</v>
      </c>
      <c r="K233" s="22"/>
      <c r="L233" s="23" t="s">
        <v>39</v>
      </c>
      <c r="M233" s="23" t="s">
        <v>39</v>
      </c>
      <c r="N233" s="22"/>
      <c r="O233" s="22"/>
      <c r="P233" s="22"/>
      <c r="Q233" s="22"/>
      <c r="R233" s="23" t="s">
        <v>683</v>
      </c>
      <c r="S233" s="23" t="s">
        <v>39</v>
      </c>
      <c r="T233" s="23" t="s">
        <v>39</v>
      </c>
      <c r="U233" s="23" t="s">
        <v>39</v>
      </c>
      <c r="V233" s="22"/>
      <c r="W233" s="22"/>
      <c r="X233" s="22"/>
      <c r="Y233" s="22"/>
      <c r="Z233" s="22" t="s">
        <v>39</v>
      </c>
      <c r="AA233" s="22" t="s">
        <v>39</v>
      </c>
      <c r="AB233" s="1"/>
      <c r="AC233"/>
      <c r="AD233"/>
      <c r="AE233"/>
      <c r="AF233"/>
      <c r="AG233"/>
    </row>
    <row r="234" spans="1:33" ht="72" customHeight="1" x14ac:dyDescent="0.25">
      <c r="A234" s="17">
        <v>9759176</v>
      </c>
      <c r="B234" s="30">
        <v>1</v>
      </c>
      <c r="C234" s="17" t="s">
        <v>167</v>
      </c>
      <c r="D234" s="31" t="s">
        <v>45</v>
      </c>
      <c r="E234" s="32">
        <v>42669</v>
      </c>
      <c r="F234" s="33">
        <v>42669</v>
      </c>
      <c r="G234" s="32">
        <v>42669</v>
      </c>
      <c r="H234" s="22" t="s">
        <v>112</v>
      </c>
      <c r="I234" s="23" t="s">
        <v>367</v>
      </c>
      <c r="J234" s="23" t="s">
        <v>39</v>
      </c>
      <c r="K234" s="22"/>
      <c r="L234" s="23" t="s">
        <v>39</v>
      </c>
      <c r="M234" s="23" t="s">
        <v>39</v>
      </c>
      <c r="N234" s="22"/>
      <c r="O234" s="22"/>
      <c r="P234" s="22"/>
      <c r="Q234" s="22"/>
      <c r="R234" s="23" t="s">
        <v>634</v>
      </c>
      <c r="S234" s="23" t="s">
        <v>634</v>
      </c>
      <c r="T234" s="23" t="s">
        <v>39</v>
      </c>
      <c r="U234" s="23" t="s">
        <v>39</v>
      </c>
      <c r="V234" s="22"/>
      <c r="W234" s="22"/>
      <c r="X234" s="22"/>
      <c r="Y234" s="22"/>
      <c r="Z234" s="22" t="s">
        <v>39</v>
      </c>
      <c r="AA234" s="22" t="s">
        <v>39</v>
      </c>
      <c r="AB234" s="1"/>
      <c r="AC234"/>
      <c r="AD234"/>
      <c r="AE234"/>
      <c r="AF234"/>
      <c r="AG234"/>
    </row>
    <row r="235" spans="1:33" ht="72" customHeight="1" x14ac:dyDescent="0.25">
      <c r="A235" s="17">
        <v>9759178</v>
      </c>
      <c r="B235" s="30">
        <v>2</v>
      </c>
      <c r="C235" s="17" t="s">
        <v>397</v>
      </c>
      <c r="D235" s="31" t="s">
        <v>45</v>
      </c>
      <c r="E235" s="32">
        <v>42669</v>
      </c>
      <c r="F235" s="33">
        <v>42669</v>
      </c>
      <c r="G235" s="32">
        <v>42669</v>
      </c>
      <c r="H235" s="22" t="s">
        <v>112</v>
      </c>
      <c r="I235" s="23" t="s">
        <v>367</v>
      </c>
      <c r="J235" s="23" t="s">
        <v>39</v>
      </c>
      <c r="K235" s="22"/>
      <c r="L235" s="23" t="s">
        <v>39</v>
      </c>
      <c r="M235" s="23" t="s">
        <v>39</v>
      </c>
      <c r="N235" s="22"/>
      <c r="O235" s="22"/>
      <c r="P235" s="22"/>
      <c r="Q235" s="22"/>
      <c r="R235" s="23" t="s">
        <v>634</v>
      </c>
      <c r="S235" s="23" t="s">
        <v>634</v>
      </c>
      <c r="T235" s="23" t="s">
        <v>39</v>
      </c>
      <c r="U235" s="23" t="s">
        <v>39</v>
      </c>
      <c r="V235" s="22"/>
      <c r="W235" s="22"/>
      <c r="X235" s="22"/>
      <c r="Y235" s="22"/>
      <c r="Z235" s="22" t="s">
        <v>39</v>
      </c>
      <c r="AA235" s="22" t="s">
        <v>39</v>
      </c>
      <c r="AB235" s="1"/>
      <c r="AC235"/>
      <c r="AD235"/>
      <c r="AE235"/>
      <c r="AF235"/>
      <c r="AG235"/>
    </row>
    <row r="236" spans="1:33" ht="72" customHeight="1" x14ac:dyDescent="0.25">
      <c r="A236" s="17">
        <v>9759181</v>
      </c>
      <c r="B236" s="30">
        <v>2</v>
      </c>
      <c r="C236" s="17" t="s">
        <v>386</v>
      </c>
      <c r="D236" s="31" t="s">
        <v>152</v>
      </c>
      <c r="E236" s="32">
        <v>42669</v>
      </c>
      <c r="F236" s="33">
        <v>42669</v>
      </c>
      <c r="G236" s="32">
        <v>42669</v>
      </c>
      <c r="H236" s="22" t="s">
        <v>108</v>
      </c>
      <c r="I236" s="23" t="s">
        <v>223</v>
      </c>
      <c r="J236" s="23" t="s">
        <v>39</v>
      </c>
      <c r="K236" s="22"/>
      <c r="L236" s="23" t="s">
        <v>39</v>
      </c>
      <c r="M236" s="23" t="s">
        <v>39</v>
      </c>
      <c r="N236" s="22"/>
      <c r="O236" s="22"/>
      <c r="P236" s="22"/>
      <c r="Q236" s="22"/>
      <c r="R236" s="23" t="s">
        <v>634</v>
      </c>
      <c r="S236" s="23">
        <v>20117175</v>
      </c>
      <c r="T236" s="23" t="s">
        <v>294</v>
      </c>
      <c r="U236" s="23" t="s">
        <v>550</v>
      </c>
      <c r="V236" s="22"/>
      <c r="W236" s="22"/>
      <c r="X236" s="22"/>
      <c r="Y236" s="22"/>
      <c r="Z236" s="22" t="s">
        <v>39</v>
      </c>
      <c r="AA236" s="22" t="s">
        <v>39</v>
      </c>
      <c r="AB236" s="1"/>
      <c r="AC236"/>
      <c r="AD236"/>
      <c r="AE236"/>
      <c r="AF236"/>
      <c r="AG236"/>
    </row>
    <row r="237" spans="1:33" ht="72" customHeight="1" x14ac:dyDescent="0.25">
      <c r="A237" s="17">
        <v>9759185</v>
      </c>
      <c r="B237" s="30">
        <v>1</v>
      </c>
      <c r="C237" s="17" t="s">
        <v>285</v>
      </c>
      <c r="D237" s="31" t="s">
        <v>191</v>
      </c>
      <c r="E237" s="32">
        <v>42669</v>
      </c>
      <c r="F237" s="33">
        <v>42669</v>
      </c>
      <c r="G237" s="32">
        <v>42669</v>
      </c>
      <c r="H237" s="22" t="s">
        <v>108</v>
      </c>
      <c r="I237" s="23" t="s">
        <v>467</v>
      </c>
      <c r="J237" s="23" t="s">
        <v>39</v>
      </c>
      <c r="K237" s="22"/>
      <c r="L237" s="23" t="s">
        <v>39</v>
      </c>
      <c r="M237" s="23" t="s">
        <v>39</v>
      </c>
      <c r="N237" s="22"/>
      <c r="O237" s="22"/>
      <c r="P237" s="22"/>
      <c r="Q237" s="22"/>
      <c r="R237" s="23" t="s">
        <v>634</v>
      </c>
      <c r="S237" s="23">
        <v>20113093</v>
      </c>
      <c r="T237" s="23" t="s">
        <v>294</v>
      </c>
      <c r="U237" s="23" t="s">
        <v>549</v>
      </c>
      <c r="V237" s="22"/>
      <c r="W237" s="22"/>
      <c r="X237" s="22"/>
      <c r="Y237" s="22"/>
      <c r="Z237" s="22" t="s">
        <v>39</v>
      </c>
      <c r="AA237" s="22" t="s">
        <v>39</v>
      </c>
      <c r="AB237" s="1"/>
      <c r="AC237"/>
      <c r="AD237"/>
      <c r="AE237"/>
      <c r="AF237"/>
      <c r="AG237"/>
    </row>
    <row r="238" spans="1:33" ht="72" customHeight="1" x14ac:dyDescent="0.25">
      <c r="A238" s="17">
        <v>9759189</v>
      </c>
      <c r="B238" s="30">
        <v>1</v>
      </c>
      <c r="C238" s="17" t="s">
        <v>385</v>
      </c>
      <c r="D238" s="31" t="s">
        <v>13</v>
      </c>
      <c r="E238" s="32">
        <v>42669</v>
      </c>
      <c r="F238" s="33">
        <v>42669</v>
      </c>
      <c r="G238" s="32">
        <v>42669</v>
      </c>
      <c r="H238" s="22" t="s">
        <v>112</v>
      </c>
      <c r="I238" s="23" t="s">
        <v>367</v>
      </c>
      <c r="J238" s="23" t="s">
        <v>39</v>
      </c>
      <c r="K238" s="22"/>
      <c r="L238" s="23" t="s">
        <v>39</v>
      </c>
      <c r="M238" s="23" t="s">
        <v>39</v>
      </c>
      <c r="N238" s="22"/>
      <c r="O238" s="22"/>
      <c r="P238" s="22"/>
      <c r="Q238" s="22"/>
      <c r="R238" s="23" t="s">
        <v>634</v>
      </c>
      <c r="S238" s="23" t="s">
        <v>634</v>
      </c>
      <c r="T238" s="23" t="s">
        <v>39</v>
      </c>
      <c r="U238" s="23" t="s">
        <v>39</v>
      </c>
      <c r="V238" s="22"/>
      <c r="W238" s="22"/>
      <c r="X238" s="22"/>
      <c r="Y238" s="22"/>
      <c r="Z238" s="22" t="s">
        <v>39</v>
      </c>
      <c r="AA238" s="22" t="s">
        <v>39</v>
      </c>
      <c r="AB238" s="1"/>
      <c r="AC238"/>
      <c r="AD238"/>
      <c r="AE238"/>
      <c r="AF238"/>
      <c r="AG238"/>
    </row>
    <row r="239" spans="1:33" ht="72" customHeight="1" x14ac:dyDescent="0.25">
      <c r="A239" s="17">
        <v>9759194</v>
      </c>
      <c r="B239" s="30">
        <v>5</v>
      </c>
      <c r="C239" s="17" t="s">
        <v>186</v>
      </c>
      <c r="D239" s="31" t="s">
        <v>12</v>
      </c>
      <c r="E239" s="32">
        <v>42669</v>
      </c>
      <c r="F239" s="33">
        <v>42669</v>
      </c>
      <c r="G239" s="32">
        <v>42669</v>
      </c>
      <c r="H239" s="22" t="s">
        <v>108</v>
      </c>
      <c r="I239" s="23" t="s">
        <v>223</v>
      </c>
      <c r="J239" s="23" t="s">
        <v>39</v>
      </c>
      <c r="K239" s="22"/>
      <c r="L239" s="23" t="s">
        <v>39</v>
      </c>
      <c r="M239" s="23" t="s">
        <v>39</v>
      </c>
      <c r="N239" s="22"/>
      <c r="O239" s="22"/>
      <c r="P239" s="22"/>
      <c r="Q239" s="22"/>
      <c r="R239" s="23" t="s">
        <v>634</v>
      </c>
      <c r="S239" s="23" t="s">
        <v>634</v>
      </c>
      <c r="T239" s="23" t="s">
        <v>39</v>
      </c>
      <c r="U239" s="23" t="s">
        <v>714</v>
      </c>
      <c r="V239" s="22"/>
      <c r="W239" s="22"/>
      <c r="X239" s="22"/>
      <c r="Y239" s="22"/>
      <c r="Z239" s="22" t="s">
        <v>39</v>
      </c>
      <c r="AA239" s="22" t="s">
        <v>39</v>
      </c>
      <c r="AB239" s="1"/>
      <c r="AC239"/>
      <c r="AD239"/>
      <c r="AE239"/>
      <c r="AF239"/>
      <c r="AG239"/>
    </row>
    <row r="240" spans="1:33" ht="72" customHeight="1" x14ac:dyDescent="0.25">
      <c r="A240" s="17">
        <v>9759196</v>
      </c>
      <c r="B240" s="30">
        <v>3</v>
      </c>
      <c r="C240" s="17" t="s">
        <v>422</v>
      </c>
      <c r="D240" s="31" t="s">
        <v>14</v>
      </c>
      <c r="E240" s="32">
        <v>42669</v>
      </c>
      <c r="F240" s="33">
        <v>42669</v>
      </c>
      <c r="G240" s="32">
        <v>42669</v>
      </c>
      <c r="H240" s="22" t="s">
        <v>112</v>
      </c>
      <c r="I240" s="23" t="s">
        <v>367</v>
      </c>
      <c r="J240" s="23" t="s">
        <v>39</v>
      </c>
      <c r="K240" s="22"/>
      <c r="L240" s="23" t="s">
        <v>39</v>
      </c>
      <c r="M240" s="23" t="s">
        <v>39</v>
      </c>
      <c r="N240" s="22"/>
      <c r="O240" s="22"/>
      <c r="P240" s="22"/>
      <c r="Q240" s="22"/>
      <c r="R240" s="23" t="s">
        <v>634</v>
      </c>
      <c r="S240" s="23" t="s">
        <v>634</v>
      </c>
      <c r="T240" s="23" t="s">
        <v>39</v>
      </c>
      <c r="U240" s="23" t="s">
        <v>39</v>
      </c>
      <c r="V240" s="22"/>
      <c r="W240" s="22"/>
      <c r="X240" s="22"/>
      <c r="Y240" s="22"/>
      <c r="Z240" s="22" t="s">
        <v>39</v>
      </c>
      <c r="AA240" s="22" t="s">
        <v>39</v>
      </c>
      <c r="AB240" s="1"/>
      <c r="AC240"/>
      <c r="AD240"/>
      <c r="AE240"/>
      <c r="AF240"/>
      <c r="AG240"/>
    </row>
    <row r="241" spans="1:33" ht="72" customHeight="1" x14ac:dyDescent="0.25">
      <c r="A241" s="17">
        <v>9759198</v>
      </c>
      <c r="B241" s="30">
        <v>1</v>
      </c>
      <c r="C241" s="17" t="s">
        <v>138</v>
      </c>
      <c r="D241" s="31" t="s">
        <v>89</v>
      </c>
      <c r="E241" s="32">
        <v>42669</v>
      </c>
      <c r="F241" s="33">
        <v>42669</v>
      </c>
      <c r="G241" s="32">
        <v>42669</v>
      </c>
      <c r="H241" s="22" t="s">
        <v>112</v>
      </c>
      <c r="I241" s="23" t="s">
        <v>467</v>
      </c>
      <c r="J241" s="23" t="s">
        <v>39</v>
      </c>
      <c r="K241" s="22"/>
      <c r="L241" s="23" t="s">
        <v>39</v>
      </c>
      <c r="M241" s="23" t="s">
        <v>39</v>
      </c>
      <c r="N241" s="22"/>
      <c r="O241" s="22"/>
      <c r="P241" s="22"/>
      <c r="Q241" s="22"/>
      <c r="R241" s="23" t="s">
        <v>634</v>
      </c>
      <c r="S241" s="23" t="s">
        <v>634</v>
      </c>
      <c r="T241" s="23" t="s">
        <v>39</v>
      </c>
      <c r="U241" s="23" t="s">
        <v>39</v>
      </c>
      <c r="V241" s="22"/>
      <c r="W241" s="22"/>
      <c r="X241" s="22"/>
      <c r="Y241" s="22"/>
      <c r="Z241" s="22" t="s">
        <v>39</v>
      </c>
      <c r="AA241" s="22" t="s">
        <v>39</v>
      </c>
      <c r="AB241" s="1"/>
      <c r="AC241"/>
      <c r="AD241"/>
      <c r="AE241"/>
      <c r="AF241"/>
      <c r="AG241"/>
    </row>
    <row r="242" spans="1:33" ht="72" customHeight="1" x14ac:dyDescent="0.25">
      <c r="A242" s="17">
        <v>9759199</v>
      </c>
      <c r="B242" s="30">
        <v>1</v>
      </c>
      <c r="C242" s="17" t="s">
        <v>425</v>
      </c>
      <c r="D242" s="31" t="s">
        <v>197</v>
      </c>
      <c r="E242" s="32">
        <v>42669</v>
      </c>
      <c r="F242" s="33">
        <v>42669</v>
      </c>
      <c r="G242" s="32">
        <v>42669</v>
      </c>
      <c r="H242" s="22" t="s">
        <v>108</v>
      </c>
      <c r="I242" s="23" t="s">
        <v>223</v>
      </c>
      <c r="J242" s="23" t="s">
        <v>39</v>
      </c>
      <c r="K242" s="22"/>
      <c r="L242" s="23" t="s">
        <v>39</v>
      </c>
      <c r="M242" s="23" t="s">
        <v>39</v>
      </c>
      <c r="N242" s="22"/>
      <c r="O242" s="22"/>
      <c r="P242" s="22"/>
      <c r="Q242" s="22"/>
      <c r="R242" s="23" t="s">
        <v>634</v>
      </c>
      <c r="S242" s="23">
        <v>20116276</v>
      </c>
      <c r="T242" s="23" t="s">
        <v>294</v>
      </c>
      <c r="U242" s="23" t="s">
        <v>558</v>
      </c>
      <c r="V242" s="22"/>
      <c r="W242" s="22"/>
      <c r="X242" s="22"/>
      <c r="Y242" s="22"/>
      <c r="Z242" s="22" t="s">
        <v>39</v>
      </c>
      <c r="AA242" s="22" t="s">
        <v>39</v>
      </c>
      <c r="AB242" s="1"/>
      <c r="AC242"/>
      <c r="AD242"/>
      <c r="AE242"/>
      <c r="AF242"/>
      <c r="AG242"/>
    </row>
    <row r="243" spans="1:33" ht="72" customHeight="1" x14ac:dyDescent="0.25">
      <c r="A243" s="17">
        <v>9759201</v>
      </c>
      <c r="B243" s="30">
        <v>4</v>
      </c>
      <c r="C243" s="17" t="s">
        <v>431</v>
      </c>
      <c r="D243" s="31" t="s">
        <v>153</v>
      </c>
      <c r="E243" s="32">
        <v>42669</v>
      </c>
      <c r="F243" s="33">
        <v>42669</v>
      </c>
      <c r="G243" s="32">
        <v>42669</v>
      </c>
      <c r="H243" s="22" t="s">
        <v>112</v>
      </c>
      <c r="I243" s="23" t="s">
        <v>223</v>
      </c>
      <c r="J243" s="23" t="s">
        <v>39</v>
      </c>
      <c r="K243" s="22"/>
      <c r="L243" s="23" t="s">
        <v>39</v>
      </c>
      <c r="M243" s="23" t="s">
        <v>39</v>
      </c>
      <c r="N243" s="22"/>
      <c r="O243" s="22"/>
      <c r="P243" s="22"/>
      <c r="Q243" s="22"/>
      <c r="R243" s="23" t="s">
        <v>634</v>
      </c>
      <c r="S243" s="23" t="s">
        <v>634</v>
      </c>
      <c r="T243" s="23" t="s">
        <v>39</v>
      </c>
      <c r="U243" s="23" t="s">
        <v>39</v>
      </c>
      <c r="V243" s="22"/>
      <c r="W243" s="22"/>
      <c r="X243" s="22"/>
      <c r="Y243" s="22"/>
      <c r="Z243" s="22" t="s">
        <v>39</v>
      </c>
      <c r="AA243" s="22" t="s">
        <v>39</v>
      </c>
      <c r="AB243" s="1"/>
      <c r="AC243"/>
      <c r="AD243"/>
      <c r="AE243"/>
      <c r="AF243"/>
      <c r="AG243"/>
    </row>
    <row r="244" spans="1:33" ht="72" customHeight="1" x14ac:dyDescent="0.25">
      <c r="A244" s="17">
        <v>9759203</v>
      </c>
      <c r="B244" s="30">
        <v>3</v>
      </c>
      <c r="C244" s="17" t="s">
        <v>429</v>
      </c>
      <c r="D244" s="31" t="s">
        <v>153</v>
      </c>
      <c r="E244" s="32">
        <v>42669</v>
      </c>
      <c r="F244" s="33">
        <v>42669</v>
      </c>
      <c r="G244" s="32">
        <v>42669</v>
      </c>
      <c r="H244" s="22" t="s">
        <v>95</v>
      </c>
      <c r="I244" s="23" t="s">
        <v>223</v>
      </c>
      <c r="J244" s="23" t="s">
        <v>39</v>
      </c>
      <c r="K244" s="22"/>
      <c r="L244" s="23" t="s">
        <v>263</v>
      </c>
      <c r="M244" s="23" t="s">
        <v>728</v>
      </c>
      <c r="N244" s="22"/>
      <c r="O244" s="22"/>
      <c r="P244" s="22"/>
      <c r="Q244" s="22"/>
      <c r="R244" s="23" t="s">
        <v>634</v>
      </c>
      <c r="S244" s="23" t="s">
        <v>634</v>
      </c>
      <c r="T244" s="23" t="s">
        <v>39</v>
      </c>
      <c r="U244" s="23" t="s">
        <v>39</v>
      </c>
      <c r="V244" s="22"/>
      <c r="W244" s="22"/>
      <c r="X244" s="22"/>
      <c r="Y244" s="22"/>
      <c r="Z244" s="22" t="s">
        <v>39</v>
      </c>
      <c r="AA244" s="22" t="s">
        <v>39</v>
      </c>
      <c r="AB244" s="1"/>
      <c r="AC244"/>
      <c r="AD244"/>
      <c r="AE244"/>
      <c r="AF244"/>
      <c r="AG244"/>
    </row>
    <row r="245" spans="1:33" ht="72" customHeight="1" x14ac:dyDescent="0.25">
      <c r="A245" s="17">
        <v>9759204</v>
      </c>
      <c r="B245" s="30">
        <v>4</v>
      </c>
      <c r="C245" s="17" t="s">
        <v>430</v>
      </c>
      <c r="D245" s="31" t="s">
        <v>153</v>
      </c>
      <c r="E245" s="32">
        <v>42669</v>
      </c>
      <c r="F245" s="33">
        <v>42669</v>
      </c>
      <c r="G245" s="32">
        <v>42669</v>
      </c>
      <c r="H245" s="22" t="s">
        <v>112</v>
      </c>
      <c r="I245" s="23" t="s">
        <v>223</v>
      </c>
      <c r="J245" s="23" t="s">
        <v>39</v>
      </c>
      <c r="K245" s="22"/>
      <c r="L245" s="23" t="s">
        <v>39</v>
      </c>
      <c r="M245" s="23" t="s">
        <v>39</v>
      </c>
      <c r="N245" s="22"/>
      <c r="O245" s="22"/>
      <c r="P245" s="22"/>
      <c r="Q245" s="22"/>
      <c r="R245" s="23" t="s">
        <v>634</v>
      </c>
      <c r="S245" s="23" t="s">
        <v>634</v>
      </c>
      <c r="T245" s="23" t="s">
        <v>39</v>
      </c>
      <c r="U245" s="23" t="s">
        <v>39</v>
      </c>
      <c r="V245" s="22"/>
      <c r="W245" s="22"/>
      <c r="X245" s="22"/>
      <c r="Y245" s="22"/>
      <c r="Z245" s="22" t="s">
        <v>39</v>
      </c>
      <c r="AA245" s="22" t="s">
        <v>39</v>
      </c>
      <c r="AB245" s="1"/>
      <c r="AC245"/>
      <c r="AD245"/>
      <c r="AE245"/>
      <c r="AF245"/>
      <c r="AG245"/>
    </row>
    <row r="246" spans="1:33" ht="72" customHeight="1" x14ac:dyDescent="0.25">
      <c r="A246" s="17">
        <v>9759205</v>
      </c>
      <c r="B246" s="30">
        <v>1</v>
      </c>
      <c r="C246" s="17" t="s">
        <v>442</v>
      </c>
      <c r="D246" s="31" t="s">
        <v>52</v>
      </c>
      <c r="E246" s="32">
        <v>42669</v>
      </c>
      <c r="F246" s="33">
        <v>42669</v>
      </c>
      <c r="G246" s="32">
        <v>42669</v>
      </c>
      <c r="H246" s="22" t="s">
        <v>112</v>
      </c>
      <c r="I246" s="23" t="s">
        <v>393</v>
      </c>
      <c r="J246" s="23" t="s">
        <v>39</v>
      </c>
      <c r="K246" s="22"/>
      <c r="L246" s="23" t="s">
        <v>39</v>
      </c>
      <c r="M246" s="23" t="s">
        <v>39</v>
      </c>
      <c r="N246" s="22"/>
      <c r="O246" s="22"/>
      <c r="P246" s="22"/>
      <c r="Q246" s="22"/>
      <c r="R246" s="23" t="s">
        <v>634</v>
      </c>
      <c r="S246" s="23" t="s">
        <v>634</v>
      </c>
      <c r="T246" s="23" t="s">
        <v>39</v>
      </c>
      <c r="U246" s="23" t="s">
        <v>39</v>
      </c>
      <c r="V246" s="22"/>
      <c r="W246" s="22"/>
      <c r="X246" s="22"/>
      <c r="Y246" s="22"/>
      <c r="Z246" s="22" t="s">
        <v>39</v>
      </c>
      <c r="AA246" s="22" t="s">
        <v>39</v>
      </c>
      <c r="AB246" s="1"/>
      <c r="AC246"/>
      <c r="AD246"/>
      <c r="AE246"/>
      <c r="AF246"/>
      <c r="AG246"/>
    </row>
    <row r="247" spans="1:33" ht="72" customHeight="1" x14ac:dyDescent="0.25">
      <c r="A247" s="17">
        <v>9759210</v>
      </c>
      <c r="B247" s="30">
        <v>1</v>
      </c>
      <c r="C247" s="17" t="s">
        <v>32</v>
      </c>
      <c r="D247" s="31" t="s">
        <v>52</v>
      </c>
      <c r="E247" s="32">
        <v>42669</v>
      </c>
      <c r="F247" s="33">
        <v>42669</v>
      </c>
      <c r="G247" s="32">
        <v>42669</v>
      </c>
      <c r="H247" s="22" t="s">
        <v>108</v>
      </c>
      <c r="I247" s="23" t="s">
        <v>367</v>
      </c>
      <c r="J247" s="23" t="s">
        <v>39</v>
      </c>
      <c r="K247" s="22"/>
      <c r="L247" s="23" t="s">
        <v>39</v>
      </c>
      <c r="M247" s="23" t="s">
        <v>39</v>
      </c>
      <c r="N247" s="22"/>
      <c r="O247" s="22"/>
      <c r="P247" s="22"/>
      <c r="Q247" s="22"/>
      <c r="R247" s="23" t="s">
        <v>634</v>
      </c>
      <c r="S247" s="23" t="s">
        <v>634</v>
      </c>
      <c r="T247" s="23" t="s">
        <v>39</v>
      </c>
      <c r="U247" s="23" t="s">
        <v>675</v>
      </c>
      <c r="V247" s="22"/>
      <c r="W247" s="22"/>
      <c r="X247" s="22"/>
      <c r="Y247" s="22"/>
      <c r="Z247" s="22" t="s">
        <v>39</v>
      </c>
      <c r="AA247" s="22" t="s">
        <v>39</v>
      </c>
      <c r="AB247" s="1"/>
      <c r="AC247"/>
      <c r="AD247"/>
      <c r="AE247"/>
      <c r="AF247"/>
      <c r="AG247"/>
    </row>
    <row r="248" spans="1:33" ht="72" customHeight="1" x14ac:dyDescent="0.25">
      <c r="A248" s="17">
        <v>9759214</v>
      </c>
      <c r="B248" s="30">
        <v>2</v>
      </c>
      <c r="C248" s="17" t="s">
        <v>455</v>
      </c>
      <c r="D248" s="31" t="s">
        <v>25</v>
      </c>
      <c r="E248" s="32">
        <v>42669</v>
      </c>
      <c r="F248" s="33">
        <v>42669</v>
      </c>
      <c r="G248" s="32">
        <v>42669</v>
      </c>
      <c r="H248" s="22" t="s">
        <v>112</v>
      </c>
      <c r="I248" s="23" t="s">
        <v>393</v>
      </c>
      <c r="J248" s="23" t="s">
        <v>39</v>
      </c>
      <c r="K248" s="22"/>
      <c r="L248" s="23" t="s">
        <v>39</v>
      </c>
      <c r="M248" s="23" t="s">
        <v>39</v>
      </c>
      <c r="N248" s="22"/>
      <c r="O248" s="22"/>
      <c r="P248" s="22"/>
      <c r="Q248" s="22"/>
      <c r="R248" s="23" t="s">
        <v>634</v>
      </c>
      <c r="S248" s="23" t="s">
        <v>634</v>
      </c>
      <c r="T248" s="23" t="s">
        <v>39</v>
      </c>
      <c r="U248" s="23" t="s">
        <v>39</v>
      </c>
      <c r="V248" s="22"/>
      <c r="W248" s="22"/>
      <c r="X248" s="22"/>
      <c r="Y248" s="22"/>
      <c r="Z248" s="22" t="s">
        <v>39</v>
      </c>
      <c r="AA248" s="22" t="s">
        <v>39</v>
      </c>
      <c r="AB248" s="1"/>
      <c r="AC248"/>
      <c r="AD248"/>
      <c r="AE248"/>
      <c r="AF248"/>
      <c r="AG248"/>
    </row>
    <row r="249" spans="1:33" ht="72" customHeight="1" x14ac:dyDescent="0.25">
      <c r="A249" s="17">
        <v>9759216</v>
      </c>
      <c r="B249" s="30">
        <v>2</v>
      </c>
      <c r="C249" s="17" t="s">
        <v>457</v>
      </c>
      <c r="D249" s="31" t="s">
        <v>25</v>
      </c>
      <c r="E249" s="32">
        <v>42669</v>
      </c>
      <c r="F249" s="33">
        <v>42669</v>
      </c>
      <c r="G249" s="32">
        <v>42669</v>
      </c>
      <c r="H249" s="22" t="s">
        <v>112</v>
      </c>
      <c r="I249" s="23" t="s">
        <v>393</v>
      </c>
      <c r="J249" s="23" t="s">
        <v>39</v>
      </c>
      <c r="K249" s="22"/>
      <c r="L249" s="23" t="s">
        <v>39</v>
      </c>
      <c r="M249" s="23" t="s">
        <v>39</v>
      </c>
      <c r="N249" s="22"/>
      <c r="O249" s="22"/>
      <c r="P249" s="22"/>
      <c r="Q249" s="22"/>
      <c r="R249" s="23" t="s">
        <v>634</v>
      </c>
      <c r="S249" s="23">
        <v>20115199</v>
      </c>
      <c r="T249" s="23" t="s">
        <v>294</v>
      </c>
      <c r="U249" s="23" t="s">
        <v>39</v>
      </c>
      <c r="V249" s="22"/>
      <c r="W249" s="22"/>
      <c r="X249" s="22"/>
      <c r="Y249" s="22"/>
      <c r="Z249" s="22" t="s">
        <v>39</v>
      </c>
      <c r="AA249" s="22" t="s">
        <v>39</v>
      </c>
      <c r="AB249" s="1"/>
      <c r="AC249"/>
      <c r="AD249"/>
      <c r="AE249"/>
      <c r="AF249"/>
      <c r="AG249"/>
    </row>
    <row r="250" spans="1:33" ht="72" customHeight="1" x14ac:dyDescent="0.25">
      <c r="A250" s="17">
        <v>9759217</v>
      </c>
      <c r="B250" s="30">
        <v>4</v>
      </c>
      <c r="C250" s="17" t="s">
        <v>453</v>
      </c>
      <c r="D250" s="31" t="s">
        <v>25</v>
      </c>
      <c r="E250" s="32">
        <v>42669</v>
      </c>
      <c r="F250" s="33">
        <v>42669</v>
      </c>
      <c r="G250" s="32">
        <v>42669</v>
      </c>
      <c r="H250" s="22" t="s">
        <v>112</v>
      </c>
      <c r="I250" s="23" t="s">
        <v>393</v>
      </c>
      <c r="J250" s="23" t="s">
        <v>39</v>
      </c>
      <c r="K250" s="22"/>
      <c r="L250" s="23" t="s">
        <v>39</v>
      </c>
      <c r="M250" s="23" t="s">
        <v>39</v>
      </c>
      <c r="N250" s="22"/>
      <c r="O250" s="22"/>
      <c r="P250" s="22"/>
      <c r="Q250" s="22"/>
      <c r="R250" s="23" t="s">
        <v>634</v>
      </c>
      <c r="S250" s="23" t="s">
        <v>634</v>
      </c>
      <c r="T250" s="23" t="s">
        <v>39</v>
      </c>
      <c r="U250" s="23" t="s">
        <v>39</v>
      </c>
      <c r="V250" s="22"/>
      <c r="W250" s="22"/>
      <c r="X250" s="22"/>
      <c r="Y250" s="22"/>
      <c r="Z250" s="22" t="s">
        <v>39</v>
      </c>
      <c r="AA250" s="22" t="s">
        <v>39</v>
      </c>
      <c r="AB250" s="1"/>
      <c r="AC250"/>
      <c r="AD250"/>
      <c r="AE250"/>
      <c r="AF250"/>
      <c r="AG250"/>
    </row>
    <row r="251" spans="1:33" ht="72" customHeight="1" x14ac:dyDescent="0.25">
      <c r="A251" s="17">
        <v>9759218</v>
      </c>
      <c r="B251" s="30">
        <v>2</v>
      </c>
      <c r="C251" s="17" t="s">
        <v>454</v>
      </c>
      <c r="D251" s="31" t="s">
        <v>25</v>
      </c>
      <c r="E251" s="32">
        <v>42669</v>
      </c>
      <c r="F251" s="33">
        <v>42669</v>
      </c>
      <c r="G251" s="32">
        <v>42669</v>
      </c>
      <c r="H251" s="22" t="s">
        <v>95</v>
      </c>
      <c r="I251" s="23" t="s">
        <v>223</v>
      </c>
      <c r="J251" s="23" t="s">
        <v>39</v>
      </c>
      <c r="K251" s="22"/>
      <c r="L251" s="23" t="s">
        <v>263</v>
      </c>
      <c r="M251" s="23" t="s">
        <v>728</v>
      </c>
      <c r="N251" s="22"/>
      <c r="O251" s="22"/>
      <c r="P251" s="22"/>
      <c r="Q251" s="22"/>
      <c r="R251" s="23" t="s">
        <v>634</v>
      </c>
      <c r="S251" s="23" t="s">
        <v>634</v>
      </c>
      <c r="T251" s="23" t="s">
        <v>39</v>
      </c>
      <c r="U251" s="23" t="s">
        <v>39</v>
      </c>
      <c r="V251" s="22"/>
      <c r="W251" s="22"/>
      <c r="X251" s="22"/>
      <c r="Y251" s="22"/>
      <c r="Z251" s="22" t="s">
        <v>39</v>
      </c>
      <c r="AA251" s="22" t="s">
        <v>39</v>
      </c>
      <c r="AB251" s="1"/>
      <c r="AC251"/>
      <c r="AD251"/>
      <c r="AE251"/>
      <c r="AF251"/>
      <c r="AG251"/>
    </row>
    <row r="252" spans="1:33" ht="72" customHeight="1" x14ac:dyDescent="0.25">
      <c r="A252" s="17">
        <v>9759223</v>
      </c>
      <c r="B252" s="30">
        <v>1</v>
      </c>
      <c r="C252" s="17" t="s">
        <v>461</v>
      </c>
      <c r="D252" s="31" t="s">
        <v>28</v>
      </c>
      <c r="E252" s="32">
        <v>42669</v>
      </c>
      <c r="F252" s="33">
        <v>42669</v>
      </c>
      <c r="G252" s="32">
        <v>42669</v>
      </c>
      <c r="H252" s="22" t="s">
        <v>112</v>
      </c>
      <c r="I252" s="23" t="s">
        <v>367</v>
      </c>
      <c r="J252" s="23" t="s">
        <v>39</v>
      </c>
      <c r="K252" s="22"/>
      <c r="L252" s="23" t="s">
        <v>39</v>
      </c>
      <c r="M252" s="23" t="s">
        <v>39</v>
      </c>
      <c r="N252" s="22"/>
      <c r="O252" s="22"/>
      <c r="P252" s="22"/>
      <c r="Q252" s="22"/>
      <c r="R252" s="23" t="s">
        <v>634</v>
      </c>
      <c r="S252" s="23" t="s">
        <v>634</v>
      </c>
      <c r="T252" s="23" t="s">
        <v>39</v>
      </c>
      <c r="U252" s="23" t="s">
        <v>39</v>
      </c>
      <c r="V252" s="22"/>
      <c r="W252" s="22"/>
      <c r="X252" s="22"/>
      <c r="Y252" s="22"/>
      <c r="Z252" s="22" t="s">
        <v>39</v>
      </c>
      <c r="AA252" s="22" t="s">
        <v>39</v>
      </c>
      <c r="AB252" s="1"/>
      <c r="AC252"/>
      <c r="AD252"/>
      <c r="AE252"/>
      <c r="AF252"/>
      <c r="AG252"/>
    </row>
    <row r="253" spans="1:33" ht="72" customHeight="1" x14ac:dyDescent="0.25">
      <c r="A253" s="17">
        <v>9759224</v>
      </c>
      <c r="B253" s="30">
        <v>2</v>
      </c>
      <c r="C253" s="17" t="s">
        <v>463</v>
      </c>
      <c r="D253" s="31" t="s">
        <v>462</v>
      </c>
      <c r="E253" s="32">
        <v>42669</v>
      </c>
      <c r="F253" s="33">
        <v>42669</v>
      </c>
      <c r="G253" s="32">
        <v>42669</v>
      </c>
      <c r="H253" s="22" t="s">
        <v>95</v>
      </c>
      <c r="I253" s="23" t="s">
        <v>223</v>
      </c>
      <c r="J253" s="23" t="s">
        <v>39</v>
      </c>
      <c r="K253" s="22"/>
      <c r="L253" s="23" t="s">
        <v>263</v>
      </c>
      <c r="M253" s="23" t="s">
        <v>728</v>
      </c>
      <c r="N253" s="22"/>
      <c r="O253" s="22"/>
      <c r="P253" s="22"/>
      <c r="Q253" s="22"/>
      <c r="R253" s="23" t="s">
        <v>39</v>
      </c>
      <c r="S253" s="23" t="s">
        <v>39</v>
      </c>
      <c r="T253" s="23" t="e">
        <v>#N/A</v>
      </c>
      <c r="U253" s="23" t="s">
        <v>39</v>
      </c>
      <c r="V253" s="22"/>
      <c r="W253" s="22"/>
      <c r="X253" s="22"/>
      <c r="Y253" s="22"/>
      <c r="Z253" s="22" t="s">
        <v>39</v>
      </c>
      <c r="AA253" s="22" t="s">
        <v>39</v>
      </c>
      <c r="AB253" s="1"/>
      <c r="AC253"/>
      <c r="AD253"/>
      <c r="AE253"/>
      <c r="AF253"/>
      <c r="AG253"/>
    </row>
    <row r="254" spans="1:33" ht="72" customHeight="1" x14ac:dyDescent="0.25">
      <c r="A254" s="17">
        <v>9759225</v>
      </c>
      <c r="B254" s="30">
        <v>2</v>
      </c>
      <c r="C254" s="17" t="s">
        <v>464</v>
      </c>
      <c r="D254" s="31" t="s">
        <v>26</v>
      </c>
      <c r="E254" s="32">
        <v>42669</v>
      </c>
      <c r="F254" s="33">
        <v>42669</v>
      </c>
      <c r="G254" s="32">
        <v>42669</v>
      </c>
      <c r="H254" s="22" t="s">
        <v>112</v>
      </c>
      <c r="I254" s="23" t="s">
        <v>395</v>
      </c>
      <c r="J254" s="23" t="s">
        <v>39</v>
      </c>
      <c r="K254" s="22"/>
      <c r="L254" s="23" t="s">
        <v>39</v>
      </c>
      <c r="M254" s="23" t="s">
        <v>39</v>
      </c>
      <c r="N254" s="22"/>
      <c r="O254" s="22"/>
      <c r="P254" s="22"/>
      <c r="Q254" s="22"/>
      <c r="R254" s="23" t="s">
        <v>634</v>
      </c>
      <c r="S254" s="23" t="s">
        <v>634</v>
      </c>
      <c r="T254" s="23" t="s">
        <v>39</v>
      </c>
      <c r="U254" s="23" t="s">
        <v>39</v>
      </c>
      <c r="V254" s="22"/>
      <c r="W254" s="22"/>
      <c r="X254" s="22"/>
      <c r="Y254" s="22"/>
      <c r="Z254" s="22" t="s">
        <v>39</v>
      </c>
      <c r="AA254" s="22" t="s">
        <v>39</v>
      </c>
      <c r="AB254" s="1"/>
      <c r="AC254"/>
      <c r="AD254"/>
      <c r="AE254"/>
      <c r="AF254"/>
      <c r="AG254"/>
    </row>
    <row r="255" spans="1:33" ht="72" customHeight="1" x14ac:dyDescent="0.25">
      <c r="A255" s="17">
        <v>9759261</v>
      </c>
      <c r="B255" s="30">
        <v>6</v>
      </c>
      <c r="C255" s="17" t="s">
        <v>458</v>
      </c>
      <c r="D255" s="31" t="s">
        <v>25</v>
      </c>
      <c r="E255" s="32">
        <v>42669</v>
      </c>
      <c r="F255" s="33">
        <v>42669</v>
      </c>
      <c r="G255" s="32">
        <v>42669</v>
      </c>
      <c r="H255" s="22" t="s">
        <v>112</v>
      </c>
      <c r="I255" s="23" t="s">
        <v>393</v>
      </c>
      <c r="J255" s="23" t="s">
        <v>39</v>
      </c>
      <c r="K255" s="22"/>
      <c r="L255" s="23" t="s">
        <v>39</v>
      </c>
      <c r="M255" s="23" t="s">
        <v>39</v>
      </c>
      <c r="N255" s="22"/>
      <c r="O255" s="22"/>
      <c r="P255" s="22"/>
      <c r="Q255" s="22"/>
      <c r="R255" s="23" t="s">
        <v>634</v>
      </c>
      <c r="S255" s="23" t="s">
        <v>634</v>
      </c>
      <c r="T255" s="23" t="s">
        <v>39</v>
      </c>
      <c r="U255" s="23" t="s">
        <v>39</v>
      </c>
      <c r="V255" s="22"/>
      <c r="W255" s="22"/>
      <c r="X255" s="22"/>
      <c r="Y255" s="22"/>
      <c r="Z255" s="22" t="s">
        <v>39</v>
      </c>
      <c r="AA255" s="22" t="s">
        <v>39</v>
      </c>
      <c r="AB255" s="1"/>
      <c r="AC255"/>
      <c r="AD255"/>
      <c r="AE255"/>
      <c r="AF255"/>
      <c r="AG255"/>
    </row>
    <row r="256" spans="1:33" ht="72" customHeight="1" x14ac:dyDescent="0.25">
      <c r="A256" s="17">
        <v>9759284</v>
      </c>
      <c r="B256" s="30">
        <v>3</v>
      </c>
      <c r="C256" s="17" t="s">
        <v>426</v>
      </c>
      <c r="D256" s="31" t="s">
        <v>197</v>
      </c>
      <c r="E256" s="32">
        <v>42669</v>
      </c>
      <c r="F256" s="33">
        <v>42669</v>
      </c>
      <c r="G256" s="32">
        <v>42669</v>
      </c>
      <c r="H256" s="22" t="s">
        <v>112</v>
      </c>
      <c r="I256" s="23" t="s">
        <v>367</v>
      </c>
      <c r="J256" s="23" t="s">
        <v>39</v>
      </c>
      <c r="K256" s="22"/>
      <c r="L256" s="23" t="s">
        <v>39</v>
      </c>
      <c r="M256" s="23" t="s">
        <v>39</v>
      </c>
      <c r="N256" s="22"/>
      <c r="O256" s="22"/>
      <c r="P256" s="22"/>
      <c r="Q256" s="22"/>
      <c r="R256" s="23" t="s">
        <v>634</v>
      </c>
      <c r="S256" s="23" t="s">
        <v>634</v>
      </c>
      <c r="T256" s="23" t="s">
        <v>39</v>
      </c>
      <c r="U256" s="23" t="s">
        <v>39</v>
      </c>
      <c r="V256" s="22"/>
      <c r="W256" s="22"/>
      <c r="X256" s="22"/>
      <c r="Y256" s="22"/>
      <c r="Z256" s="22" t="s">
        <v>39</v>
      </c>
      <c r="AA256" s="22" t="s">
        <v>39</v>
      </c>
      <c r="AB256" s="1"/>
      <c r="AC256"/>
      <c r="AD256"/>
      <c r="AE256"/>
      <c r="AF256"/>
      <c r="AG256"/>
    </row>
    <row r="257" spans="1:33" ht="72" customHeight="1" x14ac:dyDescent="0.25">
      <c r="A257" s="17">
        <v>9759285</v>
      </c>
      <c r="B257" s="30">
        <v>19</v>
      </c>
      <c r="C257" s="17" t="s">
        <v>427</v>
      </c>
      <c r="D257" s="31" t="s">
        <v>153</v>
      </c>
      <c r="E257" s="32">
        <v>42669</v>
      </c>
      <c r="F257" s="33">
        <v>42669</v>
      </c>
      <c r="G257" s="32">
        <v>42669</v>
      </c>
      <c r="H257" s="22" t="s">
        <v>112</v>
      </c>
      <c r="I257" s="23" t="s">
        <v>223</v>
      </c>
      <c r="J257" s="23" t="s">
        <v>39</v>
      </c>
      <c r="K257" s="22"/>
      <c r="L257" s="23" t="s">
        <v>39</v>
      </c>
      <c r="M257" s="23" t="s">
        <v>39</v>
      </c>
      <c r="N257" s="22"/>
      <c r="O257" s="22"/>
      <c r="P257" s="22"/>
      <c r="Q257" s="22"/>
      <c r="R257" s="23" t="s">
        <v>634</v>
      </c>
      <c r="S257" s="23" t="s">
        <v>634</v>
      </c>
      <c r="T257" s="23" t="s">
        <v>39</v>
      </c>
      <c r="U257" s="23" t="s">
        <v>39</v>
      </c>
      <c r="V257" s="22"/>
      <c r="W257" s="22"/>
      <c r="X257" s="22"/>
      <c r="Y257" s="22"/>
      <c r="Z257" s="22" t="s">
        <v>39</v>
      </c>
      <c r="AA257" s="22" t="s">
        <v>39</v>
      </c>
      <c r="AB257" s="1"/>
      <c r="AC257"/>
      <c r="AD257"/>
      <c r="AE257"/>
      <c r="AF257"/>
      <c r="AG257"/>
    </row>
    <row r="258" spans="1:33" ht="72" customHeight="1" x14ac:dyDescent="0.25">
      <c r="A258" s="17">
        <v>9759296</v>
      </c>
      <c r="B258" s="30">
        <v>14</v>
      </c>
      <c r="C258" s="17" t="s">
        <v>423</v>
      </c>
      <c r="D258" s="31" t="s">
        <v>152</v>
      </c>
      <c r="E258" s="32">
        <v>42669</v>
      </c>
      <c r="F258" s="33">
        <v>42669</v>
      </c>
      <c r="G258" s="32">
        <v>42669</v>
      </c>
      <c r="H258" s="22" t="s">
        <v>112</v>
      </c>
      <c r="I258" s="23" t="s">
        <v>371</v>
      </c>
      <c r="J258" s="23" t="s">
        <v>39</v>
      </c>
      <c r="K258" s="22"/>
      <c r="L258" s="23" t="s">
        <v>39</v>
      </c>
      <c r="M258" s="23" t="s">
        <v>39</v>
      </c>
      <c r="N258" s="22"/>
      <c r="O258" s="22"/>
      <c r="P258" s="22"/>
      <c r="Q258" s="22"/>
      <c r="R258" s="23" t="s">
        <v>634</v>
      </c>
      <c r="S258" s="23" t="s">
        <v>634</v>
      </c>
      <c r="T258" s="23" t="s">
        <v>39</v>
      </c>
      <c r="U258" s="23" t="s">
        <v>39</v>
      </c>
      <c r="V258" s="22"/>
      <c r="W258" s="22"/>
      <c r="X258" s="22"/>
      <c r="Y258" s="22"/>
      <c r="Z258" s="22" t="s">
        <v>39</v>
      </c>
      <c r="AA258" s="22" t="s">
        <v>39</v>
      </c>
      <c r="AB258" s="1"/>
      <c r="AC258"/>
      <c r="AD258"/>
      <c r="AE258"/>
      <c r="AF258"/>
      <c r="AG258"/>
    </row>
    <row r="259" spans="1:33" ht="72" customHeight="1" x14ac:dyDescent="0.25">
      <c r="A259" s="17">
        <v>9759322</v>
      </c>
      <c r="B259" s="30">
        <v>7</v>
      </c>
      <c r="C259" s="17" t="s">
        <v>256</v>
      </c>
      <c r="D259" s="31" t="s">
        <v>255</v>
      </c>
      <c r="E259" s="32">
        <v>42669</v>
      </c>
      <c r="F259" s="33">
        <v>42669</v>
      </c>
      <c r="G259" s="32">
        <v>42669</v>
      </c>
      <c r="H259" s="22" t="s">
        <v>112</v>
      </c>
      <c r="I259" s="23" t="s">
        <v>223</v>
      </c>
      <c r="J259" s="23" t="s">
        <v>39</v>
      </c>
      <c r="K259" s="22"/>
      <c r="L259" s="23" t="s">
        <v>39</v>
      </c>
      <c r="M259" s="23" t="s">
        <v>39</v>
      </c>
      <c r="N259" s="22"/>
      <c r="O259" s="22"/>
      <c r="P259" s="22"/>
      <c r="Q259" s="22"/>
      <c r="R259" s="23" t="s">
        <v>635</v>
      </c>
      <c r="S259" s="23" t="s">
        <v>635</v>
      </c>
      <c r="T259" s="23" t="s">
        <v>39</v>
      </c>
      <c r="U259" s="23" t="s">
        <v>39</v>
      </c>
      <c r="V259" s="22"/>
      <c r="W259" s="22"/>
      <c r="X259" s="22"/>
      <c r="Y259" s="22"/>
      <c r="Z259" s="22" t="s">
        <v>39</v>
      </c>
      <c r="AA259" s="22" t="s">
        <v>39</v>
      </c>
      <c r="AB259" s="1"/>
      <c r="AC259"/>
      <c r="AD259"/>
      <c r="AE259"/>
      <c r="AF259"/>
      <c r="AG259"/>
    </row>
    <row r="260" spans="1:33" ht="72" customHeight="1" x14ac:dyDescent="0.25">
      <c r="A260" s="17">
        <v>9759338</v>
      </c>
      <c r="B260" s="30">
        <v>2</v>
      </c>
      <c r="C260" s="17" t="s">
        <v>468</v>
      </c>
      <c r="D260" s="31" t="s">
        <v>45</v>
      </c>
      <c r="E260" s="32">
        <v>42669</v>
      </c>
      <c r="F260" s="33">
        <v>42669</v>
      </c>
      <c r="G260" s="32">
        <v>42669</v>
      </c>
      <c r="H260" s="22" t="s">
        <v>112</v>
      </c>
      <c r="I260" s="23" t="s">
        <v>223</v>
      </c>
      <c r="J260" s="23" t="s">
        <v>39</v>
      </c>
      <c r="K260" s="22"/>
      <c r="L260" s="23" t="s">
        <v>39</v>
      </c>
      <c r="M260" s="23" t="s">
        <v>39</v>
      </c>
      <c r="N260" s="22"/>
      <c r="O260" s="22"/>
      <c r="P260" s="22"/>
      <c r="Q260" s="22"/>
      <c r="R260" s="23" t="s">
        <v>634</v>
      </c>
      <c r="S260" s="23" t="s">
        <v>634</v>
      </c>
      <c r="T260" s="23" t="s">
        <v>39</v>
      </c>
      <c r="U260" s="23" t="s">
        <v>39</v>
      </c>
      <c r="V260" s="22"/>
      <c r="W260" s="22"/>
      <c r="X260" s="22"/>
      <c r="Y260" s="22"/>
      <c r="Z260" s="22" t="s">
        <v>39</v>
      </c>
      <c r="AA260" s="22" t="s">
        <v>39</v>
      </c>
      <c r="AB260" s="1"/>
      <c r="AC260"/>
      <c r="AD260"/>
      <c r="AE260"/>
      <c r="AF260"/>
      <c r="AG260"/>
    </row>
    <row r="261" spans="1:33" ht="72" customHeight="1" x14ac:dyDescent="0.25">
      <c r="A261" s="17">
        <v>9759340</v>
      </c>
      <c r="B261" s="30">
        <v>1</v>
      </c>
      <c r="C261" s="17" t="s">
        <v>469</v>
      </c>
      <c r="D261" s="31" t="s">
        <v>45</v>
      </c>
      <c r="E261" s="32">
        <v>42669</v>
      </c>
      <c r="F261" s="33">
        <v>42669</v>
      </c>
      <c r="G261" s="32">
        <v>42669</v>
      </c>
      <c r="H261" s="22" t="s">
        <v>112</v>
      </c>
      <c r="I261" s="23" t="s">
        <v>467</v>
      </c>
      <c r="J261" s="23" t="s">
        <v>39</v>
      </c>
      <c r="K261" s="22"/>
      <c r="L261" s="23" t="s">
        <v>39</v>
      </c>
      <c r="M261" s="23" t="s">
        <v>39</v>
      </c>
      <c r="N261" s="22"/>
      <c r="O261" s="22"/>
      <c r="P261" s="22"/>
      <c r="Q261" s="22"/>
      <c r="R261" s="23" t="s">
        <v>634</v>
      </c>
      <c r="S261" s="23" t="s">
        <v>634</v>
      </c>
      <c r="T261" s="23" t="s">
        <v>39</v>
      </c>
      <c r="U261" s="23" t="s">
        <v>39</v>
      </c>
      <c r="V261" s="22"/>
      <c r="W261" s="22"/>
      <c r="X261" s="22"/>
      <c r="Y261" s="22"/>
      <c r="Z261" s="22" t="s">
        <v>39</v>
      </c>
      <c r="AA261" s="22" t="s">
        <v>39</v>
      </c>
      <c r="AB261" s="1"/>
      <c r="AC261"/>
      <c r="AD261"/>
      <c r="AE261"/>
      <c r="AF261"/>
      <c r="AG261"/>
    </row>
    <row r="262" spans="1:33" ht="72" customHeight="1" x14ac:dyDescent="0.25">
      <c r="A262" s="17">
        <v>9759341</v>
      </c>
      <c r="B262" s="30">
        <v>2</v>
      </c>
      <c r="C262" s="17" t="s">
        <v>37</v>
      </c>
      <c r="D262" s="31" t="s">
        <v>10</v>
      </c>
      <c r="E262" s="32">
        <v>42669</v>
      </c>
      <c r="F262" s="33">
        <v>42669</v>
      </c>
      <c r="G262" s="32">
        <v>42669</v>
      </c>
      <c r="H262" s="22" t="s">
        <v>112</v>
      </c>
      <c r="I262" s="23" t="s">
        <v>467</v>
      </c>
      <c r="J262" s="23" t="s">
        <v>39</v>
      </c>
      <c r="K262" s="22"/>
      <c r="L262" s="23" t="s">
        <v>39</v>
      </c>
      <c r="M262" s="23" t="s">
        <v>39</v>
      </c>
      <c r="N262" s="22"/>
      <c r="O262" s="22"/>
      <c r="P262" s="22"/>
      <c r="Q262" s="22"/>
      <c r="R262" s="23" t="s">
        <v>634</v>
      </c>
      <c r="S262" s="23" t="s">
        <v>634</v>
      </c>
      <c r="T262" s="23" t="s">
        <v>39</v>
      </c>
      <c r="U262" s="23" t="s">
        <v>39</v>
      </c>
      <c r="V262" s="22"/>
      <c r="W262" s="22"/>
      <c r="X262" s="22"/>
      <c r="Y262" s="22"/>
      <c r="Z262" s="22" t="s">
        <v>39</v>
      </c>
      <c r="AA262" s="22" t="s">
        <v>39</v>
      </c>
      <c r="AB262" s="1"/>
      <c r="AC262"/>
      <c r="AD262"/>
      <c r="AE262"/>
      <c r="AF262"/>
      <c r="AG262"/>
    </row>
    <row r="263" spans="1:33" ht="72" customHeight="1" x14ac:dyDescent="0.25">
      <c r="A263" s="17">
        <v>9759342</v>
      </c>
      <c r="B263" s="30">
        <v>1</v>
      </c>
      <c r="C263" s="17" t="s">
        <v>336</v>
      </c>
      <c r="D263" s="31" t="s">
        <v>197</v>
      </c>
      <c r="E263" s="32">
        <v>42669</v>
      </c>
      <c r="F263" s="33">
        <v>42669</v>
      </c>
      <c r="G263" s="32">
        <v>42669</v>
      </c>
      <c r="H263" s="22" t="s">
        <v>108</v>
      </c>
      <c r="I263" s="23" t="s">
        <v>467</v>
      </c>
      <c r="J263" s="23" t="s">
        <v>39</v>
      </c>
      <c r="K263" s="22"/>
      <c r="L263" s="23" t="s">
        <v>39</v>
      </c>
      <c r="M263" s="23" t="s">
        <v>39</v>
      </c>
      <c r="N263" s="22"/>
      <c r="O263" s="22"/>
      <c r="P263" s="22"/>
      <c r="Q263" s="22"/>
      <c r="R263" s="23" t="s">
        <v>634</v>
      </c>
      <c r="S263" s="23" t="s">
        <v>634</v>
      </c>
      <c r="T263" s="23" t="s">
        <v>39</v>
      </c>
      <c r="U263" s="23" t="s">
        <v>718</v>
      </c>
      <c r="V263" s="22"/>
      <c r="W263" s="22"/>
      <c r="X263" s="22"/>
      <c r="Y263" s="22"/>
      <c r="Z263" s="22" t="s">
        <v>39</v>
      </c>
      <c r="AA263" s="22" t="s">
        <v>39</v>
      </c>
      <c r="AB263" s="1"/>
      <c r="AC263"/>
      <c r="AD263"/>
      <c r="AE263"/>
      <c r="AF263"/>
      <c r="AG263"/>
    </row>
    <row r="264" spans="1:33" ht="72" customHeight="1" x14ac:dyDescent="0.25">
      <c r="A264" s="17">
        <v>9759343</v>
      </c>
      <c r="B264" s="30">
        <v>1</v>
      </c>
      <c r="C264" s="17" t="s">
        <v>471</v>
      </c>
      <c r="D264" s="31" t="s">
        <v>153</v>
      </c>
      <c r="E264" s="32">
        <v>42669</v>
      </c>
      <c r="F264" s="33">
        <v>42669</v>
      </c>
      <c r="G264" s="32">
        <v>42669</v>
      </c>
      <c r="H264" s="22" t="s">
        <v>108</v>
      </c>
      <c r="I264" s="23" t="s">
        <v>467</v>
      </c>
      <c r="J264" s="23" t="s">
        <v>39</v>
      </c>
      <c r="K264" s="22"/>
      <c r="L264" s="23" t="s">
        <v>39</v>
      </c>
      <c r="M264" s="23" t="s">
        <v>39</v>
      </c>
      <c r="N264" s="22"/>
      <c r="O264" s="22"/>
      <c r="P264" s="22"/>
      <c r="Q264" s="22"/>
      <c r="R264" s="23" t="s">
        <v>634</v>
      </c>
      <c r="S264" s="23" t="s">
        <v>634</v>
      </c>
      <c r="T264" s="23" t="s">
        <v>39</v>
      </c>
      <c r="U264" s="23" t="s">
        <v>719</v>
      </c>
      <c r="V264" s="22"/>
      <c r="W264" s="22"/>
      <c r="X264" s="22"/>
      <c r="Y264" s="22"/>
      <c r="Z264" s="22" t="s">
        <v>39</v>
      </c>
      <c r="AA264" s="22" t="s">
        <v>39</v>
      </c>
      <c r="AB264" s="1"/>
      <c r="AC264"/>
      <c r="AD264"/>
      <c r="AE264"/>
      <c r="AF264"/>
      <c r="AG264"/>
    </row>
    <row r="265" spans="1:33" ht="72" customHeight="1" x14ac:dyDescent="0.25">
      <c r="A265" s="17">
        <v>9759344</v>
      </c>
      <c r="B265" s="30">
        <v>2</v>
      </c>
      <c r="C265" s="17" t="s">
        <v>474</v>
      </c>
      <c r="D265" s="31" t="s">
        <v>52</v>
      </c>
      <c r="E265" s="32">
        <v>42669</v>
      </c>
      <c r="F265" s="33">
        <v>42669</v>
      </c>
      <c r="G265" s="32">
        <v>42669</v>
      </c>
      <c r="H265" s="22" t="s">
        <v>104</v>
      </c>
      <c r="I265" s="23" t="s">
        <v>39</v>
      </c>
      <c r="J265" s="23" t="s">
        <v>39</v>
      </c>
      <c r="K265" s="22"/>
      <c r="L265" s="23" t="s">
        <v>39</v>
      </c>
      <c r="M265" s="23" t="s">
        <v>39</v>
      </c>
      <c r="N265" s="22"/>
      <c r="O265" s="22"/>
      <c r="P265" s="22"/>
      <c r="Q265" s="22"/>
      <c r="R265" s="23" t="s">
        <v>683</v>
      </c>
      <c r="S265" s="23" t="s">
        <v>39</v>
      </c>
      <c r="T265" s="23" t="s">
        <v>39</v>
      </c>
      <c r="U265" s="23" t="s">
        <v>39</v>
      </c>
      <c r="V265" s="22"/>
      <c r="W265" s="22"/>
      <c r="X265" s="22"/>
      <c r="Y265" s="22"/>
      <c r="Z265" s="22" t="s">
        <v>39</v>
      </c>
      <c r="AA265" s="22" t="s">
        <v>39</v>
      </c>
      <c r="AB265" s="1"/>
      <c r="AC265"/>
      <c r="AD265"/>
      <c r="AE265"/>
      <c r="AF265"/>
      <c r="AG265"/>
    </row>
    <row r="266" spans="1:33" ht="72" customHeight="1" x14ac:dyDescent="0.25">
      <c r="A266" s="17">
        <v>9759345</v>
      </c>
      <c r="B266" s="30">
        <v>1</v>
      </c>
      <c r="C266" s="17" t="s">
        <v>447</v>
      </c>
      <c r="D266" s="31" t="s">
        <v>52</v>
      </c>
      <c r="E266" s="32">
        <v>42669</v>
      </c>
      <c r="F266" s="33">
        <v>42669</v>
      </c>
      <c r="G266" s="32">
        <v>42669</v>
      </c>
      <c r="H266" s="22" t="s">
        <v>108</v>
      </c>
      <c r="I266" s="23" t="s">
        <v>371</v>
      </c>
      <c r="J266" s="23" t="s">
        <v>39</v>
      </c>
      <c r="K266" s="22"/>
      <c r="L266" s="23" t="s">
        <v>39</v>
      </c>
      <c r="M266" s="23" t="s">
        <v>39</v>
      </c>
      <c r="N266" s="22"/>
      <c r="O266" s="22"/>
      <c r="P266" s="22"/>
      <c r="Q266" s="22"/>
      <c r="R266" s="23" t="s">
        <v>634</v>
      </c>
      <c r="S266" s="23">
        <v>6900900</v>
      </c>
      <c r="T266" s="23" t="s">
        <v>294</v>
      </c>
      <c r="U266" s="23" t="s">
        <v>582</v>
      </c>
      <c r="V266" s="22"/>
      <c r="W266" s="22"/>
      <c r="X266" s="22"/>
      <c r="Y266" s="22"/>
      <c r="Z266" s="22" t="s">
        <v>39</v>
      </c>
      <c r="AA266" s="22" t="s">
        <v>39</v>
      </c>
      <c r="AB266" s="1"/>
      <c r="AC266"/>
      <c r="AD266"/>
      <c r="AE266"/>
      <c r="AF266"/>
      <c r="AG266"/>
    </row>
    <row r="267" spans="1:33" ht="72" customHeight="1" x14ac:dyDescent="0.25">
      <c r="A267" s="17">
        <v>9759359</v>
      </c>
      <c r="B267" s="30">
        <v>1</v>
      </c>
      <c r="C267" s="17" t="s">
        <v>276</v>
      </c>
      <c r="D267" s="31" t="s">
        <v>20</v>
      </c>
      <c r="E267" s="32">
        <v>42669</v>
      </c>
      <c r="F267" s="33">
        <v>42669</v>
      </c>
      <c r="G267" s="32">
        <v>42669</v>
      </c>
      <c r="H267" s="22" t="s">
        <v>104</v>
      </c>
      <c r="I267" s="23" t="s">
        <v>39</v>
      </c>
      <c r="J267" s="23" t="s">
        <v>39</v>
      </c>
      <c r="K267" s="22"/>
      <c r="L267" s="23" t="s">
        <v>39</v>
      </c>
      <c r="M267" s="23" t="s">
        <v>39</v>
      </c>
      <c r="N267" s="22"/>
      <c r="O267" s="22"/>
      <c r="P267" s="22"/>
      <c r="Q267" s="22"/>
      <c r="R267" s="23" t="s">
        <v>683</v>
      </c>
      <c r="S267" s="23" t="s">
        <v>39</v>
      </c>
      <c r="T267" s="23" t="s">
        <v>39</v>
      </c>
      <c r="U267" s="23" t="s">
        <v>39</v>
      </c>
      <c r="V267" s="22"/>
      <c r="W267" s="22"/>
      <c r="X267" s="22"/>
      <c r="Y267" s="22"/>
      <c r="Z267" s="22" t="s">
        <v>39</v>
      </c>
      <c r="AA267" s="22" t="s">
        <v>39</v>
      </c>
      <c r="AB267" s="1"/>
      <c r="AC267"/>
      <c r="AD267"/>
      <c r="AE267"/>
      <c r="AF267"/>
      <c r="AG267"/>
    </row>
    <row r="268" spans="1:33" ht="72" customHeight="1" x14ac:dyDescent="0.25">
      <c r="A268" s="17">
        <v>9759360</v>
      </c>
      <c r="B268" s="30">
        <v>1</v>
      </c>
      <c r="C268" s="17" t="s">
        <v>470</v>
      </c>
      <c r="D268" s="31" t="s">
        <v>20</v>
      </c>
      <c r="E268" s="32">
        <v>42669</v>
      </c>
      <c r="F268" s="33">
        <v>42669</v>
      </c>
      <c r="G268" s="32">
        <v>42669</v>
      </c>
      <c r="H268" s="22" t="s">
        <v>104</v>
      </c>
      <c r="I268" s="23" t="s">
        <v>39</v>
      </c>
      <c r="J268" s="23" t="s">
        <v>39</v>
      </c>
      <c r="K268" s="22"/>
      <c r="L268" s="23" t="s">
        <v>39</v>
      </c>
      <c r="M268" s="23" t="s">
        <v>39</v>
      </c>
      <c r="N268" s="22"/>
      <c r="O268" s="22"/>
      <c r="P268" s="22"/>
      <c r="Q268" s="22"/>
      <c r="R268" s="23" t="s">
        <v>683</v>
      </c>
      <c r="S268" s="23" t="s">
        <v>39</v>
      </c>
      <c r="T268" s="23" t="s">
        <v>39</v>
      </c>
      <c r="U268" s="23" t="s">
        <v>39</v>
      </c>
      <c r="V268" s="22"/>
      <c r="W268" s="22"/>
      <c r="X268" s="22"/>
      <c r="Y268" s="22"/>
      <c r="Z268" s="22" t="s">
        <v>39</v>
      </c>
      <c r="AA268" s="22" t="s">
        <v>39</v>
      </c>
      <c r="AB268" s="1"/>
      <c r="AC268"/>
      <c r="AD268"/>
      <c r="AE268"/>
      <c r="AF268"/>
      <c r="AG268"/>
    </row>
    <row r="269" spans="1:33" ht="72" customHeight="1" x14ac:dyDescent="0.25">
      <c r="A269" s="17">
        <v>9759362</v>
      </c>
      <c r="B269" s="30">
        <v>1</v>
      </c>
      <c r="C269" s="17" t="s">
        <v>473</v>
      </c>
      <c r="D269" s="31" t="s">
        <v>52</v>
      </c>
      <c r="E269" s="32">
        <v>42669</v>
      </c>
      <c r="F269" s="33">
        <v>42669</v>
      </c>
      <c r="G269" s="32">
        <v>42669</v>
      </c>
      <c r="H269" s="22" t="s">
        <v>104</v>
      </c>
      <c r="I269" s="23" t="s">
        <v>39</v>
      </c>
      <c r="J269" s="23" t="s">
        <v>39</v>
      </c>
      <c r="K269" s="22"/>
      <c r="L269" s="23" t="s">
        <v>39</v>
      </c>
      <c r="M269" s="23" t="s">
        <v>39</v>
      </c>
      <c r="N269" s="22"/>
      <c r="O269" s="22"/>
      <c r="P269" s="22"/>
      <c r="Q269" s="22"/>
      <c r="R269" s="23" t="s">
        <v>683</v>
      </c>
      <c r="S269" s="23" t="s">
        <v>39</v>
      </c>
      <c r="T269" s="23" t="s">
        <v>39</v>
      </c>
      <c r="U269" s="23" t="s">
        <v>39</v>
      </c>
      <c r="V269" s="22"/>
      <c r="W269" s="22"/>
      <c r="X269" s="22"/>
      <c r="Y269" s="22"/>
      <c r="Z269" s="22" t="s">
        <v>39</v>
      </c>
      <c r="AA269" s="22" t="s">
        <v>39</v>
      </c>
      <c r="AB269" s="1"/>
      <c r="AC269"/>
      <c r="AD269"/>
      <c r="AE269"/>
      <c r="AF269"/>
      <c r="AG269"/>
    </row>
    <row r="270" spans="1:33" ht="72" customHeight="1" x14ac:dyDescent="0.25">
      <c r="A270" s="17">
        <v>9759363</v>
      </c>
      <c r="B270" s="30">
        <v>2</v>
      </c>
      <c r="C270" s="17" t="s">
        <v>254</v>
      </c>
      <c r="D270" s="31" t="s">
        <v>52</v>
      </c>
      <c r="E270" s="32">
        <v>42669</v>
      </c>
      <c r="F270" s="33">
        <v>42669</v>
      </c>
      <c r="G270" s="32">
        <v>42669</v>
      </c>
      <c r="H270" s="22" t="s">
        <v>104</v>
      </c>
      <c r="I270" s="23" t="s">
        <v>39</v>
      </c>
      <c r="J270" s="23" t="s">
        <v>39</v>
      </c>
      <c r="K270" s="22"/>
      <c r="L270" s="23" t="s">
        <v>39</v>
      </c>
      <c r="M270" s="23" t="s">
        <v>39</v>
      </c>
      <c r="N270" s="22"/>
      <c r="O270" s="22"/>
      <c r="P270" s="22"/>
      <c r="Q270" s="22"/>
      <c r="R270" s="23" t="s">
        <v>683</v>
      </c>
      <c r="S270" s="23" t="s">
        <v>39</v>
      </c>
      <c r="T270" s="23" t="s">
        <v>39</v>
      </c>
      <c r="U270" s="23" t="s">
        <v>39</v>
      </c>
      <c r="V270" s="22"/>
      <c r="W270" s="22"/>
      <c r="X270" s="22"/>
      <c r="Y270" s="22"/>
      <c r="Z270" s="22" t="s">
        <v>39</v>
      </c>
      <c r="AA270" s="22" t="s">
        <v>39</v>
      </c>
      <c r="AB270" s="1"/>
      <c r="AC270"/>
      <c r="AD270"/>
      <c r="AE270"/>
      <c r="AF270"/>
      <c r="AG270"/>
    </row>
    <row r="271" spans="1:33" ht="72" customHeight="1" x14ac:dyDescent="0.25">
      <c r="A271" s="17">
        <v>9759364</v>
      </c>
      <c r="B271" s="30">
        <v>1</v>
      </c>
      <c r="C271" s="17" t="s">
        <v>472</v>
      </c>
      <c r="D271" s="31" t="s">
        <v>52</v>
      </c>
      <c r="E271" s="32">
        <v>42669</v>
      </c>
      <c r="F271" s="33">
        <v>42669</v>
      </c>
      <c r="G271" s="32">
        <v>42669</v>
      </c>
      <c r="H271" s="22" t="s">
        <v>104</v>
      </c>
      <c r="I271" s="23" t="s">
        <v>39</v>
      </c>
      <c r="J271" s="23" t="s">
        <v>39</v>
      </c>
      <c r="K271" s="22"/>
      <c r="L271" s="23" t="s">
        <v>39</v>
      </c>
      <c r="M271" s="23" t="s">
        <v>39</v>
      </c>
      <c r="N271" s="22"/>
      <c r="O271" s="22"/>
      <c r="P271" s="22"/>
      <c r="Q271" s="22"/>
      <c r="R271" s="23" t="s">
        <v>683</v>
      </c>
      <c r="S271" s="23" t="s">
        <v>39</v>
      </c>
      <c r="T271" s="23" t="s">
        <v>39</v>
      </c>
      <c r="U271" s="23" t="s">
        <v>39</v>
      </c>
      <c r="V271" s="22"/>
      <c r="W271" s="22"/>
      <c r="X271" s="22"/>
      <c r="Y271" s="22"/>
      <c r="Z271" s="22" t="s">
        <v>39</v>
      </c>
      <c r="AA271" s="22" t="s">
        <v>39</v>
      </c>
      <c r="AB271" s="1"/>
      <c r="AC271"/>
      <c r="AD271"/>
      <c r="AE271"/>
      <c r="AF271"/>
      <c r="AG271"/>
    </row>
    <row r="272" spans="1:33" ht="72" customHeight="1" x14ac:dyDescent="0.25">
      <c r="A272" s="17">
        <v>9759365</v>
      </c>
      <c r="B272" s="30">
        <v>4</v>
      </c>
      <c r="C272" s="17" t="s">
        <v>475</v>
      </c>
      <c r="D272" s="31" t="s">
        <v>26</v>
      </c>
      <c r="E272" s="32">
        <v>42669</v>
      </c>
      <c r="F272" s="33">
        <v>42669</v>
      </c>
      <c r="G272" s="32">
        <v>42669</v>
      </c>
      <c r="H272" s="22" t="s">
        <v>112</v>
      </c>
      <c r="I272" s="23" t="s">
        <v>223</v>
      </c>
      <c r="J272" s="23" t="s">
        <v>39</v>
      </c>
      <c r="K272" s="22"/>
      <c r="L272" s="23" t="s">
        <v>39</v>
      </c>
      <c r="M272" s="23" t="s">
        <v>39</v>
      </c>
      <c r="N272" s="22"/>
      <c r="O272" s="22"/>
      <c r="P272" s="22"/>
      <c r="Q272" s="22"/>
      <c r="R272" s="23" t="s">
        <v>634</v>
      </c>
      <c r="S272" s="23" t="s">
        <v>634</v>
      </c>
      <c r="T272" s="23" t="s">
        <v>39</v>
      </c>
      <c r="U272" s="23" t="s">
        <v>39</v>
      </c>
      <c r="V272" s="22"/>
      <c r="W272" s="22"/>
      <c r="X272" s="22"/>
      <c r="Y272" s="22"/>
      <c r="Z272" s="22" t="s">
        <v>39</v>
      </c>
      <c r="AA272" s="22" t="s">
        <v>39</v>
      </c>
      <c r="AB272" s="1"/>
      <c r="AC272"/>
      <c r="AD272"/>
      <c r="AE272"/>
      <c r="AF272"/>
      <c r="AG272"/>
    </row>
    <row r="273" spans="1:33" ht="72" customHeight="1" x14ac:dyDescent="0.25">
      <c r="A273" s="17">
        <v>9759380</v>
      </c>
      <c r="B273" s="30">
        <v>1</v>
      </c>
      <c r="C273" s="17" t="s">
        <v>478</v>
      </c>
      <c r="D273" s="31" t="s">
        <v>52</v>
      </c>
      <c r="E273" s="32">
        <v>42669</v>
      </c>
      <c r="F273" s="33">
        <v>42669</v>
      </c>
      <c r="G273" s="32">
        <v>42669</v>
      </c>
      <c r="H273" s="22" t="s">
        <v>104</v>
      </c>
      <c r="I273" s="23" t="s">
        <v>39</v>
      </c>
      <c r="J273" s="23" t="s">
        <v>39</v>
      </c>
      <c r="K273" s="22"/>
      <c r="L273" s="23" t="s">
        <v>39</v>
      </c>
      <c r="M273" s="23" t="s">
        <v>39</v>
      </c>
      <c r="N273" s="22"/>
      <c r="O273" s="22"/>
      <c r="P273" s="22"/>
      <c r="Q273" s="22"/>
      <c r="R273" s="23" t="s">
        <v>683</v>
      </c>
      <c r="S273" s="23" t="s">
        <v>39</v>
      </c>
      <c r="T273" s="23" t="s">
        <v>39</v>
      </c>
      <c r="U273" s="23" t="s">
        <v>39</v>
      </c>
      <c r="V273" s="22"/>
      <c r="W273" s="22"/>
      <c r="X273" s="22"/>
      <c r="Y273" s="22"/>
      <c r="Z273" s="22" t="s">
        <v>39</v>
      </c>
      <c r="AA273" s="22" t="s">
        <v>39</v>
      </c>
      <c r="AB273" s="1"/>
      <c r="AC273"/>
      <c r="AD273"/>
      <c r="AE273"/>
      <c r="AF273"/>
      <c r="AG273"/>
    </row>
    <row r="274" spans="1:33" ht="72" customHeight="1" x14ac:dyDescent="0.25">
      <c r="A274" s="17">
        <v>9759403</v>
      </c>
      <c r="B274" s="30">
        <v>12</v>
      </c>
      <c r="C274" s="17" t="s">
        <v>238</v>
      </c>
      <c r="D274" s="31" t="s">
        <v>10</v>
      </c>
      <c r="E274" s="32">
        <v>42669</v>
      </c>
      <c r="F274" s="33">
        <v>42669</v>
      </c>
      <c r="G274" s="32">
        <v>42669</v>
      </c>
      <c r="H274" s="22" t="s">
        <v>104</v>
      </c>
      <c r="I274" s="23" t="s">
        <v>39</v>
      </c>
      <c r="J274" s="23" t="s">
        <v>39</v>
      </c>
      <c r="K274" s="22"/>
      <c r="L274" s="23" t="s">
        <v>39</v>
      </c>
      <c r="M274" s="23" t="s">
        <v>39</v>
      </c>
      <c r="N274" s="22"/>
      <c r="O274" s="22"/>
      <c r="P274" s="22"/>
      <c r="Q274" s="22"/>
      <c r="R274" s="23" t="s">
        <v>634</v>
      </c>
      <c r="S274" s="23" t="s">
        <v>634</v>
      </c>
      <c r="T274" s="23" t="s">
        <v>39</v>
      </c>
      <c r="U274" s="23" t="s">
        <v>39</v>
      </c>
      <c r="V274" s="22"/>
      <c r="W274" s="22"/>
      <c r="X274" s="22"/>
      <c r="Y274" s="22"/>
      <c r="Z274" s="22" t="s">
        <v>39</v>
      </c>
      <c r="AA274" s="22" t="s">
        <v>39</v>
      </c>
      <c r="AB274" s="1"/>
      <c r="AC274"/>
      <c r="AD274"/>
      <c r="AE274"/>
      <c r="AF274"/>
      <c r="AG274"/>
    </row>
    <row r="275" spans="1:33" ht="72" customHeight="1" x14ac:dyDescent="0.25">
      <c r="A275" s="17">
        <v>9759416</v>
      </c>
      <c r="B275" s="30">
        <v>7</v>
      </c>
      <c r="C275" s="17" t="s">
        <v>513</v>
      </c>
      <c r="D275" s="31" t="s">
        <v>20</v>
      </c>
      <c r="E275" s="32">
        <v>42669</v>
      </c>
      <c r="F275" s="33">
        <v>42669</v>
      </c>
      <c r="G275" s="32">
        <v>42669</v>
      </c>
      <c r="H275" s="22" t="s">
        <v>104</v>
      </c>
      <c r="I275" s="23" t="s">
        <v>39</v>
      </c>
      <c r="J275" s="23" t="s">
        <v>39</v>
      </c>
      <c r="K275" s="22"/>
      <c r="L275" s="23" t="s">
        <v>39</v>
      </c>
      <c r="M275" s="23" t="s">
        <v>39</v>
      </c>
      <c r="N275" s="22"/>
      <c r="O275" s="22"/>
      <c r="P275" s="22"/>
      <c r="Q275" s="22"/>
      <c r="R275" s="23" t="s">
        <v>683</v>
      </c>
      <c r="S275" s="23" t="s">
        <v>39</v>
      </c>
      <c r="T275" s="23" t="s">
        <v>39</v>
      </c>
      <c r="U275" s="23" t="s">
        <v>39</v>
      </c>
      <c r="V275" s="22"/>
      <c r="W275" s="22"/>
      <c r="X275" s="22"/>
      <c r="Y275" s="22"/>
      <c r="Z275" s="22" t="s">
        <v>39</v>
      </c>
      <c r="AA275" s="22" t="s">
        <v>39</v>
      </c>
      <c r="AB275" s="1"/>
      <c r="AC275"/>
      <c r="AD275"/>
      <c r="AE275"/>
      <c r="AF275"/>
      <c r="AG275"/>
    </row>
    <row r="276" spans="1:33" ht="72" customHeight="1" x14ac:dyDescent="0.25">
      <c r="A276" s="17">
        <v>9759417</v>
      </c>
      <c r="B276" s="30">
        <v>15</v>
      </c>
      <c r="C276" s="17" t="s">
        <v>512</v>
      </c>
      <c r="D276" s="31" t="s">
        <v>20</v>
      </c>
      <c r="E276" s="32">
        <v>42669</v>
      </c>
      <c r="F276" s="33">
        <v>42669</v>
      </c>
      <c r="G276" s="32">
        <v>42669</v>
      </c>
      <c r="H276" s="22" t="s">
        <v>104</v>
      </c>
      <c r="I276" s="23" t="s">
        <v>39</v>
      </c>
      <c r="J276" s="23" t="s">
        <v>39</v>
      </c>
      <c r="K276" s="22"/>
      <c r="L276" s="23" t="s">
        <v>39</v>
      </c>
      <c r="M276" s="23" t="s">
        <v>39</v>
      </c>
      <c r="N276" s="22"/>
      <c r="O276" s="22"/>
      <c r="P276" s="22"/>
      <c r="Q276" s="22"/>
      <c r="R276" s="23" t="s">
        <v>683</v>
      </c>
      <c r="S276" s="23" t="s">
        <v>39</v>
      </c>
      <c r="T276" s="23" t="s">
        <v>39</v>
      </c>
      <c r="U276" s="23" t="s">
        <v>39</v>
      </c>
      <c r="V276" s="22"/>
      <c r="W276" s="22"/>
      <c r="X276" s="22"/>
      <c r="Y276" s="22"/>
      <c r="Z276" s="22" t="s">
        <v>39</v>
      </c>
      <c r="AA276" s="22" t="s">
        <v>39</v>
      </c>
      <c r="AB276" s="1"/>
      <c r="AC276"/>
      <c r="AD276"/>
      <c r="AE276"/>
      <c r="AF276"/>
      <c r="AG276"/>
    </row>
    <row r="277" spans="1:33" ht="72" customHeight="1" x14ac:dyDescent="0.25">
      <c r="A277" s="17">
        <v>9759418</v>
      </c>
      <c r="B277" s="30">
        <v>1</v>
      </c>
      <c r="C277" s="17" t="s">
        <v>498</v>
      </c>
      <c r="D277" s="31" t="s">
        <v>20</v>
      </c>
      <c r="E277" s="32">
        <v>42669</v>
      </c>
      <c r="F277" s="33">
        <v>42669</v>
      </c>
      <c r="G277" s="32">
        <v>42669</v>
      </c>
      <c r="H277" s="22" t="s">
        <v>112</v>
      </c>
      <c r="I277" s="23" t="s">
        <v>467</v>
      </c>
      <c r="J277" s="23" t="s">
        <v>39</v>
      </c>
      <c r="K277" s="22"/>
      <c r="L277" s="23" t="s">
        <v>39</v>
      </c>
      <c r="M277" s="23" t="s">
        <v>39</v>
      </c>
      <c r="N277" s="22"/>
      <c r="O277" s="22"/>
      <c r="P277" s="22"/>
      <c r="Q277" s="22"/>
      <c r="R277" s="23" t="s">
        <v>634</v>
      </c>
      <c r="S277" s="23" t="s">
        <v>634</v>
      </c>
      <c r="T277" s="23" t="s">
        <v>39</v>
      </c>
      <c r="U277" s="23" t="s">
        <v>39</v>
      </c>
      <c r="V277" s="22"/>
      <c r="W277" s="22"/>
      <c r="X277" s="22"/>
      <c r="Y277" s="22"/>
      <c r="Z277" s="22" t="s">
        <v>39</v>
      </c>
      <c r="AA277" s="22" t="s">
        <v>39</v>
      </c>
      <c r="AB277" s="1"/>
      <c r="AC277"/>
      <c r="AD277"/>
      <c r="AE277"/>
      <c r="AF277"/>
      <c r="AG277"/>
    </row>
    <row r="278" spans="1:33" ht="72" customHeight="1" x14ac:dyDescent="0.25">
      <c r="A278" s="17">
        <v>9759419</v>
      </c>
      <c r="B278" s="30">
        <v>1</v>
      </c>
      <c r="C278" s="17" t="s">
        <v>331</v>
      </c>
      <c r="D278" s="31" t="s">
        <v>251</v>
      </c>
      <c r="E278" s="32">
        <v>42669</v>
      </c>
      <c r="F278" s="33">
        <v>42669</v>
      </c>
      <c r="G278" s="32">
        <v>42669</v>
      </c>
      <c r="H278" s="22" t="s">
        <v>104</v>
      </c>
      <c r="I278" s="23" t="s">
        <v>39</v>
      </c>
      <c r="J278" s="23" t="s">
        <v>39</v>
      </c>
      <c r="K278" s="22"/>
      <c r="L278" s="23" t="s">
        <v>39</v>
      </c>
      <c r="M278" s="23" t="s">
        <v>39</v>
      </c>
      <c r="N278" s="22"/>
      <c r="O278" s="22"/>
      <c r="P278" s="22"/>
      <c r="Q278" s="22"/>
      <c r="R278" s="23" t="s">
        <v>683</v>
      </c>
      <c r="S278" s="23" t="s">
        <v>39</v>
      </c>
      <c r="T278" s="23" t="s">
        <v>39</v>
      </c>
      <c r="U278" s="23" t="s">
        <v>39</v>
      </c>
      <c r="V278" s="22"/>
      <c r="W278" s="22"/>
      <c r="X278" s="22"/>
      <c r="Y278" s="22"/>
      <c r="Z278" s="22" t="s">
        <v>39</v>
      </c>
      <c r="AA278" s="22" t="s">
        <v>39</v>
      </c>
      <c r="AB278" s="1"/>
      <c r="AC278"/>
      <c r="AD278"/>
      <c r="AE278"/>
      <c r="AF278"/>
      <c r="AG278"/>
    </row>
    <row r="279" spans="1:33" ht="72" customHeight="1" x14ac:dyDescent="0.25">
      <c r="A279" s="17">
        <v>9759421</v>
      </c>
      <c r="B279" s="30">
        <v>2</v>
      </c>
      <c r="C279" s="17" t="s">
        <v>422</v>
      </c>
      <c r="D279" s="31" t="s">
        <v>14</v>
      </c>
      <c r="E279" s="32">
        <v>42669</v>
      </c>
      <c r="F279" s="33">
        <v>42669</v>
      </c>
      <c r="G279" s="32">
        <v>42669</v>
      </c>
      <c r="H279" s="22" t="s">
        <v>104</v>
      </c>
      <c r="I279" s="23" t="s">
        <v>39</v>
      </c>
      <c r="J279" s="23" t="s">
        <v>39</v>
      </c>
      <c r="K279" s="22"/>
      <c r="L279" s="23" t="s">
        <v>39</v>
      </c>
      <c r="M279" s="23" t="s">
        <v>39</v>
      </c>
      <c r="N279" s="22"/>
      <c r="O279" s="22"/>
      <c r="P279" s="22"/>
      <c r="Q279" s="22"/>
      <c r="R279" s="23" t="s">
        <v>683</v>
      </c>
      <c r="S279" s="23" t="s">
        <v>39</v>
      </c>
      <c r="T279" s="23" t="s">
        <v>39</v>
      </c>
      <c r="U279" s="23" t="s">
        <v>39</v>
      </c>
      <c r="V279" s="22"/>
      <c r="W279" s="22"/>
      <c r="X279" s="22"/>
      <c r="Y279" s="22"/>
      <c r="Z279" s="22" t="s">
        <v>39</v>
      </c>
      <c r="AA279" s="22" t="s">
        <v>39</v>
      </c>
      <c r="AB279" s="1"/>
      <c r="AC279"/>
      <c r="AD279"/>
      <c r="AE279"/>
      <c r="AF279"/>
      <c r="AG279"/>
    </row>
    <row r="280" spans="1:33" ht="72" customHeight="1" x14ac:dyDescent="0.25">
      <c r="A280" s="17">
        <v>9759424</v>
      </c>
      <c r="B280" s="30">
        <v>1</v>
      </c>
      <c r="C280" s="17" t="s">
        <v>252</v>
      </c>
      <c r="D280" s="31" t="s">
        <v>153</v>
      </c>
      <c r="E280" s="32">
        <v>42669</v>
      </c>
      <c r="F280" s="33">
        <v>42669</v>
      </c>
      <c r="G280" s="32">
        <v>42669</v>
      </c>
      <c r="H280" s="22" t="s">
        <v>108</v>
      </c>
      <c r="I280" s="23" t="s">
        <v>467</v>
      </c>
      <c r="J280" s="23" t="s">
        <v>39</v>
      </c>
      <c r="K280" s="22"/>
      <c r="L280" s="23" t="s">
        <v>39</v>
      </c>
      <c r="M280" s="23" t="s">
        <v>39</v>
      </c>
      <c r="N280" s="22"/>
      <c r="O280" s="22"/>
      <c r="P280" s="22"/>
      <c r="Q280" s="22"/>
      <c r="R280" s="23" t="s">
        <v>634</v>
      </c>
      <c r="S280" s="23">
        <v>6901120</v>
      </c>
      <c r="T280" s="23" t="s">
        <v>294</v>
      </c>
      <c r="U280" s="23" t="s">
        <v>560</v>
      </c>
      <c r="V280" s="22"/>
      <c r="W280" s="22"/>
      <c r="X280" s="22"/>
      <c r="Y280" s="22"/>
      <c r="Z280" s="22" t="s">
        <v>39</v>
      </c>
      <c r="AA280" s="22" t="s">
        <v>39</v>
      </c>
      <c r="AB280" s="1"/>
      <c r="AC280"/>
      <c r="AD280"/>
      <c r="AE280"/>
      <c r="AF280"/>
      <c r="AG280"/>
    </row>
    <row r="281" spans="1:33" ht="72" customHeight="1" x14ac:dyDescent="0.25">
      <c r="A281" s="17">
        <v>9759425</v>
      </c>
      <c r="B281" s="30">
        <v>1</v>
      </c>
      <c r="C281" s="17" t="s">
        <v>155</v>
      </c>
      <c r="D281" s="31" t="s">
        <v>52</v>
      </c>
      <c r="E281" s="32">
        <v>42669</v>
      </c>
      <c r="F281" s="33">
        <v>42669</v>
      </c>
      <c r="G281" s="32">
        <v>42669</v>
      </c>
      <c r="H281" s="22" t="s">
        <v>104</v>
      </c>
      <c r="I281" s="23" t="s">
        <v>39</v>
      </c>
      <c r="J281" s="23" t="s">
        <v>39</v>
      </c>
      <c r="K281" s="22"/>
      <c r="L281" s="23" t="s">
        <v>39</v>
      </c>
      <c r="M281" s="23" t="s">
        <v>39</v>
      </c>
      <c r="N281" s="22"/>
      <c r="O281" s="22"/>
      <c r="P281" s="22"/>
      <c r="Q281" s="22"/>
      <c r="R281" s="23" t="s">
        <v>683</v>
      </c>
      <c r="S281" s="23" t="s">
        <v>39</v>
      </c>
      <c r="T281" s="23" t="s">
        <v>39</v>
      </c>
      <c r="U281" s="23" t="s">
        <v>39</v>
      </c>
      <c r="V281" s="22"/>
      <c r="W281" s="22"/>
      <c r="X281" s="22"/>
      <c r="Y281" s="22"/>
      <c r="Z281" s="22" t="s">
        <v>39</v>
      </c>
      <c r="AA281" s="22" t="s">
        <v>39</v>
      </c>
      <c r="AB281" s="1"/>
      <c r="AC281"/>
      <c r="AD281"/>
      <c r="AE281"/>
      <c r="AF281"/>
      <c r="AG281"/>
    </row>
    <row r="282" spans="1:33" ht="72" customHeight="1" x14ac:dyDescent="0.25">
      <c r="A282" s="17">
        <v>9759426</v>
      </c>
      <c r="B282" s="30">
        <v>1</v>
      </c>
      <c r="C282" s="17" t="s">
        <v>573</v>
      </c>
      <c r="D282" s="31" t="s">
        <v>52</v>
      </c>
      <c r="E282" s="32">
        <v>42669</v>
      </c>
      <c r="F282" s="33">
        <v>42669</v>
      </c>
      <c r="G282" s="32">
        <v>42669</v>
      </c>
      <c r="H282" s="22" t="s">
        <v>104</v>
      </c>
      <c r="I282" s="23" t="s">
        <v>39</v>
      </c>
      <c r="J282" s="23" t="s">
        <v>39</v>
      </c>
      <c r="K282" s="22"/>
      <c r="L282" s="23" t="s">
        <v>39</v>
      </c>
      <c r="M282" s="23" t="s">
        <v>39</v>
      </c>
      <c r="N282" s="22"/>
      <c r="O282" s="22"/>
      <c r="P282" s="22"/>
      <c r="Q282" s="22"/>
      <c r="R282" s="23" t="s">
        <v>683</v>
      </c>
      <c r="S282" s="23" t="s">
        <v>39</v>
      </c>
      <c r="T282" s="23" t="s">
        <v>39</v>
      </c>
      <c r="U282" s="23" t="s">
        <v>39</v>
      </c>
      <c r="V282" s="22"/>
      <c r="W282" s="22"/>
      <c r="X282" s="22"/>
      <c r="Y282" s="22"/>
      <c r="Z282" s="22" t="s">
        <v>39</v>
      </c>
      <c r="AA282" s="22" t="s">
        <v>39</v>
      </c>
      <c r="AB282" s="1"/>
      <c r="AC282"/>
      <c r="AD282"/>
      <c r="AE282"/>
      <c r="AF282"/>
      <c r="AG282"/>
    </row>
    <row r="283" spans="1:33" ht="72" customHeight="1" x14ac:dyDescent="0.25">
      <c r="A283" s="17">
        <v>9759432</v>
      </c>
      <c r="B283" s="30">
        <v>6</v>
      </c>
      <c r="C283" s="17" t="s">
        <v>544</v>
      </c>
      <c r="D283" s="31" t="s">
        <v>12</v>
      </c>
      <c r="E283" s="32">
        <v>42669</v>
      </c>
      <c r="F283" s="33">
        <v>42669</v>
      </c>
      <c r="G283" s="32">
        <v>42669</v>
      </c>
      <c r="H283" s="22" t="s">
        <v>112</v>
      </c>
      <c r="I283" s="23" t="s">
        <v>371</v>
      </c>
      <c r="J283" s="23" t="s">
        <v>39</v>
      </c>
      <c r="K283" s="22"/>
      <c r="L283" s="23" t="s">
        <v>39</v>
      </c>
      <c r="M283" s="23" t="s">
        <v>39</v>
      </c>
      <c r="N283" s="22"/>
      <c r="O283" s="22"/>
      <c r="P283" s="22"/>
      <c r="Q283" s="22"/>
      <c r="R283" s="23" t="s">
        <v>625</v>
      </c>
      <c r="S283" s="23" t="s">
        <v>39</v>
      </c>
      <c r="T283" s="23" t="s">
        <v>39</v>
      </c>
      <c r="U283" s="23" t="s">
        <v>39</v>
      </c>
      <c r="V283" s="22"/>
      <c r="W283" s="22"/>
      <c r="X283" s="22"/>
      <c r="Y283" s="22"/>
      <c r="Z283" s="22" t="s">
        <v>39</v>
      </c>
      <c r="AA283" s="22" t="s">
        <v>39</v>
      </c>
      <c r="AB283" s="1"/>
      <c r="AC283"/>
      <c r="AD283"/>
      <c r="AE283"/>
      <c r="AF283"/>
      <c r="AG283"/>
    </row>
    <row r="284" spans="1:33" ht="72" customHeight="1" x14ac:dyDescent="0.25">
      <c r="A284" s="17">
        <v>9759433</v>
      </c>
      <c r="B284" s="30">
        <v>2</v>
      </c>
      <c r="C284" s="17" t="s">
        <v>545</v>
      </c>
      <c r="D284" s="31" t="s">
        <v>12</v>
      </c>
      <c r="E284" s="32">
        <v>42669</v>
      </c>
      <c r="F284" s="33">
        <v>42669</v>
      </c>
      <c r="G284" s="32">
        <v>42669</v>
      </c>
      <c r="H284" s="22" t="s">
        <v>108</v>
      </c>
      <c r="I284" s="23" t="s">
        <v>467</v>
      </c>
      <c r="J284" s="23" t="s">
        <v>39</v>
      </c>
      <c r="K284" s="22"/>
      <c r="L284" s="23" t="s">
        <v>39</v>
      </c>
      <c r="M284" s="23" t="s">
        <v>39</v>
      </c>
      <c r="N284" s="22"/>
      <c r="O284" s="22"/>
      <c r="P284" s="22"/>
      <c r="Q284" s="22"/>
      <c r="R284" s="23" t="s">
        <v>625</v>
      </c>
      <c r="S284" s="23" t="s">
        <v>39</v>
      </c>
      <c r="T284" s="23" t="s">
        <v>39</v>
      </c>
      <c r="U284" s="23" t="s">
        <v>715</v>
      </c>
      <c r="V284" s="22"/>
      <c r="W284" s="22"/>
      <c r="X284" s="22"/>
      <c r="Y284" s="22"/>
      <c r="Z284" s="22" t="s">
        <v>39</v>
      </c>
      <c r="AA284" s="22" t="s">
        <v>39</v>
      </c>
      <c r="AB284" s="1"/>
      <c r="AC284"/>
      <c r="AD284"/>
      <c r="AE284"/>
      <c r="AF284"/>
      <c r="AG284"/>
    </row>
    <row r="285" spans="1:33" ht="72" customHeight="1" x14ac:dyDescent="0.25">
      <c r="A285" s="17">
        <v>9759434</v>
      </c>
      <c r="B285" s="30">
        <v>6</v>
      </c>
      <c r="C285" s="17" t="s">
        <v>543</v>
      </c>
      <c r="D285" s="31" t="s">
        <v>12</v>
      </c>
      <c r="E285" s="32">
        <v>42669</v>
      </c>
      <c r="F285" s="33">
        <v>42669</v>
      </c>
      <c r="G285" s="32">
        <v>42669</v>
      </c>
      <c r="H285" s="22" t="s">
        <v>112</v>
      </c>
      <c r="I285" s="23" t="s">
        <v>370</v>
      </c>
      <c r="J285" s="23" t="s">
        <v>39</v>
      </c>
      <c r="K285" s="22"/>
      <c r="L285" s="23" t="s">
        <v>39</v>
      </c>
      <c r="M285" s="23" t="s">
        <v>39</v>
      </c>
      <c r="N285" s="22"/>
      <c r="O285" s="22"/>
      <c r="P285" s="22"/>
      <c r="Q285" s="22"/>
      <c r="R285" s="23" t="s">
        <v>625</v>
      </c>
      <c r="S285" s="23" t="s">
        <v>39</v>
      </c>
      <c r="T285" s="23" t="s">
        <v>39</v>
      </c>
      <c r="U285" s="23" t="s">
        <v>39</v>
      </c>
      <c r="V285" s="22"/>
      <c r="W285" s="22"/>
      <c r="X285" s="22"/>
      <c r="Y285" s="22"/>
      <c r="Z285" s="22" t="s">
        <v>39</v>
      </c>
      <c r="AA285" s="22" t="s">
        <v>39</v>
      </c>
      <c r="AB285" s="1"/>
      <c r="AC285"/>
      <c r="AD285"/>
      <c r="AE285"/>
      <c r="AF285"/>
      <c r="AG285"/>
    </row>
    <row r="286" spans="1:33" ht="72" customHeight="1" x14ac:dyDescent="0.25">
      <c r="A286" s="17">
        <v>9759435</v>
      </c>
      <c r="B286" s="30">
        <v>1</v>
      </c>
      <c r="C286" s="17" t="s">
        <v>546</v>
      </c>
      <c r="D286" s="31" t="s">
        <v>12</v>
      </c>
      <c r="E286" s="32">
        <v>42669</v>
      </c>
      <c r="F286" s="33">
        <v>42669</v>
      </c>
      <c r="G286" s="32">
        <v>42669</v>
      </c>
      <c r="H286" s="22" t="s">
        <v>112</v>
      </c>
      <c r="I286" s="23" t="s">
        <v>467</v>
      </c>
      <c r="J286" s="23" t="s">
        <v>39</v>
      </c>
      <c r="K286" s="22"/>
      <c r="L286" s="23" t="s">
        <v>39</v>
      </c>
      <c r="M286" s="23" t="s">
        <v>39</v>
      </c>
      <c r="N286" s="22"/>
      <c r="O286" s="22"/>
      <c r="P286" s="22"/>
      <c r="Q286" s="22"/>
      <c r="R286" s="23" t="s">
        <v>625</v>
      </c>
      <c r="S286" s="23" t="s">
        <v>39</v>
      </c>
      <c r="T286" s="23" t="s">
        <v>39</v>
      </c>
      <c r="U286" s="23" t="s">
        <v>39</v>
      </c>
      <c r="V286" s="22"/>
      <c r="W286" s="22"/>
      <c r="X286" s="22"/>
      <c r="Y286" s="22"/>
      <c r="Z286" s="22" t="s">
        <v>39</v>
      </c>
      <c r="AA286" s="22" t="s">
        <v>39</v>
      </c>
      <c r="AB286" s="1"/>
      <c r="AC286"/>
      <c r="AD286"/>
      <c r="AE286"/>
      <c r="AF286"/>
      <c r="AG286"/>
    </row>
    <row r="287" spans="1:33" ht="72" customHeight="1" x14ac:dyDescent="0.25">
      <c r="A287" s="17">
        <v>9759436</v>
      </c>
      <c r="B287" s="30">
        <v>2</v>
      </c>
      <c r="C287" s="17" t="s">
        <v>32</v>
      </c>
      <c r="D287" s="31" t="s">
        <v>52</v>
      </c>
      <c r="E287" s="32">
        <v>42669</v>
      </c>
      <c r="F287" s="33">
        <v>42669</v>
      </c>
      <c r="G287" s="32">
        <v>42669</v>
      </c>
      <c r="H287" s="22" t="s">
        <v>112</v>
      </c>
      <c r="I287" s="23" t="s">
        <v>467</v>
      </c>
      <c r="J287" s="23" t="s">
        <v>39</v>
      </c>
      <c r="K287" s="22"/>
      <c r="L287" s="23" t="s">
        <v>39</v>
      </c>
      <c r="M287" s="23" t="s">
        <v>39</v>
      </c>
      <c r="N287" s="22"/>
      <c r="O287" s="22"/>
      <c r="P287" s="22"/>
      <c r="Q287" s="22"/>
      <c r="R287" s="23" t="s">
        <v>625</v>
      </c>
      <c r="S287" s="23" t="s">
        <v>39</v>
      </c>
      <c r="T287" s="23" t="s">
        <v>39</v>
      </c>
      <c r="U287" s="23" t="s">
        <v>39</v>
      </c>
      <c r="V287" s="22"/>
      <c r="W287" s="22"/>
      <c r="X287" s="22"/>
      <c r="Y287" s="22"/>
      <c r="Z287" s="22" t="s">
        <v>39</v>
      </c>
      <c r="AA287" s="22" t="s">
        <v>39</v>
      </c>
      <c r="AB287" s="1"/>
      <c r="AC287"/>
      <c r="AD287"/>
      <c r="AE287"/>
      <c r="AF287"/>
      <c r="AG287"/>
    </row>
    <row r="288" spans="1:33" ht="72" customHeight="1" x14ac:dyDescent="0.25">
      <c r="A288" s="17">
        <v>9759437</v>
      </c>
      <c r="B288" s="30">
        <v>1</v>
      </c>
      <c r="C288" s="17" t="s">
        <v>447</v>
      </c>
      <c r="D288" s="31" t="s">
        <v>52</v>
      </c>
      <c r="E288" s="32">
        <v>42669</v>
      </c>
      <c r="F288" s="33">
        <v>42669</v>
      </c>
      <c r="G288" s="32">
        <v>42669</v>
      </c>
      <c r="H288" s="22" t="s">
        <v>104</v>
      </c>
      <c r="I288" s="23" t="s">
        <v>39</v>
      </c>
      <c r="J288" s="23" t="s">
        <v>39</v>
      </c>
      <c r="K288" s="22"/>
      <c r="L288" s="23" t="s">
        <v>39</v>
      </c>
      <c r="M288" s="23" t="s">
        <v>39</v>
      </c>
      <c r="N288" s="22"/>
      <c r="O288" s="22"/>
      <c r="P288" s="22"/>
      <c r="Q288" s="22"/>
      <c r="R288" s="23" t="s">
        <v>625</v>
      </c>
      <c r="S288" s="23" t="s">
        <v>39</v>
      </c>
      <c r="T288" s="23" t="s">
        <v>39</v>
      </c>
      <c r="U288" s="23" t="s">
        <v>39</v>
      </c>
      <c r="V288" s="22"/>
      <c r="W288" s="22"/>
      <c r="X288" s="22"/>
      <c r="Y288" s="22"/>
      <c r="Z288" s="22" t="s">
        <v>39</v>
      </c>
      <c r="AA288" s="22" t="s">
        <v>39</v>
      </c>
      <c r="AB288" s="1"/>
      <c r="AC288"/>
      <c r="AD288"/>
      <c r="AE288"/>
      <c r="AF288"/>
      <c r="AG288"/>
    </row>
    <row r="289" spans="1:33" ht="72" customHeight="1" x14ac:dyDescent="0.25">
      <c r="A289" s="17">
        <v>9759449</v>
      </c>
      <c r="B289" s="30">
        <v>1</v>
      </c>
      <c r="C289" s="17" t="s">
        <v>555</v>
      </c>
      <c r="D289" s="31" t="s">
        <v>10</v>
      </c>
      <c r="E289" s="32">
        <v>42669</v>
      </c>
      <c r="F289" s="33">
        <v>42669</v>
      </c>
      <c r="G289" s="32">
        <v>42669</v>
      </c>
      <c r="H289" s="22" t="s">
        <v>112</v>
      </c>
      <c r="I289" s="23" t="s">
        <v>467</v>
      </c>
      <c r="J289" s="23" t="s">
        <v>39</v>
      </c>
      <c r="K289" s="22"/>
      <c r="L289" s="23" t="s">
        <v>39</v>
      </c>
      <c r="M289" s="23" t="s">
        <v>39</v>
      </c>
      <c r="N289" s="22"/>
      <c r="O289" s="22"/>
      <c r="P289" s="22"/>
      <c r="Q289" s="22"/>
      <c r="R289" s="23" t="s">
        <v>625</v>
      </c>
      <c r="S289" s="23" t="s">
        <v>39</v>
      </c>
      <c r="T289" s="23" t="s">
        <v>39</v>
      </c>
      <c r="U289" s="23" t="s">
        <v>39</v>
      </c>
      <c r="V289" s="22"/>
      <c r="W289" s="22"/>
      <c r="X289" s="22"/>
      <c r="Y289" s="22"/>
      <c r="Z289" s="22" t="s">
        <v>39</v>
      </c>
      <c r="AA289" s="22" t="s">
        <v>39</v>
      </c>
      <c r="AB289" s="1"/>
      <c r="AC289"/>
      <c r="AD289"/>
      <c r="AE289"/>
      <c r="AF289"/>
      <c r="AG289"/>
    </row>
    <row r="290" spans="1:33" ht="72" customHeight="1" x14ac:dyDescent="0.25">
      <c r="A290" s="17">
        <v>9759450</v>
      </c>
      <c r="B290" s="30">
        <v>1</v>
      </c>
      <c r="C290" s="17" t="s">
        <v>421</v>
      </c>
      <c r="D290" s="31" t="s">
        <v>420</v>
      </c>
      <c r="E290" s="32">
        <v>42669</v>
      </c>
      <c r="F290" s="33">
        <v>42669</v>
      </c>
      <c r="G290" s="32">
        <v>42669</v>
      </c>
      <c r="H290" s="22" t="s">
        <v>104</v>
      </c>
      <c r="I290" s="23" t="s">
        <v>39</v>
      </c>
      <c r="J290" s="23" t="s">
        <v>39</v>
      </c>
      <c r="K290" s="22"/>
      <c r="L290" s="23" t="s">
        <v>39</v>
      </c>
      <c r="M290" s="23" t="s">
        <v>39</v>
      </c>
      <c r="N290" s="22"/>
      <c r="O290" s="22"/>
      <c r="P290" s="22"/>
      <c r="Q290" s="22"/>
      <c r="R290" s="23" t="s">
        <v>683</v>
      </c>
      <c r="S290" s="23" t="s">
        <v>39</v>
      </c>
      <c r="T290" s="23" t="s">
        <v>39</v>
      </c>
      <c r="U290" s="23" t="s">
        <v>39</v>
      </c>
      <c r="V290" s="22"/>
      <c r="W290" s="22"/>
      <c r="X290" s="22"/>
      <c r="Y290" s="22"/>
      <c r="Z290" s="22" t="s">
        <v>39</v>
      </c>
      <c r="AA290" s="22" t="s">
        <v>39</v>
      </c>
      <c r="AB290" s="1"/>
      <c r="AC290"/>
      <c r="AD290"/>
      <c r="AE290"/>
      <c r="AF290"/>
      <c r="AG290"/>
    </row>
    <row r="291" spans="1:33" ht="72" customHeight="1" x14ac:dyDescent="0.25">
      <c r="A291" s="17">
        <v>9759463</v>
      </c>
      <c r="B291" s="30">
        <v>1</v>
      </c>
      <c r="C291" s="17" t="s">
        <v>497</v>
      </c>
      <c r="D291" s="31" t="s">
        <v>20</v>
      </c>
      <c r="E291" s="32">
        <v>42669</v>
      </c>
      <c r="F291" s="33">
        <v>42669</v>
      </c>
      <c r="G291" s="32">
        <v>42669</v>
      </c>
      <c r="H291" s="22" t="s">
        <v>104</v>
      </c>
      <c r="I291" s="23" t="s">
        <v>39</v>
      </c>
      <c r="J291" s="23" t="s">
        <v>39</v>
      </c>
      <c r="K291" s="22"/>
      <c r="L291" s="23" t="s">
        <v>39</v>
      </c>
      <c r="M291" s="23" t="s">
        <v>39</v>
      </c>
      <c r="N291" s="22"/>
      <c r="O291" s="22"/>
      <c r="P291" s="22"/>
      <c r="Q291" s="22"/>
      <c r="R291" s="23" t="s">
        <v>683</v>
      </c>
      <c r="S291" s="23" t="s">
        <v>39</v>
      </c>
      <c r="T291" s="23" t="s">
        <v>39</v>
      </c>
      <c r="U291" s="23" t="s">
        <v>39</v>
      </c>
      <c r="V291" s="22"/>
      <c r="W291" s="22"/>
      <c r="X291" s="22"/>
      <c r="Y291" s="22"/>
      <c r="Z291" s="22" t="s">
        <v>39</v>
      </c>
      <c r="AA291" s="22" t="s">
        <v>39</v>
      </c>
      <c r="AB291" s="1"/>
      <c r="AC291"/>
      <c r="AD291"/>
      <c r="AE291"/>
      <c r="AF291"/>
      <c r="AG291"/>
    </row>
    <row r="292" spans="1:33" ht="72" customHeight="1" x14ac:dyDescent="0.25">
      <c r="A292" s="17">
        <v>9759464</v>
      </c>
      <c r="B292" s="30">
        <v>1</v>
      </c>
      <c r="C292" s="17" t="s">
        <v>106</v>
      </c>
      <c r="D292" s="31" t="s">
        <v>20</v>
      </c>
      <c r="E292" s="32">
        <v>42669</v>
      </c>
      <c r="F292" s="33">
        <v>42669</v>
      </c>
      <c r="G292" s="32">
        <v>42669</v>
      </c>
      <c r="H292" s="22" t="s">
        <v>104</v>
      </c>
      <c r="I292" s="23" t="s">
        <v>39</v>
      </c>
      <c r="J292" s="23" t="s">
        <v>39</v>
      </c>
      <c r="K292" s="22"/>
      <c r="L292" s="23" t="s">
        <v>39</v>
      </c>
      <c r="M292" s="23" t="s">
        <v>39</v>
      </c>
      <c r="N292" s="22"/>
      <c r="O292" s="22"/>
      <c r="P292" s="22"/>
      <c r="Q292" s="22"/>
      <c r="R292" s="23" t="s">
        <v>683</v>
      </c>
      <c r="S292" s="23" t="s">
        <v>39</v>
      </c>
      <c r="T292" s="23" t="s">
        <v>39</v>
      </c>
      <c r="U292" s="23" t="s">
        <v>39</v>
      </c>
      <c r="V292" s="22"/>
      <c r="W292" s="22"/>
      <c r="X292" s="22"/>
      <c r="Y292" s="22"/>
      <c r="Z292" s="22" t="s">
        <v>39</v>
      </c>
      <c r="AA292" s="22" t="s">
        <v>39</v>
      </c>
      <c r="AB292" s="1"/>
      <c r="AC292"/>
      <c r="AD292"/>
      <c r="AE292"/>
      <c r="AF292"/>
      <c r="AG292"/>
    </row>
    <row r="293" spans="1:33" ht="72" customHeight="1" x14ac:dyDescent="0.25">
      <c r="A293" s="17">
        <v>9759465</v>
      </c>
      <c r="B293" s="30">
        <v>1</v>
      </c>
      <c r="C293" s="17" t="s">
        <v>499</v>
      </c>
      <c r="D293" s="31" t="s">
        <v>20</v>
      </c>
      <c r="E293" s="32">
        <v>42669</v>
      </c>
      <c r="F293" s="33">
        <v>42669</v>
      </c>
      <c r="G293" s="32">
        <v>42669</v>
      </c>
      <c r="H293" s="22" t="s">
        <v>104</v>
      </c>
      <c r="I293" s="23" t="s">
        <v>39</v>
      </c>
      <c r="J293" s="23" t="s">
        <v>39</v>
      </c>
      <c r="K293" s="22"/>
      <c r="L293" s="23" t="s">
        <v>39</v>
      </c>
      <c r="M293" s="23" t="s">
        <v>39</v>
      </c>
      <c r="N293" s="22"/>
      <c r="O293" s="22"/>
      <c r="P293" s="22"/>
      <c r="Q293" s="22"/>
      <c r="R293" s="23" t="s">
        <v>683</v>
      </c>
      <c r="S293" s="23" t="s">
        <v>39</v>
      </c>
      <c r="T293" s="23" t="s">
        <v>39</v>
      </c>
      <c r="U293" s="23" t="s">
        <v>39</v>
      </c>
      <c r="V293" s="22"/>
      <c r="W293" s="22"/>
      <c r="X293" s="22"/>
      <c r="Y293" s="22"/>
      <c r="Z293" s="22" t="s">
        <v>39</v>
      </c>
      <c r="AA293" s="22" t="s">
        <v>39</v>
      </c>
      <c r="AB293" s="1"/>
      <c r="AC293"/>
      <c r="AD293"/>
      <c r="AE293"/>
      <c r="AF293"/>
      <c r="AG293"/>
    </row>
    <row r="294" spans="1:33" ht="72" customHeight="1" x14ac:dyDescent="0.25">
      <c r="A294" s="17">
        <v>9759477</v>
      </c>
      <c r="B294" s="30">
        <v>1</v>
      </c>
      <c r="C294" s="17" t="s">
        <v>574</v>
      </c>
      <c r="D294" s="31" t="s">
        <v>52</v>
      </c>
      <c r="E294" s="32">
        <v>42669</v>
      </c>
      <c r="F294" s="33">
        <v>42669</v>
      </c>
      <c r="G294" s="32">
        <v>42669</v>
      </c>
      <c r="H294" s="22" t="s">
        <v>108</v>
      </c>
      <c r="I294" s="23" t="s">
        <v>626</v>
      </c>
      <c r="J294" s="23" t="s">
        <v>39</v>
      </c>
      <c r="K294" s="22"/>
      <c r="L294" s="23" t="s">
        <v>39</v>
      </c>
      <c r="M294" s="23" t="s">
        <v>39</v>
      </c>
      <c r="N294" s="22"/>
      <c r="O294" s="22"/>
      <c r="P294" s="22"/>
      <c r="Q294" s="22"/>
      <c r="R294" s="23" t="s">
        <v>625</v>
      </c>
      <c r="S294" s="23" t="s">
        <v>39</v>
      </c>
      <c r="T294" s="23" t="s">
        <v>39</v>
      </c>
      <c r="U294" s="23" t="s">
        <v>670</v>
      </c>
      <c r="V294" s="22"/>
      <c r="W294" s="22"/>
      <c r="X294" s="22"/>
      <c r="Y294" s="22"/>
      <c r="Z294" s="22" t="s">
        <v>39</v>
      </c>
      <c r="AA294" s="22" t="s">
        <v>39</v>
      </c>
      <c r="AB294" s="1"/>
      <c r="AC294"/>
      <c r="AD294"/>
      <c r="AE294"/>
      <c r="AF294"/>
      <c r="AG294"/>
    </row>
    <row r="295" spans="1:33" ht="72" customHeight="1" x14ac:dyDescent="0.25">
      <c r="A295" s="17">
        <v>9759483</v>
      </c>
      <c r="B295" s="30">
        <v>9</v>
      </c>
      <c r="C295" s="17" t="s">
        <v>483</v>
      </c>
      <c r="D295" s="31" t="s">
        <v>45</v>
      </c>
      <c r="E295" s="32">
        <v>42669</v>
      </c>
      <c r="F295" s="33">
        <v>42669</v>
      </c>
      <c r="G295" s="32">
        <v>42669</v>
      </c>
      <c r="H295" s="22" t="s">
        <v>112</v>
      </c>
      <c r="I295" s="23" t="s">
        <v>371</v>
      </c>
      <c r="J295" s="23" t="s">
        <v>39</v>
      </c>
      <c r="K295" s="22"/>
      <c r="L295" s="23" t="s">
        <v>39</v>
      </c>
      <c r="M295" s="23" t="s">
        <v>39</v>
      </c>
      <c r="N295" s="22"/>
      <c r="O295" s="22"/>
      <c r="P295" s="22"/>
      <c r="Q295" s="22"/>
      <c r="R295" s="23" t="s">
        <v>625</v>
      </c>
      <c r="S295" s="23" t="s">
        <v>39</v>
      </c>
      <c r="T295" s="23" t="s">
        <v>39</v>
      </c>
      <c r="U295" s="23" t="s">
        <v>39</v>
      </c>
      <c r="V295" s="22"/>
      <c r="W295" s="22"/>
      <c r="X295" s="22"/>
      <c r="Y295" s="22"/>
      <c r="Z295" s="22" t="s">
        <v>39</v>
      </c>
      <c r="AA295" s="22" t="s">
        <v>39</v>
      </c>
      <c r="AB295" s="1"/>
      <c r="AC295"/>
      <c r="AD295"/>
      <c r="AE295"/>
      <c r="AF295"/>
      <c r="AG295"/>
    </row>
    <row r="296" spans="1:33" ht="72" customHeight="1" x14ac:dyDescent="0.25">
      <c r="A296" s="17">
        <v>9759569</v>
      </c>
      <c r="B296" s="30">
        <v>2</v>
      </c>
      <c r="C296" s="17" t="s">
        <v>507</v>
      </c>
      <c r="D296" s="31" t="s">
        <v>20</v>
      </c>
      <c r="E296" s="32">
        <v>42670</v>
      </c>
      <c r="F296" s="33">
        <v>42670</v>
      </c>
      <c r="G296" s="32">
        <v>42670</v>
      </c>
      <c r="H296" s="22" t="s">
        <v>96</v>
      </c>
      <c r="I296" s="23" t="s">
        <v>39</v>
      </c>
      <c r="J296" s="23" t="s">
        <v>39</v>
      </c>
      <c r="K296" s="22"/>
      <c r="L296" s="23" t="s">
        <v>39</v>
      </c>
      <c r="M296" s="23" t="s">
        <v>39</v>
      </c>
      <c r="N296" s="22"/>
      <c r="O296" s="22"/>
      <c r="P296" s="22"/>
      <c r="Q296" s="22"/>
      <c r="R296" s="23" t="s">
        <v>39</v>
      </c>
      <c r="S296" s="23" t="s">
        <v>39</v>
      </c>
      <c r="T296" s="23" t="e">
        <v>#N/A</v>
      </c>
      <c r="U296" s="23" t="s">
        <v>39</v>
      </c>
      <c r="V296" s="22"/>
      <c r="W296" s="22"/>
      <c r="X296" s="22"/>
      <c r="Y296" s="22"/>
      <c r="Z296" s="22" t="s">
        <v>39</v>
      </c>
      <c r="AA296" s="22" t="s">
        <v>39</v>
      </c>
      <c r="AB296" s="1"/>
      <c r="AC296"/>
      <c r="AD296"/>
      <c r="AE296"/>
      <c r="AF296"/>
      <c r="AG296"/>
    </row>
    <row r="297" spans="1:33" ht="72" customHeight="1" x14ac:dyDescent="0.25">
      <c r="A297" s="17">
        <v>9759570</v>
      </c>
      <c r="B297" s="30">
        <v>1</v>
      </c>
      <c r="C297" s="17" t="s">
        <v>479</v>
      </c>
      <c r="D297" s="31" t="s">
        <v>165</v>
      </c>
      <c r="E297" s="32">
        <v>42670</v>
      </c>
      <c r="F297" s="33">
        <v>42670</v>
      </c>
      <c r="G297" s="32">
        <v>42670</v>
      </c>
      <c r="H297" s="22" t="s">
        <v>96</v>
      </c>
      <c r="I297" s="23" t="s">
        <v>39</v>
      </c>
      <c r="J297" s="23" t="s">
        <v>39</v>
      </c>
      <c r="K297" s="22"/>
      <c r="L297" s="23" t="s">
        <v>39</v>
      </c>
      <c r="M297" s="23" t="s">
        <v>39</v>
      </c>
      <c r="N297" s="22"/>
      <c r="O297" s="22"/>
      <c r="P297" s="22"/>
      <c r="Q297" s="22"/>
      <c r="R297" s="23" t="s">
        <v>39</v>
      </c>
      <c r="S297" s="23" t="s">
        <v>39</v>
      </c>
      <c r="T297" s="23" t="e">
        <v>#N/A</v>
      </c>
      <c r="U297" s="23" t="s">
        <v>39</v>
      </c>
      <c r="V297" s="22"/>
      <c r="W297" s="22"/>
      <c r="X297" s="22"/>
      <c r="Y297" s="22"/>
      <c r="Z297" s="22" t="s">
        <v>39</v>
      </c>
      <c r="AA297" s="22" t="s">
        <v>39</v>
      </c>
      <c r="AB297" s="1"/>
      <c r="AC297"/>
      <c r="AD297"/>
      <c r="AE297"/>
      <c r="AF297"/>
      <c r="AG297"/>
    </row>
    <row r="298" spans="1:33" ht="72" customHeight="1" x14ac:dyDescent="0.25">
      <c r="A298" s="17">
        <v>9759571</v>
      </c>
      <c r="B298" s="30">
        <v>4</v>
      </c>
      <c r="C298" s="17" t="s">
        <v>274</v>
      </c>
      <c r="D298" s="31" t="s">
        <v>165</v>
      </c>
      <c r="E298" s="32">
        <v>42670</v>
      </c>
      <c r="F298" s="33">
        <v>42670</v>
      </c>
      <c r="G298" s="32">
        <v>42670</v>
      </c>
      <c r="H298" s="22" t="s">
        <v>96</v>
      </c>
      <c r="I298" s="23" t="s">
        <v>39</v>
      </c>
      <c r="J298" s="23" t="s">
        <v>39</v>
      </c>
      <c r="K298" s="22"/>
      <c r="L298" s="23" t="s">
        <v>39</v>
      </c>
      <c r="M298" s="23" t="s">
        <v>39</v>
      </c>
      <c r="N298" s="22"/>
      <c r="O298" s="22"/>
      <c r="P298" s="22"/>
      <c r="Q298" s="22"/>
      <c r="R298" s="23" t="s">
        <v>39</v>
      </c>
      <c r="S298" s="23" t="s">
        <v>39</v>
      </c>
      <c r="T298" s="23" t="e">
        <v>#N/A</v>
      </c>
      <c r="U298" s="23" t="s">
        <v>39</v>
      </c>
      <c r="V298" s="22"/>
      <c r="W298" s="22"/>
      <c r="X298" s="22"/>
      <c r="Y298" s="22"/>
      <c r="Z298" s="22" t="s">
        <v>39</v>
      </c>
      <c r="AA298" s="22" t="s">
        <v>39</v>
      </c>
      <c r="AB298" s="1"/>
      <c r="AC298"/>
      <c r="AD298"/>
      <c r="AE298"/>
      <c r="AF298"/>
      <c r="AG298"/>
    </row>
    <row r="299" spans="1:33" ht="72" customHeight="1" x14ac:dyDescent="0.25">
      <c r="A299" s="17">
        <v>9759572</v>
      </c>
      <c r="B299" s="30">
        <v>7</v>
      </c>
      <c r="C299" s="17" t="s">
        <v>553</v>
      </c>
      <c r="D299" s="31" t="s">
        <v>10</v>
      </c>
      <c r="E299" s="32">
        <v>42670</v>
      </c>
      <c r="F299" s="33">
        <v>42670</v>
      </c>
      <c r="G299" s="32">
        <v>42670</v>
      </c>
      <c r="H299" s="22" t="s">
        <v>112</v>
      </c>
      <c r="I299" s="23" t="s">
        <v>295</v>
      </c>
      <c r="J299" s="23" t="s">
        <v>39</v>
      </c>
      <c r="K299" s="22"/>
      <c r="L299" s="23" t="s">
        <v>39</v>
      </c>
      <c r="M299" s="23" t="s">
        <v>39</v>
      </c>
      <c r="N299" s="22"/>
      <c r="O299" s="22"/>
      <c r="P299" s="22"/>
      <c r="Q299" s="22"/>
      <c r="R299" s="23" t="s">
        <v>625</v>
      </c>
      <c r="S299" s="23" t="s">
        <v>39</v>
      </c>
      <c r="T299" s="23" t="s">
        <v>39</v>
      </c>
      <c r="U299" s="23" t="s">
        <v>39</v>
      </c>
      <c r="V299" s="22"/>
      <c r="W299" s="22"/>
      <c r="X299" s="22"/>
      <c r="Y299" s="22"/>
      <c r="Z299" s="22" t="s">
        <v>39</v>
      </c>
      <c r="AA299" s="22" t="s">
        <v>39</v>
      </c>
      <c r="AB299" s="1"/>
      <c r="AC299"/>
      <c r="AD299"/>
      <c r="AE299"/>
      <c r="AF299"/>
      <c r="AG299"/>
    </row>
    <row r="300" spans="1:33" ht="72" customHeight="1" x14ac:dyDescent="0.25">
      <c r="A300" s="17">
        <v>9759573</v>
      </c>
      <c r="B300" s="30">
        <v>1</v>
      </c>
      <c r="C300" s="17" t="s">
        <v>570</v>
      </c>
      <c r="D300" s="31" t="s">
        <v>52</v>
      </c>
      <c r="E300" s="32">
        <v>42670</v>
      </c>
      <c r="F300" s="33">
        <v>42670</v>
      </c>
      <c r="G300" s="32">
        <v>42670</v>
      </c>
      <c r="H300" s="22" t="s">
        <v>96</v>
      </c>
      <c r="I300" s="23" t="s">
        <v>39</v>
      </c>
      <c r="J300" s="23" t="s">
        <v>39</v>
      </c>
      <c r="K300" s="22"/>
      <c r="L300" s="23" t="s">
        <v>39</v>
      </c>
      <c r="M300" s="23" t="s">
        <v>39</v>
      </c>
      <c r="N300" s="22"/>
      <c r="O300" s="22"/>
      <c r="P300" s="22"/>
      <c r="Q300" s="22"/>
      <c r="R300" s="23" t="s">
        <v>39</v>
      </c>
      <c r="S300" s="23" t="s">
        <v>39</v>
      </c>
      <c r="T300" s="23" t="e">
        <v>#N/A</v>
      </c>
      <c r="U300" s="23" t="s">
        <v>39</v>
      </c>
      <c r="V300" s="22"/>
      <c r="W300" s="22"/>
      <c r="X300" s="22"/>
      <c r="Y300" s="22"/>
      <c r="Z300" s="22" t="s">
        <v>39</v>
      </c>
      <c r="AA300" s="22" t="s">
        <v>39</v>
      </c>
      <c r="AB300" s="1"/>
      <c r="AC300"/>
      <c r="AD300"/>
      <c r="AE300"/>
      <c r="AF300"/>
      <c r="AG300"/>
    </row>
    <row r="301" spans="1:33" ht="72" customHeight="1" x14ac:dyDescent="0.25">
      <c r="A301" s="17">
        <v>9759574</v>
      </c>
      <c r="B301" s="30">
        <v>1</v>
      </c>
      <c r="C301" s="17" t="s">
        <v>436</v>
      </c>
      <c r="D301" s="31" t="s">
        <v>52</v>
      </c>
      <c r="E301" s="32">
        <v>42670</v>
      </c>
      <c r="F301" s="33">
        <v>42670</v>
      </c>
      <c r="G301" s="32">
        <v>42670</v>
      </c>
      <c r="H301" s="22" t="s">
        <v>96</v>
      </c>
      <c r="I301" s="23" t="s">
        <v>39</v>
      </c>
      <c r="J301" s="23" t="s">
        <v>39</v>
      </c>
      <c r="K301" s="22"/>
      <c r="L301" s="23" t="s">
        <v>39</v>
      </c>
      <c r="M301" s="23" t="s">
        <v>39</v>
      </c>
      <c r="N301" s="22"/>
      <c r="O301" s="22"/>
      <c r="P301" s="22"/>
      <c r="Q301" s="22"/>
      <c r="R301" s="23" t="s">
        <v>39</v>
      </c>
      <c r="S301" s="23" t="s">
        <v>39</v>
      </c>
      <c r="T301" s="23" t="e">
        <v>#N/A</v>
      </c>
      <c r="U301" s="23" t="s">
        <v>39</v>
      </c>
      <c r="V301" s="22"/>
      <c r="W301" s="22"/>
      <c r="X301" s="22"/>
      <c r="Y301" s="22"/>
      <c r="Z301" s="22" t="s">
        <v>39</v>
      </c>
      <c r="AA301" s="22" t="s">
        <v>39</v>
      </c>
      <c r="AB301" s="1"/>
      <c r="AC301"/>
      <c r="AD301"/>
      <c r="AE301"/>
      <c r="AF301"/>
      <c r="AG301"/>
    </row>
    <row r="302" spans="1:33" ht="72" customHeight="1" x14ac:dyDescent="0.25">
      <c r="A302" s="17">
        <v>9759575</v>
      </c>
      <c r="B302" s="30">
        <v>2</v>
      </c>
      <c r="C302" s="17" t="s">
        <v>567</v>
      </c>
      <c r="D302" s="31" t="s">
        <v>52</v>
      </c>
      <c r="E302" s="32">
        <v>42670</v>
      </c>
      <c r="F302" s="33">
        <v>42670</v>
      </c>
      <c r="G302" s="32">
        <v>42670</v>
      </c>
      <c r="H302" s="22" t="s">
        <v>96</v>
      </c>
      <c r="I302" s="23" t="s">
        <v>39</v>
      </c>
      <c r="J302" s="23" t="s">
        <v>39</v>
      </c>
      <c r="K302" s="22"/>
      <c r="L302" s="23" t="s">
        <v>39</v>
      </c>
      <c r="M302" s="23" t="s">
        <v>39</v>
      </c>
      <c r="N302" s="22"/>
      <c r="O302" s="22"/>
      <c r="P302" s="22"/>
      <c r="Q302" s="22"/>
      <c r="R302" s="23" t="s">
        <v>39</v>
      </c>
      <c r="S302" s="23" t="s">
        <v>39</v>
      </c>
      <c r="T302" s="23" t="e">
        <v>#N/A</v>
      </c>
      <c r="U302" s="23" t="s">
        <v>39</v>
      </c>
      <c r="V302" s="22"/>
      <c r="W302" s="22"/>
      <c r="X302" s="22"/>
      <c r="Y302" s="22"/>
      <c r="Z302" s="22" t="s">
        <v>39</v>
      </c>
      <c r="AA302" s="22" t="s">
        <v>39</v>
      </c>
      <c r="AB302" s="1"/>
      <c r="AC302"/>
      <c r="AD302"/>
      <c r="AE302"/>
      <c r="AF302"/>
      <c r="AG302"/>
    </row>
    <row r="303" spans="1:33" ht="72" customHeight="1" x14ac:dyDescent="0.25">
      <c r="A303" s="17">
        <v>9759576</v>
      </c>
      <c r="B303" s="30">
        <v>1</v>
      </c>
      <c r="C303" s="17" t="s">
        <v>568</v>
      </c>
      <c r="D303" s="31" t="s">
        <v>52</v>
      </c>
      <c r="E303" s="32">
        <v>42670</v>
      </c>
      <c r="F303" s="33">
        <v>42670</v>
      </c>
      <c r="G303" s="32">
        <v>42670</v>
      </c>
      <c r="H303" s="22" t="s">
        <v>96</v>
      </c>
      <c r="I303" s="23" t="s">
        <v>39</v>
      </c>
      <c r="J303" s="23" t="s">
        <v>39</v>
      </c>
      <c r="K303" s="22"/>
      <c r="L303" s="23" t="s">
        <v>39</v>
      </c>
      <c r="M303" s="23" t="s">
        <v>39</v>
      </c>
      <c r="N303" s="22"/>
      <c r="O303" s="22"/>
      <c r="P303" s="22"/>
      <c r="Q303" s="22"/>
      <c r="R303" s="23" t="s">
        <v>39</v>
      </c>
      <c r="S303" s="23" t="s">
        <v>39</v>
      </c>
      <c r="T303" s="23" t="e">
        <v>#N/A</v>
      </c>
      <c r="U303" s="23" t="s">
        <v>39</v>
      </c>
      <c r="V303" s="22"/>
      <c r="W303" s="22"/>
      <c r="X303" s="22"/>
      <c r="Y303" s="22"/>
      <c r="Z303" s="22" t="s">
        <v>39</v>
      </c>
      <c r="AA303" s="22" t="s">
        <v>39</v>
      </c>
      <c r="AB303" s="1"/>
      <c r="AC303"/>
      <c r="AD303"/>
      <c r="AE303"/>
      <c r="AF303"/>
      <c r="AG303"/>
    </row>
    <row r="304" spans="1:33" ht="72" customHeight="1" x14ac:dyDescent="0.25">
      <c r="A304" s="17">
        <v>9759577</v>
      </c>
      <c r="B304" s="30">
        <v>1</v>
      </c>
      <c r="C304" s="17" t="s">
        <v>571</v>
      </c>
      <c r="D304" s="31" t="s">
        <v>52</v>
      </c>
      <c r="E304" s="32">
        <v>42670</v>
      </c>
      <c r="F304" s="33">
        <v>42670</v>
      </c>
      <c r="G304" s="32">
        <v>42670</v>
      </c>
      <c r="H304" s="22" t="s">
        <v>96</v>
      </c>
      <c r="I304" s="23" t="s">
        <v>39</v>
      </c>
      <c r="J304" s="23" t="s">
        <v>39</v>
      </c>
      <c r="K304" s="22"/>
      <c r="L304" s="23" t="s">
        <v>39</v>
      </c>
      <c r="M304" s="23" t="s">
        <v>39</v>
      </c>
      <c r="N304" s="22"/>
      <c r="O304" s="22"/>
      <c r="P304" s="22"/>
      <c r="Q304" s="22"/>
      <c r="R304" s="23" t="s">
        <v>39</v>
      </c>
      <c r="S304" s="23" t="s">
        <v>39</v>
      </c>
      <c r="T304" s="23" t="e">
        <v>#N/A</v>
      </c>
      <c r="U304" s="23" t="s">
        <v>39</v>
      </c>
      <c r="V304" s="22"/>
      <c r="W304" s="22"/>
      <c r="X304" s="22"/>
      <c r="Y304" s="22"/>
      <c r="Z304" s="22" t="s">
        <v>39</v>
      </c>
      <c r="AA304" s="22" t="s">
        <v>39</v>
      </c>
      <c r="AB304" s="1"/>
      <c r="AC304"/>
      <c r="AD304"/>
      <c r="AE304"/>
      <c r="AF304"/>
      <c r="AG304"/>
    </row>
    <row r="305" spans="1:33" ht="72" customHeight="1" x14ac:dyDescent="0.25">
      <c r="A305" s="17">
        <v>9759578</v>
      </c>
      <c r="B305" s="30">
        <v>2</v>
      </c>
      <c r="C305" s="17" t="s">
        <v>566</v>
      </c>
      <c r="D305" s="31" t="s">
        <v>52</v>
      </c>
      <c r="E305" s="32">
        <v>42670</v>
      </c>
      <c r="F305" s="33">
        <v>42670</v>
      </c>
      <c r="G305" s="32">
        <v>42670</v>
      </c>
      <c r="H305" s="22" t="s">
        <v>96</v>
      </c>
      <c r="I305" s="23" t="s">
        <v>39</v>
      </c>
      <c r="J305" s="23" t="s">
        <v>39</v>
      </c>
      <c r="K305" s="22"/>
      <c r="L305" s="23" t="s">
        <v>39</v>
      </c>
      <c r="M305" s="23" t="s">
        <v>39</v>
      </c>
      <c r="N305" s="22"/>
      <c r="O305" s="22"/>
      <c r="P305" s="22"/>
      <c r="Q305" s="22"/>
      <c r="R305" s="23" t="s">
        <v>39</v>
      </c>
      <c r="S305" s="23" t="s">
        <v>39</v>
      </c>
      <c r="T305" s="23" t="e">
        <v>#N/A</v>
      </c>
      <c r="U305" s="23" t="s">
        <v>39</v>
      </c>
      <c r="V305" s="22"/>
      <c r="W305" s="22"/>
      <c r="X305" s="22"/>
      <c r="Y305" s="22"/>
      <c r="Z305" s="22" t="s">
        <v>39</v>
      </c>
      <c r="AA305" s="22" t="s">
        <v>39</v>
      </c>
      <c r="AB305" s="1"/>
      <c r="AC305"/>
      <c r="AD305"/>
      <c r="AE305"/>
      <c r="AF305"/>
      <c r="AG305"/>
    </row>
    <row r="306" spans="1:33" ht="72" customHeight="1" x14ac:dyDescent="0.25">
      <c r="A306" s="17">
        <v>9759579</v>
      </c>
      <c r="B306" s="30">
        <v>1</v>
      </c>
      <c r="C306" s="17" t="s">
        <v>460</v>
      </c>
      <c r="D306" s="31" t="s">
        <v>25</v>
      </c>
      <c r="E306" s="32">
        <v>42670</v>
      </c>
      <c r="F306" s="33">
        <v>42670</v>
      </c>
      <c r="G306" s="32">
        <v>42670</v>
      </c>
      <c r="H306" s="22" t="s">
        <v>96</v>
      </c>
      <c r="I306" s="23" t="s">
        <v>39</v>
      </c>
      <c r="J306" s="23" t="s">
        <v>39</v>
      </c>
      <c r="K306" s="22"/>
      <c r="L306" s="23" t="s">
        <v>39</v>
      </c>
      <c r="M306" s="23" t="s">
        <v>39</v>
      </c>
      <c r="N306" s="22"/>
      <c r="O306" s="22"/>
      <c r="P306" s="22"/>
      <c r="Q306" s="22"/>
      <c r="R306" s="23" t="s">
        <v>39</v>
      </c>
      <c r="S306" s="23" t="s">
        <v>39</v>
      </c>
      <c r="T306" s="23" t="e">
        <v>#N/A</v>
      </c>
      <c r="U306" s="23" t="s">
        <v>39</v>
      </c>
      <c r="V306" s="22"/>
      <c r="W306" s="22"/>
      <c r="X306" s="22"/>
      <c r="Y306" s="22"/>
      <c r="Z306" s="22" t="s">
        <v>39</v>
      </c>
      <c r="AA306" s="22" t="s">
        <v>39</v>
      </c>
      <c r="AB306" s="1"/>
      <c r="AC306"/>
      <c r="AD306"/>
      <c r="AE306"/>
      <c r="AF306"/>
      <c r="AG306"/>
    </row>
    <row r="307" spans="1:33" ht="72" customHeight="1" x14ac:dyDescent="0.25">
      <c r="A307" s="17">
        <v>9759580</v>
      </c>
      <c r="B307" s="30">
        <v>2</v>
      </c>
      <c r="C307" s="17" t="s">
        <v>27</v>
      </c>
      <c r="D307" s="31" t="s">
        <v>25</v>
      </c>
      <c r="E307" s="32">
        <v>42670</v>
      </c>
      <c r="F307" s="33">
        <v>42670</v>
      </c>
      <c r="G307" s="32">
        <v>42670</v>
      </c>
      <c r="H307" s="22" t="s">
        <v>96</v>
      </c>
      <c r="I307" s="23" t="s">
        <v>39</v>
      </c>
      <c r="J307" s="23" t="s">
        <v>39</v>
      </c>
      <c r="K307" s="22"/>
      <c r="L307" s="23" t="s">
        <v>39</v>
      </c>
      <c r="M307" s="23" t="s">
        <v>39</v>
      </c>
      <c r="N307" s="22"/>
      <c r="O307" s="22"/>
      <c r="P307" s="22"/>
      <c r="Q307" s="22"/>
      <c r="R307" s="23" t="s">
        <v>39</v>
      </c>
      <c r="S307" s="23" t="s">
        <v>39</v>
      </c>
      <c r="T307" s="23" t="e">
        <v>#N/A</v>
      </c>
      <c r="U307" s="23" t="s">
        <v>39</v>
      </c>
      <c r="V307" s="22"/>
      <c r="W307" s="22"/>
      <c r="X307" s="22"/>
      <c r="Y307" s="22"/>
      <c r="Z307" s="22" t="s">
        <v>39</v>
      </c>
      <c r="AA307" s="22" t="s">
        <v>39</v>
      </c>
      <c r="AB307" s="1"/>
      <c r="AC307"/>
      <c r="AD307"/>
      <c r="AE307"/>
      <c r="AF307"/>
      <c r="AG307"/>
    </row>
    <row r="308" spans="1:33" ht="72" customHeight="1" x14ac:dyDescent="0.25">
      <c r="A308" s="17">
        <v>9759597</v>
      </c>
      <c r="B308" s="30">
        <v>2</v>
      </c>
      <c r="C308" s="17" t="s">
        <v>250</v>
      </c>
      <c r="D308" s="31" t="s">
        <v>11</v>
      </c>
      <c r="E308" s="32">
        <v>42670</v>
      </c>
      <c r="F308" s="33">
        <v>42670</v>
      </c>
      <c r="G308" s="32">
        <v>42670</v>
      </c>
      <c r="H308" s="22" t="s">
        <v>112</v>
      </c>
      <c r="I308" s="23" t="s">
        <v>370</v>
      </c>
      <c r="J308" s="23" t="s">
        <v>39</v>
      </c>
      <c r="K308" s="22"/>
      <c r="L308" s="23" t="s">
        <v>39</v>
      </c>
      <c r="M308" s="23" t="s">
        <v>39</v>
      </c>
      <c r="N308" s="22"/>
      <c r="O308" s="22"/>
      <c r="P308" s="22"/>
      <c r="Q308" s="22"/>
      <c r="R308" s="23" t="s">
        <v>625</v>
      </c>
      <c r="S308" s="23" t="s">
        <v>39</v>
      </c>
      <c r="T308" s="23" t="s">
        <v>39</v>
      </c>
      <c r="U308" s="23" t="s">
        <v>39</v>
      </c>
      <c r="V308" s="22"/>
      <c r="W308" s="22"/>
      <c r="X308" s="22"/>
      <c r="Y308" s="22"/>
      <c r="Z308" s="22" t="s">
        <v>39</v>
      </c>
      <c r="AA308" s="22" t="s">
        <v>39</v>
      </c>
      <c r="AB308" s="1"/>
      <c r="AC308"/>
      <c r="AD308"/>
      <c r="AE308"/>
      <c r="AF308"/>
      <c r="AG308"/>
    </row>
    <row r="309" spans="1:33" ht="72" customHeight="1" x14ac:dyDescent="0.25">
      <c r="A309" s="17">
        <v>9759606</v>
      </c>
      <c r="B309" s="30">
        <v>3</v>
      </c>
      <c r="C309" s="17" t="s">
        <v>135</v>
      </c>
      <c r="D309" s="31" t="s">
        <v>20</v>
      </c>
      <c r="E309" s="32">
        <v>42670</v>
      </c>
      <c r="F309" s="33">
        <v>42670</v>
      </c>
      <c r="G309" s="32">
        <v>42670</v>
      </c>
      <c r="H309" s="22" t="s">
        <v>112</v>
      </c>
      <c r="I309" s="23" t="s">
        <v>370</v>
      </c>
      <c r="J309" s="23" t="s">
        <v>39</v>
      </c>
      <c r="K309" s="22"/>
      <c r="L309" s="23" t="s">
        <v>39</v>
      </c>
      <c r="M309" s="23" t="s">
        <v>39</v>
      </c>
      <c r="N309" s="22"/>
      <c r="O309" s="22"/>
      <c r="P309" s="22"/>
      <c r="Q309" s="22"/>
      <c r="R309" s="23" t="s">
        <v>625</v>
      </c>
      <c r="S309" s="23" t="s">
        <v>39</v>
      </c>
      <c r="T309" s="23" t="s">
        <v>39</v>
      </c>
      <c r="U309" s="23" t="s">
        <v>39</v>
      </c>
      <c r="V309" s="22"/>
      <c r="W309" s="22"/>
      <c r="X309" s="22"/>
      <c r="Y309" s="22"/>
      <c r="Z309" s="22" t="s">
        <v>39</v>
      </c>
      <c r="AA309" s="22" t="s">
        <v>39</v>
      </c>
      <c r="AB309" s="1"/>
      <c r="AC309"/>
      <c r="AD309"/>
      <c r="AE309"/>
      <c r="AF309"/>
      <c r="AG309"/>
    </row>
    <row r="310" spans="1:33" ht="72" customHeight="1" x14ac:dyDescent="0.25">
      <c r="A310" s="17">
        <v>9759607</v>
      </c>
      <c r="B310" s="30">
        <v>2</v>
      </c>
      <c r="C310" s="17" t="s">
        <v>357</v>
      </c>
      <c r="D310" s="31" t="s">
        <v>20</v>
      </c>
      <c r="E310" s="32">
        <v>42670</v>
      </c>
      <c r="F310" s="33">
        <v>42670</v>
      </c>
      <c r="G310" s="32">
        <v>42670</v>
      </c>
      <c r="H310" s="22" t="s">
        <v>112</v>
      </c>
      <c r="I310" s="23" t="s">
        <v>370</v>
      </c>
      <c r="J310" s="23" t="s">
        <v>39</v>
      </c>
      <c r="K310" s="22"/>
      <c r="L310" s="23" t="s">
        <v>39</v>
      </c>
      <c r="M310" s="23" t="s">
        <v>39</v>
      </c>
      <c r="N310" s="22"/>
      <c r="O310" s="22"/>
      <c r="P310" s="22"/>
      <c r="Q310" s="22"/>
      <c r="R310" s="23" t="s">
        <v>625</v>
      </c>
      <c r="S310" s="23" t="s">
        <v>39</v>
      </c>
      <c r="T310" s="23" t="s">
        <v>39</v>
      </c>
      <c r="U310" s="23" t="s">
        <v>39</v>
      </c>
      <c r="V310" s="22"/>
      <c r="W310" s="22"/>
      <c r="X310" s="22"/>
      <c r="Y310" s="22"/>
      <c r="Z310" s="22" t="s">
        <v>39</v>
      </c>
      <c r="AA310" s="22" t="s">
        <v>39</v>
      </c>
      <c r="AB310" s="1"/>
      <c r="AC310"/>
      <c r="AD310"/>
      <c r="AE310"/>
      <c r="AF310"/>
      <c r="AG310"/>
    </row>
    <row r="311" spans="1:33" ht="72" customHeight="1" x14ac:dyDescent="0.25">
      <c r="A311" s="17">
        <v>9759612</v>
      </c>
      <c r="B311" s="30">
        <v>2</v>
      </c>
      <c r="C311" s="17" t="s">
        <v>376</v>
      </c>
      <c r="D311" s="31" t="s">
        <v>20</v>
      </c>
      <c r="E311" s="32">
        <v>42670</v>
      </c>
      <c r="F311" s="33">
        <v>42670</v>
      </c>
      <c r="G311" s="32">
        <v>42670</v>
      </c>
      <c r="H311" s="22" t="s">
        <v>112</v>
      </c>
      <c r="I311" s="23" t="s">
        <v>371</v>
      </c>
      <c r="J311" s="23" t="s">
        <v>39</v>
      </c>
      <c r="K311" s="22"/>
      <c r="L311" s="23" t="s">
        <v>39</v>
      </c>
      <c r="M311" s="23" t="s">
        <v>39</v>
      </c>
      <c r="N311" s="22"/>
      <c r="O311" s="22"/>
      <c r="P311" s="22"/>
      <c r="Q311" s="22"/>
      <c r="R311" s="23" t="s">
        <v>625</v>
      </c>
      <c r="S311" s="23" t="s">
        <v>39</v>
      </c>
      <c r="T311" s="23" t="s">
        <v>39</v>
      </c>
      <c r="U311" s="23" t="s">
        <v>39</v>
      </c>
      <c r="V311" s="22"/>
      <c r="W311" s="22"/>
      <c r="X311" s="22"/>
      <c r="Y311" s="22"/>
      <c r="Z311" s="22" t="s">
        <v>39</v>
      </c>
      <c r="AA311" s="22" t="s">
        <v>39</v>
      </c>
      <c r="AB311" s="1"/>
      <c r="AC311"/>
      <c r="AD311"/>
      <c r="AE311"/>
      <c r="AF311"/>
      <c r="AG311"/>
    </row>
    <row r="312" spans="1:33" ht="72" customHeight="1" x14ac:dyDescent="0.25">
      <c r="A312" s="17">
        <v>9759616</v>
      </c>
      <c r="B312" s="30">
        <v>1</v>
      </c>
      <c r="C312" s="17" t="s">
        <v>245</v>
      </c>
      <c r="D312" s="31" t="s">
        <v>20</v>
      </c>
      <c r="E312" s="32">
        <v>42670</v>
      </c>
      <c r="F312" s="33">
        <v>42670</v>
      </c>
      <c r="G312" s="32">
        <v>42670</v>
      </c>
      <c r="H312" s="22" t="s">
        <v>108</v>
      </c>
      <c r="I312" s="23" t="s">
        <v>636</v>
      </c>
      <c r="J312" s="23" t="s">
        <v>39</v>
      </c>
      <c r="K312" s="22"/>
      <c r="L312" s="23" t="s">
        <v>39</v>
      </c>
      <c r="M312" s="23" t="s">
        <v>39</v>
      </c>
      <c r="N312" s="22"/>
      <c r="O312" s="22"/>
      <c r="P312" s="22"/>
      <c r="Q312" s="22"/>
      <c r="R312" s="23" t="s">
        <v>625</v>
      </c>
      <c r="S312" s="23" t="s">
        <v>39</v>
      </c>
      <c r="T312" s="23" t="s">
        <v>39</v>
      </c>
      <c r="U312" s="23" t="s">
        <v>642</v>
      </c>
      <c r="V312" s="22"/>
      <c r="W312" s="22"/>
      <c r="X312" s="22"/>
      <c r="Y312" s="22"/>
      <c r="Z312" s="22" t="s">
        <v>39</v>
      </c>
      <c r="AA312" s="22" t="s">
        <v>39</v>
      </c>
      <c r="AB312" s="1"/>
      <c r="AC312"/>
      <c r="AD312"/>
      <c r="AE312"/>
      <c r="AF312"/>
      <c r="AG312"/>
    </row>
    <row r="313" spans="1:33" ht="72" customHeight="1" x14ac:dyDescent="0.25">
      <c r="A313" s="17">
        <v>9759618</v>
      </c>
      <c r="B313" s="30">
        <v>1</v>
      </c>
      <c r="C313" s="17" t="s">
        <v>505</v>
      </c>
      <c r="D313" s="31" t="s">
        <v>20</v>
      </c>
      <c r="E313" s="32">
        <v>42670</v>
      </c>
      <c r="F313" s="33">
        <v>42670</v>
      </c>
      <c r="G313" s="32">
        <v>42670</v>
      </c>
      <c r="H313" s="22" t="s">
        <v>108</v>
      </c>
      <c r="I313" s="23" t="s">
        <v>684</v>
      </c>
      <c r="J313" s="23" t="s">
        <v>39</v>
      </c>
      <c r="K313" s="22"/>
      <c r="L313" s="23" t="s">
        <v>39</v>
      </c>
      <c r="M313" s="23" t="s">
        <v>39</v>
      </c>
      <c r="N313" s="22"/>
      <c r="O313" s="22"/>
      <c r="P313" s="22"/>
      <c r="Q313" s="22"/>
      <c r="R313" s="23" t="s">
        <v>625</v>
      </c>
      <c r="S313" s="23" t="s">
        <v>39</v>
      </c>
      <c r="T313" s="23" t="s">
        <v>39</v>
      </c>
      <c r="U313" s="23" t="s">
        <v>737</v>
      </c>
      <c r="V313" s="22"/>
      <c r="W313" s="22"/>
      <c r="X313" s="22"/>
      <c r="Y313" s="22"/>
      <c r="Z313" s="22" t="s">
        <v>39</v>
      </c>
      <c r="AA313" s="22" t="s">
        <v>39</v>
      </c>
      <c r="AB313" s="1"/>
      <c r="AC313"/>
      <c r="AD313"/>
      <c r="AE313"/>
      <c r="AF313"/>
      <c r="AG313"/>
    </row>
    <row r="314" spans="1:33" ht="72" customHeight="1" x14ac:dyDescent="0.25">
      <c r="A314" s="17">
        <v>9759619</v>
      </c>
      <c r="B314" s="30">
        <v>1</v>
      </c>
      <c r="C314" s="17" t="s">
        <v>512</v>
      </c>
      <c r="D314" s="31" t="s">
        <v>20</v>
      </c>
      <c r="E314" s="32">
        <v>42670</v>
      </c>
      <c r="F314" s="33">
        <v>42670</v>
      </c>
      <c r="G314" s="32">
        <v>42670</v>
      </c>
      <c r="H314" s="22" t="s">
        <v>112</v>
      </c>
      <c r="I314" s="23" t="s">
        <v>684</v>
      </c>
      <c r="J314" s="23" t="s">
        <v>39</v>
      </c>
      <c r="K314" s="22"/>
      <c r="L314" s="23" t="s">
        <v>39</v>
      </c>
      <c r="M314" s="23" t="s">
        <v>39</v>
      </c>
      <c r="N314" s="22"/>
      <c r="O314" s="22"/>
      <c r="P314" s="22"/>
      <c r="Q314" s="22"/>
      <c r="R314" s="23" t="s">
        <v>625</v>
      </c>
      <c r="S314" s="23" t="s">
        <v>39</v>
      </c>
      <c r="T314" s="23" t="s">
        <v>39</v>
      </c>
      <c r="U314" s="23" t="s">
        <v>39</v>
      </c>
      <c r="V314" s="22"/>
      <c r="W314" s="22"/>
      <c r="X314" s="22"/>
      <c r="Y314" s="22"/>
      <c r="Z314" s="22" t="s">
        <v>39</v>
      </c>
      <c r="AA314" s="22" t="s">
        <v>39</v>
      </c>
      <c r="AB314" s="1"/>
      <c r="AC314"/>
      <c r="AD314"/>
      <c r="AE314"/>
      <c r="AF314"/>
      <c r="AG314"/>
    </row>
    <row r="315" spans="1:33" ht="72" customHeight="1" x14ac:dyDescent="0.25">
      <c r="A315" s="17">
        <v>9759621</v>
      </c>
      <c r="B315" s="30">
        <v>3</v>
      </c>
      <c r="C315" s="17" t="s">
        <v>136</v>
      </c>
      <c r="D315" s="31" t="s">
        <v>20</v>
      </c>
      <c r="E315" s="32">
        <v>42670</v>
      </c>
      <c r="F315" s="33">
        <v>42670</v>
      </c>
      <c r="G315" s="32">
        <v>42670</v>
      </c>
      <c r="H315" s="22" t="s">
        <v>108</v>
      </c>
      <c r="I315" s="23" t="s">
        <v>367</v>
      </c>
      <c r="J315" s="23" t="s">
        <v>39</v>
      </c>
      <c r="K315" s="22"/>
      <c r="L315" s="23" t="s">
        <v>39</v>
      </c>
      <c r="M315" s="23" t="s">
        <v>39</v>
      </c>
      <c r="N315" s="22"/>
      <c r="O315" s="22"/>
      <c r="P315" s="22"/>
      <c r="Q315" s="22"/>
      <c r="R315" s="23" t="s">
        <v>625</v>
      </c>
      <c r="S315" s="23" t="s">
        <v>39</v>
      </c>
      <c r="T315" s="23" t="s">
        <v>39</v>
      </c>
      <c r="U315" s="23" t="s">
        <v>700</v>
      </c>
      <c r="V315" s="22"/>
      <c r="W315" s="22"/>
      <c r="X315" s="22"/>
      <c r="Y315" s="22"/>
      <c r="Z315" s="22" t="s">
        <v>39</v>
      </c>
      <c r="AA315" s="22" t="s">
        <v>39</v>
      </c>
      <c r="AB315" s="1"/>
      <c r="AC315"/>
      <c r="AD315"/>
      <c r="AE315"/>
      <c r="AF315"/>
      <c r="AG315"/>
    </row>
    <row r="316" spans="1:33" ht="72" customHeight="1" x14ac:dyDescent="0.25">
      <c r="A316" s="17">
        <v>9759624</v>
      </c>
      <c r="B316" s="30">
        <v>2</v>
      </c>
      <c r="C316" s="17" t="s">
        <v>129</v>
      </c>
      <c r="D316" s="31" t="s">
        <v>20</v>
      </c>
      <c r="E316" s="32">
        <v>42670</v>
      </c>
      <c r="F316" s="33">
        <v>42670</v>
      </c>
      <c r="G316" s="32">
        <v>42670</v>
      </c>
      <c r="H316" s="22" t="s">
        <v>112</v>
      </c>
      <c r="I316" s="23" t="s">
        <v>684</v>
      </c>
      <c r="J316" s="23" t="s">
        <v>39</v>
      </c>
      <c r="K316" s="22"/>
      <c r="L316" s="23" t="s">
        <v>39</v>
      </c>
      <c r="M316" s="23" t="s">
        <v>39</v>
      </c>
      <c r="N316" s="22"/>
      <c r="O316" s="22"/>
      <c r="P316" s="22"/>
      <c r="Q316" s="22"/>
      <c r="R316" s="23" t="s">
        <v>625</v>
      </c>
      <c r="S316" s="23" t="s">
        <v>39</v>
      </c>
      <c r="T316" s="23" t="s">
        <v>39</v>
      </c>
      <c r="U316" s="23" t="s">
        <v>39</v>
      </c>
      <c r="V316" s="22"/>
      <c r="W316" s="22"/>
      <c r="X316" s="22"/>
      <c r="Y316" s="22"/>
      <c r="Z316" s="22" t="s">
        <v>39</v>
      </c>
      <c r="AA316" s="22" t="s">
        <v>39</v>
      </c>
      <c r="AB316" s="1"/>
      <c r="AC316"/>
      <c r="AD316"/>
      <c r="AE316"/>
      <c r="AF316"/>
      <c r="AG316"/>
    </row>
    <row r="317" spans="1:33" ht="72" customHeight="1" x14ac:dyDescent="0.25">
      <c r="A317" s="17">
        <v>9759625</v>
      </c>
      <c r="B317" s="30">
        <v>2</v>
      </c>
      <c r="C317" s="17" t="s">
        <v>123</v>
      </c>
      <c r="D317" s="31" t="s">
        <v>20</v>
      </c>
      <c r="E317" s="32">
        <v>42670</v>
      </c>
      <c r="F317" s="33">
        <v>42670</v>
      </c>
      <c r="G317" s="32">
        <v>42670</v>
      </c>
      <c r="H317" s="22" t="s">
        <v>112</v>
      </c>
      <c r="I317" s="23" t="s">
        <v>684</v>
      </c>
      <c r="J317" s="23" t="s">
        <v>39</v>
      </c>
      <c r="K317" s="22"/>
      <c r="L317" s="23" t="s">
        <v>39</v>
      </c>
      <c r="M317" s="23" t="s">
        <v>39</v>
      </c>
      <c r="N317" s="22"/>
      <c r="O317" s="22"/>
      <c r="P317" s="22"/>
      <c r="Q317" s="22"/>
      <c r="R317" s="23" t="s">
        <v>625</v>
      </c>
      <c r="S317" s="23" t="s">
        <v>39</v>
      </c>
      <c r="T317" s="23" t="s">
        <v>39</v>
      </c>
      <c r="U317" s="23" t="s">
        <v>39</v>
      </c>
      <c r="V317" s="22"/>
      <c r="W317" s="22"/>
      <c r="X317" s="22"/>
      <c r="Y317" s="22"/>
      <c r="Z317" s="22" t="s">
        <v>39</v>
      </c>
      <c r="AA317" s="22" t="s">
        <v>39</v>
      </c>
      <c r="AB317" s="1"/>
      <c r="AC317"/>
      <c r="AD317"/>
      <c r="AE317"/>
      <c r="AF317"/>
      <c r="AG317"/>
    </row>
    <row r="318" spans="1:33" ht="72" customHeight="1" x14ac:dyDescent="0.25">
      <c r="A318" s="17">
        <v>9759627</v>
      </c>
      <c r="B318" s="30">
        <v>3</v>
      </c>
      <c r="C318" s="17" t="s">
        <v>130</v>
      </c>
      <c r="D318" s="31" t="s">
        <v>20</v>
      </c>
      <c r="E318" s="32">
        <v>42670</v>
      </c>
      <c r="F318" s="33">
        <v>42670</v>
      </c>
      <c r="G318" s="32">
        <v>42670</v>
      </c>
      <c r="H318" s="22" t="s">
        <v>112</v>
      </c>
      <c r="I318" s="23" t="s">
        <v>636</v>
      </c>
      <c r="J318" s="23" t="s">
        <v>39</v>
      </c>
      <c r="K318" s="22"/>
      <c r="L318" s="23" t="s">
        <v>39</v>
      </c>
      <c r="M318" s="23" t="s">
        <v>39</v>
      </c>
      <c r="N318" s="22"/>
      <c r="O318" s="22"/>
      <c r="P318" s="22"/>
      <c r="Q318" s="22"/>
      <c r="R318" s="23" t="s">
        <v>625</v>
      </c>
      <c r="S318" s="23" t="s">
        <v>39</v>
      </c>
      <c r="T318" s="23" t="s">
        <v>39</v>
      </c>
      <c r="U318" s="23" t="s">
        <v>39</v>
      </c>
      <c r="V318" s="22"/>
      <c r="W318" s="22"/>
      <c r="X318" s="22"/>
      <c r="Y318" s="22"/>
      <c r="Z318" s="22" t="s">
        <v>39</v>
      </c>
      <c r="AA318" s="22" t="s">
        <v>39</v>
      </c>
      <c r="AB318" s="1"/>
      <c r="AC318"/>
      <c r="AD318"/>
      <c r="AE318"/>
      <c r="AF318"/>
      <c r="AG318"/>
    </row>
    <row r="319" spans="1:33" ht="72" customHeight="1" x14ac:dyDescent="0.25">
      <c r="A319" s="17">
        <v>9759630</v>
      </c>
      <c r="B319" s="30">
        <v>2</v>
      </c>
      <c r="C319" s="17" t="s">
        <v>179</v>
      </c>
      <c r="D319" s="31" t="s">
        <v>20</v>
      </c>
      <c r="E319" s="32">
        <v>42670</v>
      </c>
      <c r="F319" s="33">
        <v>42670</v>
      </c>
      <c r="G319" s="32">
        <v>42670</v>
      </c>
      <c r="H319" s="22" t="s">
        <v>112</v>
      </c>
      <c r="I319" s="23" t="s">
        <v>684</v>
      </c>
      <c r="J319" s="23" t="s">
        <v>39</v>
      </c>
      <c r="K319" s="22"/>
      <c r="L319" s="23" t="s">
        <v>39</v>
      </c>
      <c r="M319" s="23" t="s">
        <v>39</v>
      </c>
      <c r="N319" s="22"/>
      <c r="O319" s="22"/>
      <c r="P319" s="22"/>
      <c r="Q319" s="22"/>
      <c r="R319" s="23" t="s">
        <v>625</v>
      </c>
      <c r="S319" s="23" t="s">
        <v>39</v>
      </c>
      <c r="T319" s="23" t="s">
        <v>39</v>
      </c>
      <c r="U319" s="23" t="s">
        <v>39</v>
      </c>
      <c r="V319" s="22"/>
      <c r="W319" s="22"/>
      <c r="X319" s="22"/>
      <c r="Y319" s="22"/>
      <c r="Z319" s="22" t="s">
        <v>39</v>
      </c>
      <c r="AA319" s="22" t="s">
        <v>39</v>
      </c>
      <c r="AB319" s="1"/>
      <c r="AC319"/>
      <c r="AD319"/>
      <c r="AE319"/>
      <c r="AF319"/>
      <c r="AG319"/>
    </row>
    <row r="320" spans="1:33" ht="72" customHeight="1" x14ac:dyDescent="0.25">
      <c r="A320" s="17">
        <v>9759631</v>
      </c>
      <c r="B320" s="30">
        <v>1</v>
      </c>
      <c r="C320" s="17" t="s">
        <v>506</v>
      </c>
      <c r="D320" s="31" t="s">
        <v>20</v>
      </c>
      <c r="E320" s="32">
        <v>42670</v>
      </c>
      <c r="F320" s="33">
        <v>42670</v>
      </c>
      <c r="G320" s="32">
        <v>42670</v>
      </c>
      <c r="H320" s="22" t="s">
        <v>108</v>
      </c>
      <c r="I320" s="23" t="s">
        <v>367</v>
      </c>
      <c r="J320" s="23" t="s">
        <v>39</v>
      </c>
      <c r="K320" s="22"/>
      <c r="L320" s="23" t="s">
        <v>39</v>
      </c>
      <c r="M320" s="23" t="s">
        <v>39</v>
      </c>
      <c r="N320" s="22"/>
      <c r="O320" s="22"/>
      <c r="P320" s="22"/>
      <c r="Q320" s="22"/>
      <c r="R320" s="23" t="s">
        <v>625</v>
      </c>
      <c r="S320" s="23" t="s">
        <v>39</v>
      </c>
      <c r="T320" s="23" t="s">
        <v>39</v>
      </c>
      <c r="U320" s="23" t="s">
        <v>645</v>
      </c>
      <c r="V320" s="22"/>
      <c r="W320" s="22"/>
      <c r="X320" s="22"/>
      <c r="Y320" s="22"/>
      <c r="Z320" s="22" t="s">
        <v>39</v>
      </c>
      <c r="AA320" s="22" t="s">
        <v>39</v>
      </c>
      <c r="AB320" s="1"/>
      <c r="AC320"/>
      <c r="AD320"/>
      <c r="AE320"/>
      <c r="AF320"/>
      <c r="AG320"/>
    </row>
    <row r="321" spans="1:33" ht="72" customHeight="1" x14ac:dyDescent="0.25">
      <c r="A321" s="17">
        <v>9759633</v>
      </c>
      <c r="B321" s="30">
        <v>17</v>
      </c>
      <c r="C321" s="17" t="s">
        <v>232</v>
      </c>
      <c r="D321" s="31" t="s">
        <v>20</v>
      </c>
      <c r="E321" s="32">
        <v>42670</v>
      </c>
      <c r="F321" s="33">
        <v>42670</v>
      </c>
      <c r="G321" s="32">
        <v>42670</v>
      </c>
      <c r="H321" s="22" t="s">
        <v>112</v>
      </c>
      <c r="I321" s="23" t="s">
        <v>636</v>
      </c>
      <c r="J321" s="23" t="s">
        <v>39</v>
      </c>
      <c r="K321" s="22"/>
      <c r="L321" s="23" t="s">
        <v>39</v>
      </c>
      <c r="M321" s="23" t="s">
        <v>39</v>
      </c>
      <c r="N321" s="22"/>
      <c r="O321" s="22"/>
      <c r="P321" s="22"/>
      <c r="Q321" s="22"/>
      <c r="R321" s="23" t="s">
        <v>625</v>
      </c>
      <c r="S321" s="23" t="s">
        <v>39</v>
      </c>
      <c r="T321" s="23" t="s">
        <v>39</v>
      </c>
      <c r="U321" s="23" t="s">
        <v>39</v>
      </c>
      <c r="V321" s="22"/>
      <c r="W321" s="22"/>
      <c r="X321" s="22"/>
      <c r="Y321" s="22"/>
      <c r="Z321" s="22" t="s">
        <v>39</v>
      </c>
      <c r="AA321" s="22" t="s">
        <v>39</v>
      </c>
      <c r="AB321" s="1"/>
      <c r="AC321"/>
      <c r="AD321"/>
      <c r="AE321"/>
      <c r="AF321"/>
      <c r="AG321"/>
    </row>
    <row r="322" spans="1:33" ht="72" customHeight="1" x14ac:dyDescent="0.25">
      <c r="A322" s="17">
        <v>9759634</v>
      </c>
      <c r="B322" s="30">
        <v>1</v>
      </c>
      <c r="C322" s="17" t="s">
        <v>409</v>
      </c>
      <c r="D322" s="31" t="s">
        <v>20</v>
      </c>
      <c r="E322" s="32">
        <v>42670</v>
      </c>
      <c r="F322" s="33">
        <v>42670</v>
      </c>
      <c r="G322" s="32">
        <v>42670</v>
      </c>
      <c r="H322" s="22" t="s">
        <v>112</v>
      </c>
      <c r="I322" s="23" t="s">
        <v>684</v>
      </c>
      <c r="J322" s="23" t="s">
        <v>39</v>
      </c>
      <c r="K322" s="22"/>
      <c r="L322" s="23" t="s">
        <v>39</v>
      </c>
      <c r="M322" s="23" t="s">
        <v>39</v>
      </c>
      <c r="N322" s="22"/>
      <c r="O322" s="22"/>
      <c r="P322" s="22"/>
      <c r="Q322" s="22"/>
      <c r="R322" s="23" t="s">
        <v>625</v>
      </c>
      <c r="S322" s="23" t="s">
        <v>39</v>
      </c>
      <c r="T322" s="23" t="s">
        <v>39</v>
      </c>
      <c r="U322" s="23" t="s">
        <v>39</v>
      </c>
      <c r="V322" s="22"/>
      <c r="W322" s="22"/>
      <c r="X322" s="22"/>
      <c r="Y322" s="22"/>
      <c r="Z322" s="22" t="s">
        <v>39</v>
      </c>
      <c r="AA322" s="22" t="s">
        <v>39</v>
      </c>
      <c r="AB322" s="1"/>
      <c r="AC322"/>
      <c r="AD322"/>
      <c r="AE322"/>
      <c r="AF322"/>
      <c r="AG322"/>
    </row>
    <row r="323" spans="1:33" ht="72" customHeight="1" x14ac:dyDescent="0.25">
      <c r="A323" s="17">
        <v>9759635</v>
      </c>
      <c r="B323" s="30">
        <v>3</v>
      </c>
      <c r="C323" s="17" t="s">
        <v>518</v>
      </c>
      <c r="D323" s="31" t="s">
        <v>20</v>
      </c>
      <c r="E323" s="32">
        <v>42670</v>
      </c>
      <c r="F323" s="33">
        <v>42670</v>
      </c>
      <c r="G323" s="32">
        <v>42670</v>
      </c>
      <c r="H323" s="22" t="s">
        <v>112</v>
      </c>
      <c r="I323" s="23" t="s">
        <v>367</v>
      </c>
      <c r="J323" s="23" t="s">
        <v>39</v>
      </c>
      <c r="K323" s="22"/>
      <c r="L323" s="23" t="s">
        <v>39</v>
      </c>
      <c r="M323" s="23" t="s">
        <v>729</v>
      </c>
      <c r="N323" s="22"/>
      <c r="O323" s="22"/>
      <c r="P323" s="22"/>
      <c r="Q323" s="22"/>
      <c r="R323" s="23" t="s">
        <v>625</v>
      </c>
      <c r="S323" s="23" t="s">
        <v>39</v>
      </c>
      <c r="T323" s="23" t="s">
        <v>39</v>
      </c>
      <c r="U323" s="23" t="s">
        <v>39</v>
      </c>
      <c r="V323" s="22"/>
      <c r="W323" s="22"/>
      <c r="X323" s="22"/>
      <c r="Y323" s="22"/>
      <c r="Z323" s="22" t="s">
        <v>39</v>
      </c>
      <c r="AA323" s="22" t="s">
        <v>39</v>
      </c>
      <c r="AB323" s="1"/>
      <c r="AC323"/>
      <c r="AD323"/>
      <c r="AE323"/>
      <c r="AF323"/>
      <c r="AG323"/>
    </row>
    <row r="324" spans="1:33" ht="72" customHeight="1" x14ac:dyDescent="0.25">
      <c r="A324" s="17">
        <v>9759636</v>
      </c>
      <c r="B324" s="30">
        <v>1</v>
      </c>
      <c r="C324" s="17" t="s">
        <v>520</v>
      </c>
      <c r="D324" s="31" t="s">
        <v>20</v>
      </c>
      <c r="E324" s="32">
        <v>42670</v>
      </c>
      <c r="F324" s="33">
        <v>42670</v>
      </c>
      <c r="G324" s="32">
        <v>42670</v>
      </c>
      <c r="H324" s="22" t="s">
        <v>108</v>
      </c>
      <c r="I324" s="23" t="s">
        <v>636</v>
      </c>
      <c r="J324" s="23" t="s">
        <v>39</v>
      </c>
      <c r="K324" s="22"/>
      <c r="L324" s="23" t="s">
        <v>39</v>
      </c>
      <c r="M324" s="23" t="s">
        <v>39</v>
      </c>
      <c r="N324" s="22"/>
      <c r="O324" s="22"/>
      <c r="P324" s="22"/>
      <c r="Q324" s="22"/>
      <c r="R324" s="23" t="s">
        <v>625</v>
      </c>
      <c r="S324" s="23" t="s">
        <v>39</v>
      </c>
      <c r="T324" s="23" t="s">
        <v>39</v>
      </c>
      <c r="U324" s="23" t="s">
        <v>647</v>
      </c>
      <c r="V324" s="22"/>
      <c r="W324" s="22"/>
      <c r="X324" s="22"/>
      <c r="Y324" s="22"/>
      <c r="Z324" s="22" t="s">
        <v>39</v>
      </c>
      <c r="AA324" s="22" t="s">
        <v>39</v>
      </c>
      <c r="AB324" s="1"/>
      <c r="AC324"/>
      <c r="AD324"/>
      <c r="AE324"/>
      <c r="AF324"/>
      <c r="AG324"/>
    </row>
    <row r="325" spans="1:33" ht="72" customHeight="1" x14ac:dyDescent="0.25">
      <c r="A325" s="17">
        <v>9759637</v>
      </c>
      <c r="B325" s="30">
        <v>1</v>
      </c>
      <c r="C325" s="17" t="s">
        <v>341</v>
      </c>
      <c r="D325" s="31" t="s">
        <v>45</v>
      </c>
      <c r="E325" s="32">
        <v>42670</v>
      </c>
      <c r="F325" s="33">
        <v>42670</v>
      </c>
      <c r="G325" s="32">
        <v>42670</v>
      </c>
      <c r="H325" s="22" t="s">
        <v>112</v>
      </c>
      <c r="I325" s="23" t="s">
        <v>684</v>
      </c>
      <c r="J325" s="23" t="s">
        <v>39</v>
      </c>
      <c r="K325" s="22"/>
      <c r="L325" s="23" t="s">
        <v>39</v>
      </c>
      <c r="M325" s="23" t="s">
        <v>39</v>
      </c>
      <c r="N325" s="22"/>
      <c r="O325" s="22"/>
      <c r="P325" s="22"/>
      <c r="Q325" s="22"/>
      <c r="R325" s="23" t="s">
        <v>625</v>
      </c>
      <c r="S325" s="23" t="s">
        <v>39</v>
      </c>
      <c r="T325" s="23" t="s">
        <v>39</v>
      </c>
      <c r="U325" s="23" t="s">
        <v>39</v>
      </c>
      <c r="V325" s="22"/>
      <c r="W325" s="22"/>
      <c r="X325" s="22"/>
      <c r="Y325" s="22"/>
      <c r="Z325" s="22" t="s">
        <v>39</v>
      </c>
      <c r="AA325" s="22" t="s">
        <v>39</v>
      </c>
      <c r="AB325" s="1"/>
      <c r="AC325"/>
      <c r="AD325"/>
      <c r="AE325"/>
      <c r="AF325"/>
      <c r="AG325"/>
    </row>
    <row r="326" spans="1:33" ht="72" customHeight="1" x14ac:dyDescent="0.25">
      <c r="A326" s="17">
        <v>9759638</v>
      </c>
      <c r="B326" s="30">
        <v>2</v>
      </c>
      <c r="C326" s="17" t="s">
        <v>397</v>
      </c>
      <c r="D326" s="31" t="s">
        <v>45</v>
      </c>
      <c r="E326" s="32">
        <v>42670</v>
      </c>
      <c r="F326" s="33">
        <v>42670</v>
      </c>
      <c r="G326" s="32">
        <v>42670</v>
      </c>
      <c r="H326" s="22" t="s">
        <v>112</v>
      </c>
      <c r="I326" s="23" t="s">
        <v>684</v>
      </c>
      <c r="J326" s="23" t="s">
        <v>39</v>
      </c>
      <c r="K326" s="22"/>
      <c r="L326" s="23" t="s">
        <v>39</v>
      </c>
      <c r="M326" s="23" t="s">
        <v>39</v>
      </c>
      <c r="N326" s="22"/>
      <c r="O326" s="22"/>
      <c r="P326" s="22"/>
      <c r="Q326" s="22"/>
      <c r="R326" s="23" t="s">
        <v>625</v>
      </c>
      <c r="S326" s="23" t="s">
        <v>39</v>
      </c>
      <c r="T326" s="23" t="s">
        <v>39</v>
      </c>
      <c r="U326" s="23" t="s">
        <v>39</v>
      </c>
      <c r="V326" s="22"/>
      <c r="W326" s="22"/>
      <c r="X326" s="22"/>
      <c r="Y326" s="22"/>
      <c r="Z326" s="22" t="s">
        <v>39</v>
      </c>
      <c r="AA326" s="22" t="s">
        <v>39</v>
      </c>
      <c r="AB326" s="1"/>
      <c r="AC326"/>
      <c r="AD326"/>
      <c r="AE326"/>
      <c r="AF326"/>
      <c r="AG326"/>
    </row>
    <row r="327" spans="1:33" ht="72" customHeight="1" x14ac:dyDescent="0.25">
      <c r="A327" s="17">
        <v>9759639</v>
      </c>
      <c r="B327" s="30">
        <v>1</v>
      </c>
      <c r="C327" s="17" t="s">
        <v>168</v>
      </c>
      <c r="D327" s="31" t="s">
        <v>45</v>
      </c>
      <c r="E327" s="32">
        <v>42670</v>
      </c>
      <c r="F327" s="33">
        <v>42670</v>
      </c>
      <c r="G327" s="32">
        <v>42670</v>
      </c>
      <c r="H327" s="22" t="s">
        <v>112</v>
      </c>
      <c r="I327" s="23" t="s">
        <v>636</v>
      </c>
      <c r="J327" s="23" t="s">
        <v>39</v>
      </c>
      <c r="K327" s="22"/>
      <c r="L327" s="23" t="s">
        <v>39</v>
      </c>
      <c r="M327" s="23" t="s">
        <v>39</v>
      </c>
      <c r="N327" s="22"/>
      <c r="O327" s="22"/>
      <c r="P327" s="22"/>
      <c r="Q327" s="22"/>
      <c r="R327" s="23" t="s">
        <v>625</v>
      </c>
      <c r="S327" s="23" t="s">
        <v>39</v>
      </c>
      <c r="T327" s="23" t="s">
        <v>39</v>
      </c>
      <c r="U327" s="23" t="s">
        <v>39</v>
      </c>
      <c r="V327" s="22"/>
      <c r="W327" s="22"/>
      <c r="X327" s="22"/>
      <c r="Y327" s="22"/>
      <c r="Z327" s="22" t="s">
        <v>39</v>
      </c>
      <c r="AA327" s="22" t="s">
        <v>39</v>
      </c>
      <c r="AB327" s="1"/>
      <c r="AC327"/>
      <c r="AD327"/>
      <c r="AE327"/>
      <c r="AF327"/>
      <c r="AG327"/>
    </row>
    <row r="328" spans="1:33" ht="72" customHeight="1" x14ac:dyDescent="0.25">
      <c r="A328" s="17">
        <v>9759640</v>
      </c>
      <c r="B328" s="30">
        <v>8</v>
      </c>
      <c r="C328" s="17" t="s">
        <v>554</v>
      </c>
      <c r="D328" s="31" t="s">
        <v>10</v>
      </c>
      <c r="E328" s="32">
        <v>42670</v>
      </c>
      <c r="F328" s="33">
        <v>42670</v>
      </c>
      <c r="G328" s="32">
        <v>42670</v>
      </c>
      <c r="H328" s="22" t="s">
        <v>112</v>
      </c>
      <c r="I328" s="23" t="s">
        <v>295</v>
      </c>
      <c r="J328" s="23" t="s">
        <v>39</v>
      </c>
      <c r="K328" s="22"/>
      <c r="L328" s="23" t="s">
        <v>39</v>
      </c>
      <c r="M328" s="23" t="s">
        <v>39</v>
      </c>
      <c r="N328" s="22"/>
      <c r="O328" s="22"/>
      <c r="P328" s="22"/>
      <c r="Q328" s="22"/>
      <c r="R328" s="23" t="s">
        <v>625</v>
      </c>
      <c r="S328" s="23" t="s">
        <v>39</v>
      </c>
      <c r="T328" s="23" t="s">
        <v>39</v>
      </c>
      <c r="U328" s="23" t="s">
        <v>39</v>
      </c>
      <c r="V328" s="22"/>
      <c r="W328" s="22"/>
      <c r="X328" s="22"/>
      <c r="Y328" s="22"/>
      <c r="Z328" s="22" t="s">
        <v>39</v>
      </c>
      <c r="AA328" s="22" t="s">
        <v>39</v>
      </c>
      <c r="AB328" s="1"/>
      <c r="AC328"/>
      <c r="AD328"/>
      <c r="AE328"/>
      <c r="AF328"/>
      <c r="AG328"/>
    </row>
    <row r="329" spans="1:33" ht="72" customHeight="1" x14ac:dyDescent="0.25">
      <c r="A329" s="17">
        <v>9759641</v>
      </c>
      <c r="B329" s="30">
        <v>1</v>
      </c>
      <c r="C329" s="17" t="s">
        <v>193</v>
      </c>
      <c r="D329" s="31" t="s">
        <v>191</v>
      </c>
      <c r="E329" s="32">
        <v>42670</v>
      </c>
      <c r="F329" s="33">
        <v>42670</v>
      </c>
      <c r="G329" s="32">
        <v>42670</v>
      </c>
      <c r="H329" s="22" t="s">
        <v>108</v>
      </c>
      <c r="I329" s="23" t="s">
        <v>39</v>
      </c>
      <c r="J329" s="23" t="s">
        <v>39</v>
      </c>
      <c r="K329" s="22"/>
      <c r="L329" s="23" t="s">
        <v>39</v>
      </c>
      <c r="M329" s="23" t="s">
        <v>39</v>
      </c>
      <c r="N329" s="22"/>
      <c r="O329" s="22"/>
      <c r="P329" s="22"/>
      <c r="Q329" s="22"/>
      <c r="R329" s="23" t="s">
        <v>625</v>
      </c>
      <c r="S329" s="23" t="s">
        <v>39</v>
      </c>
      <c r="T329" s="23" t="s">
        <v>39</v>
      </c>
      <c r="U329" s="23" t="s">
        <v>658</v>
      </c>
      <c r="V329" s="22"/>
      <c r="W329" s="22"/>
      <c r="X329" s="22"/>
      <c r="Y329" s="22"/>
      <c r="Z329" s="22" t="s">
        <v>39</v>
      </c>
      <c r="AA329" s="22" t="s">
        <v>39</v>
      </c>
      <c r="AB329" s="1"/>
      <c r="AC329"/>
      <c r="AD329"/>
      <c r="AE329"/>
      <c r="AF329"/>
      <c r="AG329"/>
    </row>
    <row r="330" spans="1:33" ht="72" customHeight="1" x14ac:dyDescent="0.25">
      <c r="A330" s="17">
        <v>9759642</v>
      </c>
      <c r="B330" s="30">
        <v>1</v>
      </c>
      <c r="C330" s="17" t="s">
        <v>383</v>
      </c>
      <c r="D330" s="31" t="s">
        <v>13</v>
      </c>
      <c r="E330" s="32">
        <v>42670</v>
      </c>
      <c r="F330" s="33">
        <v>42670</v>
      </c>
      <c r="G330" s="32">
        <v>42670</v>
      </c>
      <c r="H330" s="22" t="s">
        <v>112</v>
      </c>
      <c r="I330" s="23" t="s">
        <v>367</v>
      </c>
      <c r="J330" s="23" t="s">
        <v>39</v>
      </c>
      <c r="K330" s="22"/>
      <c r="L330" s="23" t="s">
        <v>39</v>
      </c>
      <c r="M330" s="23" t="s">
        <v>39</v>
      </c>
      <c r="N330" s="22"/>
      <c r="O330" s="22"/>
      <c r="P330" s="22"/>
      <c r="Q330" s="22"/>
      <c r="R330" s="23" t="s">
        <v>625</v>
      </c>
      <c r="S330" s="23" t="s">
        <v>39</v>
      </c>
      <c r="T330" s="23" t="s">
        <v>39</v>
      </c>
      <c r="U330" s="23" t="s">
        <v>39</v>
      </c>
      <c r="V330" s="22"/>
      <c r="W330" s="22"/>
      <c r="X330" s="22"/>
      <c r="Y330" s="22"/>
      <c r="Z330" s="22" t="s">
        <v>39</v>
      </c>
      <c r="AA330" s="22" t="s">
        <v>39</v>
      </c>
      <c r="AB330" s="1"/>
      <c r="AC330"/>
      <c r="AD330"/>
      <c r="AE330"/>
      <c r="AF330"/>
      <c r="AG330"/>
    </row>
    <row r="331" spans="1:33" ht="72" customHeight="1" x14ac:dyDescent="0.25">
      <c r="A331" s="17">
        <v>9759643</v>
      </c>
      <c r="B331" s="30">
        <v>1</v>
      </c>
      <c r="C331" s="17" t="s">
        <v>139</v>
      </c>
      <c r="D331" s="31" t="s">
        <v>13</v>
      </c>
      <c r="E331" s="32">
        <v>42670</v>
      </c>
      <c r="F331" s="33">
        <v>42670</v>
      </c>
      <c r="G331" s="32">
        <v>42670</v>
      </c>
      <c r="H331" s="22" t="s">
        <v>112</v>
      </c>
      <c r="I331" s="23" t="s">
        <v>367</v>
      </c>
      <c r="J331" s="23" t="s">
        <v>39</v>
      </c>
      <c r="K331" s="22"/>
      <c r="L331" s="23" t="s">
        <v>39</v>
      </c>
      <c r="M331" s="23" t="s">
        <v>39</v>
      </c>
      <c r="N331" s="22"/>
      <c r="O331" s="22"/>
      <c r="P331" s="22"/>
      <c r="Q331" s="22"/>
      <c r="R331" s="23" t="s">
        <v>625</v>
      </c>
      <c r="S331" s="23" t="s">
        <v>39</v>
      </c>
      <c r="T331" s="23" t="s">
        <v>39</v>
      </c>
      <c r="U331" s="23" t="s">
        <v>39</v>
      </c>
      <c r="V331" s="22"/>
      <c r="W331" s="22"/>
      <c r="X331" s="22"/>
      <c r="Y331" s="22"/>
      <c r="Z331" s="22" t="s">
        <v>39</v>
      </c>
      <c r="AA331" s="22" t="s">
        <v>39</v>
      </c>
      <c r="AB331" s="1"/>
      <c r="AC331"/>
      <c r="AD331"/>
      <c r="AE331"/>
      <c r="AF331"/>
      <c r="AG331"/>
    </row>
    <row r="332" spans="1:33" ht="72" customHeight="1" x14ac:dyDescent="0.25">
      <c r="A332" s="17">
        <v>9759644</v>
      </c>
      <c r="B332" s="30">
        <v>1</v>
      </c>
      <c r="C332" s="17" t="s">
        <v>384</v>
      </c>
      <c r="D332" s="31" t="s">
        <v>13</v>
      </c>
      <c r="E332" s="32">
        <v>42670</v>
      </c>
      <c r="F332" s="33">
        <v>42670</v>
      </c>
      <c r="G332" s="32">
        <v>42670</v>
      </c>
      <c r="H332" s="22" t="s">
        <v>112</v>
      </c>
      <c r="I332" s="23" t="s">
        <v>367</v>
      </c>
      <c r="J332" s="23" t="s">
        <v>39</v>
      </c>
      <c r="K332" s="22"/>
      <c r="L332" s="23" t="s">
        <v>39</v>
      </c>
      <c r="M332" s="23" t="s">
        <v>39</v>
      </c>
      <c r="N332" s="22"/>
      <c r="O332" s="22"/>
      <c r="P332" s="22"/>
      <c r="Q332" s="22"/>
      <c r="R332" s="23" t="s">
        <v>625</v>
      </c>
      <c r="S332" s="23" t="s">
        <v>39</v>
      </c>
      <c r="T332" s="23" t="s">
        <v>39</v>
      </c>
      <c r="U332" s="23" t="s">
        <v>39</v>
      </c>
      <c r="V332" s="22"/>
      <c r="W332" s="22"/>
      <c r="X332" s="22"/>
      <c r="Y332" s="22"/>
      <c r="Z332" s="22" t="s">
        <v>39</v>
      </c>
      <c r="AA332" s="22" t="s">
        <v>39</v>
      </c>
      <c r="AB332" s="1"/>
      <c r="AC332"/>
      <c r="AD332"/>
      <c r="AE332"/>
      <c r="AF332"/>
      <c r="AG332"/>
    </row>
    <row r="333" spans="1:33" ht="72" customHeight="1" x14ac:dyDescent="0.25">
      <c r="A333" s="17">
        <v>9759645</v>
      </c>
      <c r="B333" s="30">
        <v>1</v>
      </c>
      <c r="C333" s="17" t="s">
        <v>385</v>
      </c>
      <c r="D333" s="31" t="s">
        <v>13</v>
      </c>
      <c r="E333" s="32">
        <v>42670</v>
      </c>
      <c r="F333" s="33">
        <v>42670</v>
      </c>
      <c r="G333" s="32">
        <v>42670</v>
      </c>
      <c r="H333" s="22" t="s">
        <v>112</v>
      </c>
      <c r="I333" s="23" t="s">
        <v>367</v>
      </c>
      <c r="J333" s="23" t="s">
        <v>39</v>
      </c>
      <c r="K333" s="22"/>
      <c r="L333" s="23" t="s">
        <v>39</v>
      </c>
      <c r="M333" s="23" t="s">
        <v>39</v>
      </c>
      <c r="N333" s="22"/>
      <c r="O333" s="22"/>
      <c r="P333" s="22"/>
      <c r="Q333" s="22"/>
      <c r="R333" s="23" t="s">
        <v>625</v>
      </c>
      <c r="S333" s="23" t="s">
        <v>39</v>
      </c>
      <c r="T333" s="23" t="s">
        <v>39</v>
      </c>
      <c r="U333" s="23" t="s">
        <v>39</v>
      </c>
      <c r="V333" s="22"/>
      <c r="W333" s="22"/>
      <c r="X333" s="22"/>
      <c r="Y333" s="22"/>
      <c r="Z333" s="22" t="s">
        <v>39</v>
      </c>
      <c r="AA333" s="22" t="s">
        <v>39</v>
      </c>
      <c r="AB333" s="1"/>
      <c r="AC333"/>
      <c r="AD333"/>
      <c r="AE333"/>
      <c r="AF333"/>
      <c r="AG333"/>
    </row>
    <row r="334" spans="1:33" ht="72" customHeight="1" x14ac:dyDescent="0.25">
      <c r="A334" s="17">
        <v>9759650</v>
      </c>
      <c r="B334" s="30">
        <v>1</v>
      </c>
      <c r="C334" s="17" t="s">
        <v>546</v>
      </c>
      <c r="D334" s="31" t="s">
        <v>12</v>
      </c>
      <c r="E334" s="32">
        <v>42670</v>
      </c>
      <c r="F334" s="33">
        <v>42670</v>
      </c>
      <c r="G334" s="32">
        <v>42670</v>
      </c>
      <c r="H334" s="22" t="s">
        <v>104</v>
      </c>
      <c r="I334" s="23" t="s">
        <v>39</v>
      </c>
      <c r="J334" s="23" t="s">
        <v>39</v>
      </c>
      <c r="K334" s="22"/>
      <c r="L334" s="23" t="s">
        <v>39</v>
      </c>
      <c r="M334" s="23" t="s">
        <v>39</v>
      </c>
      <c r="N334" s="22"/>
      <c r="O334" s="22"/>
      <c r="P334" s="22"/>
      <c r="Q334" s="22"/>
      <c r="R334" s="23" t="s">
        <v>625</v>
      </c>
      <c r="S334" s="23" t="s">
        <v>39</v>
      </c>
      <c r="T334" s="23" t="s">
        <v>39</v>
      </c>
      <c r="U334" s="23" t="s">
        <v>39</v>
      </c>
      <c r="V334" s="22"/>
      <c r="W334" s="22"/>
      <c r="X334" s="22"/>
      <c r="Y334" s="22"/>
      <c r="Z334" s="22" t="s">
        <v>39</v>
      </c>
      <c r="AA334" s="22" t="s">
        <v>39</v>
      </c>
      <c r="AB334" s="1"/>
      <c r="AC334"/>
      <c r="AD334"/>
      <c r="AE334"/>
      <c r="AF334"/>
      <c r="AG334"/>
    </row>
    <row r="335" spans="1:33" ht="72" customHeight="1" x14ac:dyDescent="0.25">
      <c r="A335" s="17">
        <v>9759652</v>
      </c>
      <c r="B335" s="30">
        <v>3</v>
      </c>
      <c r="C335" s="17" t="s">
        <v>542</v>
      </c>
      <c r="D335" s="31" t="s">
        <v>14</v>
      </c>
      <c r="E335" s="32">
        <v>42670</v>
      </c>
      <c r="F335" s="33">
        <v>42670</v>
      </c>
      <c r="G335" s="32">
        <v>42670</v>
      </c>
      <c r="H335" s="22" t="s">
        <v>108</v>
      </c>
      <c r="I335" s="23" t="s">
        <v>636</v>
      </c>
      <c r="J335" s="23" t="s">
        <v>39</v>
      </c>
      <c r="K335" s="22"/>
      <c r="L335" s="23" t="s">
        <v>39</v>
      </c>
      <c r="M335" s="23" t="s">
        <v>39</v>
      </c>
      <c r="N335" s="22"/>
      <c r="O335" s="22"/>
      <c r="P335" s="22"/>
      <c r="Q335" s="22"/>
      <c r="R335" s="23" t="s">
        <v>625</v>
      </c>
      <c r="S335" s="23" t="s">
        <v>39</v>
      </c>
      <c r="T335" s="23" t="s">
        <v>39</v>
      </c>
      <c r="U335" s="23" t="s">
        <v>655</v>
      </c>
      <c r="V335" s="22"/>
      <c r="W335" s="22"/>
      <c r="X335" s="22"/>
      <c r="Y335" s="22"/>
      <c r="Z335" s="22" t="s">
        <v>39</v>
      </c>
      <c r="AA335" s="22" t="s">
        <v>39</v>
      </c>
      <c r="AB335" s="1"/>
      <c r="AC335"/>
      <c r="AD335"/>
      <c r="AE335"/>
      <c r="AF335"/>
      <c r="AG335"/>
    </row>
    <row r="336" spans="1:33" ht="72" customHeight="1" x14ac:dyDescent="0.25">
      <c r="A336" s="17">
        <v>9759654</v>
      </c>
      <c r="B336" s="30">
        <v>1</v>
      </c>
      <c r="C336" s="17" t="s">
        <v>529</v>
      </c>
      <c r="D336" s="31" t="s">
        <v>16</v>
      </c>
      <c r="E336" s="32">
        <v>42670</v>
      </c>
      <c r="F336" s="33">
        <v>42670</v>
      </c>
      <c r="G336" s="32">
        <v>42670</v>
      </c>
      <c r="H336" s="22" t="s">
        <v>112</v>
      </c>
      <c r="I336" s="23" t="s">
        <v>367</v>
      </c>
      <c r="J336" s="23" t="s">
        <v>39</v>
      </c>
      <c r="K336" s="22"/>
      <c r="L336" s="23" t="s">
        <v>39</v>
      </c>
      <c r="M336" s="23" t="s">
        <v>39</v>
      </c>
      <c r="N336" s="22"/>
      <c r="O336" s="22"/>
      <c r="P336" s="22"/>
      <c r="Q336" s="22"/>
      <c r="R336" s="23" t="s">
        <v>625</v>
      </c>
      <c r="S336" s="23" t="s">
        <v>39</v>
      </c>
      <c r="T336" s="23" t="s">
        <v>39</v>
      </c>
      <c r="U336" s="23" t="s">
        <v>39</v>
      </c>
      <c r="V336" s="22"/>
      <c r="W336" s="22"/>
      <c r="X336" s="22"/>
      <c r="Y336" s="22"/>
      <c r="Z336" s="22" t="s">
        <v>39</v>
      </c>
      <c r="AA336" s="22" t="s">
        <v>39</v>
      </c>
      <c r="AB336" s="1"/>
      <c r="AC336"/>
      <c r="AD336"/>
      <c r="AE336"/>
      <c r="AF336"/>
      <c r="AG336"/>
    </row>
    <row r="337" spans="1:33" ht="72" customHeight="1" x14ac:dyDescent="0.25">
      <c r="A337" s="17">
        <v>9759657</v>
      </c>
      <c r="B337" s="30">
        <v>12</v>
      </c>
      <c r="C337" s="17" t="s">
        <v>337</v>
      </c>
      <c r="D337" s="31" t="s">
        <v>153</v>
      </c>
      <c r="E337" s="32">
        <v>42670</v>
      </c>
      <c r="F337" s="33">
        <v>42670</v>
      </c>
      <c r="G337" s="32">
        <v>42670</v>
      </c>
      <c r="H337" s="22" t="s">
        <v>112</v>
      </c>
      <c r="I337" s="23" t="s">
        <v>636</v>
      </c>
      <c r="J337" s="23" t="s">
        <v>39</v>
      </c>
      <c r="K337" s="22"/>
      <c r="L337" s="23" t="s">
        <v>39</v>
      </c>
      <c r="M337" s="23" t="s">
        <v>39</v>
      </c>
      <c r="N337" s="22"/>
      <c r="O337" s="22"/>
      <c r="P337" s="22"/>
      <c r="Q337" s="22"/>
      <c r="R337" s="23" t="s">
        <v>625</v>
      </c>
      <c r="S337" s="23" t="s">
        <v>39</v>
      </c>
      <c r="T337" s="23" t="s">
        <v>39</v>
      </c>
      <c r="U337" s="23" t="s">
        <v>39</v>
      </c>
      <c r="V337" s="22"/>
      <c r="W337" s="22"/>
      <c r="X337" s="22"/>
      <c r="Y337" s="22"/>
      <c r="Z337" s="22" t="s">
        <v>39</v>
      </c>
      <c r="AA337" s="22" t="s">
        <v>39</v>
      </c>
      <c r="AB337" s="1"/>
      <c r="AC337"/>
      <c r="AD337"/>
      <c r="AE337"/>
      <c r="AF337"/>
      <c r="AG337"/>
    </row>
    <row r="338" spans="1:33" ht="72" customHeight="1" x14ac:dyDescent="0.25">
      <c r="A338" s="17">
        <v>9759659</v>
      </c>
      <c r="B338" s="30">
        <v>3</v>
      </c>
      <c r="C338" s="17" t="s">
        <v>154</v>
      </c>
      <c r="D338" s="31" t="s">
        <v>52</v>
      </c>
      <c r="E338" s="32">
        <v>42670</v>
      </c>
      <c r="F338" s="33">
        <v>42670</v>
      </c>
      <c r="G338" s="32">
        <v>42670</v>
      </c>
      <c r="H338" s="22" t="s">
        <v>108</v>
      </c>
      <c r="I338" s="23" t="s">
        <v>636</v>
      </c>
      <c r="J338" s="23" t="s">
        <v>39</v>
      </c>
      <c r="K338" s="22"/>
      <c r="L338" s="23" t="s">
        <v>39</v>
      </c>
      <c r="M338" s="23" t="s">
        <v>39</v>
      </c>
      <c r="N338" s="22"/>
      <c r="O338" s="22"/>
      <c r="P338" s="22"/>
      <c r="Q338" s="22"/>
      <c r="R338" s="23" t="s">
        <v>625</v>
      </c>
      <c r="S338" s="23" t="s">
        <v>39</v>
      </c>
      <c r="T338" s="23" t="s">
        <v>39</v>
      </c>
      <c r="U338" s="23" t="s">
        <v>666</v>
      </c>
      <c r="V338" s="22"/>
      <c r="W338" s="22"/>
      <c r="X338" s="22"/>
      <c r="Y338" s="22"/>
      <c r="Z338" s="22" t="s">
        <v>39</v>
      </c>
      <c r="AA338" s="22" t="s">
        <v>39</v>
      </c>
      <c r="AB338" s="1"/>
      <c r="AC338"/>
      <c r="AD338"/>
      <c r="AE338"/>
      <c r="AF338"/>
      <c r="AG338"/>
    </row>
    <row r="339" spans="1:33" ht="72" customHeight="1" x14ac:dyDescent="0.25">
      <c r="A339" s="17">
        <v>9759660</v>
      </c>
      <c r="B339" s="30">
        <v>1</v>
      </c>
      <c r="C339" s="17" t="s">
        <v>584</v>
      </c>
      <c r="D339" s="31" t="s">
        <v>583</v>
      </c>
      <c r="E339" s="32">
        <v>42670</v>
      </c>
      <c r="F339" s="33">
        <v>42670</v>
      </c>
      <c r="G339" s="32">
        <v>42670</v>
      </c>
      <c r="H339" s="22" t="s">
        <v>108</v>
      </c>
      <c r="I339" s="23" t="s">
        <v>367</v>
      </c>
      <c r="J339" s="23" t="s">
        <v>39</v>
      </c>
      <c r="K339" s="22"/>
      <c r="L339" s="23" t="s">
        <v>39</v>
      </c>
      <c r="M339" s="23" t="s">
        <v>39</v>
      </c>
      <c r="N339" s="22"/>
      <c r="O339" s="22"/>
      <c r="P339" s="22"/>
      <c r="Q339" s="22"/>
      <c r="R339" s="23" t="s">
        <v>625</v>
      </c>
      <c r="S339" s="23" t="s">
        <v>39</v>
      </c>
      <c r="T339" s="23" t="s">
        <v>39</v>
      </c>
      <c r="U339" s="23" t="s">
        <v>725</v>
      </c>
      <c r="V339" s="22"/>
      <c r="W339" s="22"/>
      <c r="X339" s="22"/>
      <c r="Y339" s="22"/>
      <c r="Z339" s="22" t="s">
        <v>39</v>
      </c>
      <c r="AA339" s="22" t="s">
        <v>39</v>
      </c>
      <c r="AB339" s="1"/>
      <c r="AC339"/>
      <c r="AD339"/>
      <c r="AE339"/>
      <c r="AF339"/>
      <c r="AG339"/>
    </row>
    <row r="340" spans="1:33" ht="72" customHeight="1" x14ac:dyDescent="0.25">
      <c r="A340" s="17">
        <v>9759664</v>
      </c>
      <c r="B340" s="30">
        <v>1</v>
      </c>
      <c r="C340" s="17" t="s">
        <v>585</v>
      </c>
      <c r="D340" s="31" t="s">
        <v>25</v>
      </c>
      <c r="E340" s="32">
        <v>42670</v>
      </c>
      <c r="F340" s="33">
        <v>42670</v>
      </c>
      <c r="G340" s="32">
        <v>42670</v>
      </c>
      <c r="H340" s="22" t="s">
        <v>112</v>
      </c>
      <c r="I340" s="23" t="s">
        <v>367</v>
      </c>
      <c r="J340" s="23" t="s">
        <v>39</v>
      </c>
      <c r="K340" s="22"/>
      <c r="L340" s="23" t="s">
        <v>39</v>
      </c>
      <c r="M340" s="23" t="s">
        <v>39</v>
      </c>
      <c r="N340" s="22"/>
      <c r="O340" s="22"/>
      <c r="P340" s="22"/>
      <c r="Q340" s="22"/>
      <c r="R340" s="23" t="s">
        <v>625</v>
      </c>
      <c r="S340" s="23" t="s">
        <v>39</v>
      </c>
      <c r="T340" s="23" t="s">
        <v>39</v>
      </c>
      <c r="U340" s="23" t="s">
        <v>39</v>
      </c>
      <c r="V340" s="22"/>
      <c r="W340" s="22"/>
      <c r="X340" s="22"/>
      <c r="Y340" s="22"/>
      <c r="Z340" s="22" t="s">
        <v>39</v>
      </c>
      <c r="AA340" s="22" t="s">
        <v>39</v>
      </c>
      <c r="AB340" s="1"/>
      <c r="AC340"/>
      <c r="AD340"/>
      <c r="AE340"/>
      <c r="AF340"/>
      <c r="AG340"/>
    </row>
    <row r="341" spans="1:33" ht="72" customHeight="1" x14ac:dyDescent="0.25">
      <c r="A341" s="17">
        <v>9759665</v>
      </c>
      <c r="B341" s="30">
        <v>1</v>
      </c>
      <c r="C341" s="17" t="s">
        <v>320</v>
      </c>
      <c r="D341" s="31" t="s">
        <v>28</v>
      </c>
      <c r="E341" s="32">
        <v>42670</v>
      </c>
      <c r="F341" s="33">
        <v>42670</v>
      </c>
      <c r="G341" s="32">
        <v>42670</v>
      </c>
      <c r="H341" s="22" t="s">
        <v>104</v>
      </c>
      <c r="I341" s="23" t="s">
        <v>39</v>
      </c>
      <c r="J341" s="23" t="s">
        <v>39</v>
      </c>
      <c r="K341" s="22"/>
      <c r="L341" s="23" t="s">
        <v>39</v>
      </c>
      <c r="M341" s="23" t="s">
        <v>39</v>
      </c>
      <c r="N341" s="22"/>
      <c r="O341" s="22"/>
      <c r="P341" s="22"/>
      <c r="Q341" s="22"/>
      <c r="R341" s="23" t="s">
        <v>625</v>
      </c>
      <c r="S341" s="23" t="s">
        <v>39</v>
      </c>
      <c r="T341" s="23" t="s">
        <v>39</v>
      </c>
      <c r="U341" s="23" t="s">
        <v>39</v>
      </c>
      <c r="V341" s="22"/>
      <c r="W341" s="22"/>
      <c r="X341" s="22"/>
      <c r="Y341" s="22"/>
      <c r="Z341" s="22" t="s">
        <v>39</v>
      </c>
      <c r="AA341" s="22" t="s">
        <v>39</v>
      </c>
      <c r="AB341" s="1"/>
      <c r="AC341"/>
      <c r="AD341"/>
      <c r="AE341"/>
      <c r="AF341"/>
      <c r="AG341"/>
    </row>
    <row r="342" spans="1:33" ht="72" customHeight="1" x14ac:dyDescent="0.25">
      <c r="A342" s="17">
        <v>9759836</v>
      </c>
      <c r="B342" s="30">
        <v>2</v>
      </c>
      <c r="C342" s="17" t="s">
        <v>552</v>
      </c>
      <c r="D342" s="31" t="s">
        <v>152</v>
      </c>
      <c r="E342" s="32">
        <v>42670</v>
      </c>
      <c r="F342" s="33">
        <v>42670</v>
      </c>
      <c r="G342" s="32">
        <v>42670</v>
      </c>
      <c r="H342" s="22" t="s">
        <v>104</v>
      </c>
      <c r="I342" s="23" t="s">
        <v>39</v>
      </c>
      <c r="J342" s="23" t="s">
        <v>39</v>
      </c>
      <c r="K342" s="22"/>
      <c r="L342" s="23" t="s">
        <v>39</v>
      </c>
      <c r="M342" s="23" t="s">
        <v>39</v>
      </c>
      <c r="N342" s="22"/>
      <c r="O342" s="22"/>
      <c r="P342" s="22"/>
      <c r="Q342" s="22"/>
      <c r="R342" s="23" t="s">
        <v>625</v>
      </c>
      <c r="S342" s="23" t="s">
        <v>39</v>
      </c>
      <c r="T342" s="23" t="s">
        <v>39</v>
      </c>
      <c r="U342" s="23" t="s">
        <v>39</v>
      </c>
      <c r="V342" s="22"/>
      <c r="W342" s="22"/>
      <c r="X342" s="22"/>
      <c r="Y342" s="22"/>
      <c r="Z342" s="22" t="s">
        <v>39</v>
      </c>
      <c r="AA342" s="22" t="s">
        <v>39</v>
      </c>
      <c r="AB342" s="1"/>
      <c r="AC342"/>
      <c r="AD342"/>
      <c r="AE342"/>
      <c r="AF342"/>
      <c r="AG342"/>
    </row>
    <row r="343" spans="1:33" ht="72" customHeight="1" x14ac:dyDescent="0.25">
      <c r="A343" s="17">
        <v>9759877</v>
      </c>
      <c r="B343" s="30">
        <v>3</v>
      </c>
      <c r="C343" s="17" t="s">
        <v>528</v>
      </c>
      <c r="D343" s="31" t="s">
        <v>145</v>
      </c>
      <c r="E343" s="32">
        <v>42670</v>
      </c>
      <c r="F343" s="33">
        <v>42670</v>
      </c>
      <c r="G343" s="32">
        <v>42670</v>
      </c>
      <c r="H343" s="22" t="s">
        <v>104</v>
      </c>
      <c r="I343" s="23" t="s">
        <v>39</v>
      </c>
      <c r="J343" s="23" t="s">
        <v>39</v>
      </c>
      <c r="K343" s="22"/>
      <c r="L343" s="23" t="s">
        <v>39</v>
      </c>
      <c r="M343" s="23" t="s">
        <v>39</v>
      </c>
      <c r="N343" s="22"/>
      <c r="O343" s="22"/>
      <c r="P343" s="22"/>
      <c r="Q343" s="22"/>
      <c r="R343" s="23" t="s">
        <v>625</v>
      </c>
      <c r="S343" s="23" t="s">
        <v>39</v>
      </c>
      <c r="T343" s="23" t="s">
        <v>39</v>
      </c>
      <c r="U343" s="23" t="s">
        <v>39</v>
      </c>
      <c r="V343" s="22"/>
      <c r="W343" s="22"/>
      <c r="X343" s="22"/>
      <c r="Y343" s="22"/>
      <c r="Z343" s="22" t="s">
        <v>39</v>
      </c>
      <c r="AA343" s="22" t="s">
        <v>39</v>
      </c>
      <c r="AB343" s="1"/>
      <c r="AC343"/>
      <c r="AD343"/>
      <c r="AE343"/>
      <c r="AF343"/>
      <c r="AG343"/>
    </row>
    <row r="344" spans="1:33" ht="72" customHeight="1" x14ac:dyDescent="0.25">
      <c r="A344" s="17">
        <v>9759878</v>
      </c>
      <c r="B344" s="30">
        <v>2</v>
      </c>
      <c r="C344" s="17" t="s">
        <v>303</v>
      </c>
      <c r="D344" s="31" t="s">
        <v>165</v>
      </c>
      <c r="E344" s="32">
        <v>42670</v>
      </c>
      <c r="F344" s="33">
        <v>42670</v>
      </c>
      <c r="G344" s="32">
        <v>42670</v>
      </c>
      <c r="H344" s="22" t="s">
        <v>104</v>
      </c>
      <c r="I344" s="23" t="s">
        <v>39</v>
      </c>
      <c r="J344" s="23" t="s">
        <v>39</v>
      </c>
      <c r="K344" s="22"/>
      <c r="L344" s="23" t="s">
        <v>39</v>
      </c>
      <c r="M344" s="23" t="s">
        <v>39</v>
      </c>
      <c r="N344" s="22"/>
      <c r="O344" s="22"/>
      <c r="P344" s="22"/>
      <c r="Q344" s="22"/>
      <c r="R344" s="23" t="s">
        <v>625</v>
      </c>
      <c r="S344" s="23" t="s">
        <v>39</v>
      </c>
      <c r="T344" s="23" t="s">
        <v>39</v>
      </c>
      <c r="U344" s="23" t="s">
        <v>39</v>
      </c>
      <c r="V344" s="22"/>
      <c r="W344" s="22"/>
      <c r="X344" s="22"/>
      <c r="Y344" s="22"/>
      <c r="Z344" s="22" t="s">
        <v>39</v>
      </c>
      <c r="AA344" s="22" t="s">
        <v>39</v>
      </c>
      <c r="AB344" s="1"/>
      <c r="AC344"/>
      <c r="AD344"/>
      <c r="AE344"/>
      <c r="AF344"/>
      <c r="AG344"/>
    </row>
    <row r="345" spans="1:33" ht="72" customHeight="1" x14ac:dyDescent="0.25">
      <c r="A345" s="17">
        <v>9759879</v>
      </c>
      <c r="B345" s="30">
        <v>3</v>
      </c>
      <c r="C345" s="17" t="s">
        <v>166</v>
      </c>
      <c r="D345" s="31" t="s">
        <v>165</v>
      </c>
      <c r="E345" s="32">
        <v>42670</v>
      </c>
      <c r="F345" s="33">
        <v>42670</v>
      </c>
      <c r="G345" s="32">
        <v>42670</v>
      </c>
      <c r="H345" s="22" t="s">
        <v>104</v>
      </c>
      <c r="I345" s="23" t="s">
        <v>39</v>
      </c>
      <c r="J345" s="23" t="s">
        <v>39</v>
      </c>
      <c r="K345" s="22"/>
      <c r="L345" s="23" t="s">
        <v>39</v>
      </c>
      <c r="M345" s="23" t="s">
        <v>39</v>
      </c>
      <c r="N345" s="22"/>
      <c r="O345" s="22"/>
      <c r="P345" s="22"/>
      <c r="Q345" s="22"/>
      <c r="R345" s="23" t="s">
        <v>625</v>
      </c>
      <c r="S345" s="23" t="s">
        <v>39</v>
      </c>
      <c r="T345" s="23" t="s">
        <v>39</v>
      </c>
      <c r="U345" s="23" t="s">
        <v>39</v>
      </c>
      <c r="V345" s="22"/>
      <c r="W345" s="22"/>
      <c r="X345" s="22"/>
      <c r="Y345" s="22"/>
      <c r="Z345" s="22" t="s">
        <v>39</v>
      </c>
      <c r="AA345" s="22" t="s">
        <v>39</v>
      </c>
      <c r="AB345" s="1"/>
      <c r="AC345"/>
      <c r="AD345"/>
      <c r="AE345"/>
      <c r="AF345"/>
      <c r="AG345"/>
    </row>
    <row r="346" spans="1:33" ht="72" customHeight="1" x14ac:dyDescent="0.25">
      <c r="A346" s="17">
        <v>9759880</v>
      </c>
      <c r="B346" s="30">
        <v>1</v>
      </c>
      <c r="C346" s="17" t="s">
        <v>480</v>
      </c>
      <c r="D346" s="31" t="s">
        <v>165</v>
      </c>
      <c r="E346" s="32">
        <v>42670</v>
      </c>
      <c r="F346" s="33">
        <v>42670</v>
      </c>
      <c r="G346" s="32">
        <v>42670</v>
      </c>
      <c r="H346" s="22" t="s">
        <v>104</v>
      </c>
      <c r="I346" s="23" t="s">
        <v>39</v>
      </c>
      <c r="J346" s="23" t="s">
        <v>39</v>
      </c>
      <c r="K346" s="22"/>
      <c r="L346" s="23" t="s">
        <v>39</v>
      </c>
      <c r="M346" s="23" t="s">
        <v>39</v>
      </c>
      <c r="N346" s="22"/>
      <c r="O346" s="22"/>
      <c r="P346" s="22"/>
      <c r="Q346" s="22"/>
      <c r="R346" s="23" t="s">
        <v>625</v>
      </c>
      <c r="S346" s="23" t="s">
        <v>39</v>
      </c>
      <c r="T346" s="23" t="s">
        <v>39</v>
      </c>
      <c r="U346" s="23" t="s">
        <v>39</v>
      </c>
      <c r="V346" s="22"/>
      <c r="W346" s="22"/>
      <c r="X346" s="22"/>
      <c r="Y346" s="22"/>
      <c r="Z346" s="22" t="s">
        <v>39</v>
      </c>
      <c r="AA346" s="22" t="s">
        <v>39</v>
      </c>
      <c r="AB346" s="1"/>
      <c r="AC346"/>
      <c r="AD346"/>
      <c r="AE346"/>
      <c r="AF346"/>
      <c r="AG346"/>
    </row>
    <row r="347" spans="1:33" ht="72" customHeight="1" x14ac:dyDescent="0.25">
      <c r="A347" s="17">
        <v>9759881</v>
      </c>
      <c r="B347" s="30">
        <v>1</v>
      </c>
      <c r="C347" s="17" t="s">
        <v>304</v>
      </c>
      <c r="D347" s="31" t="s">
        <v>165</v>
      </c>
      <c r="E347" s="32">
        <v>42670</v>
      </c>
      <c r="F347" s="33">
        <v>42670</v>
      </c>
      <c r="G347" s="32">
        <v>42670</v>
      </c>
      <c r="H347" s="22" t="s">
        <v>112</v>
      </c>
      <c r="I347" s="23" t="s">
        <v>367</v>
      </c>
      <c r="J347" s="23" t="s">
        <v>39</v>
      </c>
      <c r="K347" s="22"/>
      <c r="L347" s="23" t="s">
        <v>39</v>
      </c>
      <c r="M347" s="23" t="s">
        <v>39</v>
      </c>
      <c r="N347" s="22"/>
      <c r="O347" s="22"/>
      <c r="P347" s="22"/>
      <c r="Q347" s="22"/>
      <c r="R347" s="23" t="s">
        <v>625</v>
      </c>
      <c r="S347" s="23" t="s">
        <v>39</v>
      </c>
      <c r="T347" s="23" t="s">
        <v>39</v>
      </c>
      <c r="U347" s="23" t="s">
        <v>39</v>
      </c>
      <c r="V347" s="22"/>
      <c r="W347" s="22"/>
      <c r="X347" s="22"/>
      <c r="Y347" s="22"/>
      <c r="Z347" s="22" t="s">
        <v>39</v>
      </c>
      <c r="AA347" s="22" t="s">
        <v>39</v>
      </c>
      <c r="AB347" s="1"/>
      <c r="AC347"/>
      <c r="AD347"/>
      <c r="AE347"/>
      <c r="AF347"/>
      <c r="AG347"/>
    </row>
    <row r="348" spans="1:33" ht="72" customHeight="1" x14ac:dyDescent="0.25">
      <c r="A348" s="17">
        <v>9759882</v>
      </c>
      <c r="B348" s="30">
        <v>11</v>
      </c>
      <c r="C348" s="17" t="s">
        <v>532</v>
      </c>
      <c r="D348" s="31" t="s">
        <v>89</v>
      </c>
      <c r="E348" s="32">
        <v>42670</v>
      </c>
      <c r="F348" s="33">
        <v>42670</v>
      </c>
      <c r="G348" s="32">
        <v>42670</v>
      </c>
      <c r="H348" s="22" t="s">
        <v>112</v>
      </c>
      <c r="I348" s="23" t="s">
        <v>467</v>
      </c>
      <c r="J348" s="23" t="s">
        <v>39</v>
      </c>
      <c r="K348" s="22"/>
      <c r="L348" s="23" t="s">
        <v>39</v>
      </c>
      <c r="M348" s="23" t="s">
        <v>39</v>
      </c>
      <c r="N348" s="22"/>
      <c r="O348" s="22"/>
      <c r="P348" s="22"/>
      <c r="Q348" s="22"/>
      <c r="R348" s="23" t="s">
        <v>625</v>
      </c>
      <c r="S348" s="23" t="s">
        <v>39</v>
      </c>
      <c r="T348" s="23" t="s">
        <v>39</v>
      </c>
      <c r="U348" s="23" t="s">
        <v>39</v>
      </c>
      <c r="V348" s="22"/>
      <c r="W348" s="22"/>
      <c r="X348" s="22"/>
      <c r="Y348" s="22"/>
      <c r="Z348" s="22" t="s">
        <v>39</v>
      </c>
      <c r="AA348" s="22" t="s">
        <v>39</v>
      </c>
      <c r="AB348" s="1"/>
      <c r="AC348"/>
      <c r="AD348"/>
      <c r="AE348"/>
      <c r="AF348"/>
      <c r="AG348"/>
    </row>
    <row r="349" spans="1:33" ht="72" customHeight="1" x14ac:dyDescent="0.25">
      <c r="A349" s="17">
        <v>9759883</v>
      </c>
      <c r="B349" s="30">
        <v>1</v>
      </c>
      <c r="C349" s="17" t="s">
        <v>564</v>
      </c>
      <c r="D349" s="31" t="s">
        <v>563</v>
      </c>
      <c r="E349" s="32">
        <v>42670</v>
      </c>
      <c r="F349" s="33">
        <v>42670</v>
      </c>
      <c r="G349" s="32">
        <v>42670</v>
      </c>
      <c r="H349" s="22" t="s">
        <v>104</v>
      </c>
      <c r="I349" s="23" t="s">
        <v>39</v>
      </c>
      <c r="J349" s="23" t="s">
        <v>39</v>
      </c>
      <c r="K349" s="22"/>
      <c r="L349" s="23" t="s">
        <v>39</v>
      </c>
      <c r="M349" s="23" t="s">
        <v>39</v>
      </c>
      <c r="N349" s="22"/>
      <c r="O349" s="22"/>
      <c r="P349" s="22"/>
      <c r="Q349" s="22"/>
      <c r="R349" s="23" t="s">
        <v>625</v>
      </c>
      <c r="S349" s="23" t="s">
        <v>39</v>
      </c>
      <c r="T349" s="23" t="s">
        <v>39</v>
      </c>
      <c r="U349" s="23" t="s">
        <v>39</v>
      </c>
      <c r="V349" s="22"/>
      <c r="W349" s="22"/>
      <c r="X349" s="22"/>
      <c r="Y349" s="22"/>
      <c r="Z349" s="22" t="s">
        <v>39</v>
      </c>
      <c r="AA349" s="22" t="s">
        <v>39</v>
      </c>
      <c r="AB349" s="1"/>
      <c r="AC349"/>
      <c r="AD349"/>
      <c r="AE349"/>
      <c r="AF349"/>
      <c r="AG349"/>
    </row>
    <row r="350" spans="1:33" ht="72" customHeight="1" x14ac:dyDescent="0.25">
      <c r="A350" s="17">
        <v>9759911</v>
      </c>
      <c r="B350" s="30">
        <v>1</v>
      </c>
      <c r="C350" s="17" t="s">
        <v>533</v>
      </c>
      <c r="D350" s="31" t="s">
        <v>89</v>
      </c>
      <c r="E350" s="32">
        <v>42670</v>
      </c>
      <c r="F350" s="33">
        <v>42670</v>
      </c>
      <c r="G350" s="32">
        <v>42670</v>
      </c>
      <c r="H350" s="22" t="s">
        <v>104</v>
      </c>
      <c r="I350" s="23" t="s">
        <v>39</v>
      </c>
      <c r="J350" s="23" t="s">
        <v>39</v>
      </c>
      <c r="K350" s="22"/>
      <c r="L350" s="23" t="s">
        <v>39</v>
      </c>
      <c r="M350" s="23" t="s">
        <v>39</v>
      </c>
      <c r="N350" s="22"/>
      <c r="O350" s="22"/>
      <c r="P350" s="22"/>
      <c r="Q350" s="22"/>
      <c r="R350" s="23" t="s">
        <v>625</v>
      </c>
      <c r="S350" s="23" t="s">
        <v>39</v>
      </c>
      <c r="T350" s="23" t="s">
        <v>39</v>
      </c>
      <c r="U350" s="23" t="s">
        <v>39</v>
      </c>
      <c r="V350" s="22"/>
      <c r="W350" s="22"/>
      <c r="X350" s="22"/>
      <c r="Y350" s="22"/>
      <c r="Z350" s="22" t="s">
        <v>39</v>
      </c>
      <c r="AA350" s="22" t="s">
        <v>39</v>
      </c>
      <c r="AB350" s="1"/>
      <c r="AC350"/>
      <c r="AD350"/>
      <c r="AE350"/>
      <c r="AF350"/>
      <c r="AG350"/>
    </row>
    <row r="351" spans="1:33" ht="72" customHeight="1" x14ac:dyDescent="0.25">
      <c r="A351" s="17">
        <v>9759924</v>
      </c>
      <c r="B351" s="30">
        <v>2</v>
      </c>
      <c r="C351" s="17" t="s">
        <v>562</v>
      </c>
      <c r="D351" s="31" t="s">
        <v>561</v>
      </c>
      <c r="E351" s="32">
        <v>42670</v>
      </c>
      <c r="F351" s="33">
        <v>42670</v>
      </c>
      <c r="G351" s="32">
        <v>42670</v>
      </c>
      <c r="H351" s="22" t="s">
        <v>108</v>
      </c>
      <c r="I351" s="23" t="s">
        <v>39</v>
      </c>
      <c r="J351" s="23" t="s">
        <v>39</v>
      </c>
      <c r="K351" s="22"/>
      <c r="L351" s="23" t="s">
        <v>39</v>
      </c>
      <c r="M351" s="23" t="s">
        <v>39</v>
      </c>
      <c r="N351" s="22"/>
      <c r="O351" s="22"/>
      <c r="P351" s="22"/>
      <c r="Q351" s="22"/>
      <c r="R351" s="23" t="s">
        <v>625</v>
      </c>
      <c r="S351" s="23" t="s">
        <v>39</v>
      </c>
      <c r="T351" s="23" t="s">
        <v>39</v>
      </c>
      <c r="U351" s="23" t="s">
        <v>720</v>
      </c>
      <c r="V351" s="22"/>
      <c r="W351" s="22"/>
      <c r="X351" s="22"/>
      <c r="Y351" s="22"/>
      <c r="Z351" s="22" t="s">
        <v>39</v>
      </c>
      <c r="AA351" s="22" t="s">
        <v>39</v>
      </c>
      <c r="AB351" s="1"/>
      <c r="AC351"/>
      <c r="AD351"/>
      <c r="AE351"/>
      <c r="AF351"/>
      <c r="AG351"/>
    </row>
    <row r="352" spans="1:33" ht="72" customHeight="1" x14ac:dyDescent="0.25">
      <c r="A352" s="17">
        <v>9759925</v>
      </c>
      <c r="B352" s="30">
        <v>1</v>
      </c>
      <c r="C352" s="17" t="s">
        <v>575</v>
      </c>
      <c r="D352" s="31" t="s">
        <v>52</v>
      </c>
      <c r="E352" s="32">
        <v>42670</v>
      </c>
      <c r="F352" s="33">
        <v>42670</v>
      </c>
      <c r="G352" s="32">
        <v>42670</v>
      </c>
      <c r="H352" s="22" t="s">
        <v>112</v>
      </c>
      <c r="I352" s="23" t="s">
        <v>637</v>
      </c>
      <c r="J352" s="23" t="s">
        <v>39</v>
      </c>
      <c r="K352" s="22"/>
      <c r="L352" s="23" t="s">
        <v>39</v>
      </c>
      <c r="M352" s="23" t="s">
        <v>39</v>
      </c>
      <c r="N352" s="22"/>
      <c r="O352" s="22"/>
      <c r="P352" s="22"/>
      <c r="Q352" s="22"/>
      <c r="R352" s="23" t="s">
        <v>625</v>
      </c>
      <c r="S352" s="23" t="s">
        <v>39</v>
      </c>
      <c r="T352" s="23" t="s">
        <v>39</v>
      </c>
      <c r="U352" s="23" t="s">
        <v>39</v>
      </c>
      <c r="V352" s="22"/>
      <c r="W352" s="22"/>
      <c r="X352" s="22"/>
      <c r="Y352" s="22"/>
      <c r="Z352" s="22" t="s">
        <v>39</v>
      </c>
      <c r="AA352" s="22" t="s">
        <v>39</v>
      </c>
      <c r="AB352" s="1"/>
      <c r="AC352"/>
      <c r="AD352"/>
      <c r="AE352"/>
      <c r="AF352"/>
      <c r="AG352"/>
    </row>
    <row r="353" spans="1:33" ht="72" customHeight="1" x14ac:dyDescent="0.25">
      <c r="A353" s="17">
        <v>9759958</v>
      </c>
      <c r="B353" s="30">
        <v>1</v>
      </c>
      <c r="C353" s="17" t="s">
        <v>547</v>
      </c>
      <c r="D353" s="31" t="s">
        <v>12</v>
      </c>
      <c r="E353" s="32">
        <v>42670</v>
      </c>
      <c r="F353" s="33">
        <v>42670</v>
      </c>
      <c r="G353" s="32">
        <v>42670</v>
      </c>
      <c r="H353" s="22" t="s">
        <v>104</v>
      </c>
      <c r="I353" s="23" t="s">
        <v>39</v>
      </c>
      <c r="J353" s="23" t="s">
        <v>39</v>
      </c>
      <c r="K353" s="22"/>
      <c r="L353" s="23" t="s">
        <v>39</v>
      </c>
      <c r="M353" s="23" t="s">
        <v>39</v>
      </c>
      <c r="N353" s="22"/>
      <c r="O353" s="22"/>
      <c r="P353" s="22"/>
      <c r="Q353" s="22"/>
      <c r="R353" s="23" t="s">
        <v>625</v>
      </c>
      <c r="S353" s="23" t="s">
        <v>39</v>
      </c>
      <c r="T353" s="23" t="s">
        <v>39</v>
      </c>
      <c r="U353" s="23" t="s">
        <v>39</v>
      </c>
      <c r="V353" s="22"/>
      <c r="W353" s="22"/>
      <c r="X353" s="22"/>
      <c r="Y353" s="22"/>
      <c r="Z353" s="22" t="s">
        <v>39</v>
      </c>
      <c r="AA353" s="22" t="s">
        <v>39</v>
      </c>
      <c r="AB353" s="1"/>
      <c r="AC353"/>
      <c r="AD353"/>
      <c r="AE353"/>
      <c r="AF353"/>
      <c r="AG353"/>
    </row>
    <row r="354" spans="1:33" ht="72" customHeight="1" x14ac:dyDescent="0.25">
      <c r="A354" s="17">
        <v>9759962</v>
      </c>
      <c r="B354" s="30">
        <v>3</v>
      </c>
      <c r="C354" s="17" t="s">
        <v>576</v>
      </c>
      <c r="D354" s="31" t="s">
        <v>52</v>
      </c>
      <c r="E354" s="32">
        <v>42670</v>
      </c>
      <c r="F354" s="33">
        <v>42670</v>
      </c>
      <c r="G354" s="32">
        <v>42670</v>
      </c>
      <c r="H354" s="22" t="s">
        <v>108</v>
      </c>
      <c r="I354" s="23" t="s">
        <v>637</v>
      </c>
      <c r="J354" s="23" t="s">
        <v>39</v>
      </c>
      <c r="K354" s="22"/>
      <c r="L354" s="23" t="s">
        <v>39</v>
      </c>
      <c r="M354" s="23" t="s">
        <v>39</v>
      </c>
      <c r="N354" s="22"/>
      <c r="O354" s="22"/>
      <c r="P354" s="22"/>
      <c r="Q354" s="22"/>
      <c r="R354" s="23" t="s">
        <v>625</v>
      </c>
      <c r="S354" s="23" t="s">
        <v>39</v>
      </c>
      <c r="T354" s="23" t="s">
        <v>39</v>
      </c>
      <c r="U354" s="23" t="s">
        <v>723</v>
      </c>
      <c r="V354" s="22"/>
      <c r="W354" s="22"/>
      <c r="X354" s="22"/>
      <c r="Y354" s="22"/>
      <c r="Z354" s="22" t="s">
        <v>39</v>
      </c>
      <c r="AA354" s="22" t="s">
        <v>39</v>
      </c>
      <c r="AB354" s="1"/>
      <c r="AC354"/>
      <c r="AD354"/>
      <c r="AE354"/>
      <c r="AF354"/>
      <c r="AG354"/>
    </row>
    <row r="355" spans="1:33" ht="72" customHeight="1" x14ac:dyDescent="0.25">
      <c r="A355" s="17">
        <v>9759998</v>
      </c>
      <c r="B355" s="30">
        <v>1</v>
      </c>
      <c r="C355" s="17" t="s">
        <v>534</v>
      </c>
      <c r="D355" s="31" t="s">
        <v>11</v>
      </c>
      <c r="E355" s="32">
        <v>42670</v>
      </c>
      <c r="F355" s="33">
        <v>42670</v>
      </c>
      <c r="G355" s="32">
        <v>42670</v>
      </c>
      <c r="H355" s="22" t="s">
        <v>108</v>
      </c>
      <c r="I355" s="23" t="s">
        <v>467</v>
      </c>
      <c r="J355" s="23" t="s">
        <v>39</v>
      </c>
      <c r="K355" s="22"/>
      <c r="L355" s="23" t="s">
        <v>39</v>
      </c>
      <c r="M355" s="23" t="s">
        <v>39</v>
      </c>
      <c r="N355" s="22"/>
      <c r="O355" s="22"/>
      <c r="P355" s="22"/>
      <c r="Q355" s="22"/>
      <c r="R355" s="23" t="s">
        <v>39</v>
      </c>
      <c r="S355" s="23" t="s">
        <v>39</v>
      </c>
      <c r="T355" s="23" t="e">
        <v>#N/A</v>
      </c>
      <c r="U355" s="23" t="s">
        <v>709</v>
      </c>
      <c r="V355" s="22"/>
      <c r="W355" s="22"/>
      <c r="X355" s="22"/>
      <c r="Y355" s="22"/>
      <c r="Z355" s="22" t="s">
        <v>39</v>
      </c>
      <c r="AA355" s="22" t="s">
        <v>39</v>
      </c>
      <c r="AB355" s="1"/>
      <c r="AC355"/>
      <c r="AD355"/>
      <c r="AE355"/>
      <c r="AF355"/>
      <c r="AG355"/>
    </row>
    <row r="356" spans="1:33" ht="72" customHeight="1" x14ac:dyDescent="0.25">
      <c r="A356" s="17">
        <v>9759999</v>
      </c>
      <c r="B356" s="30">
        <v>1</v>
      </c>
      <c r="C356" s="17" t="s">
        <v>541</v>
      </c>
      <c r="D356" s="31" t="s">
        <v>11</v>
      </c>
      <c r="E356" s="32">
        <v>42670</v>
      </c>
      <c r="F356" s="33">
        <v>42670</v>
      </c>
      <c r="G356" s="32">
        <v>42670</v>
      </c>
      <c r="H356" s="22" t="s">
        <v>108</v>
      </c>
      <c r="I356" s="23" t="s">
        <v>467</v>
      </c>
      <c r="J356" s="23" t="s">
        <v>39</v>
      </c>
      <c r="K356" s="22"/>
      <c r="L356" s="23" t="s">
        <v>39</v>
      </c>
      <c r="M356" s="23" t="s">
        <v>39</v>
      </c>
      <c r="N356" s="22"/>
      <c r="O356" s="22"/>
      <c r="P356" s="22"/>
      <c r="Q356" s="22"/>
      <c r="R356" s="23" t="s">
        <v>625</v>
      </c>
      <c r="S356" s="23" t="s">
        <v>39</v>
      </c>
      <c r="T356" s="23" t="s">
        <v>39</v>
      </c>
      <c r="U356" s="23" t="s">
        <v>711</v>
      </c>
      <c r="V356" s="22"/>
      <c r="W356" s="22"/>
      <c r="X356" s="22"/>
      <c r="Y356" s="22"/>
      <c r="Z356" s="22" t="s">
        <v>39</v>
      </c>
      <c r="AA356" s="22" t="s">
        <v>39</v>
      </c>
      <c r="AB356" s="1"/>
      <c r="AC356"/>
      <c r="AD356"/>
      <c r="AE356"/>
      <c r="AF356"/>
      <c r="AG356"/>
    </row>
    <row r="357" spans="1:33" ht="72" customHeight="1" x14ac:dyDescent="0.25">
      <c r="A357" s="17">
        <v>9760000</v>
      </c>
      <c r="B357" s="30">
        <v>1</v>
      </c>
      <c r="C357" s="17" t="s">
        <v>492</v>
      </c>
      <c r="D357" s="31" t="s">
        <v>20</v>
      </c>
      <c r="E357" s="32">
        <v>42670</v>
      </c>
      <c r="F357" s="33">
        <v>42670</v>
      </c>
      <c r="G357" s="32">
        <v>42670</v>
      </c>
      <c r="H357" s="22" t="s">
        <v>108</v>
      </c>
      <c r="I357" s="23" t="s">
        <v>467</v>
      </c>
      <c r="J357" s="23" t="s">
        <v>39</v>
      </c>
      <c r="K357" s="22"/>
      <c r="L357" s="23" t="s">
        <v>39</v>
      </c>
      <c r="M357" s="23" t="s">
        <v>39</v>
      </c>
      <c r="N357" s="22"/>
      <c r="O357" s="22"/>
      <c r="P357" s="22"/>
      <c r="Q357" s="22"/>
      <c r="R357" s="23" t="s">
        <v>625</v>
      </c>
      <c r="S357" s="23" t="s">
        <v>39</v>
      </c>
      <c r="T357" s="23" t="s">
        <v>39</v>
      </c>
      <c r="U357" s="23" t="s">
        <v>639</v>
      </c>
      <c r="V357" s="22"/>
      <c r="W357" s="22"/>
      <c r="X357" s="22"/>
      <c r="Y357" s="22"/>
      <c r="Z357" s="22" t="s">
        <v>39</v>
      </c>
      <c r="AA357" s="22" t="s">
        <v>39</v>
      </c>
      <c r="AB357" s="1"/>
      <c r="AC357"/>
      <c r="AD357"/>
      <c r="AE357"/>
      <c r="AF357"/>
      <c r="AG357"/>
    </row>
    <row r="358" spans="1:33" ht="72" customHeight="1" x14ac:dyDescent="0.25">
      <c r="A358" s="17">
        <v>9760001</v>
      </c>
      <c r="B358" s="30">
        <v>1</v>
      </c>
      <c r="C358" s="17" t="s">
        <v>489</v>
      </c>
      <c r="D358" s="31" t="s">
        <v>20</v>
      </c>
      <c r="E358" s="32">
        <v>42670</v>
      </c>
      <c r="F358" s="33">
        <v>42670</v>
      </c>
      <c r="G358" s="32">
        <v>42670</v>
      </c>
      <c r="H358" s="22" t="s">
        <v>104</v>
      </c>
      <c r="I358" s="23" t="s">
        <v>39</v>
      </c>
      <c r="J358" s="23" t="s">
        <v>39</v>
      </c>
      <c r="K358" s="22"/>
      <c r="L358" s="23" t="s">
        <v>39</v>
      </c>
      <c r="M358" s="23" t="s">
        <v>39</v>
      </c>
      <c r="N358" s="22"/>
      <c r="O358" s="22"/>
      <c r="P358" s="22"/>
      <c r="Q358" s="22"/>
      <c r="R358" s="23" t="s">
        <v>683</v>
      </c>
      <c r="S358" s="23" t="s">
        <v>39</v>
      </c>
      <c r="T358" s="23" t="s">
        <v>39</v>
      </c>
      <c r="U358" s="23" t="s">
        <v>39</v>
      </c>
      <c r="V358" s="22"/>
      <c r="W358" s="22"/>
      <c r="X358" s="22"/>
      <c r="Y358" s="22"/>
      <c r="Z358" s="22" t="s">
        <v>39</v>
      </c>
      <c r="AA358" s="22" t="s">
        <v>39</v>
      </c>
      <c r="AB358" s="1"/>
      <c r="AC358"/>
      <c r="AD358"/>
      <c r="AE358"/>
      <c r="AF358"/>
      <c r="AG358"/>
    </row>
    <row r="359" spans="1:33" ht="72" customHeight="1" x14ac:dyDescent="0.25">
      <c r="A359" s="17">
        <v>9760002</v>
      </c>
      <c r="B359" s="30">
        <v>2</v>
      </c>
      <c r="C359" s="17" t="s">
        <v>494</v>
      </c>
      <c r="D359" s="31" t="s">
        <v>20</v>
      </c>
      <c r="E359" s="32">
        <v>42670</v>
      </c>
      <c r="F359" s="33">
        <v>42670</v>
      </c>
      <c r="G359" s="32">
        <v>42670</v>
      </c>
      <c r="H359" s="22" t="s">
        <v>104</v>
      </c>
      <c r="I359" s="23" t="s">
        <v>39</v>
      </c>
      <c r="J359" s="23" t="s">
        <v>39</v>
      </c>
      <c r="K359" s="22"/>
      <c r="L359" s="23" t="s">
        <v>39</v>
      </c>
      <c r="M359" s="23" t="s">
        <v>39</v>
      </c>
      <c r="N359" s="22"/>
      <c r="O359" s="22"/>
      <c r="P359" s="22"/>
      <c r="Q359" s="22"/>
      <c r="R359" s="23" t="s">
        <v>683</v>
      </c>
      <c r="S359" s="23" t="s">
        <v>39</v>
      </c>
      <c r="T359" s="23" t="s">
        <v>39</v>
      </c>
      <c r="U359" s="23" t="s">
        <v>39</v>
      </c>
      <c r="V359" s="22"/>
      <c r="W359" s="22"/>
      <c r="X359" s="22"/>
      <c r="Y359" s="22"/>
      <c r="Z359" s="22" t="s">
        <v>39</v>
      </c>
      <c r="AA359" s="22" t="s">
        <v>39</v>
      </c>
      <c r="AB359" s="1"/>
      <c r="AC359"/>
      <c r="AD359"/>
      <c r="AE359"/>
      <c r="AF359"/>
      <c r="AG359"/>
    </row>
    <row r="360" spans="1:33" ht="72" customHeight="1" x14ac:dyDescent="0.25">
      <c r="A360" s="17">
        <v>9760003</v>
      </c>
      <c r="B360" s="30">
        <v>1</v>
      </c>
      <c r="C360" s="17" t="s">
        <v>523</v>
      </c>
      <c r="D360" s="31" t="s">
        <v>20</v>
      </c>
      <c r="E360" s="32">
        <v>42670</v>
      </c>
      <c r="F360" s="33">
        <v>42670</v>
      </c>
      <c r="G360" s="32">
        <v>42670</v>
      </c>
      <c r="H360" s="22" t="s">
        <v>108</v>
      </c>
      <c r="I360" s="23" t="s">
        <v>370</v>
      </c>
      <c r="J360" s="23" t="s">
        <v>39</v>
      </c>
      <c r="K360" s="22"/>
      <c r="L360" s="23" t="s">
        <v>39</v>
      </c>
      <c r="M360" s="23" t="s">
        <v>39</v>
      </c>
      <c r="N360" s="22"/>
      <c r="O360" s="22"/>
      <c r="P360" s="22"/>
      <c r="Q360" s="22"/>
      <c r="R360" s="23" t="s">
        <v>625</v>
      </c>
      <c r="S360" s="23" t="s">
        <v>39</v>
      </c>
      <c r="T360" s="23" t="s">
        <v>39</v>
      </c>
      <c r="U360" s="23" t="s">
        <v>739</v>
      </c>
      <c r="V360" s="22"/>
      <c r="W360" s="22"/>
      <c r="X360" s="22"/>
      <c r="Y360" s="22"/>
      <c r="Z360" s="22" t="s">
        <v>39</v>
      </c>
      <c r="AA360" s="22" t="s">
        <v>39</v>
      </c>
      <c r="AB360" s="1"/>
      <c r="AC360"/>
      <c r="AD360"/>
      <c r="AE360"/>
      <c r="AF360"/>
      <c r="AG360"/>
    </row>
    <row r="361" spans="1:33" ht="72" customHeight="1" x14ac:dyDescent="0.25">
      <c r="A361" s="17">
        <v>9760004</v>
      </c>
      <c r="B361" s="30">
        <v>1</v>
      </c>
      <c r="C361" s="17" t="s">
        <v>526</v>
      </c>
      <c r="D361" s="31" t="s">
        <v>20</v>
      </c>
      <c r="E361" s="32">
        <v>42670</v>
      </c>
      <c r="F361" s="33">
        <v>42670</v>
      </c>
      <c r="G361" s="32">
        <v>42670</v>
      </c>
      <c r="H361" s="22" t="s">
        <v>108</v>
      </c>
      <c r="I361" s="23" t="s">
        <v>467</v>
      </c>
      <c r="J361" s="23" t="s">
        <v>39</v>
      </c>
      <c r="K361" s="22"/>
      <c r="L361" s="23" t="s">
        <v>39</v>
      </c>
      <c r="M361" s="23" t="s">
        <v>39</v>
      </c>
      <c r="N361" s="22"/>
      <c r="O361" s="22"/>
      <c r="P361" s="22"/>
      <c r="Q361" s="22"/>
      <c r="R361" s="23" t="s">
        <v>625</v>
      </c>
      <c r="S361" s="23" t="s">
        <v>39</v>
      </c>
      <c r="T361" s="23" t="s">
        <v>39</v>
      </c>
      <c r="U361" s="23" t="s">
        <v>648</v>
      </c>
      <c r="V361" s="22"/>
      <c r="W361" s="22"/>
      <c r="X361" s="22"/>
      <c r="Y361" s="22"/>
      <c r="Z361" s="22" t="s">
        <v>39</v>
      </c>
      <c r="AA361" s="22" t="s">
        <v>39</v>
      </c>
      <c r="AB361" s="1"/>
      <c r="AC361"/>
      <c r="AD361"/>
      <c r="AE361"/>
      <c r="AF361"/>
      <c r="AG361"/>
    </row>
    <row r="362" spans="1:33" ht="72" customHeight="1" x14ac:dyDescent="0.25">
      <c r="A362" s="17">
        <v>9760005</v>
      </c>
      <c r="B362" s="30">
        <v>1</v>
      </c>
      <c r="C362" s="17" t="s">
        <v>524</v>
      </c>
      <c r="D362" s="31" t="s">
        <v>20</v>
      </c>
      <c r="E362" s="32">
        <v>42670</v>
      </c>
      <c r="F362" s="33">
        <v>42670</v>
      </c>
      <c r="G362" s="32">
        <v>42670</v>
      </c>
      <c r="H362" s="22" t="s">
        <v>112</v>
      </c>
      <c r="I362" s="23" t="s">
        <v>370</v>
      </c>
      <c r="J362" s="23" t="s">
        <v>39</v>
      </c>
      <c r="K362" s="22"/>
      <c r="L362" s="23" t="s">
        <v>39</v>
      </c>
      <c r="M362" s="23" t="s">
        <v>39</v>
      </c>
      <c r="N362" s="22"/>
      <c r="O362" s="22"/>
      <c r="P362" s="22"/>
      <c r="Q362" s="22"/>
      <c r="R362" s="23" t="s">
        <v>625</v>
      </c>
      <c r="S362" s="23" t="s">
        <v>39</v>
      </c>
      <c r="T362" s="23" t="s">
        <v>39</v>
      </c>
      <c r="U362" s="23" t="s">
        <v>39</v>
      </c>
      <c r="V362" s="22"/>
      <c r="W362" s="22"/>
      <c r="X362" s="22"/>
      <c r="Y362" s="22"/>
      <c r="Z362" s="22" t="s">
        <v>39</v>
      </c>
      <c r="AA362" s="22" t="s">
        <v>39</v>
      </c>
      <c r="AB362" s="1"/>
      <c r="AC362"/>
      <c r="AD362"/>
      <c r="AE362"/>
      <c r="AF362"/>
      <c r="AG362"/>
    </row>
    <row r="363" spans="1:33" ht="72" customHeight="1" x14ac:dyDescent="0.25">
      <c r="A363" s="17">
        <v>9760006</v>
      </c>
      <c r="B363" s="30">
        <v>1</v>
      </c>
      <c r="C363" s="17" t="s">
        <v>527</v>
      </c>
      <c r="D363" s="31" t="s">
        <v>20</v>
      </c>
      <c r="E363" s="32">
        <v>42670</v>
      </c>
      <c r="F363" s="33">
        <v>42670</v>
      </c>
      <c r="G363" s="32">
        <v>42670</v>
      </c>
      <c r="H363" s="22" t="s">
        <v>108</v>
      </c>
      <c r="I363" s="23" t="s">
        <v>370</v>
      </c>
      <c r="J363" s="23" t="s">
        <v>39</v>
      </c>
      <c r="K363" s="22"/>
      <c r="L363" s="23" t="s">
        <v>39</v>
      </c>
      <c r="M363" s="23" t="s">
        <v>39</v>
      </c>
      <c r="N363" s="22"/>
      <c r="O363" s="22"/>
      <c r="P363" s="22"/>
      <c r="Q363" s="22"/>
      <c r="R363" s="23" t="s">
        <v>625</v>
      </c>
      <c r="S363" s="23" t="s">
        <v>39</v>
      </c>
      <c r="T363" s="23" t="s">
        <v>39</v>
      </c>
      <c r="U363" s="23" t="s">
        <v>706</v>
      </c>
      <c r="V363" s="22"/>
      <c r="W363" s="22"/>
      <c r="X363" s="22"/>
      <c r="Y363" s="22"/>
      <c r="Z363" s="22" t="s">
        <v>39</v>
      </c>
      <c r="AA363" s="22" t="s">
        <v>39</v>
      </c>
      <c r="AB363" s="1"/>
      <c r="AC363"/>
      <c r="AD363"/>
      <c r="AE363"/>
      <c r="AF363"/>
      <c r="AG363"/>
    </row>
    <row r="364" spans="1:33" ht="72" customHeight="1" x14ac:dyDescent="0.25">
      <c r="A364" s="17">
        <v>9760007</v>
      </c>
      <c r="B364" s="30">
        <v>1</v>
      </c>
      <c r="C364" s="17" t="s">
        <v>581</v>
      </c>
      <c r="D364" s="31" t="s">
        <v>52</v>
      </c>
      <c r="E364" s="32">
        <v>42670</v>
      </c>
      <c r="F364" s="33">
        <v>42670</v>
      </c>
      <c r="G364" s="32">
        <v>42670</v>
      </c>
      <c r="H364" s="22" t="s">
        <v>108</v>
      </c>
      <c r="I364" s="23" t="s">
        <v>467</v>
      </c>
      <c r="J364" s="23" t="s">
        <v>39</v>
      </c>
      <c r="K364" s="22"/>
      <c r="L364" s="23" t="s">
        <v>39</v>
      </c>
      <c r="M364" s="23" t="s">
        <v>39</v>
      </c>
      <c r="N364" s="22"/>
      <c r="O364" s="22"/>
      <c r="P364" s="22"/>
      <c r="Q364" s="22"/>
      <c r="R364" s="23" t="s">
        <v>625</v>
      </c>
      <c r="S364" s="23" t="s">
        <v>39</v>
      </c>
      <c r="T364" s="23" t="s">
        <v>39</v>
      </c>
      <c r="U364" s="23" t="s">
        <v>674</v>
      </c>
      <c r="V364" s="22"/>
      <c r="W364" s="22"/>
      <c r="X364" s="22"/>
      <c r="Y364" s="22"/>
      <c r="Z364" s="22" t="s">
        <v>39</v>
      </c>
      <c r="AA364" s="22" t="s">
        <v>39</v>
      </c>
      <c r="AB364" s="1"/>
      <c r="AC364"/>
      <c r="AD364"/>
      <c r="AE364"/>
      <c r="AF364"/>
      <c r="AG364"/>
    </row>
    <row r="365" spans="1:33" ht="72" customHeight="1" x14ac:dyDescent="0.25">
      <c r="A365" s="17">
        <v>9760008</v>
      </c>
      <c r="B365" s="30">
        <v>1</v>
      </c>
      <c r="C365" s="17" t="s">
        <v>588</v>
      </c>
      <c r="D365" s="31" t="s">
        <v>587</v>
      </c>
      <c r="E365" s="32">
        <v>42670</v>
      </c>
      <c r="F365" s="33">
        <v>42670</v>
      </c>
      <c r="G365" s="32">
        <v>42670</v>
      </c>
      <c r="H365" s="22" t="s">
        <v>104</v>
      </c>
      <c r="I365" s="23" t="s">
        <v>39</v>
      </c>
      <c r="J365" s="23" t="s">
        <v>39</v>
      </c>
      <c r="K365" s="22"/>
      <c r="L365" s="23" t="s">
        <v>39</v>
      </c>
      <c r="M365" s="23" t="s">
        <v>39</v>
      </c>
      <c r="N365" s="22"/>
      <c r="O365" s="22"/>
      <c r="P365" s="22"/>
      <c r="Q365" s="22"/>
      <c r="R365" s="23" t="s">
        <v>625</v>
      </c>
      <c r="S365" s="23" t="s">
        <v>39</v>
      </c>
      <c r="T365" s="23" t="s">
        <v>39</v>
      </c>
      <c r="U365" s="23" t="s">
        <v>39</v>
      </c>
      <c r="V365" s="22"/>
      <c r="W365" s="22"/>
      <c r="X365" s="22"/>
      <c r="Y365" s="22"/>
      <c r="Z365" s="22" t="s">
        <v>39</v>
      </c>
      <c r="AA365" s="22" t="s">
        <v>39</v>
      </c>
      <c r="AB365" s="1"/>
      <c r="AC365"/>
      <c r="AD365"/>
      <c r="AE365"/>
      <c r="AF365"/>
      <c r="AG365"/>
    </row>
    <row r="366" spans="1:33" ht="72" customHeight="1" x14ac:dyDescent="0.25">
      <c r="A366" s="17">
        <v>9760022</v>
      </c>
      <c r="B366" s="30">
        <v>4</v>
      </c>
      <c r="C366" s="17" t="s">
        <v>485</v>
      </c>
      <c r="D366" s="31" t="s">
        <v>45</v>
      </c>
      <c r="E366" s="32">
        <v>42670</v>
      </c>
      <c r="F366" s="33">
        <v>42670</v>
      </c>
      <c r="G366" s="32">
        <v>42670</v>
      </c>
      <c r="H366" s="22" t="s">
        <v>104</v>
      </c>
      <c r="I366" s="23" t="s">
        <v>39</v>
      </c>
      <c r="J366" s="23" t="s">
        <v>39</v>
      </c>
      <c r="K366" s="22"/>
      <c r="L366" s="23" t="s">
        <v>39</v>
      </c>
      <c r="M366" s="23" t="s">
        <v>39</v>
      </c>
      <c r="N366" s="22"/>
      <c r="O366" s="22"/>
      <c r="P366" s="22"/>
      <c r="Q366" s="22"/>
      <c r="R366" s="23" t="s">
        <v>683</v>
      </c>
      <c r="S366" s="23" t="s">
        <v>39</v>
      </c>
      <c r="T366" s="23" t="s">
        <v>39</v>
      </c>
      <c r="U366" s="23" t="s">
        <v>39</v>
      </c>
      <c r="V366" s="22"/>
      <c r="W366" s="22"/>
      <c r="X366" s="22"/>
      <c r="Y366" s="22"/>
      <c r="Z366" s="22" t="s">
        <v>39</v>
      </c>
      <c r="AA366" s="22" t="s">
        <v>39</v>
      </c>
      <c r="AB366" s="1"/>
      <c r="AC366"/>
      <c r="AD366"/>
      <c r="AE366"/>
      <c r="AF366"/>
      <c r="AG366"/>
    </row>
    <row r="367" spans="1:33" ht="72" customHeight="1" x14ac:dyDescent="0.25">
      <c r="A367" s="17">
        <v>9760023</v>
      </c>
      <c r="B367" s="30">
        <v>6</v>
      </c>
      <c r="C367" s="17" t="s">
        <v>486</v>
      </c>
      <c r="D367" s="31" t="s">
        <v>45</v>
      </c>
      <c r="E367" s="32">
        <v>42670</v>
      </c>
      <c r="F367" s="33">
        <v>42670</v>
      </c>
      <c r="G367" s="32">
        <v>42670</v>
      </c>
      <c r="H367" s="22" t="s">
        <v>104</v>
      </c>
      <c r="I367" s="23" t="s">
        <v>39</v>
      </c>
      <c r="J367" s="23" t="s">
        <v>39</v>
      </c>
      <c r="K367" s="22"/>
      <c r="L367" s="23" t="s">
        <v>39</v>
      </c>
      <c r="M367" s="23" t="s">
        <v>39</v>
      </c>
      <c r="N367" s="22"/>
      <c r="O367" s="22"/>
      <c r="P367" s="22"/>
      <c r="Q367" s="22"/>
      <c r="R367" s="23" t="s">
        <v>683</v>
      </c>
      <c r="S367" s="23" t="s">
        <v>39</v>
      </c>
      <c r="T367" s="23" t="s">
        <v>39</v>
      </c>
      <c r="U367" s="23" t="s">
        <v>39</v>
      </c>
      <c r="V367" s="22"/>
      <c r="W367" s="22"/>
      <c r="X367" s="22"/>
      <c r="Y367" s="22"/>
      <c r="Z367" s="22" t="s">
        <v>39</v>
      </c>
      <c r="AA367" s="22" t="s">
        <v>39</v>
      </c>
      <c r="AB367" s="1"/>
      <c r="AC367"/>
      <c r="AD367"/>
      <c r="AE367"/>
      <c r="AF367"/>
      <c r="AG367"/>
    </row>
    <row r="368" spans="1:33" ht="72" customHeight="1" x14ac:dyDescent="0.25">
      <c r="A368" s="17">
        <v>9760024</v>
      </c>
      <c r="B368" s="30">
        <v>2</v>
      </c>
      <c r="C368" s="17" t="s">
        <v>487</v>
      </c>
      <c r="D368" s="31" t="s">
        <v>45</v>
      </c>
      <c r="E368" s="32">
        <v>42670</v>
      </c>
      <c r="F368" s="33">
        <v>42670</v>
      </c>
      <c r="G368" s="32">
        <v>42670</v>
      </c>
      <c r="H368" s="22" t="s">
        <v>104</v>
      </c>
      <c r="I368" s="23" t="s">
        <v>39</v>
      </c>
      <c r="J368" s="23" t="s">
        <v>39</v>
      </c>
      <c r="K368" s="22"/>
      <c r="L368" s="23" t="s">
        <v>39</v>
      </c>
      <c r="M368" s="23" t="s">
        <v>39</v>
      </c>
      <c r="N368" s="22"/>
      <c r="O368" s="22"/>
      <c r="P368" s="22"/>
      <c r="Q368" s="22"/>
      <c r="R368" s="23" t="s">
        <v>683</v>
      </c>
      <c r="S368" s="23" t="s">
        <v>39</v>
      </c>
      <c r="T368" s="23" t="s">
        <v>39</v>
      </c>
      <c r="U368" s="23" t="s">
        <v>39</v>
      </c>
      <c r="V368" s="22"/>
      <c r="W368" s="22"/>
      <c r="X368" s="22"/>
      <c r="Y368" s="22"/>
      <c r="Z368" s="22" t="s">
        <v>39</v>
      </c>
      <c r="AA368" s="22" t="s">
        <v>39</v>
      </c>
      <c r="AB368" s="1"/>
      <c r="AC368"/>
      <c r="AD368"/>
      <c r="AE368"/>
      <c r="AF368"/>
      <c r="AG368"/>
    </row>
    <row r="369" spans="1:33" ht="72" customHeight="1" x14ac:dyDescent="0.25">
      <c r="A369" s="17">
        <v>9760025</v>
      </c>
      <c r="B369" s="30">
        <v>4</v>
      </c>
      <c r="C369" s="17" t="s">
        <v>484</v>
      </c>
      <c r="D369" s="31" t="s">
        <v>45</v>
      </c>
      <c r="E369" s="32">
        <v>42670</v>
      </c>
      <c r="F369" s="33">
        <v>42670</v>
      </c>
      <c r="G369" s="32">
        <v>42670</v>
      </c>
      <c r="H369" s="22" t="s">
        <v>104</v>
      </c>
      <c r="I369" s="23" t="s">
        <v>39</v>
      </c>
      <c r="J369" s="23" t="s">
        <v>39</v>
      </c>
      <c r="K369" s="22"/>
      <c r="L369" s="23" t="s">
        <v>39</v>
      </c>
      <c r="M369" s="23" t="s">
        <v>39</v>
      </c>
      <c r="N369" s="22"/>
      <c r="O369" s="22"/>
      <c r="P369" s="22"/>
      <c r="Q369" s="22"/>
      <c r="R369" s="23" t="s">
        <v>683</v>
      </c>
      <c r="S369" s="23" t="s">
        <v>39</v>
      </c>
      <c r="T369" s="23" t="s">
        <v>39</v>
      </c>
      <c r="U369" s="23" t="s">
        <v>39</v>
      </c>
      <c r="V369" s="22"/>
      <c r="W369" s="22"/>
      <c r="X369" s="22"/>
      <c r="Y369" s="22"/>
      <c r="Z369" s="22" t="s">
        <v>39</v>
      </c>
      <c r="AA369" s="22" t="s">
        <v>39</v>
      </c>
      <c r="AB369" s="1"/>
      <c r="AC369"/>
      <c r="AD369"/>
      <c r="AE369"/>
      <c r="AF369"/>
      <c r="AG369"/>
    </row>
    <row r="370" spans="1:33" ht="72" customHeight="1" x14ac:dyDescent="0.25">
      <c r="A370" s="17">
        <v>9760026</v>
      </c>
      <c r="B370" s="30">
        <v>2</v>
      </c>
      <c r="C370" s="17" t="s">
        <v>530</v>
      </c>
      <c r="D370" s="31" t="s">
        <v>16</v>
      </c>
      <c r="E370" s="32">
        <v>42670</v>
      </c>
      <c r="F370" s="33">
        <v>42670</v>
      </c>
      <c r="G370" s="32">
        <v>42670</v>
      </c>
      <c r="H370" s="22" t="s">
        <v>104</v>
      </c>
      <c r="I370" s="23" t="s">
        <v>39</v>
      </c>
      <c r="J370" s="23" t="s">
        <v>39</v>
      </c>
      <c r="K370" s="22"/>
      <c r="L370" s="23" t="s">
        <v>39</v>
      </c>
      <c r="M370" s="23" t="s">
        <v>39</v>
      </c>
      <c r="N370" s="22"/>
      <c r="O370" s="22"/>
      <c r="P370" s="22"/>
      <c r="Q370" s="22"/>
      <c r="R370" s="23" t="s">
        <v>683</v>
      </c>
      <c r="S370" s="23" t="s">
        <v>39</v>
      </c>
      <c r="T370" s="23" t="s">
        <v>39</v>
      </c>
      <c r="U370" s="23" t="s">
        <v>39</v>
      </c>
      <c r="V370" s="22"/>
      <c r="W370" s="22"/>
      <c r="X370" s="22"/>
      <c r="Y370" s="22"/>
      <c r="Z370" s="22" t="s">
        <v>39</v>
      </c>
      <c r="AA370" s="22" t="s">
        <v>39</v>
      </c>
      <c r="AB370" s="1"/>
      <c r="AC370"/>
      <c r="AD370"/>
      <c r="AE370"/>
      <c r="AF370"/>
      <c r="AG370"/>
    </row>
    <row r="371" spans="1:33" ht="72" customHeight="1" x14ac:dyDescent="0.25">
      <c r="A371" s="17">
        <v>9760027</v>
      </c>
      <c r="B371" s="30">
        <v>2</v>
      </c>
      <c r="C371" s="17" t="s">
        <v>586</v>
      </c>
      <c r="D371" s="31" t="s">
        <v>28</v>
      </c>
      <c r="E371" s="32">
        <v>42670</v>
      </c>
      <c r="F371" s="33">
        <v>42670</v>
      </c>
      <c r="G371" s="32">
        <v>42670</v>
      </c>
      <c r="H371" s="22" t="s">
        <v>104</v>
      </c>
      <c r="I371" s="23" t="s">
        <v>39</v>
      </c>
      <c r="J371" s="23" t="s">
        <v>39</v>
      </c>
      <c r="K371" s="22"/>
      <c r="L371" s="23" t="s">
        <v>39</v>
      </c>
      <c r="M371" s="23" t="s">
        <v>39</v>
      </c>
      <c r="N371" s="22"/>
      <c r="O371" s="22"/>
      <c r="P371" s="22"/>
      <c r="Q371" s="22"/>
      <c r="R371" s="23" t="s">
        <v>683</v>
      </c>
      <c r="S371" s="23" t="s">
        <v>39</v>
      </c>
      <c r="T371" s="23" t="s">
        <v>39</v>
      </c>
      <c r="U371" s="23" t="s">
        <v>39</v>
      </c>
      <c r="V371" s="22"/>
      <c r="W371" s="22"/>
      <c r="X371" s="22"/>
      <c r="Y371" s="22"/>
      <c r="Z371" s="22" t="s">
        <v>39</v>
      </c>
      <c r="AA371" s="22" t="s">
        <v>39</v>
      </c>
      <c r="AB371" s="1"/>
      <c r="AC371"/>
      <c r="AD371"/>
      <c r="AE371"/>
      <c r="AF371"/>
      <c r="AG371"/>
    </row>
    <row r="372" spans="1:33" ht="72" customHeight="1" x14ac:dyDescent="0.25">
      <c r="A372" s="17">
        <v>9760041</v>
      </c>
      <c r="B372" s="30">
        <v>2</v>
      </c>
      <c r="C372" s="17" t="s">
        <v>514</v>
      </c>
      <c r="D372" s="31" t="s">
        <v>20</v>
      </c>
      <c r="E372" s="32">
        <v>42670</v>
      </c>
      <c r="F372" s="33">
        <v>42670</v>
      </c>
      <c r="G372" s="32">
        <v>42670</v>
      </c>
      <c r="H372" s="22" t="s">
        <v>104</v>
      </c>
      <c r="I372" s="23" t="s">
        <v>39</v>
      </c>
      <c r="J372" s="23" t="s">
        <v>39</v>
      </c>
      <c r="K372" s="22"/>
      <c r="L372" s="23" t="s">
        <v>39</v>
      </c>
      <c r="M372" s="23" t="s">
        <v>39</v>
      </c>
      <c r="N372" s="22"/>
      <c r="O372" s="22"/>
      <c r="P372" s="22"/>
      <c r="Q372" s="22"/>
      <c r="R372" s="23" t="s">
        <v>683</v>
      </c>
      <c r="S372" s="23" t="s">
        <v>39</v>
      </c>
      <c r="T372" s="23" t="s">
        <v>39</v>
      </c>
      <c r="U372" s="23" t="s">
        <v>39</v>
      </c>
      <c r="V372" s="22"/>
      <c r="W372" s="22"/>
      <c r="X372" s="22"/>
      <c r="Y372" s="22"/>
      <c r="Z372" s="22" t="s">
        <v>39</v>
      </c>
      <c r="AA372" s="22" t="s">
        <v>39</v>
      </c>
      <c r="AB372" s="1"/>
      <c r="AC372"/>
      <c r="AD372"/>
      <c r="AE372"/>
      <c r="AF372"/>
      <c r="AG372"/>
    </row>
    <row r="373" spans="1:33" ht="72" customHeight="1" x14ac:dyDescent="0.25">
      <c r="A373" s="17">
        <v>9760042</v>
      </c>
      <c r="B373" s="30">
        <v>1</v>
      </c>
      <c r="C373" s="17" t="s">
        <v>274</v>
      </c>
      <c r="D373" s="31" t="s">
        <v>165</v>
      </c>
      <c r="E373" s="32">
        <v>42670</v>
      </c>
      <c r="F373" s="33">
        <v>42670</v>
      </c>
      <c r="G373" s="32">
        <v>42670</v>
      </c>
      <c r="H373" s="22" t="s">
        <v>104</v>
      </c>
      <c r="I373" s="23" t="s">
        <v>39</v>
      </c>
      <c r="J373" s="23" t="s">
        <v>39</v>
      </c>
      <c r="K373" s="22"/>
      <c r="L373" s="23" t="s">
        <v>39</v>
      </c>
      <c r="M373" s="23" t="s">
        <v>39</v>
      </c>
      <c r="N373" s="22"/>
      <c r="O373" s="22"/>
      <c r="P373" s="22"/>
      <c r="Q373" s="22"/>
      <c r="R373" s="23" t="s">
        <v>683</v>
      </c>
      <c r="S373" s="23" t="s">
        <v>39</v>
      </c>
      <c r="T373" s="23" t="s">
        <v>39</v>
      </c>
      <c r="U373" s="23" t="s">
        <v>39</v>
      </c>
      <c r="V373" s="22"/>
      <c r="W373" s="22"/>
      <c r="X373" s="22"/>
      <c r="Y373" s="22"/>
      <c r="Z373" s="22" t="s">
        <v>39</v>
      </c>
      <c r="AA373" s="22" t="s">
        <v>39</v>
      </c>
      <c r="AB373" s="1"/>
      <c r="AC373"/>
      <c r="AD373"/>
      <c r="AE373"/>
      <c r="AF373"/>
      <c r="AG373"/>
    </row>
    <row r="374" spans="1:33" ht="72" customHeight="1" x14ac:dyDescent="0.25">
      <c r="A374" s="17">
        <v>9760043</v>
      </c>
      <c r="B374" s="30">
        <v>1</v>
      </c>
      <c r="C374" s="17" t="s">
        <v>482</v>
      </c>
      <c r="D374" s="31" t="s">
        <v>165</v>
      </c>
      <c r="E374" s="32">
        <v>42670</v>
      </c>
      <c r="F374" s="33">
        <v>42670</v>
      </c>
      <c r="G374" s="32">
        <v>42670</v>
      </c>
      <c r="H374" s="22" t="s">
        <v>104</v>
      </c>
      <c r="I374" s="23" t="s">
        <v>39</v>
      </c>
      <c r="J374" s="23" t="s">
        <v>39</v>
      </c>
      <c r="K374" s="22"/>
      <c r="L374" s="23" t="s">
        <v>39</v>
      </c>
      <c r="M374" s="23" t="s">
        <v>39</v>
      </c>
      <c r="N374" s="22"/>
      <c r="O374" s="22"/>
      <c r="P374" s="22"/>
      <c r="Q374" s="22"/>
      <c r="R374" s="23" t="s">
        <v>683</v>
      </c>
      <c r="S374" s="23" t="s">
        <v>39</v>
      </c>
      <c r="T374" s="23" t="s">
        <v>39</v>
      </c>
      <c r="U374" s="23" t="s">
        <v>39</v>
      </c>
      <c r="V374" s="22"/>
      <c r="W374" s="22"/>
      <c r="X374" s="22"/>
      <c r="Y374" s="22"/>
      <c r="Z374" s="22" t="s">
        <v>39</v>
      </c>
      <c r="AA374" s="22" t="s">
        <v>39</v>
      </c>
      <c r="AB374" s="1"/>
      <c r="AC374"/>
      <c r="AD374"/>
      <c r="AE374"/>
      <c r="AF374"/>
      <c r="AG374"/>
    </row>
    <row r="375" spans="1:33" ht="72" customHeight="1" x14ac:dyDescent="0.25">
      <c r="A375" s="17">
        <v>9760044</v>
      </c>
      <c r="B375" s="30">
        <v>1</v>
      </c>
      <c r="C375" s="17" t="s">
        <v>481</v>
      </c>
      <c r="D375" s="31" t="s">
        <v>165</v>
      </c>
      <c r="E375" s="32">
        <v>42670</v>
      </c>
      <c r="F375" s="33">
        <v>42670</v>
      </c>
      <c r="G375" s="32">
        <v>42670</v>
      </c>
      <c r="H375" s="22" t="s">
        <v>104</v>
      </c>
      <c r="I375" s="23" t="s">
        <v>39</v>
      </c>
      <c r="J375" s="23" t="s">
        <v>39</v>
      </c>
      <c r="K375" s="22"/>
      <c r="L375" s="23" t="s">
        <v>39</v>
      </c>
      <c r="M375" s="23" t="s">
        <v>39</v>
      </c>
      <c r="N375" s="22"/>
      <c r="O375" s="22"/>
      <c r="P375" s="22"/>
      <c r="Q375" s="22"/>
      <c r="R375" s="23" t="s">
        <v>683</v>
      </c>
      <c r="S375" s="23" t="s">
        <v>39</v>
      </c>
      <c r="T375" s="23" t="s">
        <v>39</v>
      </c>
      <c r="U375" s="23" t="s">
        <v>39</v>
      </c>
      <c r="V375" s="22"/>
      <c r="W375" s="22"/>
      <c r="X375" s="22"/>
      <c r="Y375" s="22"/>
      <c r="Z375" s="22" t="s">
        <v>39</v>
      </c>
      <c r="AA375" s="22" t="s">
        <v>39</v>
      </c>
      <c r="AB375" s="1"/>
      <c r="AC375"/>
      <c r="AD375"/>
      <c r="AE375"/>
      <c r="AF375"/>
      <c r="AG375"/>
    </row>
    <row r="376" spans="1:33" ht="72" customHeight="1" x14ac:dyDescent="0.25">
      <c r="A376" s="17">
        <v>9760045</v>
      </c>
      <c r="B376" s="30">
        <v>2</v>
      </c>
      <c r="C376" s="17" t="s">
        <v>531</v>
      </c>
      <c r="D376" s="31" t="s">
        <v>146</v>
      </c>
      <c r="E376" s="32">
        <v>42670</v>
      </c>
      <c r="F376" s="33">
        <v>42670</v>
      </c>
      <c r="G376" s="32">
        <v>42670</v>
      </c>
      <c r="H376" s="22" t="s">
        <v>104</v>
      </c>
      <c r="I376" s="23" t="s">
        <v>39</v>
      </c>
      <c r="J376" s="23" t="s">
        <v>39</v>
      </c>
      <c r="K376" s="22"/>
      <c r="L376" s="23" t="s">
        <v>39</v>
      </c>
      <c r="M376" s="23" t="s">
        <v>39</v>
      </c>
      <c r="N376" s="22"/>
      <c r="O376" s="22"/>
      <c r="P376" s="22"/>
      <c r="Q376" s="22"/>
      <c r="R376" s="23" t="s">
        <v>683</v>
      </c>
      <c r="S376" s="23" t="s">
        <v>39</v>
      </c>
      <c r="T376" s="23" t="s">
        <v>39</v>
      </c>
      <c r="U376" s="23" t="s">
        <v>39</v>
      </c>
      <c r="V376" s="22"/>
      <c r="W376" s="22"/>
      <c r="X376" s="22"/>
      <c r="Y376" s="22"/>
      <c r="Z376" s="22" t="s">
        <v>39</v>
      </c>
      <c r="AA376" s="22" t="s">
        <v>39</v>
      </c>
      <c r="AB376" s="1"/>
      <c r="AC376"/>
      <c r="AD376"/>
      <c r="AE376"/>
      <c r="AF376"/>
      <c r="AG376"/>
    </row>
    <row r="377" spans="1:33" ht="72" customHeight="1" x14ac:dyDescent="0.25">
      <c r="A377" s="17">
        <v>9760055</v>
      </c>
      <c r="B377" s="30">
        <v>1</v>
      </c>
      <c r="C377" s="17" t="s">
        <v>490</v>
      </c>
      <c r="D377" s="31" t="s">
        <v>20</v>
      </c>
      <c r="E377" s="32">
        <v>42670</v>
      </c>
      <c r="F377" s="33">
        <v>42670</v>
      </c>
      <c r="G377" s="32">
        <v>42670</v>
      </c>
      <c r="H377" s="22" t="s">
        <v>104</v>
      </c>
      <c r="I377" s="23" t="s">
        <v>39</v>
      </c>
      <c r="J377" s="23" t="s">
        <v>39</v>
      </c>
      <c r="K377" s="22"/>
      <c r="L377" s="23" t="s">
        <v>39</v>
      </c>
      <c r="M377" s="23" t="s">
        <v>39</v>
      </c>
      <c r="N377" s="22"/>
      <c r="O377" s="22"/>
      <c r="P377" s="22"/>
      <c r="Q377" s="22"/>
      <c r="R377" s="23" t="s">
        <v>683</v>
      </c>
      <c r="S377" s="23" t="s">
        <v>39</v>
      </c>
      <c r="T377" s="23" t="s">
        <v>39</v>
      </c>
      <c r="U377" s="23" t="s">
        <v>39</v>
      </c>
      <c r="V377" s="22"/>
      <c r="W377" s="22"/>
      <c r="X377" s="22"/>
      <c r="Y377" s="22"/>
      <c r="Z377" s="22" t="s">
        <v>39</v>
      </c>
      <c r="AA377" s="22" t="s">
        <v>39</v>
      </c>
      <c r="AB377" s="1"/>
      <c r="AC377"/>
      <c r="AD377"/>
      <c r="AE377"/>
      <c r="AF377"/>
      <c r="AG377"/>
    </row>
    <row r="378" spans="1:33" ht="72" customHeight="1" x14ac:dyDescent="0.25">
      <c r="A378" s="17">
        <v>9760056</v>
      </c>
      <c r="B378" s="30">
        <v>8</v>
      </c>
      <c r="C378" s="17" t="s">
        <v>556</v>
      </c>
      <c r="D378" s="31" t="s">
        <v>10</v>
      </c>
      <c r="E378" s="32">
        <v>42670</v>
      </c>
      <c r="F378" s="33">
        <v>42670</v>
      </c>
      <c r="G378" s="32">
        <v>42670</v>
      </c>
      <c r="H378" s="22" t="s">
        <v>104</v>
      </c>
      <c r="I378" s="23" t="s">
        <v>39</v>
      </c>
      <c r="J378" s="23" t="s">
        <v>39</v>
      </c>
      <c r="K378" s="22"/>
      <c r="L378" s="23" t="s">
        <v>39</v>
      </c>
      <c r="M378" s="23" t="s">
        <v>39</v>
      </c>
      <c r="N378" s="22"/>
      <c r="O378" s="22"/>
      <c r="P378" s="22"/>
      <c r="Q378" s="22"/>
      <c r="R378" s="23" t="s">
        <v>683</v>
      </c>
      <c r="S378" s="23" t="s">
        <v>39</v>
      </c>
      <c r="T378" s="23" t="s">
        <v>39</v>
      </c>
      <c r="U378" s="23" t="s">
        <v>39</v>
      </c>
      <c r="V378" s="22"/>
      <c r="W378" s="22"/>
      <c r="X378" s="22"/>
      <c r="Y378" s="22"/>
      <c r="Z378" s="22" t="s">
        <v>39</v>
      </c>
      <c r="AA378" s="22" t="s">
        <v>39</v>
      </c>
      <c r="AB378" s="1"/>
      <c r="AC378"/>
      <c r="AD378"/>
      <c r="AE378"/>
      <c r="AF378"/>
      <c r="AG378"/>
    </row>
    <row r="379" spans="1:33" ht="72" customHeight="1" x14ac:dyDescent="0.25">
      <c r="A379" s="17">
        <v>9760070</v>
      </c>
      <c r="B379" s="30">
        <v>1</v>
      </c>
      <c r="C379" s="17" t="s">
        <v>540</v>
      </c>
      <c r="D379" s="31" t="s">
        <v>11</v>
      </c>
      <c r="E379" s="32">
        <v>42670</v>
      </c>
      <c r="F379" s="33">
        <v>42670</v>
      </c>
      <c r="G379" s="32">
        <v>42670</v>
      </c>
      <c r="H379" s="22" t="s">
        <v>104</v>
      </c>
      <c r="I379" s="23" t="s">
        <v>39</v>
      </c>
      <c r="J379" s="23" t="s">
        <v>39</v>
      </c>
      <c r="K379" s="22"/>
      <c r="L379" s="23" t="s">
        <v>39</v>
      </c>
      <c r="M379" s="23" t="s">
        <v>39</v>
      </c>
      <c r="N379" s="22"/>
      <c r="O379" s="22"/>
      <c r="P379" s="22"/>
      <c r="Q379" s="22"/>
      <c r="R379" s="23" t="s">
        <v>683</v>
      </c>
      <c r="S379" s="23" t="s">
        <v>39</v>
      </c>
      <c r="T379" s="23" t="s">
        <v>39</v>
      </c>
      <c r="U379" s="23" t="s">
        <v>39</v>
      </c>
      <c r="V379" s="22"/>
      <c r="W379" s="22"/>
      <c r="X379" s="22"/>
      <c r="Y379" s="22"/>
      <c r="Z379" s="22" t="s">
        <v>39</v>
      </c>
      <c r="AA379" s="22" t="s">
        <v>39</v>
      </c>
      <c r="AB379" s="1"/>
      <c r="AC379"/>
      <c r="AD379"/>
      <c r="AE379"/>
      <c r="AF379"/>
      <c r="AG379"/>
    </row>
    <row r="380" spans="1:33" ht="72" customHeight="1" x14ac:dyDescent="0.25">
      <c r="A380" s="17">
        <v>9760071</v>
      </c>
      <c r="B380" s="30">
        <v>4</v>
      </c>
      <c r="C380" s="17" t="s">
        <v>515</v>
      </c>
      <c r="D380" s="31" t="s">
        <v>20</v>
      </c>
      <c r="E380" s="32">
        <v>42670</v>
      </c>
      <c r="F380" s="33">
        <v>42670</v>
      </c>
      <c r="G380" s="32">
        <v>42670</v>
      </c>
      <c r="H380" s="22" t="s">
        <v>104</v>
      </c>
      <c r="I380" s="23" t="s">
        <v>39</v>
      </c>
      <c r="J380" s="23" t="s">
        <v>39</v>
      </c>
      <c r="K380" s="22"/>
      <c r="L380" s="23" t="s">
        <v>39</v>
      </c>
      <c r="M380" s="23" t="s">
        <v>39</v>
      </c>
      <c r="N380" s="22"/>
      <c r="O380" s="22"/>
      <c r="P380" s="22"/>
      <c r="Q380" s="22"/>
      <c r="R380" s="23" t="s">
        <v>683</v>
      </c>
      <c r="S380" s="23" t="s">
        <v>39</v>
      </c>
      <c r="T380" s="23" t="s">
        <v>39</v>
      </c>
      <c r="U380" s="23" t="s">
        <v>39</v>
      </c>
      <c r="V380" s="22"/>
      <c r="W380" s="22"/>
      <c r="X380" s="22"/>
      <c r="Y380" s="22"/>
      <c r="Z380" s="22" t="s">
        <v>39</v>
      </c>
      <c r="AA380" s="22" t="s">
        <v>39</v>
      </c>
      <c r="AB380" s="1"/>
      <c r="AC380"/>
      <c r="AD380"/>
      <c r="AE380"/>
      <c r="AF380"/>
      <c r="AG380"/>
    </row>
    <row r="381" spans="1:33" ht="72" customHeight="1" x14ac:dyDescent="0.25">
      <c r="A381" s="17">
        <v>9760072</v>
      </c>
      <c r="B381" s="30">
        <v>1</v>
      </c>
      <c r="C381" s="17" t="s">
        <v>488</v>
      </c>
      <c r="D381" s="31" t="s">
        <v>207</v>
      </c>
      <c r="E381" s="32">
        <v>42670</v>
      </c>
      <c r="F381" s="33">
        <v>42670</v>
      </c>
      <c r="G381" s="32">
        <v>42670</v>
      </c>
      <c r="H381" s="22" t="s">
        <v>104</v>
      </c>
      <c r="I381" s="23" t="s">
        <v>39</v>
      </c>
      <c r="J381" s="23" t="s">
        <v>39</v>
      </c>
      <c r="K381" s="22"/>
      <c r="L381" s="23" t="s">
        <v>39</v>
      </c>
      <c r="M381" s="23" t="s">
        <v>39</v>
      </c>
      <c r="N381" s="22"/>
      <c r="O381" s="22"/>
      <c r="P381" s="22"/>
      <c r="Q381" s="22"/>
      <c r="R381" s="23" t="s">
        <v>683</v>
      </c>
      <c r="S381" s="23" t="s">
        <v>39</v>
      </c>
      <c r="T381" s="23" t="s">
        <v>39</v>
      </c>
      <c r="U381" s="23" t="s">
        <v>39</v>
      </c>
      <c r="V381" s="22"/>
      <c r="W381" s="22"/>
      <c r="X381" s="22"/>
      <c r="Y381" s="22"/>
      <c r="Z381" s="22" t="s">
        <v>39</v>
      </c>
      <c r="AA381" s="22" t="s">
        <v>39</v>
      </c>
      <c r="AB381" s="1"/>
      <c r="AC381"/>
      <c r="AD381"/>
      <c r="AE381"/>
      <c r="AF381"/>
      <c r="AG381"/>
    </row>
    <row r="382" spans="1:33" ht="72" customHeight="1" x14ac:dyDescent="0.25">
      <c r="A382" s="17">
        <v>9760082</v>
      </c>
      <c r="B382" s="30">
        <v>1</v>
      </c>
      <c r="C382" s="17" t="s">
        <v>557</v>
      </c>
      <c r="D382" s="31" t="s">
        <v>10</v>
      </c>
      <c r="E382" s="32">
        <v>42670</v>
      </c>
      <c r="F382" s="33">
        <v>42670</v>
      </c>
      <c r="G382" s="32">
        <v>42670</v>
      </c>
      <c r="H382" s="22" t="s">
        <v>104</v>
      </c>
      <c r="I382" s="23" t="s">
        <v>39</v>
      </c>
      <c r="J382" s="23" t="s">
        <v>39</v>
      </c>
      <c r="K382" s="22"/>
      <c r="L382" s="23" t="s">
        <v>39</v>
      </c>
      <c r="M382" s="23" t="s">
        <v>39</v>
      </c>
      <c r="N382" s="22"/>
      <c r="O382" s="22"/>
      <c r="P382" s="22"/>
      <c r="Q382" s="22"/>
      <c r="R382" s="23" t="s">
        <v>683</v>
      </c>
      <c r="S382" s="23" t="s">
        <v>39</v>
      </c>
      <c r="T382" s="23" t="s">
        <v>39</v>
      </c>
      <c r="U382" s="23" t="s">
        <v>39</v>
      </c>
      <c r="V382" s="22"/>
      <c r="W382" s="22"/>
      <c r="X382" s="22"/>
      <c r="Y382" s="22"/>
      <c r="Z382" s="22" t="s">
        <v>39</v>
      </c>
      <c r="AA382" s="22" t="s">
        <v>39</v>
      </c>
      <c r="AB382" s="1"/>
      <c r="AC382"/>
      <c r="AD382"/>
      <c r="AE382"/>
      <c r="AF382"/>
      <c r="AG382"/>
    </row>
    <row r="383" spans="1:33" ht="72" customHeight="1" x14ac:dyDescent="0.25">
      <c r="A383" s="17">
        <v>9760083</v>
      </c>
      <c r="B383" s="30">
        <v>1</v>
      </c>
      <c r="C383" s="17" t="s">
        <v>577</v>
      </c>
      <c r="D383" s="31" t="s">
        <v>52</v>
      </c>
      <c r="E383" s="32">
        <v>42670</v>
      </c>
      <c r="F383" s="33">
        <v>42670</v>
      </c>
      <c r="G383" s="32">
        <v>42670</v>
      </c>
      <c r="H383" s="22" t="s">
        <v>104</v>
      </c>
      <c r="I383" s="23" t="s">
        <v>39</v>
      </c>
      <c r="J383" s="23" t="s">
        <v>39</v>
      </c>
      <c r="K383" s="22"/>
      <c r="L383" s="23" t="s">
        <v>39</v>
      </c>
      <c r="M383" s="23" t="s">
        <v>39</v>
      </c>
      <c r="N383" s="22"/>
      <c r="O383" s="22"/>
      <c r="P383" s="22"/>
      <c r="Q383" s="22"/>
      <c r="R383" s="23" t="s">
        <v>683</v>
      </c>
      <c r="S383" s="23" t="s">
        <v>39</v>
      </c>
      <c r="T383" s="23" t="s">
        <v>39</v>
      </c>
      <c r="U383" s="23" t="s">
        <v>39</v>
      </c>
      <c r="V383" s="22"/>
      <c r="W383" s="22"/>
      <c r="X383" s="22"/>
      <c r="Y383" s="22"/>
      <c r="Z383" s="22" t="s">
        <v>39</v>
      </c>
      <c r="AA383" s="22" t="s">
        <v>39</v>
      </c>
      <c r="AB383" s="1"/>
      <c r="AC383"/>
      <c r="AD383"/>
      <c r="AE383"/>
      <c r="AF383"/>
      <c r="AG383"/>
    </row>
    <row r="384" spans="1:33" ht="72" customHeight="1" x14ac:dyDescent="0.25">
      <c r="A384" s="17">
        <v>9760092</v>
      </c>
      <c r="B384" s="30">
        <v>1</v>
      </c>
      <c r="C384" s="17" t="s">
        <v>24</v>
      </c>
      <c r="D384" s="31" t="s">
        <v>20</v>
      </c>
      <c r="E384" s="32">
        <v>42670</v>
      </c>
      <c r="F384" s="33">
        <v>42670</v>
      </c>
      <c r="G384" s="32">
        <v>42670</v>
      </c>
      <c r="H384" s="22" t="s">
        <v>104</v>
      </c>
      <c r="I384" s="23" t="s">
        <v>39</v>
      </c>
      <c r="J384" s="23" t="s">
        <v>39</v>
      </c>
      <c r="K384" s="22"/>
      <c r="L384" s="23" t="s">
        <v>39</v>
      </c>
      <c r="M384" s="23" t="s">
        <v>39</v>
      </c>
      <c r="N384" s="22"/>
      <c r="O384" s="22"/>
      <c r="P384" s="22"/>
      <c r="Q384" s="22"/>
      <c r="R384" s="23" t="s">
        <v>683</v>
      </c>
      <c r="S384" s="23" t="s">
        <v>39</v>
      </c>
      <c r="T384" s="23" t="s">
        <v>39</v>
      </c>
      <c r="U384" s="23" t="s">
        <v>39</v>
      </c>
      <c r="V384" s="22"/>
      <c r="W384" s="22"/>
      <c r="X384" s="22"/>
      <c r="Y384" s="22"/>
      <c r="Z384" s="22" t="s">
        <v>39</v>
      </c>
      <c r="AA384" s="22" t="s">
        <v>39</v>
      </c>
      <c r="AB384" s="1"/>
      <c r="AC384"/>
      <c r="AD384"/>
      <c r="AE384"/>
      <c r="AF384"/>
      <c r="AG384"/>
    </row>
    <row r="385" spans="1:33" ht="72" customHeight="1" x14ac:dyDescent="0.25">
      <c r="A385" s="17">
        <v>9760093</v>
      </c>
      <c r="B385" s="30">
        <v>1</v>
      </c>
      <c r="C385" s="17" t="s">
        <v>170</v>
      </c>
      <c r="D385" s="31" t="s">
        <v>20</v>
      </c>
      <c r="E385" s="32">
        <v>42670</v>
      </c>
      <c r="F385" s="33">
        <v>42670</v>
      </c>
      <c r="G385" s="32">
        <v>42670</v>
      </c>
      <c r="H385" s="22" t="s">
        <v>104</v>
      </c>
      <c r="I385" s="23" t="s">
        <v>39</v>
      </c>
      <c r="J385" s="23" t="s">
        <v>39</v>
      </c>
      <c r="K385" s="22"/>
      <c r="L385" s="23" t="s">
        <v>39</v>
      </c>
      <c r="M385" s="23" t="s">
        <v>39</v>
      </c>
      <c r="N385" s="22"/>
      <c r="O385" s="22"/>
      <c r="P385" s="22"/>
      <c r="Q385" s="22"/>
      <c r="R385" s="23" t="s">
        <v>683</v>
      </c>
      <c r="S385" s="23" t="s">
        <v>39</v>
      </c>
      <c r="T385" s="23" t="s">
        <v>39</v>
      </c>
      <c r="U385" s="23" t="s">
        <v>39</v>
      </c>
      <c r="V385" s="22"/>
      <c r="W385" s="22"/>
      <c r="X385" s="22"/>
      <c r="Y385" s="22"/>
      <c r="Z385" s="22" t="s">
        <v>39</v>
      </c>
      <c r="AA385" s="22" t="s">
        <v>39</v>
      </c>
      <c r="AB385" s="1"/>
      <c r="AC385"/>
      <c r="AD385"/>
      <c r="AE385"/>
      <c r="AF385"/>
      <c r="AG385"/>
    </row>
    <row r="386" spans="1:33" ht="72" customHeight="1" x14ac:dyDescent="0.25">
      <c r="A386" s="17">
        <v>9760094</v>
      </c>
      <c r="B386" s="30">
        <v>1</v>
      </c>
      <c r="C386" s="17" t="s">
        <v>491</v>
      </c>
      <c r="D386" s="31" t="s">
        <v>20</v>
      </c>
      <c r="E386" s="32">
        <v>42670</v>
      </c>
      <c r="F386" s="33">
        <v>42670</v>
      </c>
      <c r="G386" s="32">
        <v>42670</v>
      </c>
      <c r="H386" s="22" t="s">
        <v>104</v>
      </c>
      <c r="I386" s="23" t="s">
        <v>39</v>
      </c>
      <c r="J386" s="23" t="s">
        <v>39</v>
      </c>
      <c r="K386" s="22"/>
      <c r="L386" s="23" t="s">
        <v>39</v>
      </c>
      <c r="M386" s="23" t="s">
        <v>39</v>
      </c>
      <c r="N386" s="22"/>
      <c r="O386" s="22"/>
      <c r="P386" s="22"/>
      <c r="Q386" s="22"/>
      <c r="R386" s="23" t="s">
        <v>683</v>
      </c>
      <c r="S386" s="23" t="s">
        <v>39</v>
      </c>
      <c r="T386" s="23" t="s">
        <v>39</v>
      </c>
      <c r="U386" s="23" t="s">
        <v>39</v>
      </c>
      <c r="V386" s="22"/>
      <c r="W386" s="22"/>
      <c r="X386" s="22"/>
      <c r="Y386" s="22"/>
      <c r="Z386" s="22" t="s">
        <v>39</v>
      </c>
      <c r="AA386" s="22" t="s">
        <v>39</v>
      </c>
      <c r="AB386" s="1"/>
      <c r="AC386"/>
      <c r="AD386"/>
      <c r="AE386"/>
      <c r="AF386"/>
      <c r="AG386"/>
    </row>
    <row r="387" spans="1:33" ht="72" customHeight="1" x14ac:dyDescent="0.25">
      <c r="A387" s="17">
        <v>9760095</v>
      </c>
      <c r="B387" s="30">
        <v>1</v>
      </c>
      <c r="C387" s="17" t="s">
        <v>326</v>
      </c>
      <c r="D387" s="31" t="s">
        <v>20</v>
      </c>
      <c r="E387" s="32">
        <v>42670</v>
      </c>
      <c r="F387" s="33">
        <v>42670</v>
      </c>
      <c r="G387" s="32">
        <v>42670</v>
      </c>
      <c r="H387" s="22" t="s">
        <v>104</v>
      </c>
      <c r="I387" s="23" t="s">
        <v>39</v>
      </c>
      <c r="J387" s="23" t="s">
        <v>39</v>
      </c>
      <c r="K387" s="22"/>
      <c r="L387" s="23" t="s">
        <v>39</v>
      </c>
      <c r="M387" s="23" t="s">
        <v>39</v>
      </c>
      <c r="N387" s="22"/>
      <c r="O387" s="22"/>
      <c r="P387" s="22"/>
      <c r="Q387" s="22"/>
      <c r="R387" s="23" t="s">
        <v>683</v>
      </c>
      <c r="S387" s="23" t="s">
        <v>39</v>
      </c>
      <c r="T387" s="23" t="s">
        <v>39</v>
      </c>
      <c r="U387" s="23" t="s">
        <v>39</v>
      </c>
      <c r="V387" s="22"/>
      <c r="W387" s="22"/>
      <c r="X387" s="22"/>
      <c r="Y387" s="22"/>
      <c r="Z387" s="22" t="s">
        <v>39</v>
      </c>
      <c r="AA387" s="22" t="s">
        <v>39</v>
      </c>
      <c r="AB387" s="1"/>
      <c r="AC387"/>
      <c r="AD387"/>
      <c r="AE387"/>
      <c r="AF387"/>
      <c r="AG387"/>
    </row>
    <row r="388" spans="1:33" ht="72" customHeight="1" x14ac:dyDescent="0.25">
      <c r="A388" s="17">
        <v>9760096</v>
      </c>
      <c r="B388" s="30">
        <v>1</v>
      </c>
      <c r="C388" s="17" t="s">
        <v>415</v>
      </c>
      <c r="D388" s="31" t="s">
        <v>20</v>
      </c>
      <c r="E388" s="32">
        <v>42670</v>
      </c>
      <c r="F388" s="33">
        <v>42670</v>
      </c>
      <c r="G388" s="32">
        <v>42670</v>
      </c>
      <c r="H388" s="22" t="s">
        <v>104</v>
      </c>
      <c r="I388" s="23" t="s">
        <v>39</v>
      </c>
      <c r="J388" s="23" t="s">
        <v>39</v>
      </c>
      <c r="K388" s="22"/>
      <c r="L388" s="23" t="s">
        <v>39</v>
      </c>
      <c r="M388" s="23" t="s">
        <v>39</v>
      </c>
      <c r="N388" s="22"/>
      <c r="O388" s="22"/>
      <c r="P388" s="22"/>
      <c r="Q388" s="22"/>
      <c r="R388" s="23" t="s">
        <v>683</v>
      </c>
      <c r="S388" s="23" t="s">
        <v>39</v>
      </c>
      <c r="T388" s="23" t="s">
        <v>39</v>
      </c>
      <c r="U388" s="23" t="s">
        <v>39</v>
      </c>
      <c r="V388" s="22"/>
      <c r="W388" s="22"/>
      <c r="X388" s="22"/>
      <c r="Y388" s="22"/>
      <c r="Z388" s="22" t="s">
        <v>39</v>
      </c>
      <c r="AA388" s="22" t="s">
        <v>39</v>
      </c>
      <c r="AB388" s="1"/>
      <c r="AC388"/>
      <c r="AD388"/>
      <c r="AE388"/>
      <c r="AF388"/>
      <c r="AG388"/>
    </row>
    <row r="389" spans="1:33" ht="72" customHeight="1" x14ac:dyDescent="0.25">
      <c r="A389" s="17">
        <v>9760109</v>
      </c>
      <c r="B389" s="30">
        <v>2</v>
      </c>
      <c r="C389" s="17" t="s">
        <v>490</v>
      </c>
      <c r="D389" s="31" t="s">
        <v>20</v>
      </c>
      <c r="E389" s="32">
        <v>42670</v>
      </c>
      <c r="F389" s="33">
        <v>42670</v>
      </c>
      <c r="G389" s="32">
        <v>42670</v>
      </c>
      <c r="H389" s="22" t="s">
        <v>104</v>
      </c>
      <c r="I389" s="23" t="s">
        <v>39</v>
      </c>
      <c r="J389" s="23" t="s">
        <v>39</v>
      </c>
      <c r="K389" s="22"/>
      <c r="L389" s="23" t="s">
        <v>39</v>
      </c>
      <c r="M389" s="23" t="s">
        <v>39</v>
      </c>
      <c r="N389" s="22"/>
      <c r="O389" s="22"/>
      <c r="P389" s="22"/>
      <c r="Q389" s="22"/>
      <c r="R389" s="23" t="s">
        <v>683</v>
      </c>
      <c r="S389" s="23" t="s">
        <v>39</v>
      </c>
      <c r="T389" s="23" t="s">
        <v>39</v>
      </c>
      <c r="U389" s="23" t="s">
        <v>39</v>
      </c>
      <c r="V389" s="22"/>
      <c r="W389" s="22"/>
      <c r="X389" s="22"/>
      <c r="Y389" s="22"/>
      <c r="Z389" s="22" t="s">
        <v>39</v>
      </c>
      <c r="AA389" s="22" t="s">
        <v>39</v>
      </c>
      <c r="AB389" s="1"/>
      <c r="AC389"/>
      <c r="AD389"/>
      <c r="AE389"/>
      <c r="AF389"/>
      <c r="AG389"/>
    </row>
    <row r="390" spans="1:33" ht="72" customHeight="1" x14ac:dyDescent="0.25">
      <c r="A390" s="17">
        <v>9760110</v>
      </c>
      <c r="B390" s="30">
        <v>1</v>
      </c>
      <c r="C390" s="17" t="s">
        <v>450</v>
      </c>
      <c r="D390" s="31" t="s">
        <v>349</v>
      </c>
      <c r="E390" s="32">
        <v>42670</v>
      </c>
      <c r="F390" s="33">
        <v>42670</v>
      </c>
      <c r="G390" s="32">
        <v>42670</v>
      </c>
      <c r="H390" s="22" t="s">
        <v>104</v>
      </c>
      <c r="I390" s="23" t="s">
        <v>39</v>
      </c>
      <c r="J390" s="23" t="s">
        <v>39</v>
      </c>
      <c r="K390" s="22"/>
      <c r="L390" s="23" t="s">
        <v>39</v>
      </c>
      <c r="M390" s="23" t="s">
        <v>39</v>
      </c>
      <c r="N390" s="22"/>
      <c r="O390" s="22"/>
      <c r="P390" s="22"/>
      <c r="Q390" s="22"/>
      <c r="R390" s="23" t="s">
        <v>683</v>
      </c>
      <c r="S390" s="23" t="s">
        <v>39</v>
      </c>
      <c r="T390" s="23" t="s">
        <v>39</v>
      </c>
      <c r="U390" s="23" t="s">
        <v>39</v>
      </c>
      <c r="V390" s="22"/>
      <c r="W390" s="22"/>
      <c r="X390" s="22"/>
      <c r="Y390" s="22"/>
      <c r="Z390" s="22" t="s">
        <v>39</v>
      </c>
      <c r="AA390" s="22" t="s">
        <v>39</v>
      </c>
      <c r="AB390" s="1"/>
      <c r="AC390"/>
      <c r="AD390"/>
      <c r="AE390"/>
      <c r="AF390"/>
      <c r="AG390"/>
    </row>
    <row r="391" spans="1:33" ht="72" customHeight="1" x14ac:dyDescent="0.25">
      <c r="A391" s="17">
        <v>9760116</v>
      </c>
      <c r="B391" s="30">
        <v>2</v>
      </c>
      <c r="C391" s="17" t="s">
        <v>272</v>
      </c>
      <c r="D391" s="31" t="s">
        <v>10</v>
      </c>
      <c r="E391" s="32">
        <v>42670</v>
      </c>
      <c r="F391" s="33">
        <v>42670</v>
      </c>
      <c r="G391" s="32">
        <v>42670</v>
      </c>
      <c r="H391" s="22" t="s">
        <v>104</v>
      </c>
      <c r="I391" s="23" t="s">
        <v>39</v>
      </c>
      <c r="J391" s="23" t="s">
        <v>39</v>
      </c>
      <c r="K391" s="22"/>
      <c r="L391" s="23" t="s">
        <v>39</v>
      </c>
      <c r="M391" s="23" t="s">
        <v>39</v>
      </c>
      <c r="N391" s="22"/>
      <c r="O391" s="22"/>
      <c r="P391" s="22"/>
      <c r="Q391" s="22"/>
      <c r="R391" s="23" t="s">
        <v>683</v>
      </c>
      <c r="S391" s="23" t="s">
        <v>39</v>
      </c>
      <c r="T391" s="23" t="s">
        <v>39</v>
      </c>
      <c r="U391" s="23" t="s">
        <v>39</v>
      </c>
      <c r="V391" s="22"/>
      <c r="W391" s="22"/>
      <c r="X391" s="22"/>
      <c r="Y391" s="22"/>
      <c r="Z391" s="22" t="s">
        <v>39</v>
      </c>
      <c r="AA391" s="22" t="s">
        <v>39</v>
      </c>
      <c r="AB391" s="1"/>
      <c r="AC391"/>
      <c r="AD391"/>
      <c r="AE391"/>
      <c r="AF391"/>
      <c r="AG391"/>
    </row>
    <row r="392" spans="1:33" ht="72" customHeight="1" x14ac:dyDescent="0.25">
      <c r="A392" s="17">
        <v>9760176</v>
      </c>
      <c r="B392" s="30">
        <v>1</v>
      </c>
      <c r="C392" s="17" t="s">
        <v>646</v>
      </c>
      <c r="D392" s="31" t="s">
        <v>20</v>
      </c>
      <c r="E392" s="32">
        <v>42671</v>
      </c>
      <c r="F392" s="33">
        <v>42671</v>
      </c>
      <c r="G392" s="32">
        <v>42671</v>
      </c>
      <c r="H392" s="22" t="s">
        <v>104</v>
      </c>
      <c r="I392" s="23" t="s">
        <v>39</v>
      </c>
      <c r="J392" s="23" t="s">
        <v>39</v>
      </c>
      <c r="K392" s="22"/>
      <c r="L392" s="23" t="s">
        <v>39</v>
      </c>
      <c r="M392" s="23" t="s">
        <v>39</v>
      </c>
      <c r="N392" s="22"/>
      <c r="O392" s="22"/>
      <c r="P392" s="22"/>
      <c r="Q392" s="22"/>
      <c r="R392" s="23" t="s">
        <v>683</v>
      </c>
      <c r="S392" s="23" t="s">
        <v>39</v>
      </c>
      <c r="T392" s="23" t="s">
        <v>39</v>
      </c>
      <c r="U392" s="23" t="s">
        <v>39</v>
      </c>
      <c r="V392" s="22"/>
      <c r="W392" s="22"/>
      <c r="X392" s="22"/>
      <c r="Y392" s="22"/>
      <c r="Z392" s="22" t="s">
        <v>39</v>
      </c>
      <c r="AA392" s="22" t="s">
        <v>39</v>
      </c>
      <c r="AB392" s="1"/>
      <c r="AC392"/>
      <c r="AD392"/>
      <c r="AE392"/>
      <c r="AF392"/>
      <c r="AG392"/>
    </row>
    <row r="393" spans="1:33" ht="72" customHeight="1" x14ac:dyDescent="0.25">
      <c r="A393" s="17">
        <v>9760177</v>
      </c>
      <c r="B393" s="30">
        <v>1</v>
      </c>
      <c r="C393" s="17" t="s">
        <v>479</v>
      </c>
      <c r="D393" s="31" t="s">
        <v>165</v>
      </c>
      <c r="E393" s="32">
        <v>42671</v>
      </c>
      <c r="F393" s="33">
        <v>42671</v>
      </c>
      <c r="G393" s="32">
        <v>42671</v>
      </c>
      <c r="H393" s="22" t="s">
        <v>104</v>
      </c>
      <c r="I393" s="23" t="s">
        <v>39</v>
      </c>
      <c r="J393" s="23" t="s">
        <v>39</v>
      </c>
      <c r="K393" s="22"/>
      <c r="L393" s="23" t="s">
        <v>39</v>
      </c>
      <c r="M393" s="23" t="s">
        <v>39</v>
      </c>
      <c r="N393" s="22"/>
      <c r="O393" s="22"/>
      <c r="P393" s="22"/>
      <c r="Q393" s="22"/>
      <c r="R393" s="23" t="s">
        <v>683</v>
      </c>
      <c r="S393" s="23" t="s">
        <v>39</v>
      </c>
      <c r="T393" s="23" t="s">
        <v>39</v>
      </c>
      <c r="U393" s="23" t="s">
        <v>39</v>
      </c>
      <c r="V393" s="22"/>
      <c r="W393" s="22"/>
      <c r="X393" s="22"/>
      <c r="Y393" s="22"/>
      <c r="Z393" s="22" t="s">
        <v>39</v>
      </c>
      <c r="AA393" s="22" t="s">
        <v>39</v>
      </c>
      <c r="AB393" s="1"/>
      <c r="AC393"/>
      <c r="AD393"/>
      <c r="AE393"/>
      <c r="AF393"/>
      <c r="AG393"/>
    </row>
    <row r="394" spans="1:33" ht="72" customHeight="1" x14ac:dyDescent="0.25">
      <c r="A394" s="17">
        <v>9760178</v>
      </c>
      <c r="B394" s="30">
        <v>8</v>
      </c>
      <c r="C394" s="17" t="s">
        <v>649</v>
      </c>
      <c r="D394" s="31" t="s">
        <v>420</v>
      </c>
      <c r="E394" s="32">
        <v>42671</v>
      </c>
      <c r="F394" s="33">
        <v>42671</v>
      </c>
      <c r="G394" s="32">
        <v>42671</v>
      </c>
      <c r="H394" s="22" t="s">
        <v>96</v>
      </c>
      <c r="I394" s="23" t="s">
        <v>39</v>
      </c>
      <c r="J394" s="23" t="s">
        <v>39</v>
      </c>
      <c r="K394" s="22"/>
      <c r="L394" s="23" t="s">
        <v>39</v>
      </c>
      <c r="M394" s="23" t="s">
        <v>39</v>
      </c>
      <c r="N394" s="22"/>
      <c r="O394" s="22"/>
      <c r="P394" s="22"/>
      <c r="Q394" s="22"/>
      <c r="R394" s="23" t="s">
        <v>39</v>
      </c>
      <c r="S394" s="23" t="s">
        <v>39</v>
      </c>
      <c r="T394" s="23" t="e">
        <v>#N/A</v>
      </c>
      <c r="U394" s="23" t="s">
        <v>39</v>
      </c>
      <c r="V394" s="22"/>
      <c r="W394" s="22"/>
      <c r="X394" s="22"/>
      <c r="Y394" s="22"/>
      <c r="Z394" s="22" t="s">
        <v>39</v>
      </c>
      <c r="AA394" s="22" t="s">
        <v>39</v>
      </c>
      <c r="AB394" s="1"/>
      <c r="AC394"/>
      <c r="AD394"/>
      <c r="AE394"/>
      <c r="AF394"/>
      <c r="AG394"/>
    </row>
    <row r="395" spans="1:33" ht="72" customHeight="1" x14ac:dyDescent="0.25">
      <c r="A395" s="17">
        <v>9760179</v>
      </c>
      <c r="B395" s="30">
        <v>1</v>
      </c>
      <c r="C395" s="17" t="s">
        <v>668</v>
      </c>
      <c r="D395" s="31" t="s">
        <v>52</v>
      </c>
      <c r="E395" s="32">
        <v>42671</v>
      </c>
      <c r="F395" s="33">
        <v>42671</v>
      </c>
      <c r="G395" s="32">
        <v>42671</v>
      </c>
      <c r="H395" s="22" t="s">
        <v>104</v>
      </c>
      <c r="I395" s="23" t="s">
        <v>39</v>
      </c>
      <c r="J395" s="23" t="s">
        <v>39</v>
      </c>
      <c r="K395" s="22"/>
      <c r="L395" s="23" t="s">
        <v>39</v>
      </c>
      <c r="M395" s="23" t="s">
        <v>39</v>
      </c>
      <c r="N395" s="22"/>
      <c r="O395" s="22"/>
      <c r="P395" s="22"/>
      <c r="Q395" s="22"/>
      <c r="R395" s="23" t="s">
        <v>683</v>
      </c>
      <c r="S395" s="23" t="s">
        <v>39</v>
      </c>
      <c r="T395" s="23" t="s">
        <v>39</v>
      </c>
      <c r="U395" s="23" t="s">
        <v>39</v>
      </c>
      <c r="V395" s="22"/>
      <c r="W395" s="22"/>
      <c r="X395" s="22"/>
      <c r="Y395" s="22"/>
      <c r="Z395" s="22" t="s">
        <v>39</v>
      </c>
      <c r="AA395" s="22" t="s">
        <v>39</v>
      </c>
      <c r="AB395" s="1"/>
      <c r="AC395"/>
      <c r="AD395"/>
      <c r="AE395"/>
      <c r="AF395"/>
      <c r="AG395"/>
    </row>
    <row r="396" spans="1:33" ht="72" customHeight="1" x14ac:dyDescent="0.25">
      <c r="A396" s="17">
        <v>9760265</v>
      </c>
      <c r="B396" s="30">
        <v>1</v>
      </c>
      <c r="C396" s="17" t="s">
        <v>149</v>
      </c>
      <c r="D396" s="31" t="s">
        <v>11</v>
      </c>
      <c r="E396" s="32">
        <v>42671</v>
      </c>
      <c r="F396" s="33">
        <v>42671</v>
      </c>
      <c r="G396" s="32">
        <v>42671</v>
      </c>
      <c r="H396" s="22" t="s">
        <v>104</v>
      </c>
      <c r="I396" s="23" t="s">
        <v>39</v>
      </c>
      <c r="J396" s="23" t="s">
        <v>39</v>
      </c>
      <c r="K396" s="22"/>
      <c r="L396" s="23" t="s">
        <v>39</v>
      </c>
      <c r="M396" s="23" t="s">
        <v>39</v>
      </c>
      <c r="N396" s="22"/>
      <c r="O396" s="22"/>
      <c r="P396" s="22"/>
      <c r="Q396" s="22"/>
      <c r="R396" s="23" t="s">
        <v>683</v>
      </c>
      <c r="S396" s="23" t="s">
        <v>39</v>
      </c>
      <c r="T396" s="23" t="s">
        <v>39</v>
      </c>
      <c r="U396" s="23" t="s">
        <v>39</v>
      </c>
      <c r="V396" s="22"/>
      <c r="W396" s="22"/>
      <c r="X396" s="22"/>
      <c r="Y396" s="22"/>
      <c r="Z396" s="22" t="s">
        <v>39</v>
      </c>
      <c r="AA396" s="22" t="s">
        <v>39</v>
      </c>
      <c r="AB396" s="1"/>
      <c r="AC396"/>
      <c r="AD396"/>
      <c r="AE396"/>
      <c r="AF396"/>
      <c r="AG396"/>
    </row>
    <row r="397" spans="1:33" ht="72" customHeight="1" x14ac:dyDescent="0.25">
      <c r="A397" s="17">
        <v>9760266</v>
      </c>
      <c r="B397" s="30">
        <v>1</v>
      </c>
      <c r="C397" s="17" t="s">
        <v>249</v>
      </c>
      <c r="D397" s="31" t="s">
        <v>11</v>
      </c>
      <c r="E397" s="32">
        <v>42671</v>
      </c>
      <c r="F397" s="33">
        <v>42671</v>
      </c>
      <c r="G397" s="32">
        <v>42671</v>
      </c>
      <c r="H397" s="22" t="s">
        <v>104</v>
      </c>
      <c r="I397" s="23" t="s">
        <v>39</v>
      </c>
      <c r="J397" s="23" t="s">
        <v>39</v>
      </c>
      <c r="K397" s="22"/>
      <c r="L397" s="23" t="s">
        <v>39</v>
      </c>
      <c r="M397" s="23" t="s">
        <v>39</v>
      </c>
      <c r="N397" s="22"/>
      <c r="O397" s="22"/>
      <c r="P397" s="22"/>
      <c r="Q397" s="22"/>
      <c r="R397" s="23" t="s">
        <v>683</v>
      </c>
      <c r="S397" s="23" t="s">
        <v>39</v>
      </c>
      <c r="T397" s="23" t="s">
        <v>39</v>
      </c>
      <c r="U397" s="23" t="s">
        <v>39</v>
      </c>
      <c r="V397" s="22"/>
      <c r="W397" s="22"/>
      <c r="X397" s="22"/>
      <c r="Y397" s="22"/>
      <c r="Z397" s="22" t="s">
        <v>39</v>
      </c>
      <c r="AA397" s="22" t="s">
        <v>39</v>
      </c>
      <c r="AB397" s="1"/>
      <c r="AC397"/>
      <c r="AD397"/>
      <c r="AE397"/>
      <c r="AF397"/>
      <c r="AG397"/>
    </row>
    <row r="398" spans="1:33" ht="72" customHeight="1" x14ac:dyDescent="0.25">
      <c r="A398" s="17">
        <v>9760267</v>
      </c>
      <c r="B398" s="30">
        <v>1</v>
      </c>
      <c r="C398" s="17" t="s">
        <v>608</v>
      </c>
      <c r="D398" s="31" t="s">
        <v>11</v>
      </c>
      <c r="E398" s="32">
        <v>42671</v>
      </c>
      <c r="F398" s="33">
        <v>42671</v>
      </c>
      <c r="G398" s="32">
        <v>42671</v>
      </c>
      <c r="H398" s="22" t="s">
        <v>104</v>
      </c>
      <c r="I398" s="23" t="s">
        <v>39</v>
      </c>
      <c r="J398" s="23" t="s">
        <v>39</v>
      </c>
      <c r="K398" s="22"/>
      <c r="L398" s="23" t="s">
        <v>39</v>
      </c>
      <c r="M398" s="23" t="s">
        <v>39</v>
      </c>
      <c r="N398" s="22"/>
      <c r="O398" s="22"/>
      <c r="P398" s="22"/>
      <c r="Q398" s="22"/>
      <c r="R398" s="23" t="s">
        <v>683</v>
      </c>
      <c r="S398" s="23" t="s">
        <v>39</v>
      </c>
      <c r="T398" s="23" t="s">
        <v>39</v>
      </c>
      <c r="U398" s="23" t="s">
        <v>39</v>
      </c>
      <c r="V398" s="22"/>
      <c r="W398" s="22"/>
      <c r="X398" s="22"/>
      <c r="Y398" s="22"/>
      <c r="Z398" s="22" t="s">
        <v>39</v>
      </c>
      <c r="AA398" s="22" t="s">
        <v>39</v>
      </c>
      <c r="AB398" s="1"/>
      <c r="AC398"/>
      <c r="AD398"/>
      <c r="AE398"/>
      <c r="AF398"/>
      <c r="AG398"/>
    </row>
    <row r="399" spans="1:33" ht="72" customHeight="1" x14ac:dyDescent="0.25">
      <c r="A399" s="17">
        <v>9760268</v>
      </c>
      <c r="B399" s="30">
        <v>2</v>
      </c>
      <c r="C399" s="17" t="s">
        <v>184</v>
      </c>
      <c r="D399" s="31" t="s">
        <v>11</v>
      </c>
      <c r="E399" s="32">
        <v>42671</v>
      </c>
      <c r="F399" s="33">
        <v>42671</v>
      </c>
      <c r="G399" s="32">
        <v>42671</v>
      </c>
      <c r="H399" s="22" t="s">
        <v>104</v>
      </c>
      <c r="I399" s="23" t="s">
        <v>39</v>
      </c>
      <c r="J399" s="23" t="s">
        <v>39</v>
      </c>
      <c r="K399" s="22"/>
      <c r="L399" s="23" t="s">
        <v>39</v>
      </c>
      <c r="M399" s="23" t="s">
        <v>39</v>
      </c>
      <c r="N399" s="22"/>
      <c r="O399" s="22"/>
      <c r="P399" s="22"/>
      <c r="Q399" s="22"/>
      <c r="R399" s="23" t="s">
        <v>683</v>
      </c>
      <c r="S399" s="23" t="s">
        <v>39</v>
      </c>
      <c r="T399" s="23" t="s">
        <v>39</v>
      </c>
      <c r="U399" s="23" t="s">
        <v>39</v>
      </c>
      <c r="V399" s="22"/>
      <c r="W399" s="22"/>
      <c r="X399" s="22"/>
      <c r="Y399" s="22"/>
      <c r="Z399" s="22" t="s">
        <v>39</v>
      </c>
      <c r="AA399" s="22" t="s">
        <v>39</v>
      </c>
      <c r="AB399" s="1"/>
      <c r="AC399"/>
      <c r="AD399"/>
      <c r="AE399"/>
      <c r="AF399"/>
      <c r="AG399"/>
    </row>
    <row r="400" spans="1:33" ht="72" customHeight="1" x14ac:dyDescent="0.25">
      <c r="A400" s="17">
        <v>9760269</v>
      </c>
      <c r="B400" s="30">
        <v>1</v>
      </c>
      <c r="C400" s="17" t="s">
        <v>490</v>
      </c>
      <c r="D400" s="31" t="s">
        <v>20</v>
      </c>
      <c r="E400" s="32">
        <v>42671</v>
      </c>
      <c r="F400" s="33">
        <v>42671</v>
      </c>
      <c r="G400" s="32">
        <v>42671</v>
      </c>
      <c r="H400" s="22" t="s">
        <v>104</v>
      </c>
      <c r="I400" s="23" t="s">
        <v>39</v>
      </c>
      <c r="J400" s="23" t="s">
        <v>39</v>
      </c>
      <c r="K400" s="22"/>
      <c r="L400" s="23" t="s">
        <v>39</v>
      </c>
      <c r="M400" s="23" t="s">
        <v>39</v>
      </c>
      <c r="N400" s="22"/>
      <c r="O400" s="22"/>
      <c r="P400" s="22"/>
      <c r="Q400" s="22"/>
      <c r="R400" s="23" t="s">
        <v>683</v>
      </c>
      <c r="S400" s="23" t="s">
        <v>39</v>
      </c>
      <c r="T400" s="23" t="s">
        <v>39</v>
      </c>
      <c r="U400" s="23" t="s">
        <v>39</v>
      </c>
      <c r="V400" s="22"/>
      <c r="W400" s="22"/>
      <c r="X400" s="22"/>
      <c r="Y400" s="22"/>
      <c r="Z400" s="22" t="s">
        <v>39</v>
      </c>
      <c r="AA400" s="22" t="s">
        <v>39</v>
      </c>
      <c r="AB400" s="1"/>
      <c r="AC400"/>
      <c r="AD400"/>
      <c r="AE400"/>
      <c r="AF400"/>
      <c r="AG400"/>
    </row>
    <row r="401" spans="1:33" ht="72" customHeight="1" x14ac:dyDescent="0.25">
      <c r="A401" s="17">
        <v>9760270</v>
      </c>
      <c r="B401" s="30">
        <v>1</v>
      </c>
      <c r="C401" s="17" t="s">
        <v>401</v>
      </c>
      <c r="D401" s="31" t="s">
        <v>20</v>
      </c>
      <c r="E401" s="32">
        <v>42671</v>
      </c>
      <c r="F401" s="33">
        <v>42671</v>
      </c>
      <c r="G401" s="32">
        <v>42671</v>
      </c>
      <c r="H401" s="22" t="s">
        <v>104</v>
      </c>
      <c r="I401" s="23" t="s">
        <v>39</v>
      </c>
      <c r="J401" s="23" t="s">
        <v>39</v>
      </c>
      <c r="K401" s="22"/>
      <c r="L401" s="23" t="s">
        <v>39</v>
      </c>
      <c r="M401" s="23" t="s">
        <v>39</v>
      </c>
      <c r="N401" s="22"/>
      <c r="O401" s="22"/>
      <c r="P401" s="22"/>
      <c r="Q401" s="22"/>
      <c r="R401" s="23" t="s">
        <v>683</v>
      </c>
      <c r="S401" s="23" t="s">
        <v>39</v>
      </c>
      <c r="T401" s="23" t="s">
        <v>39</v>
      </c>
      <c r="U401" s="23" t="s">
        <v>39</v>
      </c>
      <c r="V401" s="22"/>
      <c r="W401" s="22"/>
      <c r="X401" s="22"/>
      <c r="Y401" s="22"/>
      <c r="Z401" s="22" t="s">
        <v>39</v>
      </c>
      <c r="AA401" s="22" t="s">
        <v>39</v>
      </c>
      <c r="AB401" s="1"/>
      <c r="AC401"/>
      <c r="AD401"/>
      <c r="AE401"/>
      <c r="AF401"/>
      <c r="AG401"/>
    </row>
    <row r="402" spans="1:33" ht="72" customHeight="1" x14ac:dyDescent="0.25">
      <c r="A402" s="17">
        <v>9760271</v>
      </c>
      <c r="B402" s="30">
        <v>1</v>
      </c>
      <c r="C402" s="17" t="s">
        <v>327</v>
      </c>
      <c r="D402" s="31" t="s">
        <v>20</v>
      </c>
      <c r="E402" s="32">
        <v>42671</v>
      </c>
      <c r="F402" s="33">
        <v>42671</v>
      </c>
      <c r="G402" s="32">
        <v>42671</v>
      </c>
      <c r="H402" s="22" t="s">
        <v>104</v>
      </c>
      <c r="I402" s="23" t="s">
        <v>39</v>
      </c>
      <c r="J402" s="23" t="s">
        <v>39</v>
      </c>
      <c r="K402" s="22"/>
      <c r="L402" s="23" t="s">
        <v>39</v>
      </c>
      <c r="M402" s="23" t="s">
        <v>39</v>
      </c>
      <c r="N402" s="22"/>
      <c r="O402" s="22"/>
      <c r="P402" s="22"/>
      <c r="Q402" s="22"/>
      <c r="R402" s="23" t="s">
        <v>683</v>
      </c>
      <c r="S402" s="23" t="s">
        <v>39</v>
      </c>
      <c r="T402" s="23" t="s">
        <v>39</v>
      </c>
      <c r="U402" s="23" t="s">
        <v>39</v>
      </c>
      <c r="V402" s="22"/>
      <c r="W402" s="22"/>
      <c r="X402" s="22"/>
      <c r="Y402" s="22"/>
      <c r="Z402" s="22" t="s">
        <v>39</v>
      </c>
      <c r="AA402" s="22" t="s">
        <v>39</v>
      </c>
      <c r="AB402" s="1"/>
      <c r="AC402"/>
      <c r="AD402"/>
      <c r="AE402"/>
      <c r="AF402"/>
      <c r="AG402"/>
    </row>
    <row r="403" spans="1:33" ht="72" customHeight="1" x14ac:dyDescent="0.25">
      <c r="A403" s="17">
        <v>9760272</v>
      </c>
      <c r="B403" s="30">
        <v>1</v>
      </c>
      <c r="C403" s="17" t="s">
        <v>641</v>
      </c>
      <c r="D403" s="31" t="s">
        <v>20</v>
      </c>
      <c r="E403" s="32">
        <v>42671</v>
      </c>
      <c r="F403" s="33">
        <v>42671</v>
      </c>
      <c r="G403" s="32">
        <v>42671</v>
      </c>
      <c r="H403" s="22" t="s">
        <v>108</v>
      </c>
      <c r="I403" s="23" t="s">
        <v>393</v>
      </c>
      <c r="J403" s="23" t="s">
        <v>39</v>
      </c>
      <c r="K403" s="22"/>
      <c r="L403" s="23" t="s">
        <v>39</v>
      </c>
      <c r="M403" s="23" t="s">
        <v>39</v>
      </c>
      <c r="N403" s="22"/>
      <c r="O403" s="22"/>
      <c r="P403" s="22"/>
      <c r="Q403" s="22"/>
      <c r="R403" s="23" t="s">
        <v>683</v>
      </c>
      <c r="S403" s="23" t="s">
        <v>39</v>
      </c>
      <c r="T403" s="23" t="s">
        <v>39</v>
      </c>
      <c r="U403" s="23" t="s">
        <v>692</v>
      </c>
      <c r="V403" s="22"/>
      <c r="W403" s="22"/>
      <c r="X403" s="22"/>
      <c r="Y403" s="22"/>
      <c r="Z403" s="22" t="s">
        <v>39</v>
      </c>
      <c r="AA403" s="22" t="s">
        <v>39</v>
      </c>
      <c r="AB403" s="1"/>
      <c r="AC403"/>
      <c r="AD403"/>
      <c r="AE403"/>
      <c r="AF403"/>
      <c r="AG403"/>
    </row>
    <row r="404" spans="1:33" ht="72" customHeight="1" x14ac:dyDescent="0.25">
      <c r="A404" s="17">
        <v>9760273</v>
      </c>
      <c r="B404" s="30">
        <v>1</v>
      </c>
      <c r="C404" s="17" t="s">
        <v>404</v>
      </c>
      <c r="D404" s="31" t="s">
        <v>20</v>
      </c>
      <c r="E404" s="32">
        <v>42671</v>
      </c>
      <c r="F404" s="33">
        <v>42671</v>
      </c>
      <c r="G404" s="32">
        <v>42671</v>
      </c>
      <c r="H404" s="22" t="s">
        <v>108</v>
      </c>
      <c r="I404" s="23" t="s">
        <v>393</v>
      </c>
      <c r="J404" s="23" t="s">
        <v>39</v>
      </c>
      <c r="K404" s="22"/>
      <c r="L404" s="23" t="s">
        <v>39</v>
      </c>
      <c r="M404" s="23" t="s">
        <v>39</v>
      </c>
      <c r="N404" s="22"/>
      <c r="O404" s="22"/>
      <c r="P404" s="22"/>
      <c r="Q404" s="22"/>
      <c r="R404" s="23" t="s">
        <v>683</v>
      </c>
      <c r="S404" s="23" t="s">
        <v>39</v>
      </c>
      <c r="T404" s="23" t="s">
        <v>39</v>
      </c>
      <c r="U404" s="23" t="s">
        <v>734</v>
      </c>
      <c r="V404" s="22"/>
      <c r="W404" s="22"/>
      <c r="X404" s="22"/>
      <c r="Y404" s="22"/>
      <c r="Z404" s="22" t="s">
        <v>39</v>
      </c>
      <c r="AA404" s="22" t="s">
        <v>39</v>
      </c>
      <c r="AB404" s="1"/>
      <c r="AC404"/>
      <c r="AD404"/>
      <c r="AE404"/>
      <c r="AF404"/>
      <c r="AG404"/>
    </row>
    <row r="405" spans="1:33" ht="72" customHeight="1" x14ac:dyDescent="0.25">
      <c r="A405" s="17">
        <v>9760274</v>
      </c>
      <c r="B405" s="30">
        <v>1</v>
      </c>
      <c r="C405" s="17" t="s">
        <v>591</v>
      </c>
      <c r="D405" s="31" t="s">
        <v>20</v>
      </c>
      <c r="E405" s="32">
        <v>42671</v>
      </c>
      <c r="F405" s="33">
        <v>42671</v>
      </c>
      <c r="G405" s="32">
        <v>42671</v>
      </c>
      <c r="H405" s="22" t="s">
        <v>108</v>
      </c>
      <c r="I405" s="23" t="s">
        <v>393</v>
      </c>
      <c r="J405" s="23" t="s">
        <v>39</v>
      </c>
      <c r="K405" s="22"/>
      <c r="L405" s="23" t="s">
        <v>39</v>
      </c>
      <c r="M405" s="23" t="s">
        <v>39</v>
      </c>
      <c r="N405" s="22"/>
      <c r="O405" s="22"/>
      <c r="P405" s="22"/>
      <c r="Q405" s="22"/>
      <c r="R405" s="23" t="s">
        <v>683</v>
      </c>
      <c r="S405" s="23" t="s">
        <v>39</v>
      </c>
      <c r="T405" s="23" t="s">
        <v>39</v>
      </c>
      <c r="U405" s="23" t="s">
        <v>693</v>
      </c>
      <c r="V405" s="22"/>
      <c r="W405" s="22"/>
      <c r="X405" s="22"/>
      <c r="Y405" s="22"/>
      <c r="Z405" s="22" t="s">
        <v>39</v>
      </c>
      <c r="AA405" s="22" t="s">
        <v>39</v>
      </c>
      <c r="AB405" s="1"/>
      <c r="AC405"/>
      <c r="AD405"/>
      <c r="AE405"/>
      <c r="AF405"/>
      <c r="AG405"/>
    </row>
    <row r="406" spans="1:33" ht="72" customHeight="1" x14ac:dyDescent="0.25">
      <c r="A406" s="17">
        <v>9760275</v>
      </c>
      <c r="B406" s="30">
        <v>1</v>
      </c>
      <c r="C406" s="17" t="s">
        <v>128</v>
      </c>
      <c r="D406" s="31" t="s">
        <v>20</v>
      </c>
      <c r="E406" s="32">
        <v>42671</v>
      </c>
      <c r="F406" s="33">
        <v>42671</v>
      </c>
      <c r="G406" s="32">
        <v>42671</v>
      </c>
      <c r="H406" s="22" t="s">
        <v>108</v>
      </c>
      <c r="I406" s="23" t="s">
        <v>393</v>
      </c>
      <c r="J406" s="23" t="s">
        <v>39</v>
      </c>
      <c r="K406" s="22"/>
      <c r="L406" s="23" t="s">
        <v>39</v>
      </c>
      <c r="M406" s="23" t="s">
        <v>39</v>
      </c>
      <c r="N406" s="22"/>
      <c r="O406" s="22"/>
      <c r="P406" s="22"/>
      <c r="Q406" s="22"/>
      <c r="R406" s="23" t="s">
        <v>683</v>
      </c>
      <c r="S406" s="23" t="s">
        <v>39</v>
      </c>
      <c r="T406" s="23" t="s">
        <v>39</v>
      </c>
      <c r="U406" s="23" t="s">
        <v>699</v>
      </c>
      <c r="V406" s="22"/>
      <c r="W406" s="22"/>
      <c r="X406" s="22"/>
      <c r="Y406" s="22"/>
      <c r="Z406" s="22" t="s">
        <v>39</v>
      </c>
      <c r="AA406" s="22" t="s">
        <v>39</v>
      </c>
      <c r="AB406" s="1"/>
      <c r="AC406"/>
      <c r="AD406"/>
      <c r="AE406"/>
      <c r="AF406"/>
      <c r="AG406"/>
    </row>
    <row r="407" spans="1:33" ht="72" customHeight="1" x14ac:dyDescent="0.25">
      <c r="A407" s="17">
        <v>9760276</v>
      </c>
      <c r="B407" s="30">
        <v>1</v>
      </c>
      <c r="C407" s="17" t="s">
        <v>592</v>
      </c>
      <c r="D407" s="31" t="s">
        <v>20</v>
      </c>
      <c r="E407" s="32">
        <v>42671</v>
      </c>
      <c r="F407" s="33">
        <v>42671</v>
      </c>
      <c r="G407" s="32">
        <v>42671</v>
      </c>
      <c r="H407" s="22" t="s">
        <v>108</v>
      </c>
      <c r="I407" s="23" t="s">
        <v>393</v>
      </c>
      <c r="J407" s="23" t="s">
        <v>39</v>
      </c>
      <c r="K407" s="22"/>
      <c r="L407" s="23" t="s">
        <v>39</v>
      </c>
      <c r="M407" s="23" t="s">
        <v>39</v>
      </c>
      <c r="N407" s="22"/>
      <c r="O407" s="22"/>
      <c r="P407" s="22"/>
      <c r="Q407" s="22"/>
      <c r="R407" s="23" t="s">
        <v>683</v>
      </c>
      <c r="S407" s="23" t="s">
        <v>39</v>
      </c>
      <c r="T407" s="23" t="s">
        <v>39</v>
      </c>
      <c r="U407" s="23" t="s">
        <v>694</v>
      </c>
      <c r="V407" s="22"/>
      <c r="W407" s="22"/>
      <c r="X407" s="22"/>
      <c r="Y407" s="22"/>
      <c r="Z407" s="22" t="s">
        <v>39</v>
      </c>
      <c r="AA407" s="22" t="s">
        <v>39</v>
      </c>
      <c r="AB407" s="1"/>
      <c r="AC407"/>
      <c r="AD407"/>
      <c r="AE407"/>
      <c r="AF407"/>
      <c r="AG407"/>
    </row>
    <row r="408" spans="1:33" ht="72" customHeight="1" x14ac:dyDescent="0.25">
      <c r="A408" s="17">
        <v>9760277</v>
      </c>
      <c r="B408" s="30">
        <v>1</v>
      </c>
      <c r="C408" s="17" t="s">
        <v>277</v>
      </c>
      <c r="D408" s="31" t="s">
        <v>20</v>
      </c>
      <c r="E408" s="32">
        <v>42671</v>
      </c>
      <c r="F408" s="33">
        <v>42671</v>
      </c>
      <c r="G408" s="32">
        <v>42671</v>
      </c>
      <c r="H408" s="22" t="s">
        <v>108</v>
      </c>
      <c r="I408" s="23" t="s">
        <v>393</v>
      </c>
      <c r="J408" s="23" t="s">
        <v>39</v>
      </c>
      <c r="K408" s="22"/>
      <c r="L408" s="23" t="s">
        <v>39</v>
      </c>
      <c r="M408" s="23" t="s">
        <v>39</v>
      </c>
      <c r="N408" s="22"/>
      <c r="O408" s="22"/>
      <c r="P408" s="22"/>
      <c r="Q408" s="22"/>
      <c r="R408" s="23" t="s">
        <v>683</v>
      </c>
      <c r="S408" s="23" t="s">
        <v>39</v>
      </c>
      <c r="T408" s="23" t="s">
        <v>39</v>
      </c>
      <c r="U408" s="23" t="s">
        <v>698</v>
      </c>
      <c r="V408" s="22"/>
      <c r="W408" s="22"/>
      <c r="X408" s="22"/>
      <c r="Y408" s="22"/>
      <c r="Z408" s="22" t="s">
        <v>39</v>
      </c>
      <c r="AA408" s="22" t="s">
        <v>39</v>
      </c>
      <c r="AB408" s="1"/>
      <c r="AC408"/>
      <c r="AD408"/>
      <c r="AE408"/>
      <c r="AF408"/>
      <c r="AG408"/>
    </row>
    <row r="409" spans="1:33" ht="72" customHeight="1" x14ac:dyDescent="0.25">
      <c r="A409" s="17">
        <v>9760278</v>
      </c>
      <c r="B409" s="30">
        <v>1</v>
      </c>
      <c r="C409" s="17" t="s">
        <v>176</v>
      </c>
      <c r="D409" s="31" t="s">
        <v>20</v>
      </c>
      <c r="E409" s="32">
        <v>42671</v>
      </c>
      <c r="F409" s="33">
        <v>42671</v>
      </c>
      <c r="G409" s="32">
        <v>42671</v>
      </c>
      <c r="H409" s="22" t="s">
        <v>95</v>
      </c>
      <c r="I409" s="23" t="s">
        <v>393</v>
      </c>
      <c r="J409" s="23" t="s">
        <v>39</v>
      </c>
      <c r="K409" s="22"/>
      <c r="L409" s="23" t="s">
        <v>263</v>
      </c>
      <c r="M409" s="23" t="s">
        <v>726</v>
      </c>
      <c r="N409" s="22"/>
      <c r="O409" s="22"/>
      <c r="P409" s="22"/>
      <c r="Q409" s="22"/>
      <c r="R409" s="23" t="s">
        <v>683</v>
      </c>
      <c r="S409" s="23" t="s">
        <v>39</v>
      </c>
      <c r="T409" s="23" t="s">
        <v>39</v>
      </c>
      <c r="U409" s="23" t="s">
        <v>39</v>
      </c>
      <c r="V409" s="22"/>
      <c r="W409" s="22"/>
      <c r="X409" s="22"/>
      <c r="Y409" s="22"/>
      <c r="Z409" s="22" t="s">
        <v>39</v>
      </c>
      <c r="AA409" s="22" t="s">
        <v>39</v>
      </c>
      <c r="AB409" s="1"/>
      <c r="AC409"/>
      <c r="AD409"/>
      <c r="AE409"/>
      <c r="AF409"/>
      <c r="AG409"/>
    </row>
    <row r="410" spans="1:33" ht="72" customHeight="1" x14ac:dyDescent="0.25">
      <c r="A410" s="17">
        <v>9760279</v>
      </c>
      <c r="B410" s="30">
        <v>6</v>
      </c>
      <c r="C410" s="17" t="s">
        <v>105</v>
      </c>
      <c r="D410" s="31" t="s">
        <v>20</v>
      </c>
      <c r="E410" s="32">
        <v>42671</v>
      </c>
      <c r="F410" s="33">
        <v>42671</v>
      </c>
      <c r="G410" s="32">
        <v>42671</v>
      </c>
      <c r="H410" s="22" t="s">
        <v>112</v>
      </c>
      <c r="I410" s="23" t="s">
        <v>393</v>
      </c>
      <c r="J410" s="23" t="s">
        <v>39</v>
      </c>
      <c r="K410" s="22"/>
      <c r="L410" s="23" t="s">
        <v>39</v>
      </c>
      <c r="M410" s="23" t="s">
        <v>39</v>
      </c>
      <c r="N410" s="22"/>
      <c r="O410" s="22"/>
      <c r="P410" s="22"/>
      <c r="Q410" s="22"/>
      <c r="R410" s="23" t="s">
        <v>683</v>
      </c>
      <c r="S410" s="23" t="s">
        <v>39</v>
      </c>
      <c r="T410" s="23" t="s">
        <v>39</v>
      </c>
      <c r="U410" s="23" t="s">
        <v>39</v>
      </c>
      <c r="V410" s="22"/>
      <c r="W410" s="22"/>
      <c r="X410" s="22"/>
      <c r="Y410" s="22"/>
      <c r="Z410" s="22" t="s">
        <v>39</v>
      </c>
      <c r="AA410" s="22" t="s">
        <v>39</v>
      </c>
      <c r="AB410" s="1"/>
      <c r="AC410"/>
      <c r="AD410"/>
      <c r="AE410"/>
      <c r="AF410"/>
      <c r="AG410"/>
    </row>
    <row r="411" spans="1:33" ht="72" customHeight="1" x14ac:dyDescent="0.25">
      <c r="A411" s="17">
        <v>9760281</v>
      </c>
      <c r="B411" s="30">
        <v>1</v>
      </c>
      <c r="C411" s="17" t="s">
        <v>589</v>
      </c>
      <c r="D411" s="31" t="s">
        <v>20</v>
      </c>
      <c r="E411" s="32">
        <v>42671</v>
      </c>
      <c r="F411" s="33">
        <v>42671</v>
      </c>
      <c r="G411" s="32">
        <v>42671</v>
      </c>
      <c r="H411" s="22" t="s">
        <v>112</v>
      </c>
      <c r="I411" s="23" t="s">
        <v>367</v>
      </c>
      <c r="J411" s="23" t="s">
        <v>39</v>
      </c>
      <c r="K411" s="22"/>
      <c r="L411" s="23" t="s">
        <v>39</v>
      </c>
      <c r="M411" s="23" t="s">
        <v>39</v>
      </c>
      <c r="N411" s="22"/>
      <c r="O411" s="22"/>
      <c r="P411" s="22"/>
      <c r="Q411" s="22"/>
      <c r="R411" s="23" t="s">
        <v>683</v>
      </c>
      <c r="S411" s="23" t="s">
        <v>39</v>
      </c>
      <c r="T411" s="23" t="s">
        <v>39</v>
      </c>
      <c r="U411" s="23" t="s">
        <v>39</v>
      </c>
      <c r="V411" s="22"/>
      <c r="W411" s="22"/>
      <c r="X411" s="22"/>
      <c r="Y411" s="22"/>
      <c r="Z411" s="22" t="s">
        <v>39</v>
      </c>
      <c r="AA411" s="22" t="s">
        <v>39</v>
      </c>
      <c r="AB411" s="1"/>
      <c r="AC411"/>
      <c r="AD411"/>
      <c r="AE411"/>
      <c r="AF411"/>
      <c r="AG411"/>
    </row>
    <row r="412" spans="1:33" ht="72" customHeight="1" x14ac:dyDescent="0.25">
      <c r="A412" s="17">
        <v>9760282</v>
      </c>
      <c r="B412" s="30">
        <v>2</v>
      </c>
      <c r="C412" s="17" t="s">
        <v>493</v>
      </c>
      <c r="D412" s="31" t="s">
        <v>20</v>
      </c>
      <c r="E412" s="32">
        <v>42671</v>
      </c>
      <c r="F412" s="33">
        <v>42671</v>
      </c>
      <c r="G412" s="32">
        <v>42671</v>
      </c>
      <c r="H412" s="22" t="s">
        <v>108</v>
      </c>
      <c r="I412" s="23" t="s">
        <v>367</v>
      </c>
      <c r="J412" s="23" t="s">
        <v>39</v>
      </c>
      <c r="K412" s="22"/>
      <c r="L412" s="23" t="s">
        <v>39</v>
      </c>
      <c r="M412" s="23" t="s">
        <v>39</v>
      </c>
      <c r="N412" s="22"/>
      <c r="O412" s="22"/>
      <c r="P412" s="22"/>
      <c r="Q412" s="22"/>
      <c r="R412" s="23" t="s">
        <v>683</v>
      </c>
      <c r="S412" s="23" t="s">
        <v>39</v>
      </c>
      <c r="T412" s="23" t="s">
        <v>39</v>
      </c>
      <c r="U412" s="23" t="s">
        <v>736</v>
      </c>
      <c r="V412" s="22"/>
      <c r="W412" s="22"/>
      <c r="X412" s="22"/>
      <c r="Y412" s="22"/>
      <c r="Z412" s="22" t="s">
        <v>39</v>
      </c>
      <c r="AA412" s="22" t="s">
        <v>39</v>
      </c>
      <c r="AB412" s="1"/>
      <c r="AC412"/>
      <c r="AD412"/>
      <c r="AE412"/>
      <c r="AF412"/>
      <c r="AG412"/>
    </row>
    <row r="413" spans="1:33" ht="72" customHeight="1" x14ac:dyDescent="0.25">
      <c r="A413" s="17">
        <v>9760283</v>
      </c>
      <c r="B413" s="30">
        <v>1</v>
      </c>
      <c r="C413" s="17" t="s">
        <v>408</v>
      </c>
      <c r="D413" s="31" t="s">
        <v>20</v>
      </c>
      <c r="E413" s="32">
        <v>42671</v>
      </c>
      <c r="F413" s="33">
        <v>42671</v>
      </c>
      <c r="G413" s="32">
        <v>42671</v>
      </c>
      <c r="H413" s="22" t="s">
        <v>112</v>
      </c>
      <c r="I413" s="23" t="s">
        <v>367</v>
      </c>
      <c r="J413" s="23" t="s">
        <v>39</v>
      </c>
      <c r="K413" s="22"/>
      <c r="L413" s="23" t="s">
        <v>39</v>
      </c>
      <c r="M413" s="23" t="s">
        <v>39</v>
      </c>
      <c r="N413" s="22"/>
      <c r="O413" s="22"/>
      <c r="P413" s="22"/>
      <c r="Q413" s="22"/>
      <c r="R413" s="23" t="s">
        <v>683</v>
      </c>
      <c r="S413" s="23" t="s">
        <v>39</v>
      </c>
      <c r="T413" s="23" t="s">
        <v>39</v>
      </c>
      <c r="U413" s="23" t="s">
        <v>39</v>
      </c>
      <c r="V413" s="22"/>
      <c r="W413" s="22"/>
      <c r="X413" s="22"/>
      <c r="Y413" s="22"/>
      <c r="Z413" s="22" t="s">
        <v>39</v>
      </c>
      <c r="AA413" s="22" t="s">
        <v>39</v>
      </c>
      <c r="AB413" s="1"/>
      <c r="AC413"/>
      <c r="AD413"/>
      <c r="AE413"/>
      <c r="AF413"/>
      <c r="AG413"/>
    </row>
    <row r="414" spans="1:33" ht="72" customHeight="1" x14ac:dyDescent="0.25">
      <c r="A414" s="17">
        <v>9760284</v>
      </c>
      <c r="B414" s="30">
        <v>1</v>
      </c>
      <c r="C414" s="17" t="s">
        <v>593</v>
      </c>
      <c r="D414" s="31" t="s">
        <v>20</v>
      </c>
      <c r="E414" s="32">
        <v>42671</v>
      </c>
      <c r="F414" s="33">
        <v>42671</v>
      </c>
      <c r="G414" s="32">
        <v>42671</v>
      </c>
      <c r="H414" s="22" t="s">
        <v>112</v>
      </c>
      <c r="I414" s="23" t="s">
        <v>367</v>
      </c>
      <c r="J414" s="23" t="s">
        <v>39</v>
      </c>
      <c r="K414" s="22"/>
      <c r="L414" s="23" t="s">
        <v>39</v>
      </c>
      <c r="M414" s="23" t="s">
        <v>39</v>
      </c>
      <c r="N414" s="22"/>
      <c r="O414" s="22"/>
      <c r="P414" s="22"/>
      <c r="Q414" s="22"/>
      <c r="R414" s="23" t="s">
        <v>683</v>
      </c>
      <c r="S414" s="23" t="s">
        <v>39</v>
      </c>
      <c r="T414" s="23" t="s">
        <v>39</v>
      </c>
      <c r="U414" s="23" t="s">
        <v>39</v>
      </c>
      <c r="V414" s="22"/>
      <c r="W414" s="22"/>
      <c r="X414" s="22"/>
      <c r="Y414" s="22"/>
      <c r="Z414" s="22" t="s">
        <v>39</v>
      </c>
      <c r="AA414" s="22" t="s">
        <v>39</v>
      </c>
      <c r="AB414" s="1"/>
      <c r="AC414"/>
      <c r="AD414"/>
      <c r="AE414"/>
      <c r="AF414"/>
      <c r="AG414"/>
    </row>
    <row r="415" spans="1:33" ht="72" customHeight="1" x14ac:dyDescent="0.25">
      <c r="A415" s="17">
        <v>9760285</v>
      </c>
      <c r="B415" s="30">
        <v>2</v>
      </c>
      <c r="C415" s="17" t="s">
        <v>595</v>
      </c>
      <c r="D415" s="31" t="s">
        <v>20</v>
      </c>
      <c r="E415" s="32">
        <v>42671</v>
      </c>
      <c r="F415" s="33">
        <v>42671</v>
      </c>
      <c r="G415" s="32">
        <v>42671</v>
      </c>
      <c r="H415" s="22" t="s">
        <v>112</v>
      </c>
      <c r="I415" s="23" t="s">
        <v>367</v>
      </c>
      <c r="J415" s="23" t="s">
        <v>39</v>
      </c>
      <c r="K415" s="22"/>
      <c r="L415" s="23" t="s">
        <v>39</v>
      </c>
      <c r="M415" s="23" t="s">
        <v>39</v>
      </c>
      <c r="N415" s="22"/>
      <c r="O415" s="22"/>
      <c r="P415" s="22"/>
      <c r="Q415" s="22"/>
      <c r="R415" s="23" t="s">
        <v>683</v>
      </c>
      <c r="S415" s="23" t="s">
        <v>39</v>
      </c>
      <c r="T415" s="23" t="s">
        <v>39</v>
      </c>
      <c r="U415" s="23" t="s">
        <v>39</v>
      </c>
      <c r="V415" s="22"/>
      <c r="W415" s="22"/>
      <c r="X415" s="22"/>
      <c r="Y415" s="22"/>
      <c r="Z415" s="22" t="s">
        <v>39</v>
      </c>
      <c r="AA415" s="22" t="s">
        <v>39</v>
      </c>
      <c r="AB415" s="1"/>
      <c r="AC415"/>
      <c r="AD415"/>
      <c r="AE415"/>
      <c r="AF415"/>
      <c r="AG415"/>
    </row>
    <row r="416" spans="1:33" ht="72" customHeight="1" x14ac:dyDescent="0.25">
      <c r="A416" s="17">
        <v>9760286</v>
      </c>
      <c r="B416" s="30">
        <v>2</v>
      </c>
      <c r="C416" s="17" t="s">
        <v>596</v>
      </c>
      <c r="D416" s="31" t="s">
        <v>20</v>
      </c>
      <c r="E416" s="32">
        <v>42671</v>
      </c>
      <c r="F416" s="33">
        <v>42671</v>
      </c>
      <c r="G416" s="32">
        <v>42671</v>
      </c>
      <c r="H416" s="22" t="s">
        <v>108</v>
      </c>
      <c r="I416" s="23" t="s">
        <v>367</v>
      </c>
      <c r="J416" s="23" t="s">
        <v>39</v>
      </c>
      <c r="K416" s="22"/>
      <c r="L416" s="23" t="s">
        <v>39</v>
      </c>
      <c r="M416" s="23" t="s">
        <v>39</v>
      </c>
      <c r="N416" s="22"/>
      <c r="O416" s="22"/>
      <c r="P416" s="22"/>
      <c r="Q416" s="22"/>
      <c r="R416" s="23" t="s">
        <v>683</v>
      </c>
      <c r="S416" s="23" t="s">
        <v>39</v>
      </c>
      <c r="T416" s="23" t="s">
        <v>39</v>
      </c>
      <c r="U416" s="23" t="s">
        <v>696</v>
      </c>
      <c r="V416" s="22"/>
      <c r="W416" s="22"/>
      <c r="X416" s="22"/>
      <c r="Y416" s="22"/>
      <c r="Z416" s="22" t="s">
        <v>39</v>
      </c>
      <c r="AA416" s="22" t="s">
        <v>39</v>
      </c>
      <c r="AB416" s="1"/>
      <c r="AC416"/>
      <c r="AD416"/>
      <c r="AE416"/>
      <c r="AF416"/>
      <c r="AG416"/>
    </row>
    <row r="417" spans="1:33" ht="72" customHeight="1" x14ac:dyDescent="0.25">
      <c r="A417" s="17">
        <v>9760287</v>
      </c>
      <c r="B417" s="30">
        <v>1</v>
      </c>
      <c r="C417" s="17" t="s">
        <v>508</v>
      </c>
      <c r="D417" s="31" t="s">
        <v>20</v>
      </c>
      <c r="E417" s="32">
        <v>42671</v>
      </c>
      <c r="F417" s="33">
        <v>42671</v>
      </c>
      <c r="G417" s="32">
        <v>42671</v>
      </c>
      <c r="H417" s="22" t="s">
        <v>112</v>
      </c>
      <c r="I417" s="23" t="s">
        <v>367</v>
      </c>
      <c r="J417" s="23" t="s">
        <v>39</v>
      </c>
      <c r="K417" s="22"/>
      <c r="L417" s="23" t="s">
        <v>39</v>
      </c>
      <c r="M417" s="23" t="s">
        <v>39</v>
      </c>
      <c r="N417" s="22"/>
      <c r="O417" s="22"/>
      <c r="P417" s="22"/>
      <c r="Q417" s="22"/>
      <c r="R417" s="23" t="s">
        <v>683</v>
      </c>
      <c r="S417" s="23" t="s">
        <v>39</v>
      </c>
      <c r="T417" s="23" t="s">
        <v>39</v>
      </c>
      <c r="U417" s="23" t="s">
        <v>39</v>
      </c>
      <c r="V417" s="22"/>
      <c r="W417" s="22"/>
      <c r="X417" s="22"/>
      <c r="Y417" s="22"/>
      <c r="Z417" s="22" t="s">
        <v>39</v>
      </c>
      <c r="AA417" s="22" t="s">
        <v>39</v>
      </c>
      <c r="AB417" s="1"/>
      <c r="AC417"/>
      <c r="AD417"/>
      <c r="AE417"/>
      <c r="AF417"/>
      <c r="AG417"/>
    </row>
    <row r="418" spans="1:33" ht="72" customHeight="1" x14ac:dyDescent="0.25">
      <c r="A418" s="17">
        <v>9760288</v>
      </c>
      <c r="B418" s="30">
        <v>1</v>
      </c>
      <c r="C418" s="17" t="s">
        <v>602</v>
      </c>
      <c r="D418" s="31" t="s">
        <v>20</v>
      </c>
      <c r="E418" s="32">
        <v>42671</v>
      </c>
      <c r="F418" s="33">
        <v>42671</v>
      </c>
      <c r="G418" s="32">
        <v>42671</v>
      </c>
      <c r="H418" s="22" t="s">
        <v>112</v>
      </c>
      <c r="I418" s="23" t="s">
        <v>367</v>
      </c>
      <c r="J418" s="23" t="s">
        <v>39</v>
      </c>
      <c r="K418" s="22"/>
      <c r="L418" s="23" t="s">
        <v>39</v>
      </c>
      <c r="M418" s="23" t="s">
        <v>39</v>
      </c>
      <c r="N418" s="22"/>
      <c r="O418" s="22"/>
      <c r="P418" s="22"/>
      <c r="Q418" s="22"/>
      <c r="R418" s="23" t="s">
        <v>683</v>
      </c>
      <c r="S418" s="23" t="s">
        <v>39</v>
      </c>
      <c r="T418" s="23" t="s">
        <v>39</v>
      </c>
      <c r="U418" s="23" t="s">
        <v>39</v>
      </c>
      <c r="V418" s="22"/>
      <c r="W418" s="22"/>
      <c r="X418" s="22"/>
      <c r="Y418" s="22"/>
      <c r="Z418" s="22" t="s">
        <v>39</v>
      </c>
      <c r="AA418" s="22" t="s">
        <v>39</v>
      </c>
      <c r="AB418" s="1"/>
      <c r="AC418"/>
      <c r="AD418"/>
      <c r="AE418"/>
      <c r="AF418"/>
      <c r="AG418"/>
    </row>
    <row r="419" spans="1:33" ht="72" customHeight="1" x14ac:dyDescent="0.25">
      <c r="A419" s="17">
        <v>9760289</v>
      </c>
      <c r="B419" s="30">
        <v>1</v>
      </c>
      <c r="C419" s="17" t="s">
        <v>603</v>
      </c>
      <c r="D419" s="31" t="s">
        <v>20</v>
      </c>
      <c r="E419" s="32">
        <v>42671</v>
      </c>
      <c r="F419" s="33">
        <v>42671</v>
      </c>
      <c r="G419" s="32">
        <v>42671</v>
      </c>
      <c r="H419" s="22" t="s">
        <v>112</v>
      </c>
      <c r="I419" s="23" t="s">
        <v>367</v>
      </c>
      <c r="J419" s="23" t="s">
        <v>39</v>
      </c>
      <c r="K419" s="22"/>
      <c r="L419" s="23" t="s">
        <v>39</v>
      </c>
      <c r="M419" s="23" t="s">
        <v>39</v>
      </c>
      <c r="N419" s="22"/>
      <c r="O419" s="22"/>
      <c r="P419" s="22"/>
      <c r="Q419" s="22"/>
      <c r="R419" s="23" t="s">
        <v>683</v>
      </c>
      <c r="S419" s="23" t="s">
        <v>39</v>
      </c>
      <c r="T419" s="23" t="s">
        <v>39</v>
      </c>
      <c r="U419" s="23" t="s">
        <v>39</v>
      </c>
      <c r="V419" s="22"/>
      <c r="W419" s="22"/>
      <c r="X419" s="22"/>
      <c r="Y419" s="22"/>
      <c r="Z419" s="22" t="s">
        <v>39</v>
      </c>
      <c r="AA419" s="22" t="s">
        <v>39</v>
      </c>
      <c r="AB419" s="1"/>
      <c r="AC419"/>
      <c r="AD419"/>
      <c r="AE419"/>
      <c r="AF419"/>
      <c r="AG419"/>
    </row>
    <row r="420" spans="1:33" ht="72" customHeight="1" x14ac:dyDescent="0.25">
      <c r="A420" s="17">
        <v>9760290</v>
      </c>
      <c r="B420" s="30">
        <v>2</v>
      </c>
      <c r="C420" s="17" t="s">
        <v>329</v>
      </c>
      <c r="D420" s="31" t="s">
        <v>20</v>
      </c>
      <c r="E420" s="32">
        <v>42671</v>
      </c>
      <c r="F420" s="33">
        <v>42671</v>
      </c>
      <c r="G420" s="32">
        <v>42671</v>
      </c>
      <c r="H420" s="22" t="s">
        <v>112</v>
      </c>
      <c r="I420" s="23" t="s">
        <v>367</v>
      </c>
      <c r="J420" s="23" t="s">
        <v>39</v>
      </c>
      <c r="K420" s="22"/>
      <c r="L420" s="23" t="s">
        <v>39</v>
      </c>
      <c r="M420" s="23" t="s">
        <v>39</v>
      </c>
      <c r="N420" s="22"/>
      <c r="O420" s="22"/>
      <c r="P420" s="22"/>
      <c r="Q420" s="22"/>
      <c r="R420" s="23" t="s">
        <v>683</v>
      </c>
      <c r="S420" s="23" t="s">
        <v>39</v>
      </c>
      <c r="T420" s="23" t="s">
        <v>39</v>
      </c>
      <c r="U420" s="23" t="s">
        <v>39</v>
      </c>
      <c r="V420" s="22"/>
      <c r="W420" s="22"/>
      <c r="X420" s="22"/>
      <c r="Y420" s="22"/>
      <c r="Z420" s="22" t="s">
        <v>39</v>
      </c>
      <c r="AA420" s="22" t="s">
        <v>39</v>
      </c>
      <c r="AB420" s="1"/>
      <c r="AC420"/>
      <c r="AD420"/>
      <c r="AE420"/>
      <c r="AF420"/>
      <c r="AG420"/>
    </row>
    <row r="421" spans="1:33" ht="72" customHeight="1" x14ac:dyDescent="0.25">
      <c r="A421" s="17">
        <v>9760291</v>
      </c>
      <c r="B421" s="30">
        <v>1</v>
      </c>
      <c r="C421" s="17" t="s">
        <v>310</v>
      </c>
      <c r="D421" s="31" t="s">
        <v>20</v>
      </c>
      <c r="E421" s="32">
        <v>42671</v>
      </c>
      <c r="F421" s="33">
        <v>42671</v>
      </c>
      <c r="G421" s="32">
        <v>42671</v>
      </c>
      <c r="H421" s="22" t="s">
        <v>112</v>
      </c>
      <c r="I421" s="23" t="s">
        <v>367</v>
      </c>
      <c r="J421" s="23" t="s">
        <v>39</v>
      </c>
      <c r="K421" s="22"/>
      <c r="L421" s="23" t="s">
        <v>39</v>
      </c>
      <c r="M421" s="23" t="s">
        <v>39</v>
      </c>
      <c r="N421" s="22"/>
      <c r="O421" s="22"/>
      <c r="P421" s="22"/>
      <c r="Q421" s="22"/>
      <c r="R421" s="23" t="s">
        <v>683</v>
      </c>
      <c r="S421" s="23" t="s">
        <v>39</v>
      </c>
      <c r="T421" s="23" t="s">
        <v>39</v>
      </c>
      <c r="U421" s="23" t="s">
        <v>39</v>
      </c>
      <c r="V421" s="22"/>
      <c r="W421" s="22"/>
      <c r="X421" s="22"/>
      <c r="Y421" s="22"/>
      <c r="Z421" s="22" t="s">
        <v>39</v>
      </c>
      <c r="AA421" s="22" t="s">
        <v>39</v>
      </c>
      <c r="AB421" s="1"/>
      <c r="AC421"/>
      <c r="AD421"/>
      <c r="AE421"/>
      <c r="AF421"/>
      <c r="AG421"/>
    </row>
    <row r="422" spans="1:33" ht="72" customHeight="1" x14ac:dyDescent="0.25">
      <c r="A422" s="17">
        <v>9760292</v>
      </c>
      <c r="B422" s="30">
        <v>2</v>
      </c>
      <c r="C422" s="17" t="s">
        <v>638</v>
      </c>
      <c r="D422" s="31" t="s">
        <v>20</v>
      </c>
      <c r="E422" s="32">
        <v>42671</v>
      </c>
      <c r="F422" s="33">
        <v>42671</v>
      </c>
      <c r="G422" s="32">
        <v>42671</v>
      </c>
      <c r="H422" s="22" t="s">
        <v>112</v>
      </c>
      <c r="I422" s="23" t="s">
        <v>367</v>
      </c>
      <c r="J422" s="23" t="s">
        <v>39</v>
      </c>
      <c r="K422" s="22"/>
      <c r="L422" s="23" t="s">
        <v>39</v>
      </c>
      <c r="M422" s="23" t="s">
        <v>39</v>
      </c>
      <c r="N422" s="22"/>
      <c r="O422" s="22"/>
      <c r="P422" s="22"/>
      <c r="Q422" s="22"/>
      <c r="R422" s="23" t="s">
        <v>683</v>
      </c>
      <c r="S422" s="23" t="s">
        <v>39</v>
      </c>
      <c r="T422" s="23" t="s">
        <v>39</v>
      </c>
      <c r="U422" s="23" t="s">
        <v>39</v>
      </c>
      <c r="V422" s="22"/>
      <c r="W422" s="22"/>
      <c r="X422" s="22"/>
      <c r="Y422" s="22"/>
      <c r="Z422" s="22" t="s">
        <v>39</v>
      </c>
      <c r="AA422" s="22" t="s">
        <v>39</v>
      </c>
      <c r="AB422" s="1"/>
      <c r="AC422"/>
      <c r="AD422"/>
      <c r="AE422"/>
      <c r="AF422"/>
      <c r="AG422"/>
    </row>
    <row r="423" spans="1:33" ht="72" customHeight="1" x14ac:dyDescent="0.25">
      <c r="A423" s="17">
        <v>9760293</v>
      </c>
      <c r="B423" s="30">
        <v>1</v>
      </c>
      <c r="C423" s="17" t="s">
        <v>598</v>
      </c>
      <c r="D423" s="31" t="s">
        <v>20</v>
      </c>
      <c r="E423" s="32">
        <v>42671</v>
      </c>
      <c r="F423" s="33">
        <v>42671</v>
      </c>
      <c r="G423" s="32">
        <v>42671</v>
      </c>
      <c r="H423" s="22" t="s">
        <v>112</v>
      </c>
      <c r="I423" s="23" t="s">
        <v>367</v>
      </c>
      <c r="J423" s="23" t="s">
        <v>39</v>
      </c>
      <c r="K423" s="22"/>
      <c r="L423" s="23" t="s">
        <v>39</v>
      </c>
      <c r="M423" s="23" t="s">
        <v>39</v>
      </c>
      <c r="N423" s="22"/>
      <c r="O423" s="22"/>
      <c r="P423" s="22"/>
      <c r="Q423" s="22"/>
      <c r="R423" s="23" t="s">
        <v>683</v>
      </c>
      <c r="S423" s="23" t="s">
        <v>39</v>
      </c>
      <c r="T423" s="23" t="s">
        <v>39</v>
      </c>
      <c r="U423" s="23" t="s">
        <v>39</v>
      </c>
      <c r="V423" s="22"/>
      <c r="W423" s="22"/>
      <c r="X423" s="22"/>
      <c r="Y423" s="22"/>
      <c r="Z423" s="22" t="s">
        <v>39</v>
      </c>
      <c r="AA423" s="22" t="s">
        <v>39</v>
      </c>
      <c r="AB423" s="1"/>
      <c r="AC423"/>
      <c r="AD423"/>
      <c r="AE423"/>
      <c r="AF423"/>
      <c r="AG423"/>
    </row>
    <row r="424" spans="1:33" ht="72" customHeight="1" x14ac:dyDescent="0.25">
      <c r="A424" s="17">
        <v>9760294</v>
      </c>
      <c r="B424" s="30">
        <v>7</v>
      </c>
      <c r="C424" s="17" t="s">
        <v>494</v>
      </c>
      <c r="D424" s="31" t="s">
        <v>20</v>
      </c>
      <c r="E424" s="32">
        <v>42671</v>
      </c>
      <c r="F424" s="33">
        <v>42671</v>
      </c>
      <c r="G424" s="32">
        <v>42671</v>
      </c>
      <c r="H424" s="22" t="s">
        <v>112</v>
      </c>
      <c r="I424" s="23" t="s">
        <v>626</v>
      </c>
      <c r="J424" s="23" t="s">
        <v>39</v>
      </c>
      <c r="K424" s="22"/>
      <c r="L424" s="23" t="s">
        <v>39</v>
      </c>
      <c r="M424" s="23" t="s">
        <v>39</v>
      </c>
      <c r="N424" s="22"/>
      <c r="O424" s="22"/>
      <c r="P424" s="22"/>
      <c r="Q424" s="22"/>
      <c r="R424" s="23" t="s">
        <v>683</v>
      </c>
      <c r="S424" s="23" t="s">
        <v>39</v>
      </c>
      <c r="T424" s="23" t="s">
        <v>39</v>
      </c>
      <c r="U424" s="23" t="s">
        <v>39</v>
      </c>
      <c r="V424" s="22"/>
      <c r="W424" s="22"/>
      <c r="X424" s="22"/>
      <c r="Y424" s="22"/>
      <c r="Z424" s="22" t="s">
        <v>39</v>
      </c>
      <c r="AA424" s="22" t="s">
        <v>39</v>
      </c>
      <c r="AB424" s="1"/>
      <c r="AC424"/>
      <c r="AD424"/>
      <c r="AE424"/>
      <c r="AF424"/>
      <c r="AG424"/>
    </row>
    <row r="425" spans="1:33" ht="72" customHeight="1" x14ac:dyDescent="0.25">
      <c r="A425" s="17">
        <v>9760295</v>
      </c>
      <c r="B425" s="30">
        <v>3</v>
      </c>
      <c r="C425" s="17" t="s">
        <v>600</v>
      </c>
      <c r="D425" s="31" t="s">
        <v>20</v>
      </c>
      <c r="E425" s="32">
        <v>42671</v>
      </c>
      <c r="F425" s="33">
        <v>42671</v>
      </c>
      <c r="G425" s="32">
        <v>42671</v>
      </c>
      <c r="H425" s="22" t="s">
        <v>112</v>
      </c>
      <c r="I425" s="23" t="s">
        <v>626</v>
      </c>
      <c r="J425" s="23" t="s">
        <v>39</v>
      </c>
      <c r="K425" s="22"/>
      <c r="L425" s="23" t="s">
        <v>39</v>
      </c>
      <c r="M425" s="23" t="s">
        <v>39</v>
      </c>
      <c r="N425" s="22"/>
      <c r="O425" s="22"/>
      <c r="P425" s="22"/>
      <c r="Q425" s="22"/>
      <c r="R425" s="23" t="s">
        <v>683</v>
      </c>
      <c r="S425" s="23" t="s">
        <v>39</v>
      </c>
      <c r="T425" s="23" t="s">
        <v>39</v>
      </c>
      <c r="U425" s="23" t="s">
        <v>39</v>
      </c>
      <c r="V425" s="22"/>
      <c r="W425" s="22"/>
      <c r="X425" s="22"/>
      <c r="Y425" s="22"/>
      <c r="Z425" s="22" t="s">
        <v>39</v>
      </c>
      <c r="AA425" s="22" t="s">
        <v>39</v>
      </c>
      <c r="AB425" s="1"/>
      <c r="AC425"/>
      <c r="AD425"/>
      <c r="AE425"/>
      <c r="AF425"/>
      <c r="AG425"/>
    </row>
    <row r="426" spans="1:33" ht="72" customHeight="1" x14ac:dyDescent="0.25">
      <c r="A426" s="17">
        <v>9760296</v>
      </c>
      <c r="B426" s="30">
        <v>1</v>
      </c>
      <c r="C426" s="17" t="s">
        <v>601</v>
      </c>
      <c r="D426" s="31" t="s">
        <v>20</v>
      </c>
      <c r="E426" s="32">
        <v>42671</v>
      </c>
      <c r="F426" s="33">
        <v>42671</v>
      </c>
      <c r="G426" s="32">
        <v>42671</v>
      </c>
      <c r="H426" s="22" t="s">
        <v>95</v>
      </c>
      <c r="I426" s="23" t="s">
        <v>626</v>
      </c>
      <c r="J426" s="23" t="s">
        <v>39</v>
      </c>
      <c r="K426" s="22"/>
      <c r="L426" s="23" t="s">
        <v>263</v>
      </c>
      <c r="M426" s="23" t="s">
        <v>730</v>
      </c>
      <c r="N426" s="22"/>
      <c r="O426" s="22"/>
      <c r="P426" s="22"/>
      <c r="Q426" s="22"/>
      <c r="R426" s="23" t="s">
        <v>683</v>
      </c>
      <c r="S426" s="23" t="s">
        <v>39</v>
      </c>
      <c r="T426" s="23" t="s">
        <v>39</v>
      </c>
      <c r="U426" s="23" t="s">
        <v>39</v>
      </c>
      <c r="V426" s="22"/>
      <c r="W426" s="22"/>
      <c r="X426" s="22"/>
      <c r="Y426" s="22"/>
      <c r="Z426" s="22" t="s">
        <v>39</v>
      </c>
      <c r="AA426" s="22" t="s">
        <v>39</v>
      </c>
      <c r="AB426" s="1"/>
      <c r="AC426"/>
      <c r="AD426"/>
      <c r="AE426"/>
      <c r="AF426"/>
      <c r="AG426"/>
    </row>
    <row r="427" spans="1:33" ht="72" customHeight="1" x14ac:dyDescent="0.25">
      <c r="A427" s="17">
        <v>9760297</v>
      </c>
      <c r="B427" s="30">
        <v>1</v>
      </c>
      <c r="C427" s="17" t="s">
        <v>606</v>
      </c>
      <c r="D427" s="31" t="s">
        <v>20</v>
      </c>
      <c r="E427" s="32">
        <v>42671</v>
      </c>
      <c r="F427" s="33">
        <v>42671</v>
      </c>
      <c r="G427" s="32">
        <v>42671</v>
      </c>
      <c r="H427" s="22" t="s">
        <v>108</v>
      </c>
      <c r="I427" s="23" t="s">
        <v>626</v>
      </c>
      <c r="J427" s="23" t="s">
        <v>39</v>
      </c>
      <c r="K427" s="22"/>
      <c r="L427" s="23" t="s">
        <v>39</v>
      </c>
      <c r="M427" s="23" t="s">
        <v>39</v>
      </c>
      <c r="N427" s="22"/>
      <c r="O427" s="22"/>
      <c r="P427" s="22"/>
      <c r="Q427" s="22"/>
      <c r="R427" s="23" t="s">
        <v>683</v>
      </c>
      <c r="S427" s="23" t="s">
        <v>39</v>
      </c>
      <c r="T427" s="23" t="s">
        <v>39</v>
      </c>
      <c r="U427" s="23" t="s">
        <v>704</v>
      </c>
      <c r="V427" s="22"/>
      <c r="W427" s="22"/>
      <c r="X427" s="22"/>
      <c r="Y427" s="22"/>
      <c r="Z427" s="22" t="s">
        <v>39</v>
      </c>
      <c r="AA427" s="22" t="s">
        <v>39</v>
      </c>
      <c r="AB427" s="1"/>
      <c r="AC427"/>
      <c r="AD427"/>
      <c r="AE427"/>
      <c r="AF427"/>
      <c r="AG427"/>
    </row>
    <row r="428" spans="1:33" ht="72" customHeight="1" x14ac:dyDescent="0.25">
      <c r="A428" s="17">
        <v>9760298</v>
      </c>
      <c r="B428" s="30">
        <v>1</v>
      </c>
      <c r="C428" s="17" t="s">
        <v>276</v>
      </c>
      <c r="D428" s="31" t="s">
        <v>20</v>
      </c>
      <c r="E428" s="32">
        <v>42671</v>
      </c>
      <c r="F428" s="33">
        <v>42671</v>
      </c>
      <c r="G428" s="32">
        <v>42671</v>
      </c>
      <c r="H428" s="22" t="s">
        <v>112</v>
      </c>
      <c r="I428" s="23" t="s">
        <v>626</v>
      </c>
      <c r="J428" s="23" t="s">
        <v>39</v>
      </c>
      <c r="K428" s="22"/>
      <c r="L428" s="23" t="s">
        <v>39</v>
      </c>
      <c r="M428" s="23" t="s">
        <v>39</v>
      </c>
      <c r="N428" s="22"/>
      <c r="O428" s="22"/>
      <c r="P428" s="22"/>
      <c r="Q428" s="22"/>
      <c r="R428" s="23" t="s">
        <v>683</v>
      </c>
      <c r="S428" s="23" t="s">
        <v>39</v>
      </c>
      <c r="T428" s="23" t="s">
        <v>39</v>
      </c>
      <c r="U428" s="23" t="s">
        <v>39</v>
      </c>
      <c r="V428" s="22"/>
      <c r="W428" s="22"/>
      <c r="X428" s="22"/>
      <c r="Y428" s="22"/>
      <c r="Z428" s="22" t="s">
        <v>39</v>
      </c>
      <c r="AA428" s="22" t="s">
        <v>39</v>
      </c>
      <c r="AB428" s="1"/>
      <c r="AC428"/>
      <c r="AD428"/>
      <c r="AE428"/>
      <c r="AF428"/>
      <c r="AG428"/>
    </row>
    <row r="429" spans="1:33" ht="72" customHeight="1" x14ac:dyDescent="0.25">
      <c r="A429" s="17">
        <v>9760299</v>
      </c>
      <c r="B429" s="30">
        <v>1</v>
      </c>
      <c r="C429" s="17" t="s">
        <v>640</v>
      </c>
      <c r="D429" s="31" t="s">
        <v>20</v>
      </c>
      <c r="E429" s="32">
        <v>42671</v>
      </c>
      <c r="F429" s="33">
        <v>42671</v>
      </c>
      <c r="G429" s="32">
        <v>42671</v>
      </c>
      <c r="H429" s="22" t="s">
        <v>108</v>
      </c>
      <c r="I429" s="23" t="s">
        <v>626</v>
      </c>
      <c r="J429" s="23" t="s">
        <v>39</v>
      </c>
      <c r="K429" s="22"/>
      <c r="L429" s="23" t="s">
        <v>39</v>
      </c>
      <c r="M429" s="23" t="s">
        <v>39</v>
      </c>
      <c r="N429" s="22"/>
      <c r="O429" s="22"/>
      <c r="P429" s="22"/>
      <c r="Q429" s="22"/>
      <c r="R429" s="23" t="s">
        <v>683</v>
      </c>
      <c r="S429" s="23" t="s">
        <v>39</v>
      </c>
      <c r="T429" s="23" t="s">
        <v>39</v>
      </c>
      <c r="U429" s="23" t="s">
        <v>735</v>
      </c>
      <c r="V429" s="22"/>
      <c r="W429" s="22"/>
      <c r="X429" s="22"/>
      <c r="Y429" s="22"/>
      <c r="Z429" s="22" t="s">
        <v>39</v>
      </c>
      <c r="AA429" s="22" t="s">
        <v>39</v>
      </c>
      <c r="AB429" s="1"/>
      <c r="AC429"/>
      <c r="AD429"/>
      <c r="AE429"/>
      <c r="AF429"/>
      <c r="AG429"/>
    </row>
    <row r="430" spans="1:33" ht="72" customHeight="1" x14ac:dyDescent="0.25">
      <c r="A430" s="17">
        <v>9760300</v>
      </c>
      <c r="B430" s="30">
        <v>1</v>
      </c>
      <c r="C430" s="17" t="s">
        <v>171</v>
      </c>
      <c r="D430" s="31" t="s">
        <v>20</v>
      </c>
      <c r="E430" s="32">
        <v>42671</v>
      </c>
      <c r="F430" s="33">
        <v>42671</v>
      </c>
      <c r="G430" s="32">
        <v>42671</v>
      </c>
      <c r="H430" s="22" t="s">
        <v>108</v>
      </c>
      <c r="I430" s="23" t="s">
        <v>626</v>
      </c>
      <c r="J430" s="23" t="s">
        <v>39</v>
      </c>
      <c r="K430" s="22"/>
      <c r="L430" s="23" t="s">
        <v>39</v>
      </c>
      <c r="M430" s="23" t="s">
        <v>39</v>
      </c>
      <c r="N430" s="22"/>
      <c r="O430" s="22"/>
      <c r="P430" s="22"/>
      <c r="Q430" s="22"/>
      <c r="R430" s="23" t="s">
        <v>683</v>
      </c>
      <c r="S430" s="23" t="s">
        <v>39</v>
      </c>
      <c r="T430" s="23" t="s">
        <v>39</v>
      </c>
      <c r="U430" s="23" t="s">
        <v>695</v>
      </c>
      <c r="V430" s="22"/>
      <c r="W430" s="22"/>
      <c r="X430" s="22"/>
      <c r="Y430" s="22"/>
      <c r="Z430" s="22" t="s">
        <v>39</v>
      </c>
      <c r="AA430" s="22" t="s">
        <v>39</v>
      </c>
      <c r="AB430" s="1"/>
      <c r="AC430"/>
      <c r="AD430"/>
      <c r="AE430"/>
      <c r="AF430"/>
      <c r="AG430"/>
    </row>
    <row r="431" spans="1:33" ht="72" customHeight="1" x14ac:dyDescent="0.25">
      <c r="A431" s="17">
        <v>9760301</v>
      </c>
      <c r="B431" s="30">
        <v>1</v>
      </c>
      <c r="C431" s="17" t="s">
        <v>590</v>
      </c>
      <c r="D431" s="31" t="s">
        <v>20</v>
      </c>
      <c r="E431" s="32">
        <v>42671</v>
      </c>
      <c r="F431" s="33">
        <v>42671</v>
      </c>
      <c r="G431" s="32">
        <v>42671</v>
      </c>
      <c r="H431" s="22" t="s">
        <v>112</v>
      </c>
      <c r="I431" s="23" t="s">
        <v>367</v>
      </c>
      <c r="J431" s="23" t="s">
        <v>39</v>
      </c>
      <c r="K431" s="22"/>
      <c r="L431" s="23" t="s">
        <v>39</v>
      </c>
      <c r="M431" s="23" t="s">
        <v>39</v>
      </c>
      <c r="N431" s="22"/>
      <c r="O431" s="22"/>
      <c r="P431" s="22"/>
      <c r="Q431" s="22"/>
      <c r="R431" s="23" t="s">
        <v>683</v>
      </c>
      <c r="S431" s="23" t="s">
        <v>39</v>
      </c>
      <c r="T431" s="23" t="s">
        <v>39</v>
      </c>
      <c r="U431" s="23" t="s">
        <v>39</v>
      </c>
      <c r="V431" s="22"/>
      <c r="W431" s="22"/>
      <c r="X431" s="22"/>
      <c r="Y431" s="22"/>
      <c r="Z431" s="22" t="s">
        <v>39</v>
      </c>
      <c r="AA431" s="22" t="s">
        <v>39</v>
      </c>
      <c r="AB431" s="1"/>
      <c r="AC431"/>
      <c r="AD431"/>
      <c r="AE431"/>
      <c r="AF431"/>
      <c r="AG431"/>
    </row>
    <row r="432" spans="1:33" ht="72" customHeight="1" x14ac:dyDescent="0.25">
      <c r="A432" s="17">
        <v>9760302</v>
      </c>
      <c r="B432" s="30">
        <v>1</v>
      </c>
      <c r="C432" s="17" t="s">
        <v>372</v>
      </c>
      <c r="D432" s="31" t="s">
        <v>20</v>
      </c>
      <c r="E432" s="32">
        <v>42671</v>
      </c>
      <c r="F432" s="33">
        <v>42671</v>
      </c>
      <c r="G432" s="32">
        <v>42671</v>
      </c>
      <c r="H432" s="22" t="s">
        <v>112</v>
      </c>
      <c r="I432" s="23" t="s">
        <v>367</v>
      </c>
      <c r="J432" s="23" t="s">
        <v>39</v>
      </c>
      <c r="K432" s="22"/>
      <c r="L432" s="23" t="s">
        <v>39</v>
      </c>
      <c r="M432" s="23" t="s">
        <v>39</v>
      </c>
      <c r="N432" s="22"/>
      <c r="O432" s="22"/>
      <c r="P432" s="22"/>
      <c r="Q432" s="22"/>
      <c r="R432" s="23" t="s">
        <v>683</v>
      </c>
      <c r="S432" s="23" t="s">
        <v>39</v>
      </c>
      <c r="T432" s="23" t="s">
        <v>39</v>
      </c>
      <c r="U432" s="23" t="s">
        <v>39</v>
      </c>
      <c r="V432" s="22"/>
      <c r="W432" s="22"/>
      <c r="X432" s="22"/>
      <c r="Y432" s="22"/>
      <c r="Z432" s="22" t="s">
        <v>39</v>
      </c>
      <c r="AA432" s="22" t="s">
        <v>39</v>
      </c>
      <c r="AB432" s="1"/>
      <c r="AC432"/>
      <c r="AD432"/>
      <c r="AE432"/>
      <c r="AF432"/>
      <c r="AG432"/>
    </row>
    <row r="433" spans="1:33" ht="72" customHeight="1" x14ac:dyDescent="0.25">
      <c r="A433" s="17">
        <v>9760303</v>
      </c>
      <c r="B433" s="30">
        <v>1</v>
      </c>
      <c r="C433" s="17" t="s">
        <v>403</v>
      </c>
      <c r="D433" s="31" t="s">
        <v>20</v>
      </c>
      <c r="E433" s="32">
        <v>42671</v>
      </c>
      <c r="F433" s="33">
        <v>42671</v>
      </c>
      <c r="G433" s="32">
        <v>42671</v>
      </c>
      <c r="H433" s="22" t="s">
        <v>112</v>
      </c>
      <c r="I433" s="23" t="s">
        <v>367</v>
      </c>
      <c r="J433" s="23" t="s">
        <v>39</v>
      </c>
      <c r="K433" s="22"/>
      <c r="L433" s="23" t="s">
        <v>39</v>
      </c>
      <c r="M433" s="23" t="s">
        <v>39</v>
      </c>
      <c r="N433" s="22"/>
      <c r="O433" s="22"/>
      <c r="P433" s="22"/>
      <c r="Q433" s="22"/>
      <c r="R433" s="23" t="s">
        <v>683</v>
      </c>
      <c r="S433" s="23" t="s">
        <v>39</v>
      </c>
      <c r="T433" s="23" t="s">
        <v>39</v>
      </c>
      <c r="U433" s="23" t="s">
        <v>39</v>
      </c>
      <c r="V433" s="22"/>
      <c r="W433" s="22"/>
      <c r="X433" s="22"/>
      <c r="Y433" s="22"/>
      <c r="Z433" s="22" t="s">
        <v>39</v>
      </c>
      <c r="AA433" s="22" t="s">
        <v>39</v>
      </c>
      <c r="AB433" s="1"/>
      <c r="AC433"/>
      <c r="AD433"/>
      <c r="AE433"/>
      <c r="AF433"/>
      <c r="AG433"/>
    </row>
    <row r="434" spans="1:33" ht="72" customHeight="1" x14ac:dyDescent="0.25">
      <c r="A434" s="17">
        <v>9760304</v>
      </c>
      <c r="B434" s="30">
        <v>2</v>
      </c>
      <c r="C434" s="17" t="s">
        <v>173</v>
      </c>
      <c r="D434" s="31" t="s">
        <v>20</v>
      </c>
      <c r="E434" s="32">
        <v>42671</v>
      </c>
      <c r="F434" s="33">
        <v>42671</v>
      </c>
      <c r="G434" s="32">
        <v>42671</v>
      </c>
      <c r="H434" s="22" t="s">
        <v>112</v>
      </c>
      <c r="I434" s="23" t="s">
        <v>367</v>
      </c>
      <c r="J434" s="23" t="s">
        <v>39</v>
      </c>
      <c r="K434" s="22"/>
      <c r="L434" s="23" t="s">
        <v>39</v>
      </c>
      <c r="M434" s="23" t="s">
        <v>39</v>
      </c>
      <c r="N434" s="22"/>
      <c r="O434" s="22"/>
      <c r="P434" s="22"/>
      <c r="Q434" s="22"/>
      <c r="R434" s="23" t="s">
        <v>683</v>
      </c>
      <c r="S434" s="23" t="s">
        <v>39</v>
      </c>
      <c r="T434" s="23" t="s">
        <v>39</v>
      </c>
      <c r="U434" s="23" t="s">
        <v>39</v>
      </c>
      <c r="V434" s="22"/>
      <c r="W434" s="22"/>
      <c r="X434" s="22"/>
      <c r="Y434" s="22"/>
      <c r="Z434" s="22" t="s">
        <v>39</v>
      </c>
      <c r="AA434" s="22" t="s">
        <v>39</v>
      </c>
      <c r="AB434" s="1"/>
      <c r="AC434"/>
      <c r="AD434"/>
      <c r="AE434"/>
      <c r="AF434"/>
      <c r="AG434"/>
    </row>
    <row r="435" spans="1:33" ht="72" customHeight="1" x14ac:dyDescent="0.25">
      <c r="A435" s="17">
        <v>9760305</v>
      </c>
      <c r="B435" s="30">
        <v>1</v>
      </c>
      <c r="C435" s="17" t="s">
        <v>594</v>
      </c>
      <c r="D435" s="31" t="s">
        <v>20</v>
      </c>
      <c r="E435" s="32">
        <v>42671</v>
      </c>
      <c r="F435" s="33">
        <v>42671</v>
      </c>
      <c r="G435" s="32">
        <v>42671</v>
      </c>
      <c r="H435" s="22" t="s">
        <v>112</v>
      </c>
      <c r="I435" s="23" t="s">
        <v>393</v>
      </c>
      <c r="J435" s="23" t="s">
        <v>39</v>
      </c>
      <c r="K435" s="22"/>
      <c r="L435" s="23" t="s">
        <v>39</v>
      </c>
      <c r="M435" s="23" t="s">
        <v>39</v>
      </c>
      <c r="N435" s="22"/>
      <c r="O435" s="22"/>
      <c r="P435" s="22"/>
      <c r="Q435" s="22"/>
      <c r="R435" s="23" t="s">
        <v>683</v>
      </c>
      <c r="S435" s="23" t="s">
        <v>39</v>
      </c>
      <c r="T435" s="23" t="s">
        <v>39</v>
      </c>
      <c r="U435" s="23" t="s">
        <v>39</v>
      </c>
      <c r="V435" s="22"/>
      <c r="W435" s="22"/>
      <c r="X435" s="22"/>
      <c r="Y435" s="22"/>
      <c r="Z435" s="22" t="s">
        <v>39</v>
      </c>
      <c r="AA435" s="22" t="s">
        <v>39</v>
      </c>
      <c r="AB435" s="1"/>
      <c r="AC435"/>
      <c r="AD435"/>
      <c r="AE435"/>
      <c r="AF435"/>
      <c r="AG435"/>
    </row>
    <row r="436" spans="1:33" ht="72" customHeight="1" x14ac:dyDescent="0.25">
      <c r="A436" s="17">
        <v>9760306</v>
      </c>
      <c r="B436" s="30">
        <v>1</v>
      </c>
      <c r="C436" s="17" t="s">
        <v>174</v>
      </c>
      <c r="D436" s="31" t="s">
        <v>20</v>
      </c>
      <c r="E436" s="32">
        <v>42671</v>
      </c>
      <c r="F436" s="33">
        <v>42671</v>
      </c>
      <c r="G436" s="32">
        <v>42671</v>
      </c>
      <c r="H436" s="22" t="s">
        <v>112</v>
      </c>
      <c r="I436" s="23" t="s">
        <v>393</v>
      </c>
      <c r="J436" s="23" t="s">
        <v>39</v>
      </c>
      <c r="K436" s="22"/>
      <c r="L436" s="23" t="s">
        <v>39</v>
      </c>
      <c r="M436" s="23" t="s">
        <v>39</v>
      </c>
      <c r="N436" s="22"/>
      <c r="O436" s="22"/>
      <c r="P436" s="22"/>
      <c r="Q436" s="22"/>
      <c r="R436" s="23" t="s">
        <v>683</v>
      </c>
      <c r="S436" s="23" t="s">
        <v>39</v>
      </c>
      <c r="T436" s="23" t="s">
        <v>39</v>
      </c>
      <c r="U436" s="23" t="s">
        <v>39</v>
      </c>
      <c r="V436" s="22"/>
      <c r="W436" s="22"/>
      <c r="X436" s="22"/>
      <c r="Y436" s="22"/>
      <c r="Z436" s="22" t="s">
        <v>39</v>
      </c>
      <c r="AA436" s="22" t="s">
        <v>39</v>
      </c>
      <c r="AB436" s="1"/>
      <c r="AC436"/>
      <c r="AD436"/>
      <c r="AE436"/>
      <c r="AF436"/>
      <c r="AG436"/>
    </row>
    <row r="437" spans="1:33" ht="72" customHeight="1" x14ac:dyDescent="0.25">
      <c r="A437" s="17">
        <v>9760307</v>
      </c>
      <c r="B437" s="30">
        <v>2</v>
      </c>
      <c r="C437" s="17" t="s">
        <v>604</v>
      </c>
      <c r="D437" s="31" t="s">
        <v>20</v>
      </c>
      <c r="E437" s="32">
        <v>42671</v>
      </c>
      <c r="F437" s="33">
        <v>42671</v>
      </c>
      <c r="G437" s="32">
        <v>42671</v>
      </c>
      <c r="H437" s="22" t="s">
        <v>112</v>
      </c>
      <c r="I437" s="23" t="s">
        <v>393</v>
      </c>
      <c r="J437" s="23" t="s">
        <v>39</v>
      </c>
      <c r="K437" s="22"/>
      <c r="L437" s="23" t="s">
        <v>39</v>
      </c>
      <c r="M437" s="23" t="s">
        <v>39</v>
      </c>
      <c r="N437" s="22"/>
      <c r="O437" s="22"/>
      <c r="P437" s="22"/>
      <c r="Q437" s="22"/>
      <c r="R437" s="23" t="s">
        <v>683</v>
      </c>
      <c r="S437" s="23" t="s">
        <v>39</v>
      </c>
      <c r="T437" s="23" t="s">
        <v>39</v>
      </c>
      <c r="U437" s="23" t="s">
        <v>39</v>
      </c>
      <c r="V437" s="22"/>
      <c r="W437" s="22"/>
      <c r="X437" s="22"/>
      <c r="Y437" s="22"/>
      <c r="Z437" s="22" t="s">
        <v>39</v>
      </c>
      <c r="AA437" s="22" t="s">
        <v>39</v>
      </c>
      <c r="AB437" s="1"/>
      <c r="AC437"/>
      <c r="AD437"/>
      <c r="AE437"/>
      <c r="AF437"/>
      <c r="AG437"/>
    </row>
    <row r="438" spans="1:33" ht="72" customHeight="1" x14ac:dyDescent="0.25">
      <c r="A438" s="17">
        <v>9760308</v>
      </c>
      <c r="B438" s="30">
        <v>1</v>
      </c>
      <c r="C438" s="17" t="s">
        <v>130</v>
      </c>
      <c r="D438" s="31" t="s">
        <v>20</v>
      </c>
      <c r="E438" s="32">
        <v>42671</v>
      </c>
      <c r="F438" s="33">
        <v>42671</v>
      </c>
      <c r="G438" s="32">
        <v>42671</v>
      </c>
      <c r="H438" s="22" t="s">
        <v>112</v>
      </c>
      <c r="I438" s="23" t="s">
        <v>393</v>
      </c>
      <c r="J438" s="23" t="s">
        <v>39</v>
      </c>
      <c r="K438" s="22"/>
      <c r="L438" s="23" t="s">
        <v>39</v>
      </c>
      <c r="M438" s="23" t="s">
        <v>39</v>
      </c>
      <c r="N438" s="22"/>
      <c r="O438" s="22"/>
      <c r="P438" s="22"/>
      <c r="Q438" s="22"/>
      <c r="R438" s="23" t="s">
        <v>683</v>
      </c>
      <c r="S438" s="23" t="s">
        <v>39</v>
      </c>
      <c r="T438" s="23" t="s">
        <v>39</v>
      </c>
      <c r="U438" s="23" t="s">
        <v>39</v>
      </c>
      <c r="V438" s="22"/>
      <c r="W438" s="22"/>
      <c r="X438" s="22"/>
      <c r="Y438" s="22"/>
      <c r="Z438" s="22" t="s">
        <v>39</v>
      </c>
      <c r="AA438" s="22" t="s">
        <v>39</v>
      </c>
      <c r="AB438" s="1"/>
      <c r="AC438"/>
      <c r="AD438"/>
      <c r="AE438"/>
      <c r="AF438"/>
      <c r="AG438"/>
    </row>
    <row r="439" spans="1:33" ht="72" customHeight="1" x14ac:dyDescent="0.25">
      <c r="A439" s="17">
        <v>9760309</v>
      </c>
      <c r="B439" s="30">
        <v>2</v>
      </c>
      <c r="C439" s="17" t="s">
        <v>178</v>
      </c>
      <c r="D439" s="31" t="s">
        <v>20</v>
      </c>
      <c r="E439" s="32">
        <v>42671</v>
      </c>
      <c r="F439" s="33">
        <v>42671</v>
      </c>
      <c r="G439" s="32">
        <v>42671</v>
      </c>
      <c r="H439" s="22" t="s">
        <v>112</v>
      </c>
      <c r="I439" s="23" t="s">
        <v>393</v>
      </c>
      <c r="J439" s="23" t="s">
        <v>39</v>
      </c>
      <c r="K439" s="22"/>
      <c r="L439" s="23" t="s">
        <v>39</v>
      </c>
      <c r="M439" s="23" t="s">
        <v>39</v>
      </c>
      <c r="N439" s="22"/>
      <c r="O439" s="22"/>
      <c r="P439" s="22"/>
      <c r="Q439" s="22"/>
      <c r="R439" s="23" t="s">
        <v>683</v>
      </c>
      <c r="S439" s="23" t="s">
        <v>39</v>
      </c>
      <c r="T439" s="23" t="s">
        <v>39</v>
      </c>
      <c r="U439" s="23" t="s">
        <v>39</v>
      </c>
      <c r="V439" s="22"/>
      <c r="W439" s="22"/>
      <c r="X439" s="22"/>
      <c r="Y439" s="22"/>
      <c r="Z439" s="22" t="s">
        <v>39</v>
      </c>
      <c r="AA439" s="22" t="s">
        <v>39</v>
      </c>
      <c r="AB439" s="1"/>
      <c r="AC439"/>
      <c r="AD439"/>
      <c r="AE439"/>
      <c r="AF439"/>
      <c r="AG439"/>
    </row>
    <row r="440" spans="1:33" ht="72" customHeight="1" x14ac:dyDescent="0.25">
      <c r="A440" s="17">
        <v>9760310</v>
      </c>
      <c r="B440" s="30">
        <v>1</v>
      </c>
      <c r="C440" s="17" t="s">
        <v>177</v>
      </c>
      <c r="D440" s="31" t="s">
        <v>20</v>
      </c>
      <c r="E440" s="32">
        <v>42671</v>
      </c>
      <c r="F440" s="33">
        <v>42671</v>
      </c>
      <c r="G440" s="32">
        <v>42671</v>
      </c>
      <c r="H440" s="22" t="s">
        <v>112</v>
      </c>
      <c r="I440" s="23" t="s">
        <v>393</v>
      </c>
      <c r="J440" s="23" t="s">
        <v>39</v>
      </c>
      <c r="K440" s="22"/>
      <c r="L440" s="23" t="s">
        <v>39</v>
      </c>
      <c r="M440" s="23" t="s">
        <v>39</v>
      </c>
      <c r="N440" s="22"/>
      <c r="O440" s="22"/>
      <c r="P440" s="22"/>
      <c r="Q440" s="22"/>
      <c r="R440" s="23" t="s">
        <v>683</v>
      </c>
      <c r="S440" s="23" t="s">
        <v>39</v>
      </c>
      <c r="T440" s="23" t="s">
        <v>39</v>
      </c>
      <c r="U440" s="23" t="s">
        <v>39</v>
      </c>
      <c r="V440" s="22"/>
      <c r="W440" s="22"/>
      <c r="X440" s="22"/>
      <c r="Y440" s="22"/>
      <c r="Z440" s="22" t="s">
        <v>39</v>
      </c>
      <c r="AA440" s="22" t="s">
        <v>39</v>
      </c>
      <c r="AB440" s="1"/>
      <c r="AC440"/>
      <c r="AD440"/>
      <c r="AE440"/>
      <c r="AF440"/>
      <c r="AG440"/>
    </row>
    <row r="441" spans="1:33" ht="72" customHeight="1" x14ac:dyDescent="0.25">
      <c r="A441" s="17">
        <v>9760311</v>
      </c>
      <c r="B441" s="30">
        <v>1</v>
      </c>
      <c r="C441" s="17" t="s">
        <v>514</v>
      </c>
      <c r="D441" s="31" t="s">
        <v>20</v>
      </c>
      <c r="E441" s="32">
        <v>42671</v>
      </c>
      <c r="F441" s="33">
        <v>42671</v>
      </c>
      <c r="G441" s="32">
        <v>42671</v>
      </c>
      <c r="H441" s="22" t="s">
        <v>112</v>
      </c>
      <c r="I441" s="23" t="s">
        <v>393</v>
      </c>
      <c r="J441" s="23" t="s">
        <v>39</v>
      </c>
      <c r="K441" s="22"/>
      <c r="L441" s="23" t="s">
        <v>39</v>
      </c>
      <c r="M441" s="23" t="s">
        <v>39</v>
      </c>
      <c r="N441" s="22"/>
      <c r="O441" s="22"/>
      <c r="P441" s="22"/>
      <c r="Q441" s="22"/>
      <c r="R441" s="23" t="s">
        <v>683</v>
      </c>
      <c r="S441" s="23" t="s">
        <v>39</v>
      </c>
      <c r="T441" s="23" t="s">
        <v>39</v>
      </c>
      <c r="U441" s="23" t="s">
        <v>39</v>
      </c>
      <c r="V441" s="22"/>
      <c r="W441" s="22"/>
      <c r="X441" s="22"/>
      <c r="Y441" s="22"/>
      <c r="Z441" s="22" t="s">
        <v>39</v>
      </c>
      <c r="AA441" s="22" t="s">
        <v>39</v>
      </c>
      <c r="AB441" s="1"/>
      <c r="AC441"/>
      <c r="AD441"/>
      <c r="AE441"/>
      <c r="AF441"/>
      <c r="AG441"/>
    </row>
    <row r="442" spans="1:33" ht="72" customHeight="1" x14ac:dyDescent="0.25">
      <c r="A442" s="17">
        <v>9760312</v>
      </c>
      <c r="B442" s="30">
        <v>3</v>
      </c>
      <c r="C442" s="17" t="s">
        <v>605</v>
      </c>
      <c r="D442" s="31" t="s">
        <v>20</v>
      </c>
      <c r="E442" s="32">
        <v>42671</v>
      </c>
      <c r="F442" s="33">
        <v>42671</v>
      </c>
      <c r="G442" s="32">
        <v>42671</v>
      </c>
      <c r="H442" s="22" t="s">
        <v>112</v>
      </c>
      <c r="I442" s="23" t="s">
        <v>393</v>
      </c>
      <c r="J442" s="23" t="s">
        <v>39</v>
      </c>
      <c r="K442" s="22"/>
      <c r="L442" s="23" t="s">
        <v>39</v>
      </c>
      <c r="M442" s="23" t="s">
        <v>39</v>
      </c>
      <c r="N442" s="22"/>
      <c r="O442" s="22"/>
      <c r="P442" s="22"/>
      <c r="Q442" s="22"/>
      <c r="R442" s="23" t="s">
        <v>683</v>
      </c>
      <c r="S442" s="23" t="s">
        <v>39</v>
      </c>
      <c r="T442" s="23" t="s">
        <v>39</v>
      </c>
      <c r="U442" s="23" t="s">
        <v>39</v>
      </c>
      <c r="V442" s="22"/>
      <c r="W442" s="22"/>
      <c r="X442" s="22"/>
      <c r="Y442" s="22"/>
      <c r="Z442" s="22" t="s">
        <v>39</v>
      </c>
      <c r="AA442" s="22" t="s">
        <v>39</v>
      </c>
      <c r="AB442" s="1"/>
      <c r="AC442"/>
      <c r="AD442"/>
      <c r="AE442"/>
      <c r="AF442"/>
      <c r="AG442"/>
    </row>
    <row r="443" spans="1:33" ht="72" customHeight="1" x14ac:dyDescent="0.25">
      <c r="A443" s="17">
        <v>9760313</v>
      </c>
      <c r="B443" s="30">
        <v>3</v>
      </c>
      <c r="C443" s="17" t="s">
        <v>409</v>
      </c>
      <c r="D443" s="31" t="s">
        <v>20</v>
      </c>
      <c r="E443" s="32">
        <v>42671</v>
      </c>
      <c r="F443" s="33">
        <v>42671</v>
      </c>
      <c r="G443" s="32">
        <v>42671</v>
      </c>
      <c r="H443" s="22" t="s">
        <v>112</v>
      </c>
      <c r="I443" s="23" t="s">
        <v>393</v>
      </c>
      <c r="J443" s="23" t="s">
        <v>39</v>
      </c>
      <c r="K443" s="22"/>
      <c r="L443" s="23" t="s">
        <v>39</v>
      </c>
      <c r="M443" s="23" t="s">
        <v>39</v>
      </c>
      <c r="N443" s="22"/>
      <c r="O443" s="22"/>
      <c r="P443" s="22"/>
      <c r="Q443" s="22"/>
      <c r="R443" s="23" t="s">
        <v>683</v>
      </c>
      <c r="S443" s="23" t="s">
        <v>39</v>
      </c>
      <c r="T443" s="23" t="s">
        <v>39</v>
      </c>
      <c r="U443" s="23" t="s">
        <v>39</v>
      </c>
      <c r="V443" s="22"/>
      <c r="W443" s="22"/>
      <c r="X443" s="22"/>
      <c r="Y443" s="22"/>
      <c r="Z443" s="22" t="s">
        <v>39</v>
      </c>
      <c r="AA443" s="22" t="s">
        <v>39</v>
      </c>
      <c r="AB443" s="1"/>
      <c r="AC443"/>
      <c r="AD443"/>
      <c r="AE443"/>
      <c r="AF443"/>
      <c r="AG443"/>
    </row>
    <row r="444" spans="1:33" ht="72" customHeight="1" x14ac:dyDescent="0.25">
      <c r="A444" s="17">
        <v>9760314</v>
      </c>
      <c r="B444" s="30">
        <v>1</v>
      </c>
      <c r="C444" s="17" t="s">
        <v>607</v>
      </c>
      <c r="D444" s="31" t="s">
        <v>20</v>
      </c>
      <c r="E444" s="32">
        <v>42671</v>
      </c>
      <c r="F444" s="33">
        <v>42671</v>
      </c>
      <c r="G444" s="32">
        <v>42671</v>
      </c>
      <c r="H444" s="22" t="s">
        <v>112</v>
      </c>
      <c r="I444" s="23" t="s">
        <v>393</v>
      </c>
      <c r="J444" s="23" t="s">
        <v>39</v>
      </c>
      <c r="K444" s="22"/>
      <c r="L444" s="23" t="s">
        <v>39</v>
      </c>
      <c r="M444" s="23" t="s">
        <v>39</v>
      </c>
      <c r="N444" s="22"/>
      <c r="O444" s="22"/>
      <c r="P444" s="22"/>
      <c r="Q444" s="22"/>
      <c r="R444" s="23" t="s">
        <v>683</v>
      </c>
      <c r="S444" s="23" t="s">
        <v>39</v>
      </c>
      <c r="T444" s="23" t="s">
        <v>39</v>
      </c>
      <c r="U444" s="23" t="s">
        <v>39</v>
      </c>
      <c r="V444" s="22"/>
      <c r="W444" s="22"/>
      <c r="X444" s="22"/>
      <c r="Y444" s="22"/>
      <c r="Z444" s="22" t="s">
        <v>39</v>
      </c>
      <c r="AA444" s="22" t="s">
        <v>39</v>
      </c>
      <c r="AB444" s="1"/>
      <c r="AC444"/>
      <c r="AD444"/>
      <c r="AE444"/>
      <c r="AF444"/>
      <c r="AG444"/>
    </row>
    <row r="445" spans="1:33" ht="72" customHeight="1" x14ac:dyDescent="0.25">
      <c r="A445" s="17">
        <v>9760315</v>
      </c>
      <c r="B445" s="30">
        <v>2</v>
      </c>
      <c r="C445" s="17" t="s">
        <v>208</v>
      </c>
      <c r="D445" s="31" t="s">
        <v>20</v>
      </c>
      <c r="E445" s="32">
        <v>42671</v>
      </c>
      <c r="F445" s="33">
        <v>42671</v>
      </c>
      <c r="G445" s="32">
        <v>42671</v>
      </c>
      <c r="H445" s="22" t="s">
        <v>104</v>
      </c>
      <c r="I445" s="23" t="s">
        <v>39</v>
      </c>
      <c r="J445" s="23" t="s">
        <v>39</v>
      </c>
      <c r="K445" s="22"/>
      <c r="L445" s="23" t="s">
        <v>39</v>
      </c>
      <c r="M445" s="23" t="s">
        <v>39</v>
      </c>
      <c r="N445" s="22"/>
      <c r="O445" s="22"/>
      <c r="P445" s="22"/>
      <c r="Q445" s="22"/>
      <c r="R445" s="23" t="s">
        <v>683</v>
      </c>
      <c r="S445" s="23" t="s">
        <v>39</v>
      </c>
      <c r="T445" s="23" t="s">
        <v>39</v>
      </c>
      <c r="U445" s="23" t="s">
        <v>39</v>
      </c>
      <c r="V445" s="22"/>
      <c r="W445" s="22"/>
      <c r="X445" s="22"/>
      <c r="Y445" s="22"/>
      <c r="Z445" s="22" t="s">
        <v>39</v>
      </c>
      <c r="AA445" s="22" t="s">
        <v>39</v>
      </c>
      <c r="AB445" s="1"/>
      <c r="AC445"/>
      <c r="AD445"/>
      <c r="AE445"/>
      <c r="AF445"/>
      <c r="AG445"/>
    </row>
    <row r="446" spans="1:33" ht="72" customHeight="1" x14ac:dyDescent="0.25">
      <c r="A446" s="17">
        <v>9760316</v>
      </c>
      <c r="B446" s="30">
        <v>2</v>
      </c>
      <c r="C446" s="17" t="s">
        <v>599</v>
      </c>
      <c r="D446" s="31" t="s">
        <v>20</v>
      </c>
      <c r="E446" s="32">
        <v>42671</v>
      </c>
      <c r="F446" s="33">
        <v>42671</v>
      </c>
      <c r="G446" s="32">
        <v>42671</v>
      </c>
      <c r="H446" s="22" t="s">
        <v>104</v>
      </c>
      <c r="I446" s="23" t="s">
        <v>39</v>
      </c>
      <c r="J446" s="23" t="s">
        <v>39</v>
      </c>
      <c r="K446" s="22"/>
      <c r="L446" s="23" t="s">
        <v>39</v>
      </c>
      <c r="M446" s="23" t="s">
        <v>39</v>
      </c>
      <c r="N446" s="22"/>
      <c r="O446" s="22"/>
      <c r="P446" s="22"/>
      <c r="Q446" s="22"/>
      <c r="R446" s="23" t="s">
        <v>683</v>
      </c>
      <c r="S446" s="23" t="s">
        <v>39</v>
      </c>
      <c r="T446" s="23" t="s">
        <v>39</v>
      </c>
      <c r="U446" s="23" t="s">
        <v>39</v>
      </c>
      <c r="V446" s="22"/>
      <c r="W446" s="22"/>
      <c r="X446" s="22"/>
      <c r="Y446" s="22"/>
      <c r="Z446" s="22" t="s">
        <v>39</v>
      </c>
      <c r="AA446" s="22" t="s">
        <v>39</v>
      </c>
      <c r="AB446" s="1"/>
      <c r="AC446"/>
      <c r="AD446"/>
      <c r="AE446"/>
      <c r="AF446"/>
      <c r="AG446"/>
    </row>
    <row r="447" spans="1:33" ht="72" customHeight="1" x14ac:dyDescent="0.25">
      <c r="A447" s="17">
        <v>9760317</v>
      </c>
      <c r="B447" s="30">
        <v>4</v>
      </c>
      <c r="C447" s="17" t="s">
        <v>144</v>
      </c>
      <c r="D447" s="31" t="s">
        <v>20</v>
      </c>
      <c r="E447" s="32">
        <v>42671</v>
      </c>
      <c r="F447" s="33">
        <v>42671</v>
      </c>
      <c r="G447" s="32">
        <v>42671</v>
      </c>
      <c r="H447" s="22" t="s">
        <v>104</v>
      </c>
      <c r="I447" s="23" t="s">
        <v>39</v>
      </c>
      <c r="J447" s="23" t="s">
        <v>39</v>
      </c>
      <c r="K447" s="22"/>
      <c r="L447" s="23" t="s">
        <v>39</v>
      </c>
      <c r="M447" s="23" t="s">
        <v>39</v>
      </c>
      <c r="N447" s="22"/>
      <c r="O447" s="22"/>
      <c r="P447" s="22"/>
      <c r="Q447" s="22"/>
      <c r="R447" s="23" t="s">
        <v>683</v>
      </c>
      <c r="S447" s="23" t="s">
        <v>39</v>
      </c>
      <c r="T447" s="23" t="s">
        <v>39</v>
      </c>
      <c r="U447" s="23" t="s">
        <v>39</v>
      </c>
      <c r="V447" s="22"/>
      <c r="W447" s="22"/>
      <c r="X447" s="22"/>
      <c r="Y447" s="22"/>
      <c r="Z447" s="22" t="s">
        <v>39</v>
      </c>
      <c r="AA447" s="22" t="s">
        <v>39</v>
      </c>
      <c r="AB447" s="1"/>
      <c r="AC447"/>
      <c r="AD447"/>
      <c r="AE447"/>
      <c r="AF447"/>
      <c r="AG447"/>
    </row>
    <row r="448" spans="1:33" ht="72" customHeight="1" x14ac:dyDescent="0.25">
      <c r="A448" s="17">
        <v>9760318</v>
      </c>
      <c r="B448" s="30">
        <v>1</v>
      </c>
      <c r="C448" s="17" t="s">
        <v>242</v>
      </c>
      <c r="D448" s="31" t="s">
        <v>45</v>
      </c>
      <c r="E448" s="32">
        <v>42671</v>
      </c>
      <c r="F448" s="33">
        <v>42671</v>
      </c>
      <c r="G448" s="32">
        <v>42671</v>
      </c>
      <c r="H448" s="22" t="s">
        <v>104</v>
      </c>
      <c r="I448" s="23" t="s">
        <v>39</v>
      </c>
      <c r="J448" s="23" t="s">
        <v>39</v>
      </c>
      <c r="K448" s="22"/>
      <c r="L448" s="23" t="s">
        <v>39</v>
      </c>
      <c r="M448" s="23" t="s">
        <v>39</v>
      </c>
      <c r="N448" s="22"/>
      <c r="O448" s="22"/>
      <c r="P448" s="22"/>
      <c r="Q448" s="22"/>
      <c r="R448" s="23" t="s">
        <v>683</v>
      </c>
      <c r="S448" s="23" t="s">
        <v>39</v>
      </c>
      <c r="T448" s="23" t="s">
        <v>39</v>
      </c>
      <c r="U448" s="23" t="s">
        <v>39</v>
      </c>
      <c r="V448" s="22"/>
      <c r="W448" s="22"/>
      <c r="X448" s="22"/>
      <c r="Y448" s="22"/>
      <c r="Z448" s="22" t="s">
        <v>39</v>
      </c>
      <c r="AA448" s="22" t="s">
        <v>39</v>
      </c>
      <c r="AB448" s="1"/>
      <c r="AC448"/>
      <c r="AD448"/>
      <c r="AE448"/>
      <c r="AF448"/>
      <c r="AG448"/>
    </row>
    <row r="449" spans="1:33" ht="72" customHeight="1" x14ac:dyDescent="0.25">
      <c r="A449" s="17">
        <v>9760319</v>
      </c>
      <c r="B449" s="30">
        <v>8</v>
      </c>
      <c r="C449" s="17" t="s">
        <v>37</v>
      </c>
      <c r="D449" s="31" t="s">
        <v>10</v>
      </c>
      <c r="E449" s="32">
        <v>42671</v>
      </c>
      <c r="F449" s="33">
        <v>42671</v>
      </c>
      <c r="G449" s="32">
        <v>42671</v>
      </c>
      <c r="H449" s="22" t="s">
        <v>104</v>
      </c>
      <c r="I449" s="23" t="s">
        <v>39</v>
      </c>
      <c r="J449" s="23" t="s">
        <v>39</v>
      </c>
      <c r="K449" s="22"/>
      <c r="L449" s="23" t="s">
        <v>39</v>
      </c>
      <c r="M449" s="23" t="s">
        <v>39</v>
      </c>
      <c r="N449" s="22"/>
      <c r="O449" s="22"/>
      <c r="P449" s="22"/>
      <c r="Q449" s="22"/>
      <c r="R449" s="23" t="s">
        <v>683</v>
      </c>
      <c r="S449" s="23" t="s">
        <v>39</v>
      </c>
      <c r="T449" s="23" t="s">
        <v>39</v>
      </c>
      <c r="U449" s="23" t="s">
        <v>39</v>
      </c>
      <c r="V449" s="22"/>
      <c r="W449" s="22"/>
      <c r="X449" s="22"/>
      <c r="Y449" s="22"/>
      <c r="Z449" s="22" t="s">
        <v>39</v>
      </c>
      <c r="AA449" s="22" t="s">
        <v>39</v>
      </c>
      <c r="AB449" s="1"/>
      <c r="AC449"/>
      <c r="AD449"/>
      <c r="AE449"/>
      <c r="AF449"/>
      <c r="AG449"/>
    </row>
    <row r="450" spans="1:33" ht="72" customHeight="1" x14ac:dyDescent="0.25">
      <c r="A450" s="17">
        <v>9760320</v>
      </c>
      <c r="B450" s="30">
        <v>1</v>
      </c>
      <c r="C450" s="17" t="s">
        <v>613</v>
      </c>
      <c r="D450" s="31" t="s">
        <v>191</v>
      </c>
      <c r="E450" s="32">
        <v>42671</v>
      </c>
      <c r="F450" s="33">
        <v>42671</v>
      </c>
      <c r="G450" s="32">
        <v>42671</v>
      </c>
      <c r="H450" s="22" t="s">
        <v>104</v>
      </c>
      <c r="I450" s="23" t="s">
        <v>39</v>
      </c>
      <c r="J450" s="23" t="s">
        <v>39</v>
      </c>
      <c r="K450" s="22"/>
      <c r="L450" s="23" t="s">
        <v>39</v>
      </c>
      <c r="M450" s="23" t="s">
        <v>39</v>
      </c>
      <c r="N450" s="22"/>
      <c r="O450" s="22"/>
      <c r="P450" s="22"/>
      <c r="Q450" s="22"/>
      <c r="R450" s="23" t="s">
        <v>683</v>
      </c>
      <c r="S450" s="23" t="s">
        <v>39</v>
      </c>
      <c r="T450" s="23" t="s">
        <v>39</v>
      </c>
      <c r="U450" s="23" t="s">
        <v>39</v>
      </c>
      <c r="V450" s="22"/>
      <c r="W450" s="22"/>
      <c r="X450" s="22"/>
      <c r="Y450" s="22"/>
      <c r="Z450" s="22" t="s">
        <v>39</v>
      </c>
      <c r="AA450" s="22" t="s">
        <v>39</v>
      </c>
      <c r="AB450" s="1"/>
      <c r="AC450"/>
      <c r="AD450"/>
      <c r="AE450"/>
      <c r="AF450"/>
      <c r="AG450"/>
    </row>
    <row r="451" spans="1:33" ht="72" customHeight="1" x14ac:dyDescent="0.25">
      <c r="A451" s="17">
        <v>9760321</v>
      </c>
      <c r="B451" s="30">
        <v>1</v>
      </c>
      <c r="C451" s="17" t="s">
        <v>139</v>
      </c>
      <c r="D451" s="31" t="s">
        <v>13</v>
      </c>
      <c r="E451" s="32">
        <v>42671</v>
      </c>
      <c r="F451" s="33">
        <v>42671</v>
      </c>
      <c r="G451" s="32">
        <v>42671</v>
      </c>
      <c r="H451" s="22" t="s">
        <v>104</v>
      </c>
      <c r="I451" s="23" t="s">
        <v>39</v>
      </c>
      <c r="J451" s="23" t="s">
        <v>39</v>
      </c>
      <c r="K451" s="22"/>
      <c r="L451" s="23" t="s">
        <v>39</v>
      </c>
      <c r="M451" s="23" t="s">
        <v>39</v>
      </c>
      <c r="N451" s="22"/>
      <c r="O451" s="22"/>
      <c r="P451" s="22"/>
      <c r="Q451" s="22"/>
      <c r="R451" s="23" t="s">
        <v>683</v>
      </c>
      <c r="S451" s="23" t="s">
        <v>39</v>
      </c>
      <c r="T451" s="23" t="s">
        <v>39</v>
      </c>
      <c r="U451" s="23" t="s">
        <v>39</v>
      </c>
      <c r="V451" s="22"/>
      <c r="W451" s="22"/>
      <c r="X451" s="22"/>
      <c r="Y451" s="22"/>
      <c r="Z451" s="22" t="s">
        <v>39</v>
      </c>
      <c r="AA451" s="22" t="s">
        <v>39</v>
      </c>
      <c r="AB451" s="1"/>
      <c r="AC451"/>
      <c r="AD451"/>
      <c r="AE451"/>
      <c r="AF451"/>
      <c r="AG451"/>
    </row>
    <row r="452" spans="1:33" ht="72" customHeight="1" x14ac:dyDescent="0.25">
      <c r="A452" s="17">
        <v>9760322</v>
      </c>
      <c r="B452" s="30">
        <v>4</v>
      </c>
      <c r="C452" s="17" t="s">
        <v>346</v>
      </c>
      <c r="D452" s="31" t="s">
        <v>12</v>
      </c>
      <c r="E452" s="32">
        <v>42671</v>
      </c>
      <c r="F452" s="33">
        <v>42671</v>
      </c>
      <c r="G452" s="32">
        <v>42671</v>
      </c>
      <c r="H452" s="22" t="s">
        <v>104</v>
      </c>
      <c r="I452" s="23" t="s">
        <v>39</v>
      </c>
      <c r="J452" s="23" t="s">
        <v>39</v>
      </c>
      <c r="K452" s="22"/>
      <c r="L452" s="23" t="s">
        <v>39</v>
      </c>
      <c r="M452" s="23" t="s">
        <v>39</v>
      </c>
      <c r="N452" s="22"/>
      <c r="O452" s="22"/>
      <c r="P452" s="22"/>
      <c r="Q452" s="22"/>
      <c r="R452" s="23" t="s">
        <v>683</v>
      </c>
      <c r="S452" s="23" t="s">
        <v>39</v>
      </c>
      <c r="T452" s="23" t="s">
        <v>39</v>
      </c>
      <c r="U452" s="23" t="s">
        <v>39</v>
      </c>
      <c r="V452" s="22"/>
      <c r="W452" s="22"/>
      <c r="X452" s="22"/>
      <c r="Y452" s="22"/>
      <c r="Z452" s="22" t="s">
        <v>39</v>
      </c>
      <c r="AA452" s="22" t="s">
        <v>39</v>
      </c>
      <c r="AB452" s="1"/>
      <c r="AC452"/>
      <c r="AD452"/>
      <c r="AE452"/>
      <c r="AF452"/>
      <c r="AG452"/>
    </row>
    <row r="453" spans="1:33" ht="72" customHeight="1" x14ac:dyDescent="0.25">
      <c r="A453" s="17">
        <v>9760323</v>
      </c>
      <c r="B453" s="30">
        <v>2</v>
      </c>
      <c r="C453" s="17" t="s">
        <v>29</v>
      </c>
      <c r="D453" s="31" t="s">
        <v>12</v>
      </c>
      <c r="E453" s="32">
        <v>42671</v>
      </c>
      <c r="F453" s="33">
        <v>42671</v>
      </c>
      <c r="G453" s="32">
        <v>42671</v>
      </c>
      <c r="H453" s="22" t="s">
        <v>104</v>
      </c>
      <c r="I453" s="23" t="s">
        <v>39</v>
      </c>
      <c r="J453" s="23" t="s">
        <v>39</v>
      </c>
      <c r="K453" s="22"/>
      <c r="L453" s="23" t="s">
        <v>39</v>
      </c>
      <c r="M453" s="23" t="s">
        <v>39</v>
      </c>
      <c r="N453" s="22"/>
      <c r="O453" s="22"/>
      <c r="P453" s="22"/>
      <c r="Q453" s="22"/>
      <c r="R453" s="23" t="s">
        <v>683</v>
      </c>
      <c r="S453" s="23" t="s">
        <v>39</v>
      </c>
      <c r="T453" s="23" t="s">
        <v>39</v>
      </c>
      <c r="U453" s="23" t="s">
        <v>39</v>
      </c>
      <c r="V453" s="22"/>
      <c r="W453" s="22"/>
      <c r="X453" s="22"/>
      <c r="Y453" s="22"/>
      <c r="Z453" s="22" t="s">
        <v>39</v>
      </c>
      <c r="AA453" s="22" t="s">
        <v>39</v>
      </c>
      <c r="AB453" s="1"/>
      <c r="AC453"/>
      <c r="AD453"/>
      <c r="AE453"/>
      <c r="AF453"/>
      <c r="AG453"/>
    </row>
    <row r="454" spans="1:33" ht="72" customHeight="1" x14ac:dyDescent="0.25">
      <c r="A454" s="17">
        <v>9760324</v>
      </c>
      <c r="B454" s="30">
        <v>1</v>
      </c>
      <c r="C454" s="17" t="s">
        <v>546</v>
      </c>
      <c r="D454" s="31" t="s">
        <v>12</v>
      </c>
      <c r="E454" s="32">
        <v>42671</v>
      </c>
      <c r="F454" s="33">
        <v>42671</v>
      </c>
      <c r="G454" s="32">
        <v>42671</v>
      </c>
      <c r="H454" s="22" t="s">
        <v>104</v>
      </c>
      <c r="I454" s="23" t="s">
        <v>39</v>
      </c>
      <c r="J454" s="23" t="s">
        <v>39</v>
      </c>
      <c r="K454" s="22"/>
      <c r="L454" s="23" t="s">
        <v>39</v>
      </c>
      <c r="M454" s="23" t="s">
        <v>39</v>
      </c>
      <c r="N454" s="22"/>
      <c r="O454" s="22"/>
      <c r="P454" s="22"/>
      <c r="Q454" s="22"/>
      <c r="R454" s="23" t="s">
        <v>683</v>
      </c>
      <c r="S454" s="23" t="s">
        <v>39</v>
      </c>
      <c r="T454" s="23" t="s">
        <v>39</v>
      </c>
      <c r="U454" s="23" t="s">
        <v>39</v>
      </c>
      <c r="V454" s="22"/>
      <c r="W454" s="22"/>
      <c r="X454" s="22"/>
      <c r="Y454" s="22"/>
      <c r="Z454" s="22" t="s">
        <v>39</v>
      </c>
      <c r="AA454" s="22" t="s">
        <v>39</v>
      </c>
      <c r="AB454" s="1"/>
      <c r="AC454"/>
      <c r="AD454"/>
      <c r="AE454"/>
      <c r="AF454"/>
      <c r="AG454"/>
    </row>
    <row r="455" spans="1:33" ht="72" customHeight="1" x14ac:dyDescent="0.25">
      <c r="A455" s="17">
        <v>9760325</v>
      </c>
      <c r="B455" s="30">
        <v>1</v>
      </c>
      <c r="C455" s="17" t="s">
        <v>612</v>
      </c>
      <c r="D455" s="31" t="s">
        <v>12</v>
      </c>
      <c r="E455" s="32">
        <v>42671</v>
      </c>
      <c r="F455" s="33">
        <v>42671</v>
      </c>
      <c r="G455" s="32">
        <v>42671</v>
      </c>
      <c r="H455" s="22" t="s">
        <v>104</v>
      </c>
      <c r="I455" s="23" t="s">
        <v>39</v>
      </c>
      <c r="J455" s="23" t="s">
        <v>39</v>
      </c>
      <c r="K455" s="22"/>
      <c r="L455" s="23" t="s">
        <v>39</v>
      </c>
      <c r="M455" s="23" t="s">
        <v>39</v>
      </c>
      <c r="N455" s="22"/>
      <c r="O455" s="22"/>
      <c r="P455" s="22"/>
      <c r="Q455" s="22"/>
      <c r="R455" s="23" t="s">
        <v>683</v>
      </c>
      <c r="S455" s="23" t="s">
        <v>39</v>
      </c>
      <c r="T455" s="23" t="s">
        <v>39</v>
      </c>
      <c r="U455" s="23" t="s">
        <v>39</v>
      </c>
      <c r="V455" s="22"/>
      <c r="W455" s="22"/>
      <c r="X455" s="22"/>
      <c r="Y455" s="22"/>
      <c r="Z455" s="22" t="s">
        <v>39</v>
      </c>
      <c r="AA455" s="22" t="s">
        <v>39</v>
      </c>
      <c r="AB455" s="1"/>
      <c r="AC455"/>
      <c r="AD455"/>
      <c r="AE455"/>
      <c r="AF455"/>
      <c r="AG455"/>
    </row>
    <row r="456" spans="1:33" ht="72" customHeight="1" x14ac:dyDescent="0.25">
      <c r="A456" s="17">
        <v>9760326</v>
      </c>
      <c r="B456" s="30">
        <v>2</v>
      </c>
      <c r="C456" s="17" t="s">
        <v>611</v>
      </c>
      <c r="D456" s="31" t="s">
        <v>12</v>
      </c>
      <c r="E456" s="32">
        <v>42671</v>
      </c>
      <c r="F456" s="33">
        <v>42671</v>
      </c>
      <c r="G456" s="32">
        <v>42671</v>
      </c>
      <c r="H456" s="22" t="s">
        <v>104</v>
      </c>
      <c r="I456" s="23" t="s">
        <v>39</v>
      </c>
      <c r="J456" s="23" t="s">
        <v>39</v>
      </c>
      <c r="K456" s="22"/>
      <c r="L456" s="23" t="s">
        <v>39</v>
      </c>
      <c r="M456" s="23" t="s">
        <v>39</v>
      </c>
      <c r="N456" s="22"/>
      <c r="O456" s="22"/>
      <c r="P456" s="22"/>
      <c r="Q456" s="22"/>
      <c r="R456" s="23" t="s">
        <v>683</v>
      </c>
      <c r="S456" s="23" t="s">
        <v>39</v>
      </c>
      <c r="T456" s="23" t="s">
        <v>39</v>
      </c>
      <c r="U456" s="23" t="s">
        <v>39</v>
      </c>
      <c r="V456" s="22"/>
      <c r="W456" s="22"/>
      <c r="X456" s="22"/>
      <c r="Y456" s="22"/>
      <c r="Z456" s="22" t="s">
        <v>39</v>
      </c>
      <c r="AA456" s="22" t="s">
        <v>39</v>
      </c>
      <c r="AB456" s="1"/>
      <c r="AC456"/>
      <c r="AD456"/>
      <c r="AE456"/>
      <c r="AF456"/>
      <c r="AG456"/>
    </row>
    <row r="457" spans="1:33" ht="72" customHeight="1" x14ac:dyDescent="0.25">
      <c r="A457" s="17">
        <v>9760327</v>
      </c>
      <c r="B457" s="30">
        <v>1</v>
      </c>
      <c r="C457" s="17" t="s">
        <v>610</v>
      </c>
      <c r="D457" s="31" t="s">
        <v>12</v>
      </c>
      <c r="E457" s="32">
        <v>42671</v>
      </c>
      <c r="F457" s="33">
        <v>42671</v>
      </c>
      <c r="G457" s="32">
        <v>42671</v>
      </c>
      <c r="H457" s="22" t="s">
        <v>104</v>
      </c>
      <c r="I457" s="23" t="s">
        <v>39</v>
      </c>
      <c r="J457" s="23" t="s">
        <v>39</v>
      </c>
      <c r="K457" s="22"/>
      <c r="L457" s="23" t="s">
        <v>39</v>
      </c>
      <c r="M457" s="23" t="s">
        <v>39</v>
      </c>
      <c r="N457" s="22"/>
      <c r="O457" s="22"/>
      <c r="P457" s="22"/>
      <c r="Q457" s="22"/>
      <c r="R457" s="23" t="s">
        <v>683</v>
      </c>
      <c r="S457" s="23" t="s">
        <v>39</v>
      </c>
      <c r="T457" s="23" t="s">
        <v>39</v>
      </c>
      <c r="U457" s="23" t="s">
        <v>39</v>
      </c>
      <c r="V457" s="22"/>
      <c r="W457" s="22"/>
      <c r="X457" s="22"/>
      <c r="Y457" s="22"/>
      <c r="Z457" s="22" t="s">
        <v>39</v>
      </c>
      <c r="AA457" s="22" t="s">
        <v>39</v>
      </c>
      <c r="AB457" s="1"/>
      <c r="AC457"/>
      <c r="AD457"/>
      <c r="AE457"/>
      <c r="AF457"/>
      <c r="AG457"/>
    </row>
    <row r="458" spans="1:33" ht="72" customHeight="1" x14ac:dyDescent="0.25">
      <c r="A458" s="17">
        <v>9760328</v>
      </c>
      <c r="B458" s="30">
        <v>2</v>
      </c>
      <c r="C458" s="17" t="s">
        <v>609</v>
      </c>
      <c r="D458" s="31" t="s">
        <v>14</v>
      </c>
      <c r="E458" s="32">
        <v>42671</v>
      </c>
      <c r="F458" s="33">
        <v>42671</v>
      </c>
      <c r="G458" s="32">
        <v>42671</v>
      </c>
      <c r="H458" s="22" t="s">
        <v>104</v>
      </c>
      <c r="I458" s="23" t="s">
        <v>39</v>
      </c>
      <c r="J458" s="23" t="s">
        <v>39</v>
      </c>
      <c r="K458" s="22"/>
      <c r="L458" s="23" t="s">
        <v>39</v>
      </c>
      <c r="M458" s="23" t="s">
        <v>39</v>
      </c>
      <c r="N458" s="22"/>
      <c r="O458" s="22"/>
      <c r="P458" s="22"/>
      <c r="Q458" s="22"/>
      <c r="R458" s="23" t="s">
        <v>683</v>
      </c>
      <c r="S458" s="23" t="s">
        <v>39</v>
      </c>
      <c r="T458" s="23" t="s">
        <v>39</v>
      </c>
      <c r="U458" s="23" t="s">
        <v>39</v>
      </c>
      <c r="V458" s="22"/>
      <c r="W458" s="22"/>
      <c r="X458" s="22"/>
      <c r="Y458" s="22"/>
      <c r="Z458" s="22" t="s">
        <v>39</v>
      </c>
      <c r="AA458" s="22" t="s">
        <v>39</v>
      </c>
      <c r="AB458" s="1"/>
      <c r="AC458"/>
      <c r="AD458"/>
      <c r="AE458"/>
      <c r="AF458"/>
      <c r="AG458"/>
    </row>
    <row r="459" spans="1:33" ht="72" customHeight="1" x14ac:dyDescent="0.25">
      <c r="A459" s="17">
        <v>9760329</v>
      </c>
      <c r="B459" s="30">
        <v>1</v>
      </c>
      <c r="C459" s="17" t="s">
        <v>281</v>
      </c>
      <c r="D459" s="31" t="s">
        <v>14</v>
      </c>
      <c r="E459" s="32">
        <v>42671</v>
      </c>
      <c r="F459" s="33">
        <v>42671</v>
      </c>
      <c r="G459" s="32">
        <v>42671</v>
      </c>
      <c r="H459" s="22" t="s">
        <v>104</v>
      </c>
      <c r="I459" s="23" t="s">
        <v>39</v>
      </c>
      <c r="J459" s="23" t="s">
        <v>39</v>
      </c>
      <c r="K459" s="22"/>
      <c r="L459" s="23" t="s">
        <v>39</v>
      </c>
      <c r="M459" s="23" t="s">
        <v>39</v>
      </c>
      <c r="N459" s="22"/>
      <c r="O459" s="22"/>
      <c r="P459" s="22"/>
      <c r="Q459" s="22"/>
      <c r="R459" s="23" t="s">
        <v>683</v>
      </c>
      <c r="S459" s="23" t="s">
        <v>39</v>
      </c>
      <c r="T459" s="23" t="s">
        <v>39</v>
      </c>
      <c r="U459" s="23" t="s">
        <v>39</v>
      </c>
      <c r="V459" s="22"/>
      <c r="W459" s="22"/>
      <c r="X459" s="22"/>
      <c r="Y459" s="22"/>
      <c r="Z459" s="22" t="s">
        <v>39</v>
      </c>
      <c r="AA459" s="22" t="s">
        <v>39</v>
      </c>
      <c r="AB459" s="1"/>
      <c r="AC459"/>
      <c r="AD459"/>
      <c r="AE459"/>
      <c r="AF459"/>
      <c r="AG459"/>
    </row>
    <row r="460" spans="1:33" ht="72" customHeight="1" x14ac:dyDescent="0.25">
      <c r="A460" s="17">
        <v>9760330</v>
      </c>
      <c r="B460" s="30">
        <v>1</v>
      </c>
      <c r="C460" s="17" t="s">
        <v>650</v>
      </c>
      <c r="D460" s="31" t="s">
        <v>344</v>
      </c>
      <c r="E460" s="32">
        <v>42671</v>
      </c>
      <c r="F460" s="33">
        <v>42671</v>
      </c>
      <c r="G460" s="32">
        <v>42671</v>
      </c>
      <c r="H460" s="22" t="s">
        <v>104</v>
      </c>
      <c r="I460" s="23" t="s">
        <v>39</v>
      </c>
      <c r="J460" s="23" t="s">
        <v>39</v>
      </c>
      <c r="K460" s="22"/>
      <c r="L460" s="23" t="s">
        <v>39</v>
      </c>
      <c r="M460" s="23" t="s">
        <v>39</v>
      </c>
      <c r="N460" s="22"/>
      <c r="O460" s="22"/>
      <c r="P460" s="22"/>
      <c r="Q460" s="22"/>
      <c r="R460" s="23" t="s">
        <v>683</v>
      </c>
      <c r="S460" s="23" t="s">
        <v>39</v>
      </c>
      <c r="T460" s="23" t="s">
        <v>39</v>
      </c>
      <c r="U460" s="23" t="s">
        <v>39</v>
      </c>
      <c r="V460" s="22"/>
      <c r="W460" s="22"/>
      <c r="X460" s="22"/>
      <c r="Y460" s="22"/>
      <c r="Z460" s="22" t="s">
        <v>39</v>
      </c>
      <c r="AA460" s="22" t="s">
        <v>39</v>
      </c>
      <c r="AB460" s="1"/>
      <c r="AC460"/>
      <c r="AD460"/>
      <c r="AE460"/>
      <c r="AF460"/>
      <c r="AG460"/>
    </row>
    <row r="461" spans="1:33" ht="72" customHeight="1" x14ac:dyDescent="0.25">
      <c r="A461" s="17">
        <v>9760331</v>
      </c>
      <c r="B461" s="30">
        <v>1</v>
      </c>
      <c r="C461" s="17" t="s">
        <v>380</v>
      </c>
      <c r="D461" s="31" t="s">
        <v>89</v>
      </c>
      <c r="E461" s="32">
        <v>42671</v>
      </c>
      <c r="F461" s="33">
        <v>42671</v>
      </c>
      <c r="G461" s="32">
        <v>42671</v>
      </c>
      <c r="H461" s="22" t="s">
        <v>104</v>
      </c>
      <c r="I461" s="23" t="s">
        <v>39</v>
      </c>
      <c r="J461" s="23" t="s">
        <v>39</v>
      </c>
      <c r="K461" s="22"/>
      <c r="L461" s="23" t="s">
        <v>39</v>
      </c>
      <c r="M461" s="23" t="s">
        <v>39</v>
      </c>
      <c r="N461" s="22"/>
      <c r="O461" s="22"/>
      <c r="P461" s="22"/>
      <c r="Q461" s="22"/>
      <c r="R461" s="23" t="s">
        <v>683</v>
      </c>
      <c r="S461" s="23" t="s">
        <v>39</v>
      </c>
      <c r="T461" s="23" t="s">
        <v>39</v>
      </c>
      <c r="U461" s="23" t="s">
        <v>39</v>
      </c>
      <c r="V461" s="22"/>
      <c r="W461" s="22"/>
      <c r="X461" s="22"/>
      <c r="Y461" s="22"/>
      <c r="Z461" s="22" t="s">
        <v>39</v>
      </c>
      <c r="AA461" s="22" t="s">
        <v>39</v>
      </c>
      <c r="AB461" s="1"/>
      <c r="AC461"/>
      <c r="AD461"/>
      <c r="AE461"/>
      <c r="AF461"/>
      <c r="AG461"/>
    </row>
    <row r="462" spans="1:33" ht="72" customHeight="1" x14ac:dyDescent="0.25">
      <c r="A462" s="17">
        <v>9760332</v>
      </c>
      <c r="B462" s="30">
        <v>1</v>
      </c>
      <c r="C462" s="17" t="s">
        <v>653</v>
      </c>
      <c r="D462" s="31" t="s">
        <v>89</v>
      </c>
      <c r="E462" s="32">
        <v>42671</v>
      </c>
      <c r="F462" s="33">
        <v>42671</v>
      </c>
      <c r="G462" s="32">
        <v>42671</v>
      </c>
      <c r="H462" s="22" t="s">
        <v>104</v>
      </c>
      <c r="I462" s="23" t="s">
        <v>39</v>
      </c>
      <c r="J462" s="23" t="s">
        <v>39</v>
      </c>
      <c r="K462" s="22"/>
      <c r="L462" s="23" t="s">
        <v>39</v>
      </c>
      <c r="M462" s="23" t="s">
        <v>39</v>
      </c>
      <c r="N462" s="22"/>
      <c r="O462" s="22"/>
      <c r="P462" s="22"/>
      <c r="Q462" s="22"/>
      <c r="R462" s="23" t="s">
        <v>683</v>
      </c>
      <c r="S462" s="23" t="s">
        <v>39</v>
      </c>
      <c r="T462" s="23" t="s">
        <v>39</v>
      </c>
      <c r="U462" s="23" t="s">
        <v>39</v>
      </c>
      <c r="V462" s="22"/>
      <c r="W462" s="22"/>
      <c r="X462" s="22"/>
      <c r="Y462" s="22"/>
      <c r="Z462" s="22" t="s">
        <v>39</v>
      </c>
      <c r="AA462" s="22" t="s">
        <v>39</v>
      </c>
      <c r="AB462" s="1"/>
      <c r="AC462"/>
      <c r="AD462"/>
      <c r="AE462"/>
      <c r="AF462"/>
      <c r="AG462"/>
    </row>
    <row r="463" spans="1:33" ht="72" customHeight="1" x14ac:dyDescent="0.25">
      <c r="A463" s="17">
        <v>9760333</v>
      </c>
      <c r="B463" s="30">
        <v>1</v>
      </c>
      <c r="C463" s="17" t="s">
        <v>532</v>
      </c>
      <c r="D463" s="31" t="s">
        <v>89</v>
      </c>
      <c r="E463" s="32">
        <v>42671</v>
      </c>
      <c r="F463" s="33">
        <v>42671</v>
      </c>
      <c r="G463" s="32">
        <v>42671</v>
      </c>
      <c r="H463" s="22" t="s">
        <v>104</v>
      </c>
      <c r="I463" s="23" t="s">
        <v>39</v>
      </c>
      <c r="J463" s="23" t="s">
        <v>39</v>
      </c>
      <c r="K463" s="22"/>
      <c r="L463" s="23" t="s">
        <v>39</v>
      </c>
      <c r="M463" s="23" t="s">
        <v>39</v>
      </c>
      <c r="N463" s="22"/>
      <c r="O463" s="22"/>
      <c r="P463" s="22"/>
      <c r="Q463" s="22"/>
      <c r="R463" s="23" t="s">
        <v>683</v>
      </c>
      <c r="S463" s="23" t="s">
        <v>39</v>
      </c>
      <c r="T463" s="23" t="s">
        <v>39</v>
      </c>
      <c r="U463" s="23" t="s">
        <v>39</v>
      </c>
      <c r="V463" s="22"/>
      <c r="W463" s="22"/>
      <c r="X463" s="22"/>
      <c r="Y463" s="22"/>
      <c r="Z463" s="22" t="s">
        <v>39</v>
      </c>
      <c r="AA463" s="22" t="s">
        <v>39</v>
      </c>
      <c r="AB463" s="1"/>
      <c r="AC463"/>
      <c r="AD463"/>
      <c r="AE463"/>
      <c r="AF463"/>
      <c r="AG463"/>
    </row>
    <row r="464" spans="1:33" ht="72" customHeight="1" x14ac:dyDescent="0.25">
      <c r="A464" s="17">
        <v>9760334</v>
      </c>
      <c r="B464" s="30">
        <v>1</v>
      </c>
      <c r="C464" s="17" t="s">
        <v>661</v>
      </c>
      <c r="D464" s="31" t="s">
        <v>153</v>
      </c>
      <c r="E464" s="32">
        <v>42671</v>
      </c>
      <c r="F464" s="33">
        <v>42671</v>
      </c>
      <c r="G464" s="32">
        <v>42671</v>
      </c>
      <c r="H464" s="22" t="s">
        <v>104</v>
      </c>
      <c r="I464" s="23" t="s">
        <v>39</v>
      </c>
      <c r="J464" s="23" t="s">
        <v>39</v>
      </c>
      <c r="K464" s="22"/>
      <c r="L464" s="23" t="s">
        <v>39</v>
      </c>
      <c r="M464" s="23" t="s">
        <v>39</v>
      </c>
      <c r="N464" s="22"/>
      <c r="O464" s="22"/>
      <c r="P464" s="22"/>
      <c r="Q464" s="22"/>
      <c r="R464" s="23" t="s">
        <v>683</v>
      </c>
      <c r="S464" s="23" t="s">
        <v>39</v>
      </c>
      <c r="T464" s="23" t="s">
        <v>39</v>
      </c>
      <c r="U464" s="23" t="s">
        <v>39</v>
      </c>
      <c r="V464" s="22"/>
      <c r="W464" s="22"/>
      <c r="X464" s="22"/>
      <c r="Y464" s="22"/>
      <c r="Z464" s="22" t="s">
        <v>39</v>
      </c>
      <c r="AA464" s="22" t="s">
        <v>39</v>
      </c>
      <c r="AB464" s="1"/>
      <c r="AC464"/>
      <c r="AD464"/>
      <c r="AE464"/>
      <c r="AF464"/>
      <c r="AG464"/>
    </row>
    <row r="465" spans="1:33" ht="72" customHeight="1" x14ac:dyDescent="0.25">
      <c r="A465" s="17">
        <v>9760335</v>
      </c>
      <c r="B465" s="30">
        <v>1</v>
      </c>
      <c r="C465" s="17" t="s">
        <v>559</v>
      </c>
      <c r="D465" s="31" t="s">
        <v>153</v>
      </c>
      <c r="E465" s="32">
        <v>42671</v>
      </c>
      <c r="F465" s="33">
        <v>42671</v>
      </c>
      <c r="G465" s="32">
        <v>42671</v>
      </c>
      <c r="H465" s="22" t="s">
        <v>104</v>
      </c>
      <c r="I465" s="23" t="s">
        <v>39</v>
      </c>
      <c r="J465" s="23" t="s">
        <v>39</v>
      </c>
      <c r="K465" s="22"/>
      <c r="L465" s="23" t="s">
        <v>39</v>
      </c>
      <c r="M465" s="23" t="s">
        <v>39</v>
      </c>
      <c r="N465" s="22"/>
      <c r="O465" s="22"/>
      <c r="P465" s="22"/>
      <c r="Q465" s="22"/>
      <c r="R465" s="23" t="s">
        <v>683</v>
      </c>
      <c r="S465" s="23" t="s">
        <v>39</v>
      </c>
      <c r="T465" s="23" t="s">
        <v>39</v>
      </c>
      <c r="U465" s="23" t="s">
        <v>39</v>
      </c>
      <c r="V465" s="22"/>
      <c r="W465" s="22"/>
      <c r="X465" s="22"/>
      <c r="Y465" s="22"/>
      <c r="Z465" s="22" t="s">
        <v>39</v>
      </c>
      <c r="AA465" s="22" t="s">
        <v>39</v>
      </c>
      <c r="AB465" s="1"/>
      <c r="AC465"/>
      <c r="AD465"/>
      <c r="AE465"/>
      <c r="AF465"/>
      <c r="AG465"/>
    </row>
    <row r="466" spans="1:33" ht="72" customHeight="1" x14ac:dyDescent="0.25">
      <c r="A466" s="17">
        <v>9760336</v>
      </c>
      <c r="B466" s="30">
        <v>1</v>
      </c>
      <c r="C466" s="17" t="s">
        <v>664</v>
      </c>
      <c r="D466" s="31" t="s">
        <v>52</v>
      </c>
      <c r="E466" s="32">
        <v>42671</v>
      </c>
      <c r="F466" s="33">
        <v>42671</v>
      </c>
      <c r="G466" s="32">
        <v>42671</v>
      </c>
      <c r="H466" s="22" t="s">
        <v>104</v>
      </c>
      <c r="I466" s="23" t="s">
        <v>39</v>
      </c>
      <c r="J466" s="23" t="s">
        <v>39</v>
      </c>
      <c r="K466" s="22"/>
      <c r="L466" s="23" t="s">
        <v>39</v>
      </c>
      <c r="M466" s="23" t="s">
        <v>39</v>
      </c>
      <c r="N466" s="22"/>
      <c r="O466" s="22"/>
      <c r="P466" s="22"/>
      <c r="Q466" s="22"/>
      <c r="R466" s="23" t="s">
        <v>683</v>
      </c>
      <c r="S466" s="23" t="s">
        <v>39</v>
      </c>
      <c r="T466" s="23" t="s">
        <v>39</v>
      </c>
      <c r="U466" s="23" t="s">
        <v>39</v>
      </c>
      <c r="V466" s="22"/>
      <c r="W466" s="22"/>
      <c r="X466" s="22"/>
      <c r="Y466" s="22"/>
      <c r="Z466" s="22" t="s">
        <v>39</v>
      </c>
      <c r="AA466" s="22" t="s">
        <v>39</v>
      </c>
      <c r="AB466" s="1"/>
      <c r="AC466"/>
      <c r="AD466"/>
      <c r="AE466"/>
      <c r="AF466"/>
      <c r="AG466"/>
    </row>
    <row r="467" spans="1:33" ht="72" customHeight="1" x14ac:dyDescent="0.25">
      <c r="A467" s="17">
        <v>9760337</v>
      </c>
      <c r="B467" s="30">
        <v>1</v>
      </c>
      <c r="C467" s="17" t="s">
        <v>615</v>
      </c>
      <c r="D467" s="31" t="s">
        <v>52</v>
      </c>
      <c r="E467" s="32">
        <v>42671</v>
      </c>
      <c r="F467" s="33">
        <v>42671</v>
      </c>
      <c r="G467" s="32">
        <v>42671</v>
      </c>
      <c r="H467" s="22" t="s">
        <v>104</v>
      </c>
      <c r="I467" s="23" t="s">
        <v>39</v>
      </c>
      <c r="J467" s="23" t="s">
        <v>39</v>
      </c>
      <c r="K467" s="22"/>
      <c r="L467" s="23" t="s">
        <v>39</v>
      </c>
      <c r="M467" s="23" t="s">
        <v>39</v>
      </c>
      <c r="N467" s="22"/>
      <c r="O467" s="22"/>
      <c r="P467" s="22"/>
      <c r="Q467" s="22"/>
      <c r="R467" s="23" t="s">
        <v>683</v>
      </c>
      <c r="S467" s="23" t="s">
        <v>39</v>
      </c>
      <c r="T467" s="23" t="s">
        <v>39</v>
      </c>
      <c r="U467" s="23" t="s">
        <v>39</v>
      </c>
      <c r="V467" s="22"/>
      <c r="W467" s="22"/>
      <c r="X467" s="22"/>
      <c r="Y467" s="22"/>
      <c r="Z467" s="22" t="s">
        <v>39</v>
      </c>
      <c r="AA467" s="22" t="s">
        <v>39</v>
      </c>
      <c r="AB467" s="1"/>
      <c r="AC467"/>
      <c r="AD467"/>
      <c r="AE467"/>
      <c r="AF467"/>
      <c r="AG467"/>
    </row>
    <row r="468" spans="1:33" ht="72" customHeight="1" x14ac:dyDescent="0.25">
      <c r="A468" s="17">
        <v>9760338</v>
      </c>
      <c r="B468" s="30">
        <v>1</v>
      </c>
      <c r="C468" s="17" t="s">
        <v>160</v>
      </c>
      <c r="D468" s="31" t="s">
        <v>52</v>
      </c>
      <c r="E468" s="32">
        <v>42671</v>
      </c>
      <c r="F468" s="33">
        <v>42671</v>
      </c>
      <c r="G468" s="32">
        <v>42671</v>
      </c>
      <c r="H468" s="22" t="s">
        <v>104</v>
      </c>
      <c r="I468" s="23" t="s">
        <v>39</v>
      </c>
      <c r="J468" s="23" t="s">
        <v>39</v>
      </c>
      <c r="K468" s="22"/>
      <c r="L468" s="23" t="s">
        <v>39</v>
      </c>
      <c r="M468" s="23" t="s">
        <v>39</v>
      </c>
      <c r="N468" s="22"/>
      <c r="O468" s="22"/>
      <c r="P468" s="22"/>
      <c r="Q468" s="22"/>
      <c r="R468" s="23" t="s">
        <v>683</v>
      </c>
      <c r="S468" s="23" t="s">
        <v>39</v>
      </c>
      <c r="T468" s="23" t="s">
        <v>39</v>
      </c>
      <c r="U468" s="23" t="s">
        <v>39</v>
      </c>
      <c r="V468" s="22"/>
      <c r="W468" s="22"/>
      <c r="X468" s="22"/>
      <c r="Y468" s="22"/>
      <c r="Z468" s="22" t="s">
        <v>39</v>
      </c>
      <c r="AA468" s="22" t="s">
        <v>39</v>
      </c>
      <c r="AB468" s="1"/>
      <c r="AC468"/>
      <c r="AD468"/>
      <c r="AE468"/>
      <c r="AF468"/>
      <c r="AG468"/>
    </row>
    <row r="469" spans="1:33" ht="72" customHeight="1" x14ac:dyDescent="0.25">
      <c r="A469" s="17">
        <v>9760339</v>
      </c>
      <c r="B469" s="30">
        <v>1</v>
      </c>
      <c r="C469" s="17" t="s">
        <v>663</v>
      </c>
      <c r="D469" s="31" t="s">
        <v>52</v>
      </c>
      <c r="E469" s="32">
        <v>42671</v>
      </c>
      <c r="F469" s="33">
        <v>42671</v>
      </c>
      <c r="G469" s="32">
        <v>42671</v>
      </c>
      <c r="H469" s="22" t="s">
        <v>104</v>
      </c>
      <c r="I469" s="23" t="s">
        <v>39</v>
      </c>
      <c r="J469" s="23" t="s">
        <v>39</v>
      </c>
      <c r="K469" s="22"/>
      <c r="L469" s="23" t="s">
        <v>39</v>
      </c>
      <c r="M469" s="23" t="s">
        <v>39</v>
      </c>
      <c r="N469" s="22"/>
      <c r="O469" s="22"/>
      <c r="P469" s="22"/>
      <c r="Q469" s="22"/>
      <c r="R469" s="23" t="s">
        <v>683</v>
      </c>
      <c r="S469" s="23" t="s">
        <v>39</v>
      </c>
      <c r="T469" s="23" t="s">
        <v>39</v>
      </c>
      <c r="U469" s="23" t="s">
        <v>39</v>
      </c>
      <c r="V469" s="22"/>
      <c r="W469" s="22"/>
      <c r="X469" s="22"/>
      <c r="Y469" s="22"/>
      <c r="Z469" s="22" t="s">
        <v>39</v>
      </c>
      <c r="AA469" s="22" t="s">
        <v>39</v>
      </c>
      <c r="AB469" s="1"/>
      <c r="AC469"/>
      <c r="AD469"/>
      <c r="AE469"/>
      <c r="AF469"/>
      <c r="AG469"/>
    </row>
    <row r="470" spans="1:33" ht="72" customHeight="1" x14ac:dyDescent="0.25">
      <c r="A470" s="17">
        <v>9760340</v>
      </c>
      <c r="B470" s="30">
        <v>1</v>
      </c>
      <c r="C470" s="17" t="s">
        <v>665</v>
      </c>
      <c r="D470" s="31" t="s">
        <v>52</v>
      </c>
      <c r="E470" s="32">
        <v>42671</v>
      </c>
      <c r="F470" s="33">
        <v>42671</v>
      </c>
      <c r="G470" s="32">
        <v>42671</v>
      </c>
      <c r="H470" s="22" t="s">
        <v>104</v>
      </c>
      <c r="I470" s="23" t="s">
        <v>39</v>
      </c>
      <c r="J470" s="23" t="s">
        <v>39</v>
      </c>
      <c r="K470" s="22"/>
      <c r="L470" s="23" t="s">
        <v>39</v>
      </c>
      <c r="M470" s="23" t="s">
        <v>39</v>
      </c>
      <c r="N470" s="22"/>
      <c r="O470" s="22"/>
      <c r="P470" s="22"/>
      <c r="Q470" s="22"/>
      <c r="R470" s="23" t="s">
        <v>683</v>
      </c>
      <c r="S470" s="23" t="s">
        <v>39</v>
      </c>
      <c r="T470" s="23" t="s">
        <v>39</v>
      </c>
      <c r="U470" s="23" t="s">
        <v>39</v>
      </c>
      <c r="V470" s="22"/>
      <c r="W470" s="22"/>
      <c r="X470" s="22"/>
      <c r="Y470" s="22"/>
      <c r="Z470" s="22" t="s">
        <v>39</v>
      </c>
      <c r="AA470" s="22" t="s">
        <v>39</v>
      </c>
      <c r="AB470" s="1"/>
      <c r="AC470"/>
      <c r="AD470"/>
      <c r="AE470"/>
      <c r="AF470"/>
      <c r="AG470"/>
    </row>
    <row r="471" spans="1:33" ht="72" customHeight="1" x14ac:dyDescent="0.25">
      <c r="A471" s="17">
        <v>9760341</v>
      </c>
      <c r="B471" s="30">
        <v>1</v>
      </c>
      <c r="C471" s="17" t="s">
        <v>614</v>
      </c>
      <c r="D471" s="31" t="s">
        <v>52</v>
      </c>
      <c r="E471" s="32">
        <v>42671</v>
      </c>
      <c r="F471" s="33">
        <v>42671</v>
      </c>
      <c r="G471" s="32">
        <v>42671</v>
      </c>
      <c r="H471" s="22" t="s">
        <v>104</v>
      </c>
      <c r="I471" s="23" t="s">
        <v>39</v>
      </c>
      <c r="J471" s="23" t="s">
        <v>39</v>
      </c>
      <c r="K471" s="22"/>
      <c r="L471" s="23" t="s">
        <v>39</v>
      </c>
      <c r="M471" s="23" t="s">
        <v>39</v>
      </c>
      <c r="N471" s="22"/>
      <c r="O471" s="22"/>
      <c r="P471" s="22"/>
      <c r="Q471" s="22"/>
      <c r="R471" s="23" t="s">
        <v>683</v>
      </c>
      <c r="S471" s="23" t="s">
        <v>39</v>
      </c>
      <c r="T471" s="23" t="s">
        <v>39</v>
      </c>
      <c r="U471" s="23" t="s">
        <v>39</v>
      </c>
      <c r="V471" s="22"/>
      <c r="W471" s="22"/>
      <c r="X471" s="22"/>
      <c r="Y471" s="22"/>
      <c r="Z471" s="22" t="s">
        <v>39</v>
      </c>
      <c r="AA471" s="22" t="s">
        <v>39</v>
      </c>
      <c r="AB471" s="1"/>
      <c r="AC471"/>
      <c r="AD471"/>
      <c r="AE471"/>
      <c r="AF471"/>
      <c r="AG471"/>
    </row>
    <row r="472" spans="1:33" ht="72" customHeight="1" x14ac:dyDescent="0.25">
      <c r="A472" s="17">
        <v>9760342</v>
      </c>
      <c r="B472" s="30">
        <v>1</v>
      </c>
      <c r="C472" s="17" t="s">
        <v>154</v>
      </c>
      <c r="D472" s="31" t="s">
        <v>52</v>
      </c>
      <c r="E472" s="32">
        <v>42671</v>
      </c>
      <c r="F472" s="33">
        <v>42671</v>
      </c>
      <c r="G472" s="32">
        <v>42671</v>
      </c>
      <c r="H472" s="22" t="s">
        <v>104</v>
      </c>
      <c r="I472" s="23" t="s">
        <v>39</v>
      </c>
      <c r="J472" s="23" t="s">
        <v>39</v>
      </c>
      <c r="K472" s="22"/>
      <c r="L472" s="23" t="s">
        <v>39</v>
      </c>
      <c r="M472" s="23" t="s">
        <v>39</v>
      </c>
      <c r="N472" s="22"/>
      <c r="O472" s="22"/>
      <c r="P472" s="22"/>
      <c r="Q472" s="22"/>
      <c r="R472" s="23" t="s">
        <v>683</v>
      </c>
      <c r="S472" s="23" t="s">
        <v>39</v>
      </c>
      <c r="T472" s="23" t="s">
        <v>39</v>
      </c>
      <c r="U472" s="23" t="s">
        <v>39</v>
      </c>
      <c r="V472" s="22"/>
      <c r="W472" s="22"/>
      <c r="X472" s="22"/>
      <c r="Y472" s="22"/>
      <c r="Z472" s="22" t="s">
        <v>39</v>
      </c>
      <c r="AA472" s="22" t="s">
        <v>39</v>
      </c>
      <c r="AB472" s="1"/>
      <c r="AC472"/>
      <c r="AD472"/>
      <c r="AE472"/>
      <c r="AF472"/>
      <c r="AG472"/>
    </row>
    <row r="473" spans="1:33" ht="72" customHeight="1" x14ac:dyDescent="0.25">
      <c r="A473" s="17">
        <v>9760343</v>
      </c>
      <c r="B473" s="30">
        <v>2</v>
      </c>
      <c r="C473" s="17" t="s">
        <v>199</v>
      </c>
      <c r="D473" s="31" t="s">
        <v>52</v>
      </c>
      <c r="E473" s="32">
        <v>42671</v>
      </c>
      <c r="F473" s="33">
        <v>42671</v>
      </c>
      <c r="G473" s="32">
        <v>42671</v>
      </c>
      <c r="H473" s="22" t="s">
        <v>104</v>
      </c>
      <c r="I473" s="23" t="s">
        <v>39</v>
      </c>
      <c r="J473" s="23" t="s">
        <v>39</v>
      </c>
      <c r="K473" s="22"/>
      <c r="L473" s="23" t="s">
        <v>39</v>
      </c>
      <c r="M473" s="23" t="s">
        <v>39</v>
      </c>
      <c r="N473" s="22"/>
      <c r="O473" s="22"/>
      <c r="P473" s="22"/>
      <c r="Q473" s="22"/>
      <c r="R473" s="23" t="s">
        <v>683</v>
      </c>
      <c r="S473" s="23" t="s">
        <v>39</v>
      </c>
      <c r="T473" s="23" t="s">
        <v>39</v>
      </c>
      <c r="U473" s="23" t="s">
        <v>39</v>
      </c>
      <c r="V473" s="22"/>
      <c r="W473" s="22"/>
      <c r="X473" s="22"/>
      <c r="Y473" s="22"/>
      <c r="Z473" s="22" t="s">
        <v>39</v>
      </c>
      <c r="AA473" s="22" t="s">
        <v>39</v>
      </c>
      <c r="AB473" s="1"/>
      <c r="AC473"/>
      <c r="AD473"/>
      <c r="AE473"/>
      <c r="AF473"/>
      <c r="AG473"/>
    </row>
    <row r="474" spans="1:33" ht="72" customHeight="1" x14ac:dyDescent="0.25">
      <c r="A474" s="17">
        <v>9760344</v>
      </c>
      <c r="B474" s="30">
        <v>1</v>
      </c>
      <c r="C474" s="17" t="s">
        <v>616</v>
      </c>
      <c r="D474" s="31" t="s">
        <v>52</v>
      </c>
      <c r="E474" s="32">
        <v>42671</v>
      </c>
      <c r="F474" s="33">
        <v>42671</v>
      </c>
      <c r="G474" s="32">
        <v>42671</v>
      </c>
      <c r="H474" s="22" t="s">
        <v>104</v>
      </c>
      <c r="I474" s="23" t="s">
        <v>39</v>
      </c>
      <c r="J474" s="23" t="s">
        <v>39</v>
      </c>
      <c r="K474" s="22"/>
      <c r="L474" s="23" t="s">
        <v>39</v>
      </c>
      <c r="M474" s="23" t="s">
        <v>39</v>
      </c>
      <c r="N474" s="22"/>
      <c r="O474" s="22"/>
      <c r="P474" s="22"/>
      <c r="Q474" s="22"/>
      <c r="R474" s="23" t="s">
        <v>683</v>
      </c>
      <c r="S474" s="23" t="s">
        <v>39</v>
      </c>
      <c r="T474" s="23" t="s">
        <v>39</v>
      </c>
      <c r="U474" s="23" t="s">
        <v>39</v>
      </c>
      <c r="V474" s="22"/>
      <c r="W474" s="22"/>
      <c r="X474" s="22"/>
      <c r="Y474" s="22"/>
      <c r="Z474" s="22" t="s">
        <v>39</v>
      </c>
      <c r="AA474" s="22" t="s">
        <v>39</v>
      </c>
      <c r="AB474" s="1"/>
      <c r="AC474"/>
      <c r="AD474"/>
      <c r="AE474"/>
      <c r="AF474"/>
      <c r="AG474"/>
    </row>
    <row r="475" spans="1:33" ht="72" customHeight="1" x14ac:dyDescent="0.25">
      <c r="A475" s="17">
        <v>9760345</v>
      </c>
      <c r="B475" s="30">
        <v>1</v>
      </c>
      <c r="C475" s="17" t="s">
        <v>669</v>
      </c>
      <c r="D475" s="31" t="s">
        <v>52</v>
      </c>
      <c r="E475" s="32">
        <v>42671</v>
      </c>
      <c r="F475" s="33">
        <v>42671</v>
      </c>
      <c r="G475" s="32">
        <v>42671</v>
      </c>
      <c r="H475" s="22" t="s">
        <v>104</v>
      </c>
      <c r="I475" s="23" t="s">
        <v>39</v>
      </c>
      <c r="J475" s="23" t="s">
        <v>39</v>
      </c>
      <c r="K475" s="22"/>
      <c r="L475" s="23" t="s">
        <v>39</v>
      </c>
      <c r="M475" s="23" t="s">
        <v>39</v>
      </c>
      <c r="N475" s="22"/>
      <c r="O475" s="22"/>
      <c r="P475" s="22"/>
      <c r="Q475" s="22"/>
      <c r="R475" s="23" t="s">
        <v>683</v>
      </c>
      <c r="S475" s="23" t="s">
        <v>39</v>
      </c>
      <c r="T475" s="23" t="s">
        <v>39</v>
      </c>
      <c r="U475" s="23" t="s">
        <v>39</v>
      </c>
      <c r="V475" s="22"/>
      <c r="W475" s="22"/>
      <c r="X475" s="22"/>
      <c r="Y475" s="22"/>
      <c r="Z475" s="22" t="s">
        <v>39</v>
      </c>
      <c r="AA475" s="22" t="s">
        <v>39</v>
      </c>
      <c r="AB475" s="1"/>
      <c r="AC475"/>
      <c r="AD475"/>
      <c r="AE475"/>
      <c r="AF475"/>
      <c r="AG475"/>
    </row>
    <row r="476" spans="1:33" ht="72" customHeight="1" x14ac:dyDescent="0.25">
      <c r="A476" s="17">
        <v>9760346</v>
      </c>
      <c r="B476" s="30">
        <v>1</v>
      </c>
      <c r="C476" s="17" t="s">
        <v>676</v>
      </c>
      <c r="D476" s="31" t="s">
        <v>52</v>
      </c>
      <c r="E476" s="32">
        <v>42671</v>
      </c>
      <c r="F476" s="33">
        <v>42671</v>
      </c>
      <c r="G476" s="32">
        <v>42671</v>
      </c>
      <c r="H476" s="22" t="s">
        <v>104</v>
      </c>
      <c r="I476" s="23" t="s">
        <v>39</v>
      </c>
      <c r="J476" s="23" t="s">
        <v>39</v>
      </c>
      <c r="K476" s="22"/>
      <c r="L476" s="23" t="s">
        <v>39</v>
      </c>
      <c r="M476" s="23" t="s">
        <v>39</v>
      </c>
      <c r="N476" s="22"/>
      <c r="O476" s="22"/>
      <c r="P476" s="22"/>
      <c r="Q476" s="22"/>
      <c r="R476" s="23" t="s">
        <v>683</v>
      </c>
      <c r="S476" s="23" t="s">
        <v>39</v>
      </c>
      <c r="T476" s="23" t="s">
        <v>39</v>
      </c>
      <c r="U476" s="23" t="s">
        <v>39</v>
      </c>
      <c r="V476" s="22"/>
      <c r="W476" s="22"/>
      <c r="X476" s="22"/>
      <c r="Y476" s="22"/>
      <c r="Z476" s="22" t="s">
        <v>39</v>
      </c>
      <c r="AA476" s="22" t="s">
        <v>39</v>
      </c>
      <c r="AB476" s="1"/>
      <c r="AC476"/>
      <c r="AD476"/>
      <c r="AE476"/>
      <c r="AF476"/>
      <c r="AG476"/>
    </row>
    <row r="477" spans="1:33" ht="72" customHeight="1" x14ac:dyDescent="0.25">
      <c r="A477" s="17">
        <v>9760347</v>
      </c>
      <c r="B477" s="30">
        <v>1</v>
      </c>
      <c r="C477" s="17" t="s">
        <v>671</v>
      </c>
      <c r="D477" s="31" t="s">
        <v>52</v>
      </c>
      <c r="E477" s="32">
        <v>42671</v>
      </c>
      <c r="F477" s="33">
        <v>42671</v>
      </c>
      <c r="G477" s="32">
        <v>42671</v>
      </c>
      <c r="H477" s="22" t="s">
        <v>104</v>
      </c>
      <c r="I477" s="23" t="s">
        <v>39</v>
      </c>
      <c r="J477" s="23" t="s">
        <v>39</v>
      </c>
      <c r="K477" s="22"/>
      <c r="L477" s="23" t="s">
        <v>39</v>
      </c>
      <c r="M477" s="23" t="s">
        <v>39</v>
      </c>
      <c r="N477" s="22"/>
      <c r="O477" s="22"/>
      <c r="P477" s="22"/>
      <c r="Q477" s="22"/>
      <c r="R477" s="23" t="s">
        <v>683</v>
      </c>
      <c r="S477" s="23" t="s">
        <v>39</v>
      </c>
      <c r="T477" s="23" t="s">
        <v>39</v>
      </c>
      <c r="U477" s="23" t="s">
        <v>39</v>
      </c>
      <c r="V477" s="22"/>
      <c r="W477" s="22"/>
      <c r="X477" s="22"/>
      <c r="Y477" s="22"/>
      <c r="Z477" s="22" t="s">
        <v>39</v>
      </c>
      <c r="AA477" s="22" t="s">
        <v>39</v>
      </c>
      <c r="AB477" s="1"/>
      <c r="AC477"/>
      <c r="AD477"/>
      <c r="AE477"/>
      <c r="AF477"/>
      <c r="AG477"/>
    </row>
    <row r="478" spans="1:33" ht="72" customHeight="1" x14ac:dyDescent="0.25">
      <c r="A478" s="17">
        <v>9760348</v>
      </c>
      <c r="B478" s="30">
        <v>1</v>
      </c>
      <c r="C478" s="17" t="s">
        <v>672</v>
      </c>
      <c r="D478" s="31" t="s">
        <v>52</v>
      </c>
      <c r="E478" s="32">
        <v>42671</v>
      </c>
      <c r="F478" s="33">
        <v>42671</v>
      </c>
      <c r="G478" s="32">
        <v>42671</v>
      </c>
      <c r="H478" s="22" t="s">
        <v>104</v>
      </c>
      <c r="I478" s="23" t="s">
        <v>39</v>
      </c>
      <c r="J478" s="23" t="s">
        <v>39</v>
      </c>
      <c r="K478" s="22"/>
      <c r="L478" s="23" t="s">
        <v>39</v>
      </c>
      <c r="M478" s="23" t="s">
        <v>39</v>
      </c>
      <c r="N478" s="22"/>
      <c r="O478" s="22"/>
      <c r="P478" s="22"/>
      <c r="Q478" s="22"/>
      <c r="R478" s="23" t="s">
        <v>683</v>
      </c>
      <c r="S478" s="23" t="s">
        <v>39</v>
      </c>
      <c r="T478" s="23" t="s">
        <v>39</v>
      </c>
      <c r="U478" s="23" t="s">
        <v>39</v>
      </c>
      <c r="V478" s="22"/>
      <c r="W478" s="22"/>
      <c r="X478" s="22"/>
      <c r="Y478" s="22"/>
      <c r="Z478" s="22" t="s">
        <v>39</v>
      </c>
      <c r="AA478" s="22" t="s">
        <v>39</v>
      </c>
      <c r="AB478" s="1"/>
      <c r="AC478"/>
      <c r="AD478"/>
      <c r="AE478"/>
      <c r="AF478"/>
      <c r="AG478"/>
    </row>
    <row r="479" spans="1:33" ht="72" customHeight="1" x14ac:dyDescent="0.25">
      <c r="A479" s="17">
        <v>9760349</v>
      </c>
      <c r="B479" s="30">
        <v>1</v>
      </c>
      <c r="C479" s="17" t="s">
        <v>673</v>
      </c>
      <c r="D479" s="31" t="s">
        <v>52</v>
      </c>
      <c r="E479" s="32">
        <v>42671</v>
      </c>
      <c r="F479" s="33">
        <v>42671</v>
      </c>
      <c r="G479" s="32">
        <v>42671</v>
      </c>
      <c r="H479" s="22" t="s">
        <v>104</v>
      </c>
      <c r="I479" s="23" t="s">
        <v>39</v>
      </c>
      <c r="J479" s="23" t="s">
        <v>39</v>
      </c>
      <c r="K479" s="22"/>
      <c r="L479" s="23" t="s">
        <v>39</v>
      </c>
      <c r="M479" s="23" t="s">
        <v>39</v>
      </c>
      <c r="N479" s="22"/>
      <c r="O479" s="22"/>
      <c r="P479" s="22"/>
      <c r="Q479" s="22"/>
      <c r="R479" s="23" t="s">
        <v>683</v>
      </c>
      <c r="S479" s="23" t="s">
        <v>39</v>
      </c>
      <c r="T479" s="23" t="s">
        <v>39</v>
      </c>
      <c r="U479" s="23" t="s">
        <v>39</v>
      </c>
      <c r="V479" s="22"/>
      <c r="W479" s="22"/>
      <c r="X479" s="22"/>
      <c r="Y479" s="22"/>
      <c r="Z479" s="22" t="s">
        <v>39</v>
      </c>
      <c r="AA479" s="22" t="s">
        <v>39</v>
      </c>
      <c r="AB479" s="1"/>
      <c r="AC479"/>
      <c r="AD479"/>
      <c r="AE479"/>
      <c r="AF479"/>
      <c r="AG479"/>
    </row>
    <row r="480" spans="1:33" ht="72" customHeight="1" x14ac:dyDescent="0.25">
      <c r="A480" s="17">
        <v>9760350</v>
      </c>
      <c r="B480" s="30">
        <v>1</v>
      </c>
      <c r="C480" s="17" t="s">
        <v>452</v>
      </c>
      <c r="D480" s="31" t="s">
        <v>349</v>
      </c>
      <c r="E480" s="32">
        <v>42671</v>
      </c>
      <c r="F480" s="33">
        <v>42671</v>
      </c>
      <c r="G480" s="32">
        <v>42671</v>
      </c>
      <c r="H480" s="22" t="s">
        <v>104</v>
      </c>
      <c r="I480" s="23" t="s">
        <v>39</v>
      </c>
      <c r="J480" s="23" t="s">
        <v>39</v>
      </c>
      <c r="K480" s="22"/>
      <c r="L480" s="23" t="s">
        <v>39</v>
      </c>
      <c r="M480" s="23" t="s">
        <v>39</v>
      </c>
      <c r="N480" s="22"/>
      <c r="O480" s="22"/>
      <c r="P480" s="22"/>
      <c r="Q480" s="22"/>
      <c r="R480" s="23" t="s">
        <v>683</v>
      </c>
      <c r="S480" s="23" t="s">
        <v>39</v>
      </c>
      <c r="T480" s="23" t="s">
        <v>39</v>
      </c>
      <c r="U480" s="23" t="s">
        <v>39</v>
      </c>
      <c r="V480" s="22"/>
      <c r="W480" s="22"/>
      <c r="X480" s="22"/>
      <c r="Y480" s="22"/>
      <c r="Z480" s="22" t="s">
        <v>39</v>
      </c>
      <c r="AA480" s="22" t="s">
        <v>39</v>
      </c>
      <c r="AB480" s="1"/>
      <c r="AC480"/>
      <c r="AD480"/>
      <c r="AE480"/>
      <c r="AF480"/>
      <c r="AG480"/>
    </row>
    <row r="481" spans="1:33" ht="72" customHeight="1" x14ac:dyDescent="0.25">
      <c r="A481" s="17">
        <v>9760351</v>
      </c>
      <c r="B481" s="30">
        <v>1</v>
      </c>
      <c r="C481" s="17" t="s">
        <v>617</v>
      </c>
      <c r="D481" s="31" t="s">
        <v>28</v>
      </c>
      <c r="E481" s="32">
        <v>42671</v>
      </c>
      <c r="F481" s="33">
        <v>42671</v>
      </c>
      <c r="G481" s="32">
        <v>42671</v>
      </c>
      <c r="H481" s="22" t="s">
        <v>104</v>
      </c>
      <c r="I481" s="23" t="s">
        <v>39</v>
      </c>
      <c r="J481" s="23" t="s">
        <v>39</v>
      </c>
      <c r="K481" s="22"/>
      <c r="L481" s="23" t="s">
        <v>39</v>
      </c>
      <c r="M481" s="23" t="s">
        <v>39</v>
      </c>
      <c r="N481" s="22"/>
      <c r="O481" s="22"/>
      <c r="P481" s="22"/>
      <c r="Q481" s="22"/>
      <c r="R481" s="23" t="s">
        <v>683</v>
      </c>
      <c r="S481" s="23" t="s">
        <v>39</v>
      </c>
      <c r="T481" s="23" t="s">
        <v>39</v>
      </c>
      <c r="U481" s="23" t="s">
        <v>39</v>
      </c>
      <c r="V481" s="22"/>
      <c r="W481" s="22"/>
      <c r="X481" s="22"/>
      <c r="Y481" s="22"/>
      <c r="Z481" s="22" t="s">
        <v>39</v>
      </c>
      <c r="AA481" s="22" t="s">
        <v>39</v>
      </c>
      <c r="AB481" s="1"/>
      <c r="AC481"/>
      <c r="AD481"/>
      <c r="AE481"/>
      <c r="AF481"/>
      <c r="AG481"/>
    </row>
    <row r="482" spans="1:33" ht="72" customHeight="1" x14ac:dyDescent="0.25">
      <c r="A482" s="17">
        <v>9760352</v>
      </c>
      <c r="B482" s="30">
        <v>1</v>
      </c>
      <c r="C482" s="17" t="s">
        <v>680</v>
      </c>
      <c r="D482" s="31" t="s">
        <v>255</v>
      </c>
      <c r="E482" s="32">
        <v>42671</v>
      </c>
      <c r="F482" s="33">
        <v>42671</v>
      </c>
      <c r="G482" s="32">
        <v>42671</v>
      </c>
      <c r="H482" s="22" t="s">
        <v>104</v>
      </c>
      <c r="I482" s="23" t="s">
        <v>39</v>
      </c>
      <c r="J482" s="23" t="s">
        <v>39</v>
      </c>
      <c r="K482" s="22"/>
      <c r="L482" s="23" t="s">
        <v>39</v>
      </c>
      <c r="M482" s="23" t="s">
        <v>39</v>
      </c>
      <c r="N482" s="22"/>
      <c r="O482" s="22"/>
      <c r="P482" s="22"/>
      <c r="Q482" s="22"/>
      <c r="R482" s="23" t="s">
        <v>683</v>
      </c>
      <c r="S482" s="23" t="s">
        <v>39</v>
      </c>
      <c r="T482" s="23" t="s">
        <v>39</v>
      </c>
      <c r="U482" s="23" t="s">
        <v>39</v>
      </c>
      <c r="V482" s="22"/>
      <c r="W482" s="22"/>
      <c r="X482" s="22"/>
      <c r="Y482" s="22"/>
      <c r="Z482" s="22" t="s">
        <v>39</v>
      </c>
      <c r="AA482" s="22" t="s">
        <v>39</v>
      </c>
      <c r="AB482" s="1"/>
      <c r="AC482"/>
      <c r="AD482"/>
      <c r="AE482"/>
      <c r="AF482"/>
      <c r="AG482"/>
    </row>
    <row r="483" spans="1:33" ht="72" customHeight="1" x14ac:dyDescent="0.25">
      <c r="A483" s="17">
        <v>9760380</v>
      </c>
      <c r="B483" s="30">
        <v>4</v>
      </c>
      <c r="C483" s="17" t="s">
        <v>660</v>
      </c>
      <c r="D483" s="31" t="s">
        <v>10</v>
      </c>
      <c r="E483" s="32">
        <v>42671</v>
      </c>
      <c r="F483" s="33">
        <v>42671</v>
      </c>
      <c r="G483" s="32">
        <v>42671</v>
      </c>
      <c r="H483" s="22" t="s">
        <v>104</v>
      </c>
      <c r="I483" s="23" t="s">
        <v>39</v>
      </c>
      <c r="J483" s="23" t="s">
        <v>39</v>
      </c>
      <c r="K483" s="22"/>
      <c r="L483" s="23" t="s">
        <v>39</v>
      </c>
      <c r="M483" s="23" t="s">
        <v>39</v>
      </c>
      <c r="N483" s="22"/>
      <c r="O483" s="22"/>
      <c r="P483" s="22"/>
      <c r="Q483" s="22"/>
      <c r="R483" s="23" t="s">
        <v>683</v>
      </c>
      <c r="S483" s="23" t="s">
        <v>39</v>
      </c>
      <c r="T483" s="23" t="s">
        <v>39</v>
      </c>
      <c r="U483" s="23" t="s">
        <v>39</v>
      </c>
      <c r="V483" s="22"/>
      <c r="W483" s="22"/>
      <c r="X483" s="22"/>
      <c r="Y483" s="22"/>
      <c r="Z483" s="22" t="s">
        <v>39</v>
      </c>
      <c r="AA483" s="22" t="s">
        <v>39</v>
      </c>
      <c r="AB483" s="1"/>
      <c r="AC483"/>
      <c r="AD483"/>
      <c r="AE483"/>
      <c r="AF483"/>
      <c r="AG483"/>
    </row>
    <row r="484" spans="1:33" ht="72" customHeight="1" x14ac:dyDescent="0.25">
      <c r="A484" s="17">
        <v>9760401</v>
      </c>
      <c r="B484" s="30">
        <v>36</v>
      </c>
      <c r="C484" s="17" t="s">
        <v>651</v>
      </c>
      <c r="D484" s="31" t="s">
        <v>344</v>
      </c>
      <c r="E484" s="32">
        <v>42671</v>
      </c>
      <c r="F484" s="33">
        <v>42671</v>
      </c>
      <c r="G484" s="32">
        <v>42671</v>
      </c>
      <c r="H484" s="22" t="s">
        <v>104</v>
      </c>
      <c r="I484" s="23" t="s">
        <v>39</v>
      </c>
      <c r="J484" s="23" t="s">
        <v>39</v>
      </c>
      <c r="K484" s="22"/>
      <c r="L484" s="23" t="s">
        <v>39</v>
      </c>
      <c r="M484" s="23" t="s">
        <v>39</v>
      </c>
      <c r="N484" s="22"/>
      <c r="O484" s="22"/>
      <c r="P484" s="22"/>
      <c r="Q484" s="22"/>
      <c r="R484" s="23" t="s">
        <v>683</v>
      </c>
      <c r="S484" s="23" t="s">
        <v>39</v>
      </c>
      <c r="T484" s="23" t="s">
        <v>39</v>
      </c>
      <c r="U484" s="23" t="s">
        <v>39</v>
      </c>
      <c r="V484" s="22"/>
      <c r="W484" s="22"/>
      <c r="X484" s="22"/>
      <c r="Y484" s="22"/>
      <c r="Z484" s="22" t="s">
        <v>39</v>
      </c>
      <c r="AA484" s="22" t="s">
        <v>39</v>
      </c>
      <c r="AB484" s="1"/>
      <c r="AC484"/>
      <c r="AD484"/>
      <c r="AE484"/>
      <c r="AF484"/>
      <c r="AG484"/>
    </row>
    <row r="485" spans="1:33" ht="72" customHeight="1" x14ac:dyDescent="0.25">
      <c r="A485" s="17">
        <v>9760409</v>
      </c>
      <c r="B485" s="30">
        <v>4</v>
      </c>
      <c r="C485" s="17" t="s">
        <v>662</v>
      </c>
      <c r="D485" s="31" t="s">
        <v>153</v>
      </c>
      <c r="E485" s="32">
        <v>42671</v>
      </c>
      <c r="F485" s="33">
        <v>42671</v>
      </c>
      <c r="G485" s="32">
        <v>42671</v>
      </c>
      <c r="H485" s="22" t="s">
        <v>104</v>
      </c>
      <c r="I485" s="23" t="s">
        <v>39</v>
      </c>
      <c r="J485" s="23" t="s">
        <v>39</v>
      </c>
      <c r="K485" s="22"/>
      <c r="L485" s="23" t="s">
        <v>39</v>
      </c>
      <c r="M485" s="23" t="s">
        <v>39</v>
      </c>
      <c r="N485" s="22"/>
      <c r="O485" s="22"/>
      <c r="P485" s="22"/>
      <c r="Q485" s="22"/>
      <c r="R485" s="23" t="s">
        <v>683</v>
      </c>
      <c r="S485" s="23" t="s">
        <v>39</v>
      </c>
      <c r="T485" s="23" t="s">
        <v>39</v>
      </c>
      <c r="U485" s="23" t="s">
        <v>39</v>
      </c>
      <c r="V485" s="22"/>
      <c r="W485" s="22"/>
      <c r="X485" s="22"/>
      <c r="Y485" s="22"/>
      <c r="Z485" s="22" t="s">
        <v>39</v>
      </c>
      <c r="AA485" s="22" t="s">
        <v>39</v>
      </c>
      <c r="AB485" s="1"/>
      <c r="AC485"/>
      <c r="AD485"/>
      <c r="AE485"/>
      <c r="AF485"/>
      <c r="AG485"/>
    </row>
    <row r="486" spans="1:33" ht="72" customHeight="1" x14ac:dyDescent="0.25">
      <c r="A486" s="17">
        <v>9760440</v>
      </c>
      <c r="B486" s="30">
        <v>1</v>
      </c>
      <c r="C486" s="17" t="s">
        <v>241</v>
      </c>
      <c r="D486" s="31" t="s">
        <v>165</v>
      </c>
      <c r="E486" s="32">
        <v>42671</v>
      </c>
      <c r="F486" s="33">
        <v>42671</v>
      </c>
      <c r="G486" s="32">
        <v>42671</v>
      </c>
      <c r="H486" s="22" t="s">
        <v>96</v>
      </c>
      <c r="I486" s="23" t="s">
        <v>39</v>
      </c>
      <c r="J486" s="23" t="s">
        <v>39</v>
      </c>
      <c r="K486" s="22"/>
      <c r="L486" s="23" t="s">
        <v>39</v>
      </c>
      <c r="M486" s="23" t="s">
        <v>39</v>
      </c>
      <c r="N486" s="22"/>
      <c r="O486" s="22"/>
      <c r="P486" s="22"/>
      <c r="Q486" s="22"/>
      <c r="R486" s="23" t="s">
        <v>39</v>
      </c>
      <c r="S486" s="23" t="s">
        <v>39</v>
      </c>
      <c r="T486" s="23" t="e">
        <v>#N/A</v>
      </c>
      <c r="U486" s="23" t="s">
        <v>39</v>
      </c>
      <c r="V486" s="22"/>
      <c r="W486" s="22"/>
      <c r="X486" s="22"/>
      <c r="Y486" s="22"/>
      <c r="Z486" s="22" t="s">
        <v>39</v>
      </c>
      <c r="AA486" s="22" t="s">
        <v>39</v>
      </c>
      <c r="AB486" s="1"/>
      <c r="AC486"/>
      <c r="AD486"/>
      <c r="AE486"/>
      <c r="AF486"/>
      <c r="AG486"/>
    </row>
    <row r="487" spans="1:33" ht="72" customHeight="1" x14ac:dyDescent="0.25">
      <c r="A487" s="17">
        <v>9760441</v>
      </c>
      <c r="B487" s="30">
        <v>1</v>
      </c>
      <c r="C487" s="17" t="s">
        <v>678</v>
      </c>
      <c r="D487" s="31" t="s">
        <v>677</v>
      </c>
      <c r="E487" s="32">
        <v>42671</v>
      </c>
      <c r="F487" s="33">
        <v>42671</v>
      </c>
      <c r="G487" s="32">
        <v>42671</v>
      </c>
      <c r="H487" s="22" t="s">
        <v>96</v>
      </c>
      <c r="I487" s="23" t="s">
        <v>39</v>
      </c>
      <c r="J487" s="23" t="s">
        <v>39</v>
      </c>
      <c r="K487" s="22"/>
      <c r="L487" s="23" t="s">
        <v>39</v>
      </c>
      <c r="M487" s="23" t="s">
        <v>39</v>
      </c>
      <c r="N487" s="22"/>
      <c r="O487" s="22"/>
      <c r="P487" s="22"/>
      <c r="Q487" s="22"/>
      <c r="R487" s="23" t="s">
        <v>39</v>
      </c>
      <c r="S487" s="23" t="s">
        <v>39</v>
      </c>
      <c r="T487" s="23" t="e">
        <v>#N/A</v>
      </c>
      <c r="U487" s="23" t="s">
        <v>39</v>
      </c>
      <c r="V487" s="22"/>
      <c r="W487" s="22"/>
      <c r="X487" s="22"/>
      <c r="Y487" s="22"/>
      <c r="Z487" s="22" t="s">
        <v>39</v>
      </c>
      <c r="AA487" s="22" t="s">
        <v>39</v>
      </c>
      <c r="AB487" s="1"/>
      <c r="AC487"/>
      <c r="AD487"/>
      <c r="AE487"/>
      <c r="AF487"/>
      <c r="AG487"/>
    </row>
    <row r="488" spans="1:33" ht="72" customHeight="1" x14ac:dyDescent="0.25">
      <c r="A488" s="17">
        <v>9760451</v>
      </c>
      <c r="B488" s="30">
        <v>3</v>
      </c>
      <c r="C488" s="17" t="s">
        <v>387</v>
      </c>
      <c r="D488" s="31" t="s">
        <v>10</v>
      </c>
      <c r="E488" s="32">
        <v>42671</v>
      </c>
      <c r="F488" s="33">
        <v>42671</v>
      </c>
      <c r="G488" s="32">
        <v>42671</v>
      </c>
      <c r="H488" s="22" t="s">
        <v>96</v>
      </c>
      <c r="I488" s="23" t="s">
        <v>39</v>
      </c>
      <c r="J488" s="23" t="s">
        <v>39</v>
      </c>
      <c r="K488" s="22"/>
      <c r="L488" s="23" t="s">
        <v>39</v>
      </c>
      <c r="M488" s="23" t="s">
        <v>39</v>
      </c>
      <c r="N488" s="22"/>
      <c r="O488" s="22"/>
      <c r="P488" s="22"/>
      <c r="Q488" s="22"/>
      <c r="R488" s="23" t="s">
        <v>39</v>
      </c>
      <c r="S488" s="23" t="s">
        <v>39</v>
      </c>
      <c r="T488" s="23" t="e">
        <v>#N/A</v>
      </c>
      <c r="U488" s="23" t="s">
        <v>39</v>
      </c>
      <c r="V488" s="22"/>
      <c r="W488" s="22"/>
      <c r="X488" s="22"/>
      <c r="Y488" s="22"/>
      <c r="Z488" s="22" t="s">
        <v>39</v>
      </c>
      <c r="AA488" s="22" t="s">
        <v>39</v>
      </c>
      <c r="AB488" s="1"/>
      <c r="AC488"/>
      <c r="AD488"/>
      <c r="AE488"/>
      <c r="AF488"/>
      <c r="AG488"/>
    </row>
    <row r="489" spans="1:33" ht="72" customHeight="1" x14ac:dyDescent="0.25">
      <c r="A489" s="17">
        <v>9760471</v>
      </c>
      <c r="B489" s="30">
        <v>1</v>
      </c>
      <c r="C489" s="17" t="s">
        <v>206</v>
      </c>
      <c r="D489" s="31" t="s">
        <v>165</v>
      </c>
      <c r="E489" s="32">
        <v>42671</v>
      </c>
      <c r="F489" s="33">
        <v>42671</v>
      </c>
      <c r="G489" s="32">
        <v>42671</v>
      </c>
      <c r="H489" s="22" t="s">
        <v>96</v>
      </c>
      <c r="I489" s="23" t="s">
        <v>39</v>
      </c>
      <c r="J489" s="23" t="s">
        <v>39</v>
      </c>
      <c r="K489" s="22"/>
      <c r="L489" s="23" t="s">
        <v>39</v>
      </c>
      <c r="M489" s="23" t="s">
        <v>39</v>
      </c>
      <c r="N489" s="22"/>
      <c r="O489" s="22"/>
      <c r="P489" s="22"/>
      <c r="Q489" s="22"/>
      <c r="R489" s="23" t="s">
        <v>39</v>
      </c>
      <c r="S489" s="23" t="s">
        <v>39</v>
      </c>
      <c r="T489" s="23" t="e">
        <v>#N/A</v>
      </c>
      <c r="U489" s="23" t="s">
        <v>39</v>
      </c>
      <c r="V489" s="22"/>
      <c r="W489" s="22"/>
      <c r="X489" s="22"/>
      <c r="Y489" s="22"/>
      <c r="Z489" s="22" t="s">
        <v>39</v>
      </c>
      <c r="AA489" s="22" t="s">
        <v>39</v>
      </c>
      <c r="AB489" s="1"/>
      <c r="AC489"/>
      <c r="AD489"/>
      <c r="AE489"/>
      <c r="AF489"/>
      <c r="AG489"/>
    </row>
    <row r="490" spans="1:33" ht="72" customHeight="1" x14ac:dyDescent="0.25">
      <c r="A490" s="17">
        <v>9760472</v>
      </c>
      <c r="B490" s="30">
        <v>1</v>
      </c>
      <c r="C490" s="17" t="s">
        <v>686</v>
      </c>
      <c r="D490" s="31" t="s">
        <v>10</v>
      </c>
      <c r="E490" s="32">
        <v>42671</v>
      </c>
      <c r="F490" s="33">
        <v>42671</v>
      </c>
      <c r="G490" s="32">
        <v>42671</v>
      </c>
      <c r="H490" s="22" t="s">
        <v>96</v>
      </c>
      <c r="I490" s="23" t="s">
        <v>39</v>
      </c>
      <c r="J490" s="23" t="s">
        <v>39</v>
      </c>
      <c r="K490" s="22"/>
      <c r="L490" s="23" t="s">
        <v>39</v>
      </c>
      <c r="M490" s="23" t="s">
        <v>39</v>
      </c>
      <c r="N490" s="22"/>
      <c r="O490" s="22"/>
      <c r="P490" s="22"/>
      <c r="Q490" s="22"/>
      <c r="R490" s="23" t="s">
        <v>39</v>
      </c>
      <c r="S490" s="23" t="s">
        <v>39</v>
      </c>
      <c r="T490" s="23" t="e">
        <v>#N/A</v>
      </c>
      <c r="U490" s="23" t="s">
        <v>39</v>
      </c>
      <c r="V490" s="22"/>
      <c r="W490" s="22"/>
      <c r="X490" s="22"/>
      <c r="Y490" s="22"/>
      <c r="Z490" s="22" t="s">
        <v>39</v>
      </c>
      <c r="AA490" s="22" t="s">
        <v>39</v>
      </c>
      <c r="AB490" s="1"/>
      <c r="AC490"/>
      <c r="AD490"/>
      <c r="AE490"/>
      <c r="AF490"/>
      <c r="AG490"/>
    </row>
    <row r="491" spans="1:33" ht="72" customHeight="1" x14ac:dyDescent="0.25">
      <c r="A491" s="17">
        <v>9760507</v>
      </c>
      <c r="B491" s="30">
        <v>1</v>
      </c>
      <c r="C491" s="17" t="s">
        <v>702</v>
      </c>
      <c r="D491" s="31" t="s">
        <v>20</v>
      </c>
      <c r="E491" s="32">
        <v>42671</v>
      </c>
      <c r="F491" s="33">
        <v>42671</v>
      </c>
      <c r="G491" s="32">
        <v>42671</v>
      </c>
      <c r="H491" s="22" t="s">
        <v>104</v>
      </c>
      <c r="I491" s="23" t="s">
        <v>39</v>
      </c>
      <c r="J491" s="23" t="s">
        <v>39</v>
      </c>
      <c r="K491" s="22"/>
      <c r="L491" s="23" t="s">
        <v>39</v>
      </c>
      <c r="M491" s="23" t="s">
        <v>39</v>
      </c>
      <c r="N491" s="22"/>
      <c r="O491" s="22"/>
      <c r="P491" s="22"/>
      <c r="Q491" s="22"/>
      <c r="R491" s="23" t="s">
        <v>731</v>
      </c>
      <c r="S491" s="23" t="s">
        <v>731</v>
      </c>
      <c r="T491" s="23" t="s">
        <v>39</v>
      </c>
      <c r="U491" s="23" t="s">
        <v>39</v>
      </c>
      <c r="V491" s="22"/>
      <c r="W491" s="22"/>
      <c r="X491" s="22"/>
      <c r="Y491" s="22"/>
      <c r="Z491" s="22" t="s">
        <v>39</v>
      </c>
      <c r="AA491" s="22" t="s">
        <v>39</v>
      </c>
      <c r="AB491" s="1"/>
      <c r="AC491"/>
      <c r="AD491"/>
      <c r="AE491"/>
      <c r="AF491"/>
      <c r="AG491"/>
    </row>
    <row r="492" spans="1:33" ht="72" customHeight="1" x14ac:dyDescent="0.25">
      <c r="A492" s="17">
        <v>9760510</v>
      </c>
      <c r="B492" s="30">
        <v>1</v>
      </c>
      <c r="C492" s="17" t="s">
        <v>597</v>
      </c>
      <c r="D492" s="31" t="s">
        <v>20</v>
      </c>
      <c r="E492" s="32">
        <v>42671</v>
      </c>
      <c r="F492" s="33">
        <v>42671</v>
      </c>
      <c r="G492" s="32">
        <v>42671</v>
      </c>
      <c r="H492" s="22" t="s">
        <v>96</v>
      </c>
      <c r="I492" s="23" t="s">
        <v>39</v>
      </c>
      <c r="J492" s="23" t="s">
        <v>39</v>
      </c>
      <c r="K492" s="22"/>
      <c r="L492" s="23" t="s">
        <v>39</v>
      </c>
      <c r="M492" s="23" t="s">
        <v>39</v>
      </c>
      <c r="N492" s="22"/>
      <c r="O492" s="22"/>
      <c r="P492" s="22"/>
      <c r="Q492" s="22"/>
      <c r="R492" s="23" t="s">
        <v>39</v>
      </c>
      <c r="S492" s="23" t="s">
        <v>39</v>
      </c>
      <c r="T492" s="23" t="e">
        <v>#N/A</v>
      </c>
      <c r="U492" s="23" t="s">
        <v>39</v>
      </c>
      <c r="V492" s="22"/>
      <c r="W492" s="22"/>
      <c r="X492" s="22"/>
      <c r="Y492" s="22"/>
      <c r="Z492" s="22" t="s">
        <v>39</v>
      </c>
      <c r="AA492" s="22" t="s">
        <v>39</v>
      </c>
      <c r="AB492" s="1"/>
      <c r="AC492"/>
      <c r="AD492"/>
      <c r="AE492"/>
      <c r="AF492"/>
      <c r="AG492"/>
    </row>
    <row r="493" spans="1:33" ht="72" customHeight="1" x14ac:dyDescent="0.25">
      <c r="A493" s="17">
        <v>9760511</v>
      </c>
      <c r="B493" s="30">
        <v>10</v>
      </c>
      <c r="C493" s="17" t="s">
        <v>705</v>
      </c>
      <c r="D493" s="31" t="s">
        <v>20</v>
      </c>
      <c r="E493" s="32">
        <v>42671</v>
      </c>
      <c r="F493" s="33">
        <v>42671</v>
      </c>
      <c r="G493" s="32">
        <v>42671</v>
      </c>
      <c r="H493" s="22" t="s">
        <v>96</v>
      </c>
      <c r="I493" s="23" t="s">
        <v>39</v>
      </c>
      <c r="J493" s="23" t="s">
        <v>39</v>
      </c>
      <c r="K493" s="22"/>
      <c r="L493" s="23" t="s">
        <v>39</v>
      </c>
      <c r="M493" s="23" t="s">
        <v>39</v>
      </c>
      <c r="N493" s="22"/>
      <c r="O493" s="22"/>
      <c r="P493" s="22"/>
      <c r="Q493" s="22"/>
      <c r="R493" s="23" t="s">
        <v>39</v>
      </c>
      <c r="S493" s="23" t="s">
        <v>39</v>
      </c>
      <c r="T493" s="23" t="e">
        <v>#N/A</v>
      </c>
      <c r="U493" s="23" t="s">
        <v>39</v>
      </c>
      <c r="V493" s="22"/>
      <c r="W493" s="22"/>
      <c r="X493" s="22"/>
      <c r="Y493" s="22"/>
      <c r="Z493" s="22" t="s">
        <v>39</v>
      </c>
      <c r="AA493" s="22" t="s">
        <v>39</v>
      </c>
      <c r="AB493" s="1"/>
      <c r="AC493"/>
      <c r="AD493"/>
      <c r="AE493"/>
      <c r="AF493"/>
      <c r="AG493"/>
    </row>
    <row r="494" spans="1:33" ht="72" customHeight="1" x14ac:dyDescent="0.25">
      <c r="A494" s="17">
        <v>9760523</v>
      </c>
      <c r="B494" s="30">
        <v>1</v>
      </c>
      <c r="C494" s="17" t="s">
        <v>724</v>
      </c>
      <c r="D494" s="31" t="s">
        <v>52</v>
      </c>
      <c r="E494" s="32">
        <v>42671</v>
      </c>
      <c r="F494" s="33">
        <v>42671</v>
      </c>
      <c r="G494" s="32">
        <v>42671</v>
      </c>
      <c r="H494" s="22" t="s">
        <v>96</v>
      </c>
      <c r="I494" s="23" t="s">
        <v>39</v>
      </c>
      <c r="J494" s="23" t="s">
        <v>39</v>
      </c>
      <c r="K494" s="22"/>
      <c r="L494" s="23" t="s">
        <v>39</v>
      </c>
      <c r="M494" s="23" t="s">
        <v>39</v>
      </c>
      <c r="N494" s="22"/>
      <c r="O494" s="22"/>
      <c r="P494" s="22"/>
      <c r="Q494" s="22"/>
      <c r="R494" s="23" t="s">
        <v>39</v>
      </c>
      <c r="S494" s="23" t="s">
        <v>39</v>
      </c>
      <c r="T494" s="23" t="e">
        <v>#N/A</v>
      </c>
      <c r="U494" s="23" t="s">
        <v>39</v>
      </c>
      <c r="V494" s="22"/>
      <c r="W494" s="22"/>
      <c r="X494" s="22"/>
      <c r="Y494" s="22"/>
      <c r="Z494" s="22" t="s">
        <v>39</v>
      </c>
      <c r="AA494" s="22" t="s">
        <v>39</v>
      </c>
      <c r="AB494" s="1"/>
      <c r="AC494"/>
      <c r="AD494"/>
      <c r="AE494"/>
      <c r="AF494"/>
      <c r="AG494"/>
    </row>
    <row r="495" spans="1:33" ht="72" customHeight="1" x14ac:dyDescent="0.25">
      <c r="A495" s="17">
        <v>9760525</v>
      </c>
      <c r="B495" s="30">
        <v>21</v>
      </c>
      <c r="C495" s="17" t="s">
        <v>742</v>
      </c>
      <c r="D495" s="31" t="s">
        <v>11</v>
      </c>
      <c r="E495" s="32">
        <v>42671</v>
      </c>
      <c r="F495" s="33">
        <v>42671</v>
      </c>
      <c r="G495" s="32">
        <v>42671</v>
      </c>
      <c r="H495" s="22" t="s">
        <v>96</v>
      </c>
      <c r="I495" s="23" t="s">
        <v>39</v>
      </c>
      <c r="J495" s="23" t="s">
        <v>39</v>
      </c>
      <c r="K495" s="22"/>
      <c r="L495" s="23" t="s">
        <v>39</v>
      </c>
      <c r="M495" s="23" t="s">
        <v>39</v>
      </c>
      <c r="N495" s="22"/>
      <c r="O495" s="22"/>
      <c r="P495" s="22"/>
      <c r="Q495" s="22"/>
      <c r="R495" s="23" t="s">
        <v>39</v>
      </c>
      <c r="S495" s="23" t="s">
        <v>39</v>
      </c>
      <c r="T495" s="23" t="e">
        <v>#N/A</v>
      </c>
      <c r="U495" s="23" t="s">
        <v>39</v>
      </c>
      <c r="V495" s="22"/>
      <c r="W495" s="22"/>
      <c r="X495" s="22"/>
      <c r="Y495" s="22"/>
      <c r="Z495" s="22" t="s">
        <v>39</v>
      </c>
      <c r="AA495" s="22" t="s">
        <v>39</v>
      </c>
      <c r="AB495" s="1"/>
      <c r="AC495"/>
      <c r="AD495"/>
      <c r="AE495"/>
      <c r="AF495"/>
      <c r="AG495"/>
    </row>
    <row r="496" spans="1:33" ht="72" customHeight="1" x14ac:dyDescent="0.25">
      <c r="A496" s="17">
        <v>9760526</v>
      </c>
      <c r="B496" s="30">
        <v>1</v>
      </c>
      <c r="C496" s="17" t="s">
        <v>741</v>
      </c>
      <c r="D496" s="31" t="s">
        <v>11</v>
      </c>
      <c r="E496" s="32">
        <v>42671</v>
      </c>
      <c r="F496" s="33">
        <v>42671</v>
      </c>
      <c r="G496" s="32">
        <v>42671</v>
      </c>
      <c r="H496" s="22" t="s">
        <v>96</v>
      </c>
      <c r="I496" s="23" t="s">
        <v>39</v>
      </c>
      <c r="J496" s="23" t="s">
        <v>39</v>
      </c>
      <c r="K496" s="22"/>
      <c r="L496" s="23" t="s">
        <v>39</v>
      </c>
      <c r="M496" s="23" t="s">
        <v>39</v>
      </c>
      <c r="N496" s="22"/>
      <c r="O496" s="22"/>
      <c r="P496" s="22"/>
      <c r="Q496" s="22"/>
      <c r="R496" s="23" t="s">
        <v>39</v>
      </c>
      <c r="S496" s="23" t="s">
        <v>39</v>
      </c>
      <c r="T496" s="23" t="e">
        <v>#N/A</v>
      </c>
      <c r="U496" s="23" t="s">
        <v>39</v>
      </c>
      <c r="V496" s="22"/>
      <c r="W496" s="22"/>
      <c r="X496" s="22"/>
      <c r="Y496" s="22"/>
      <c r="Z496" s="22" t="s">
        <v>39</v>
      </c>
      <c r="AA496" s="22" t="s">
        <v>39</v>
      </c>
      <c r="AB496" s="1"/>
      <c r="AC496"/>
      <c r="AD496"/>
      <c r="AE496"/>
      <c r="AF496"/>
      <c r="AG496"/>
    </row>
    <row r="497" spans="1:33" ht="72" customHeight="1" x14ac:dyDescent="0.25">
      <c r="A497" s="17">
        <v>9760527</v>
      </c>
      <c r="B497" s="30">
        <v>1</v>
      </c>
      <c r="C497" s="17" t="s">
        <v>733</v>
      </c>
      <c r="D497" s="31" t="s">
        <v>207</v>
      </c>
      <c r="E497" s="32">
        <v>42671</v>
      </c>
      <c r="F497" s="33">
        <v>42671</v>
      </c>
      <c r="G497" s="32">
        <v>42671</v>
      </c>
      <c r="H497" s="22" t="s">
        <v>96</v>
      </c>
      <c r="I497" s="23" t="s">
        <v>39</v>
      </c>
      <c r="J497" s="23" t="s">
        <v>39</v>
      </c>
      <c r="K497" s="22"/>
      <c r="L497" s="23" t="s">
        <v>39</v>
      </c>
      <c r="M497" s="23" t="s">
        <v>39</v>
      </c>
      <c r="N497" s="22"/>
      <c r="O497" s="22"/>
      <c r="P497" s="22"/>
      <c r="Q497" s="22"/>
      <c r="R497" s="23" t="s">
        <v>39</v>
      </c>
      <c r="S497" s="23" t="s">
        <v>39</v>
      </c>
      <c r="T497" s="23" t="e">
        <v>#N/A</v>
      </c>
      <c r="U497" s="23" t="s">
        <v>39</v>
      </c>
      <c r="V497" s="22"/>
      <c r="W497" s="22"/>
      <c r="X497" s="22"/>
      <c r="Y497" s="22"/>
      <c r="Z497" s="22" t="s">
        <v>39</v>
      </c>
      <c r="AA497" s="22" t="s">
        <v>39</v>
      </c>
      <c r="AB497" s="1"/>
      <c r="AC497"/>
      <c r="AD497"/>
      <c r="AE497"/>
      <c r="AF497"/>
      <c r="AG497"/>
    </row>
    <row r="498" spans="1:33" ht="72" customHeight="1" x14ac:dyDescent="0.25">
      <c r="A498" s="17">
        <v>9760528</v>
      </c>
      <c r="B498" s="30">
        <v>1</v>
      </c>
      <c r="C498" s="17" t="s">
        <v>740</v>
      </c>
      <c r="D498" s="31" t="s">
        <v>16</v>
      </c>
      <c r="E498" s="32">
        <v>42671</v>
      </c>
      <c r="F498" s="33">
        <v>42671</v>
      </c>
      <c r="G498" s="32">
        <v>42671</v>
      </c>
      <c r="H498" s="22" t="s">
        <v>96</v>
      </c>
      <c r="I498" s="23" t="s">
        <v>39</v>
      </c>
      <c r="J498" s="23" t="s">
        <v>39</v>
      </c>
      <c r="K498" s="22"/>
      <c r="L498" s="23" t="s">
        <v>39</v>
      </c>
      <c r="M498" s="23" t="s">
        <v>39</v>
      </c>
      <c r="N498" s="22"/>
      <c r="O498" s="22"/>
      <c r="P498" s="22"/>
      <c r="Q498" s="22"/>
      <c r="R498" s="23" t="s">
        <v>39</v>
      </c>
      <c r="S498" s="23" t="s">
        <v>39</v>
      </c>
      <c r="T498" s="23" t="e">
        <v>#N/A</v>
      </c>
      <c r="U498" s="23" t="s">
        <v>39</v>
      </c>
      <c r="V498" s="22"/>
      <c r="W498" s="22"/>
      <c r="X498" s="22"/>
      <c r="Y498" s="22"/>
      <c r="Z498" s="22" t="s">
        <v>39</v>
      </c>
      <c r="AA498" s="22" t="s">
        <v>39</v>
      </c>
      <c r="AB498" s="1"/>
      <c r="AC498"/>
      <c r="AD498"/>
      <c r="AE498"/>
      <c r="AF498"/>
      <c r="AG498"/>
    </row>
    <row r="499" spans="1:33" ht="72" customHeight="1" x14ac:dyDescent="0.25">
      <c r="A499" s="16"/>
      <c r="B499" s="16"/>
      <c r="C499" s="16"/>
      <c r="D499" s="16"/>
      <c r="E499" s="16"/>
      <c r="F499" s="16"/>
      <c r="G499" s="16"/>
      <c r="H499"/>
      <c r="I499"/>
      <c r="J499"/>
      <c r="K499"/>
      <c r="L499"/>
      <c r="M499"/>
      <c r="N499"/>
      <c r="O499"/>
      <c r="P499"/>
      <c r="Q499"/>
      <c r="R499"/>
      <c r="S499"/>
      <c r="T499"/>
      <c r="U499"/>
      <c r="V499"/>
      <c r="W499"/>
      <c r="X499"/>
      <c r="Y499"/>
      <c r="Z499"/>
      <c r="AA499"/>
      <c r="AB499"/>
      <c r="AC499"/>
      <c r="AD499"/>
      <c r="AE499"/>
      <c r="AF499"/>
      <c r="AG499"/>
    </row>
    <row r="500" spans="1:33" ht="72" customHeight="1" x14ac:dyDescent="0.25">
      <c r="A500" s="16"/>
      <c r="B500" s="16"/>
      <c r="C500" s="16"/>
      <c r="D500" s="16"/>
      <c r="E500" s="16"/>
      <c r="F500" s="16"/>
      <c r="G500" s="16"/>
      <c r="H500"/>
      <c r="I500"/>
      <c r="J500"/>
      <c r="K500"/>
      <c r="L500"/>
      <c r="M500"/>
      <c r="N500"/>
      <c r="O500"/>
      <c r="P500"/>
      <c r="Q500"/>
      <c r="R500"/>
      <c r="S500"/>
      <c r="T500"/>
      <c r="U500"/>
      <c r="V500"/>
      <c r="W500"/>
      <c r="X500"/>
      <c r="Y500"/>
      <c r="Z500"/>
      <c r="AA500"/>
      <c r="AB500"/>
      <c r="AC500"/>
      <c r="AD500"/>
      <c r="AE500"/>
      <c r="AF500"/>
      <c r="AG500"/>
    </row>
    <row r="501" spans="1:33" ht="72" customHeight="1" x14ac:dyDescent="0.25">
      <c r="A501" s="16"/>
      <c r="B501" s="16"/>
      <c r="C501" s="16"/>
      <c r="D501" s="16"/>
      <c r="E501" s="16"/>
      <c r="F501" s="16"/>
      <c r="G501" s="16"/>
      <c r="H501"/>
      <c r="I501"/>
      <c r="J501"/>
      <c r="K501"/>
      <c r="L501"/>
      <c r="M501"/>
      <c r="N501"/>
      <c r="O501"/>
      <c r="P501"/>
      <c r="Q501"/>
      <c r="R501"/>
      <c r="S501"/>
      <c r="T501"/>
      <c r="U501"/>
      <c r="V501"/>
      <c r="W501"/>
      <c r="X501"/>
      <c r="Y501"/>
      <c r="Z501"/>
      <c r="AA501"/>
      <c r="AB501"/>
      <c r="AC501"/>
      <c r="AD501"/>
      <c r="AE501"/>
      <c r="AF501"/>
      <c r="AG501"/>
    </row>
    <row r="502" spans="1:33" ht="72" customHeight="1" x14ac:dyDescent="0.25">
      <c r="A502" s="16"/>
      <c r="B502" s="16"/>
      <c r="C502" s="16"/>
      <c r="D502" s="16"/>
      <c r="E502" s="16"/>
      <c r="F502" s="16"/>
      <c r="G502" s="16"/>
      <c r="H502"/>
      <c r="I502"/>
      <c r="J502"/>
      <c r="K502"/>
      <c r="L502"/>
      <c r="M502"/>
      <c r="N502"/>
      <c r="O502"/>
      <c r="P502"/>
      <c r="Q502"/>
      <c r="R502"/>
      <c r="S502"/>
      <c r="T502"/>
      <c r="U502"/>
      <c r="V502"/>
      <c r="W502"/>
      <c r="X502"/>
      <c r="Y502"/>
      <c r="Z502"/>
      <c r="AA502"/>
      <c r="AB502"/>
      <c r="AC502"/>
      <c r="AD502"/>
      <c r="AE502"/>
      <c r="AF502"/>
      <c r="AG502"/>
    </row>
    <row r="503" spans="1:33" ht="72" customHeight="1" x14ac:dyDescent="0.25">
      <c r="A503" s="16"/>
      <c r="B503" s="16"/>
      <c r="C503" s="16"/>
      <c r="D503" s="16"/>
      <c r="E503" s="16"/>
      <c r="F503" s="16"/>
      <c r="G503" s="16"/>
      <c r="H503"/>
      <c r="I503"/>
      <c r="J503"/>
      <c r="K503"/>
      <c r="L503"/>
      <c r="M503"/>
      <c r="N503"/>
      <c r="O503"/>
      <c r="P503"/>
      <c r="Q503"/>
      <c r="R503"/>
      <c r="S503"/>
      <c r="T503"/>
      <c r="U503"/>
      <c r="V503"/>
      <c r="W503"/>
      <c r="X503"/>
      <c r="Y503"/>
      <c r="Z503"/>
      <c r="AA503"/>
      <c r="AB503"/>
      <c r="AC503"/>
      <c r="AD503"/>
      <c r="AE503"/>
      <c r="AF503"/>
      <c r="AG503"/>
    </row>
    <row r="504" spans="1:33" ht="72" customHeight="1" x14ac:dyDescent="0.25">
      <c r="A504" s="16"/>
      <c r="B504" s="16"/>
      <c r="C504" s="16"/>
      <c r="D504" s="16"/>
      <c r="E504" s="16"/>
      <c r="F504" s="16"/>
      <c r="G504" s="16"/>
      <c r="H504"/>
      <c r="I504"/>
      <c r="J504"/>
      <c r="K504"/>
      <c r="L504"/>
      <c r="M504"/>
      <c r="N504"/>
      <c r="O504"/>
      <c r="P504"/>
      <c r="Q504"/>
      <c r="R504"/>
      <c r="S504"/>
      <c r="T504"/>
      <c r="U504"/>
      <c r="V504"/>
      <c r="W504"/>
      <c r="X504"/>
      <c r="Y504"/>
      <c r="Z504"/>
      <c r="AA504"/>
      <c r="AB504"/>
      <c r="AC504"/>
      <c r="AD504"/>
      <c r="AE504"/>
      <c r="AF504"/>
      <c r="AG504"/>
    </row>
    <row r="505" spans="1:33" ht="72" customHeight="1" x14ac:dyDescent="0.25">
      <c r="A505" s="16"/>
      <c r="B505" s="16"/>
      <c r="C505" s="16"/>
      <c r="D505" s="16"/>
      <c r="E505" s="16"/>
      <c r="F505" s="16"/>
      <c r="G505" s="16"/>
      <c r="H505"/>
      <c r="I505"/>
      <c r="J505"/>
      <c r="K505"/>
      <c r="L505"/>
      <c r="M505"/>
      <c r="N505"/>
      <c r="O505"/>
      <c r="P505"/>
      <c r="Q505"/>
      <c r="R505"/>
      <c r="S505"/>
      <c r="T505"/>
      <c r="U505"/>
      <c r="V505"/>
      <c r="W505"/>
      <c r="X505"/>
      <c r="Y505"/>
      <c r="Z505"/>
      <c r="AA505"/>
      <c r="AB505"/>
      <c r="AC505"/>
      <c r="AD505"/>
      <c r="AE505"/>
      <c r="AF505"/>
      <c r="AG505"/>
    </row>
    <row r="506" spans="1:33" ht="72" customHeight="1" x14ac:dyDescent="0.25">
      <c r="A506" s="16"/>
      <c r="B506" s="16"/>
      <c r="C506" s="16"/>
      <c r="D506" s="16"/>
      <c r="E506" s="16"/>
      <c r="F506" s="16"/>
      <c r="G506" s="16"/>
      <c r="H506"/>
      <c r="I506"/>
      <c r="J506"/>
      <c r="K506"/>
      <c r="L506"/>
      <c r="M506"/>
      <c r="N506"/>
      <c r="O506"/>
      <c r="P506"/>
      <c r="Q506"/>
      <c r="R506"/>
      <c r="S506"/>
      <c r="T506"/>
      <c r="U506"/>
      <c r="V506"/>
      <c r="W506"/>
      <c r="X506"/>
      <c r="Y506"/>
      <c r="Z506"/>
      <c r="AA506"/>
      <c r="AB506"/>
      <c r="AC506"/>
      <c r="AD506"/>
      <c r="AE506"/>
      <c r="AF506"/>
      <c r="AG506"/>
    </row>
    <row r="507" spans="1:33" ht="72" customHeight="1" x14ac:dyDescent="0.25">
      <c r="A507" s="16"/>
      <c r="B507" s="16"/>
      <c r="C507" s="16"/>
      <c r="D507" s="16"/>
      <c r="E507" s="16"/>
      <c r="F507" s="16"/>
      <c r="G507" s="16"/>
      <c r="H507"/>
      <c r="I507"/>
      <c r="J507"/>
      <c r="K507"/>
      <c r="L507"/>
      <c r="M507"/>
      <c r="N507"/>
      <c r="O507"/>
      <c r="P507"/>
      <c r="Q507"/>
      <c r="R507"/>
      <c r="S507"/>
      <c r="T507"/>
      <c r="U507"/>
      <c r="V507"/>
      <c r="W507"/>
      <c r="X507"/>
      <c r="Y507"/>
      <c r="Z507"/>
      <c r="AA507"/>
      <c r="AB507"/>
      <c r="AC507"/>
      <c r="AD507"/>
      <c r="AE507"/>
      <c r="AF507"/>
      <c r="AG507"/>
    </row>
    <row r="508" spans="1:33" ht="72" customHeight="1" x14ac:dyDescent="0.25">
      <c r="A508" s="16"/>
      <c r="B508" s="16"/>
      <c r="C508" s="16"/>
      <c r="D508" s="16"/>
      <c r="E508" s="16"/>
      <c r="F508" s="16"/>
      <c r="G508" s="16"/>
      <c r="H508"/>
      <c r="I508"/>
      <c r="J508"/>
      <c r="K508"/>
      <c r="L508"/>
      <c r="M508"/>
      <c r="N508"/>
      <c r="O508"/>
      <c r="P508"/>
      <c r="Q508"/>
      <c r="R508"/>
      <c r="S508"/>
      <c r="T508"/>
      <c r="U508"/>
      <c r="V508"/>
      <c r="W508"/>
      <c r="X508"/>
      <c r="Y508"/>
      <c r="Z508"/>
      <c r="AA508"/>
      <c r="AB508"/>
      <c r="AC508"/>
      <c r="AD508"/>
      <c r="AE508"/>
      <c r="AF508"/>
      <c r="AG508"/>
    </row>
    <row r="509" spans="1:33" ht="72" customHeight="1" x14ac:dyDescent="0.25">
      <c r="A509" s="16"/>
      <c r="B509" s="16"/>
      <c r="C509" s="16"/>
      <c r="D509" s="16"/>
      <c r="E509" s="16"/>
      <c r="F509" s="16"/>
      <c r="G509" s="16"/>
      <c r="H509"/>
      <c r="I509"/>
      <c r="J509"/>
      <c r="K509"/>
      <c r="L509"/>
      <c r="M509"/>
      <c r="N509"/>
      <c r="O509"/>
      <c r="P509"/>
      <c r="Q509"/>
      <c r="R509"/>
      <c r="S509"/>
      <c r="T509"/>
      <c r="U509"/>
      <c r="V509"/>
      <c r="W509"/>
      <c r="X509"/>
      <c r="Y509"/>
      <c r="Z509"/>
      <c r="AA509"/>
      <c r="AB509"/>
      <c r="AC509"/>
      <c r="AD509"/>
      <c r="AE509"/>
      <c r="AF509"/>
      <c r="AG509"/>
    </row>
    <row r="510" spans="1:33" ht="72" customHeight="1" x14ac:dyDescent="0.25">
      <c r="A510" s="16"/>
      <c r="B510" s="16"/>
      <c r="C510" s="16"/>
      <c r="D510" s="16"/>
      <c r="E510" s="16"/>
      <c r="F510" s="16"/>
      <c r="G510" s="16"/>
      <c r="H510"/>
      <c r="I510"/>
      <c r="J510"/>
      <c r="K510"/>
      <c r="L510"/>
      <c r="M510"/>
      <c r="N510"/>
      <c r="O510"/>
      <c r="P510"/>
      <c r="Q510"/>
      <c r="R510"/>
      <c r="S510"/>
      <c r="T510"/>
      <c r="U510"/>
      <c r="V510"/>
      <c r="W510"/>
      <c r="X510"/>
      <c r="Y510"/>
      <c r="Z510"/>
      <c r="AA510"/>
      <c r="AB510"/>
      <c r="AC510"/>
      <c r="AD510"/>
      <c r="AE510"/>
      <c r="AF510"/>
      <c r="AG510"/>
    </row>
    <row r="511" spans="1:33" ht="72" customHeight="1" x14ac:dyDescent="0.25">
      <c r="A511" s="16"/>
      <c r="B511" s="16"/>
      <c r="C511" s="16"/>
      <c r="D511" s="16"/>
      <c r="E511" s="16"/>
      <c r="F511" s="16"/>
      <c r="G511" s="16"/>
      <c r="H511"/>
      <c r="I511"/>
      <c r="J511"/>
      <c r="K511"/>
      <c r="L511"/>
      <c r="M511"/>
      <c r="N511"/>
      <c r="O511"/>
      <c r="P511"/>
      <c r="Q511"/>
      <c r="R511"/>
      <c r="S511"/>
      <c r="T511"/>
      <c r="U511"/>
      <c r="V511"/>
      <c r="W511"/>
      <c r="X511"/>
      <c r="Y511"/>
      <c r="Z511"/>
      <c r="AA511"/>
      <c r="AB511"/>
      <c r="AC511"/>
      <c r="AD511"/>
      <c r="AE511"/>
      <c r="AF511"/>
      <c r="AG511"/>
    </row>
    <row r="512" spans="1:33" ht="72" customHeight="1" x14ac:dyDescent="0.25">
      <c r="A512" s="16"/>
      <c r="B512" s="16"/>
      <c r="C512" s="16"/>
      <c r="D512" s="16"/>
      <c r="E512" s="16"/>
      <c r="F512" s="16"/>
      <c r="G512" s="16"/>
      <c r="H512"/>
      <c r="I512"/>
      <c r="J512"/>
      <c r="K512"/>
      <c r="L512"/>
      <c r="M512"/>
      <c r="N512"/>
      <c r="O512"/>
      <c r="P512"/>
      <c r="Q512"/>
      <c r="R512"/>
      <c r="S512"/>
      <c r="T512"/>
      <c r="U512"/>
      <c r="V512"/>
      <c r="W512"/>
      <c r="X512"/>
      <c r="Y512"/>
      <c r="Z512"/>
      <c r="AA512"/>
      <c r="AB512"/>
      <c r="AC512"/>
      <c r="AD512"/>
      <c r="AE512"/>
      <c r="AF512"/>
      <c r="AG512"/>
    </row>
    <row r="513" spans="1:33" ht="72" customHeight="1" x14ac:dyDescent="0.25">
      <c r="A513" s="16"/>
      <c r="B513" s="16"/>
      <c r="C513" s="16"/>
      <c r="D513" s="16"/>
      <c r="E513" s="16"/>
      <c r="F513" s="16"/>
      <c r="G513" s="16"/>
      <c r="H513"/>
      <c r="I513"/>
      <c r="J513"/>
      <c r="K513"/>
      <c r="L513"/>
      <c r="M513"/>
      <c r="N513"/>
      <c r="O513"/>
      <c r="P513"/>
      <c r="Q513"/>
      <c r="R513"/>
      <c r="S513"/>
      <c r="T513"/>
      <c r="U513"/>
      <c r="V513"/>
      <c r="W513"/>
      <c r="X513"/>
      <c r="Y513"/>
      <c r="Z513"/>
      <c r="AA513"/>
      <c r="AB513"/>
      <c r="AC513"/>
      <c r="AD513"/>
      <c r="AE513"/>
      <c r="AF513"/>
      <c r="AG513"/>
    </row>
    <row r="514" spans="1:33" ht="72" customHeight="1" x14ac:dyDescent="0.25">
      <c r="A514" s="16"/>
      <c r="B514" s="16"/>
      <c r="C514" s="16"/>
      <c r="D514" s="16"/>
      <c r="E514" s="16"/>
      <c r="F514" s="16"/>
      <c r="G514" s="16"/>
      <c r="H514"/>
      <c r="I514"/>
      <c r="J514"/>
      <c r="K514"/>
      <c r="L514"/>
      <c r="M514"/>
      <c r="N514"/>
      <c r="O514"/>
      <c r="P514"/>
      <c r="Q514"/>
      <c r="R514"/>
      <c r="S514"/>
      <c r="T514"/>
      <c r="U514"/>
      <c r="V514"/>
      <c r="W514"/>
      <c r="X514"/>
      <c r="Y514"/>
      <c r="Z514"/>
      <c r="AA514"/>
      <c r="AB514"/>
      <c r="AC514"/>
      <c r="AD514"/>
      <c r="AE514"/>
      <c r="AF514"/>
      <c r="AG514"/>
    </row>
    <row r="515" spans="1:33" ht="72" customHeight="1" x14ac:dyDescent="0.25">
      <c r="A515" s="16"/>
      <c r="B515" s="16"/>
      <c r="C515" s="16"/>
      <c r="D515" s="16"/>
      <c r="E515" s="16"/>
      <c r="F515" s="16"/>
      <c r="G515" s="16"/>
      <c r="H515"/>
      <c r="I515"/>
      <c r="J515"/>
      <c r="K515"/>
      <c r="L515"/>
      <c r="M515"/>
      <c r="N515"/>
      <c r="O515"/>
      <c r="P515"/>
      <c r="Q515"/>
      <c r="R515"/>
      <c r="S515"/>
      <c r="T515"/>
      <c r="U515"/>
      <c r="V515"/>
      <c r="W515"/>
      <c r="X515"/>
      <c r="Y515"/>
      <c r="Z515"/>
      <c r="AA515"/>
      <c r="AB515"/>
      <c r="AC515"/>
      <c r="AD515"/>
      <c r="AE515"/>
      <c r="AF515"/>
      <c r="AG515"/>
    </row>
    <row r="516" spans="1:33" ht="72" customHeight="1" x14ac:dyDescent="0.25">
      <c r="A516" s="16"/>
      <c r="B516" s="16"/>
      <c r="C516" s="16"/>
      <c r="D516" s="16"/>
      <c r="E516" s="16"/>
      <c r="F516" s="16"/>
      <c r="G516" s="16"/>
      <c r="H516"/>
      <c r="I516"/>
      <c r="J516"/>
      <c r="K516"/>
      <c r="L516"/>
      <c r="M516"/>
      <c r="N516"/>
      <c r="O516"/>
      <c r="P516"/>
      <c r="Q516"/>
      <c r="R516"/>
      <c r="S516"/>
      <c r="T516"/>
      <c r="U516"/>
      <c r="V516"/>
      <c r="W516"/>
      <c r="X516"/>
      <c r="Y516"/>
      <c r="Z516"/>
      <c r="AA516"/>
      <c r="AB516"/>
      <c r="AC516"/>
      <c r="AD516"/>
      <c r="AE516"/>
      <c r="AF516"/>
      <c r="AG516"/>
    </row>
    <row r="517" spans="1:33" ht="72" customHeight="1" x14ac:dyDescent="0.25">
      <c r="A517" s="16"/>
      <c r="B517" s="16"/>
      <c r="C517" s="16"/>
      <c r="D517" s="16"/>
      <c r="E517" s="16"/>
      <c r="F517" s="16"/>
      <c r="G517" s="16"/>
      <c r="H517"/>
      <c r="I517"/>
      <c r="J517"/>
      <c r="K517"/>
      <c r="L517"/>
      <c r="M517"/>
      <c r="N517"/>
      <c r="O517"/>
      <c r="P517"/>
      <c r="Q517"/>
      <c r="R517"/>
      <c r="S517"/>
      <c r="T517"/>
      <c r="U517"/>
      <c r="V517"/>
      <c r="W517"/>
      <c r="X517"/>
      <c r="Y517"/>
      <c r="Z517"/>
      <c r="AA517"/>
      <c r="AB517"/>
      <c r="AC517"/>
      <c r="AD517"/>
      <c r="AE517"/>
      <c r="AF517"/>
      <c r="AG517"/>
    </row>
    <row r="518" spans="1:33" ht="72" customHeight="1" x14ac:dyDescent="0.25">
      <c r="A518" s="16"/>
      <c r="B518" s="16"/>
      <c r="C518" s="16"/>
      <c r="D518" s="16"/>
      <c r="E518" s="16"/>
      <c r="F518" s="16"/>
      <c r="G518" s="16"/>
      <c r="H518"/>
      <c r="I518"/>
      <c r="J518"/>
      <c r="K518"/>
      <c r="L518"/>
      <c r="M518"/>
      <c r="N518"/>
      <c r="O518"/>
      <c r="P518"/>
      <c r="Q518"/>
      <c r="R518"/>
      <c r="S518"/>
      <c r="T518"/>
      <c r="U518"/>
      <c r="V518"/>
      <c r="W518"/>
      <c r="X518"/>
      <c r="Y518"/>
      <c r="Z518"/>
      <c r="AA518"/>
      <c r="AB518"/>
      <c r="AC518"/>
      <c r="AD518"/>
      <c r="AE518"/>
      <c r="AF518"/>
      <c r="AG518"/>
    </row>
    <row r="519" spans="1:33" ht="72" customHeight="1" x14ac:dyDescent="0.25">
      <c r="A519" s="16"/>
      <c r="B519" s="16"/>
      <c r="C519" s="16"/>
      <c r="D519" s="16"/>
      <c r="E519" s="16"/>
      <c r="F519" s="16"/>
      <c r="G519" s="16"/>
      <c r="H519"/>
      <c r="I519"/>
      <c r="J519"/>
      <c r="K519"/>
      <c r="L519"/>
      <c r="M519"/>
      <c r="N519"/>
      <c r="O519"/>
      <c r="P519"/>
      <c r="Q519"/>
      <c r="R519"/>
      <c r="S519"/>
      <c r="T519"/>
      <c r="U519"/>
      <c r="V519"/>
      <c r="W519"/>
      <c r="X519"/>
      <c r="Y519"/>
      <c r="Z519"/>
      <c r="AA519"/>
      <c r="AB519"/>
      <c r="AC519"/>
      <c r="AD519"/>
      <c r="AE519"/>
      <c r="AF519"/>
      <c r="AG519"/>
    </row>
    <row r="520" spans="1:33" ht="72" customHeight="1" x14ac:dyDescent="0.25">
      <c r="A520" s="16"/>
      <c r="B520" s="16"/>
      <c r="C520" s="16"/>
      <c r="D520" s="16"/>
      <c r="E520" s="16"/>
      <c r="F520" s="16"/>
      <c r="G520" s="16"/>
      <c r="H520"/>
      <c r="I520"/>
      <c r="J520"/>
      <c r="K520"/>
      <c r="L520"/>
      <c r="M520"/>
      <c r="N520"/>
      <c r="O520"/>
      <c r="P520"/>
      <c r="Q520"/>
      <c r="R520"/>
      <c r="S520"/>
      <c r="T520"/>
      <c r="U520"/>
      <c r="V520"/>
      <c r="W520"/>
      <c r="X520"/>
      <c r="Y520"/>
      <c r="Z520"/>
      <c r="AA520"/>
      <c r="AB520"/>
      <c r="AC520"/>
      <c r="AD520"/>
      <c r="AE520"/>
      <c r="AF520"/>
      <c r="AG520"/>
    </row>
    <row r="521" spans="1:33" ht="72" customHeight="1" x14ac:dyDescent="0.25">
      <c r="A521" s="16"/>
      <c r="B521" s="16"/>
      <c r="C521" s="16"/>
      <c r="D521" s="16"/>
      <c r="E521" s="16"/>
      <c r="F521" s="16"/>
      <c r="G521" s="16"/>
      <c r="H521"/>
      <c r="I521"/>
      <c r="J521"/>
      <c r="K521"/>
      <c r="L521"/>
      <c r="M521"/>
      <c r="N521"/>
      <c r="O521"/>
      <c r="P521"/>
      <c r="Q521"/>
      <c r="R521"/>
      <c r="S521"/>
      <c r="T521"/>
      <c r="U521"/>
      <c r="V521"/>
      <c r="W521"/>
      <c r="X521"/>
      <c r="Y521"/>
      <c r="Z521"/>
      <c r="AA521"/>
      <c r="AB521"/>
      <c r="AC521"/>
      <c r="AD521"/>
      <c r="AE521"/>
      <c r="AF521"/>
      <c r="AG521"/>
    </row>
    <row r="522" spans="1:33" ht="72" customHeight="1" x14ac:dyDescent="0.25">
      <c r="A522" s="16"/>
      <c r="B522" s="16"/>
      <c r="C522" s="16"/>
      <c r="D522" s="16"/>
      <c r="E522" s="16"/>
      <c r="F522" s="16"/>
      <c r="G522" s="16"/>
      <c r="H522"/>
      <c r="I522"/>
      <c r="J522"/>
      <c r="K522"/>
      <c r="L522"/>
      <c r="M522"/>
      <c r="N522"/>
      <c r="O522"/>
      <c r="P522"/>
      <c r="Q522"/>
      <c r="R522"/>
      <c r="S522"/>
      <c r="T522"/>
      <c r="U522"/>
      <c r="V522"/>
      <c r="W522"/>
      <c r="X522"/>
      <c r="Y522"/>
      <c r="Z522"/>
      <c r="AA522"/>
      <c r="AB522"/>
      <c r="AC522"/>
      <c r="AD522"/>
      <c r="AE522"/>
      <c r="AF522"/>
      <c r="AG522"/>
    </row>
    <row r="523" spans="1:33" ht="72" customHeight="1" x14ac:dyDescent="0.25">
      <c r="A523" s="16"/>
      <c r="B523" s="16"/>
      <c r="C523" s="16"/>
      <c r="D523" s="16"/>
      <c r="E523" s="16"/>
      <c r="F523" s="16"/>
      <c r="G523" s="16"/>
      <c r="H523"/>
      <c r="I523"/>
      <c r="J523"/>
      <c r="K523"/>
      <c r="L523"/>
      <c r="M523"/>
      <c r="N523"/>
      <c r="O523"/>
      <c r="P523"/>
      <c r="Q523"/>
      <c r="R523"/>
      <c r="S523"/>
      <c r="T523"/>
      <c r="U523"/>
      <c r="V523"/>
      <c r="W523"/>
      <c r="X523"/>
      <c r="Y523"/>
      <c r="Z523"/>
      <c r="AA523"/>
      <c r="AB523"/>
      <c r="AC523"/>
      <c r="AD523"/>
      <c r="AE523"/>
      <c r="AF523"/>
      <c r="AG523"/>
    </row>
    <row r="524" spans="1:33" ht="72" customHeight="1" x14ac:dyDescent="0.25">
      <c r="A524" s="16"/>
      <c r="B524" s="16"/>
      <c r="C524" s="16"/>
      <c r="D524" s="16"/>
      <c r="E524" s="16"/>
      <c r="F524" s="16"/>
      <c r="G524" s="16"/>
      <c r="H524"/>
      <c r="I524"/>
      <c r="J524"/>
      <c r="K524"/>
      <c r="L524"/>
      <c r="M524"/>
      <c r="N524"/>
      <c r="O524"/>
      <c r="P524"/>
      <c r="Q524"/>
      <c r="R524"/>
      <c r="S524"/>
      <c r="T524"/>
      <c r="U524"/>
      <c r="V524"/>
      <c r="W524"/>
      <c r="X524"/>
      <c r="Y524"/>
      <c r="Z524"/>
      <c r="AA524"/>
      <c r="AB524"/>
      <c r="AC524"/>
      <c r="AD524"/>
      <c r="AE524"/>
      <c r="AF524"/>
      <c r="AG524"/>
    </row>
    <row r="525" spans="1:33" ht="72" customHeight="1" x14ac:dyDescent="0.25">
      <c r="A525" s="16"/>
      <c r="B525" s="16"/>
      <c r="C525" s="16"/>
      <c r="D525" s="16"/>
      <c r="E525" s="16"/>
      <c r="F525" s="16"/>
      <c r="G525" s="16"/>
      <c r="H525"/>
      <c r="I525"/>
      <c r="J525"/>
      <c r="K525"/>
      <c r="L525"/>
      <c r="M525"/>
      <c r="N525"/>
      <c r="O525"/>
      <c r="P525"/>
      <c r="Q525"/>
      <c r="R525"/>
      <c r="S525"/>
      <c r="T525"/>
      <c r="U525"/>
      <c r="V525"/>
      <c r="W525"/>
      <c r="X525"/>
      <c r="Y525"/>
      <c r="Z525"/>
      <c r="AA525"/>
      <c r="AB525"/>
      <c r="AC525"/>
      <c r="AD525"/>
      <c r="AE525"/>
      <c r="AF525"/>
      <c r="AG525"/>
    </row>
    <row r="526" spans="1:33" ht="72" customHeight="1" x14ac:dyDescent="0.25">
      <c r="A526" s="16"/>
      <c r="B526" s="16"/>
      <c r="C526" s="16"/>
      <c r="D526" s="16"/>
      <c r="E526" s="16"/>
      <c r="F526" s="16"/>
      <c r="G526" s="16"/>
      <c r="H526"/>
      <c r="I526"/>
      <c r="J526"/>
      <c r="K526"/>
      <c r="L526"/>
      <c r="M526"/>
      <c r="N526"/>
      <c r="O526"/>
      <c r="P526"/>
      <c r="Q526"/>
      <c r="R526"/>
      <c r="S526"/>
      <c r="T526"/>
      <c r="U526"/>
      <c r="V526"/>
      <c r="W526"/>
      <c r="X526"/>
      <c r="Y526"/>
      <c r="Z526"/>
      <c r="AA526"/>
      <c r="AB526"/>
      <c r="AC526"/>
      <c r="AD526"/>
      <c r="AE526"/>
      <c r="AF526"/>
      <c r="AG526"/>
    </row>
    <row r="527" spans="1:33" ht="72" customHeight="1" x14ac:dyDescent="0.25">
      <c r="A527" s="16"/>
      <c r="B527" s="16"/>
      <c r="C527" s="16"/>
      <c r="D527" s="16"/>
      <c r="E527" s="16"/>
      <c r="F527" s="16"/>
      <c r="G527" s="16"/>
      <c r="H527"/>
      <c r="I527"/>
      <c r="J527"/>
      <c r="K527"/>
      <c r="L527"/>
      <c r="M527"/>
      <c r="N527"/>
      <c r="O527"/>
      <c r="P527"/>
      <c r="Q527"/>
      <c r="R527"/>
      <c r="S527"/>
      <c r="T527"/>
      <c r="U527"/>
      <c r="V527"/>
      <c r="W527"/>
      <c r="X527"/>
      <c r="Y527"/>
      <c r="Z527"/>
      <c r="AA527"/>
      <c r="AB527"/>
      <c r="AC527"/>
      <c r="AD527"/>
      <c r="AE527"/>
      <c r="AF527"/>
      <c r="AG527"/>
    </row>
    <row r="528" spans="1:33" ht="72" customHeight="1" x14ac:dyDescent="0.25">
      <c r="A528" s="16"/>
      <c r="B528" s="16"/>
      <c r="C528" s="16"/>
      <c r="D528" s="16"/>
      <c r="E528" s="16"/>
      <c r="F528" s="16"/>
      <c r="G528" s="16"/>
      <c r="H528"/>
      <c r="I528"/>
      <c r="J528"/>
      <c r="K528"/>
      <c r="L528"/>
      <c r="M528"/>
      <c r="N528"/>
      <c r="O528"/>
      <c r="P528"/>
      <c r="Q528"/>
      <c r="R528"/>
      <c r="S528"/>
      <c r="T528"/>
      <c r="U528"/>
      <c r="V528"/>
      <c r="W528"/>
      <c r="X528"/>
      <c r="Y528"/>
      <c r="Z528"/>
      <c r="AA528"/>
      <c r="AB528"/>
      <c r="AC528"/>
      <c r="AD528"/>
      <c r="AE528"/>
      <c r="AF528"/>
      <c r="AG528"/>
    </row>
    <row r="529" spans="1:33" ht="72" customHeight="1" x14ac:dyDescent="0.25">
      <c r="A529" s="16"/>
      <c r="B529" s="16"/>
      <c r="C529" s="16"/>
      <c r="D529" s="16"/>
      <c r="E529" s="16"/>
      <c r="F529" s="16"/>
      <c r="G529" s="16"/>
      <c r="H529"/>
      <c r="I529"/>
      <c r="J529"/>
      <c r="K529"/>
      <c r="L529"/>
      <c r="M529"/>
      <c r="N529"/>
      <c r="O529"/>
      <c r="P529"/>
      <c r="Q529"/>
      <c r="R529"/>
      <c r="S529"/>
      <c r="T529"/>
      <c r="U529"/>
      <c r="V529"/>
      <c r="W529"/>
      <c r="X529"/>
      <c r="Y529"/>
      <c r="Z529"/>
      <c r="AA529"/>
      <c r="AB529"/>
      <c r="AC529"/>
      <c r="AD529"/>
      <c r="AE529"/>
      <c r="AF529"/>
      <c r="AG529"/>
    </row>
    <row r="530" spans="1:33" ht="72" customHeight="1" x14ac:dyDescent="0.25">
      <c r="A530" s="16"/>
      <c r="B530" s="16"/>
      <c r="C530" s="16"/>
      <c r="D530" s="16"/>
      <c r="E530" s="16"/>
      <c r="F530" s="16"/>
      <c r="G530" s="16"/>
      <c r="H530"/>
      <c r="I530"/>
      <c r="J530"/>
      <c r="K530"/>
      <c r="L530"/>
      <c r="M530"/>
      <c r="N530"/>
      <c r="O530"/>
      <c r="P530"/>
      <c r="Q530"/>
      <c r="R530"/>
      <c r="S530"/>
      <c r="T530"/>
      <c r="U530"/>
      <c r="V530"/>
      <c r="W530"/>
      <c r="X530"/>
      <c r="Y530"/>
      <c r="Z530"/>
      <c r="AA530"/>
      <c r="AB530"/>
      <c r="AC530"/>
      <c r="AD530"/>
      <c r="AE530"/>
      <c r="AF530"/>
      <c r="AG530"/>
    </row>
    <row r="531" spans="1:33" ht="72" customHeight="1" x14ac:dyDescent="0.25">
      <c r="A531" s="16"/>
      <c r="B531" s="16"/>
      <c r="C531" s="16"/>
      <c r="D531" s="16"/>
      <c r="E531" s="16"/>
      <c r="F531" s="16"/>
      <c r="G531" s="16"/>
      <c r="H531"/>
      <c r="I531"/>
      <c r="J531"/>
      <c r="K531"/>
      <c r="L531"/>
      <c r="M531"/>
      <c r="N531"/>
      <c r="O531"/>
      <c r="P531"/>
      <c r="Q531"/>
      <c r="R531"/>
      <c r="S531"/>
      <c r="T531"/>
      <c r="U531"/>
      <c r="V531"/>
      <c r="W531"/>
      <c r="X531"/>
      <c r="Y531"/>
      <c r="Z531"/>
      <c r="AA531"/>
      <c r="AB531"/>
      <c r="AC531"/>
      <c r="AD531"/>
      <c r="AE531"/>
      <c r="AF531"/>
      <c r="AG531"/>
    </row>
    <row r="532" spans="1:33" ht="72" customHeight="1" x14ac:dyDescent="0.25">
      <c r="A532" s="16"/>
      <c r="B532" s="16"/>
      <c r="C532" s="16"/>
      <c r="D532" s="16"/>
      <c r="E532" s="16"/>
      <c r="F532" s="16"/>
      <c r="G532" s="16"/>
      <c r="H532"/>
      <c r="I532"/>
      <c r="J532"/>
      <c r="K532"/>
      <c r="L532"/>
      <c r="M532"/>
      <c r="N532"/>
      <c r="O532"/>
      <c r="P532"/>
      <c r="Q532"/>
      <c r="R532"/>
      <c r="S532"/>
      <c r="T532"/>
      <c r="U532"/>
      <c r="V532"/>
      <c r="W532"/>
      <c r="X532"/>
      <c r="Y532"/>
      <c r="Z532"/>
      <c r="AA532"/>
      <c r="AB532"/>
      <c r="AC532"/>
      <c r="AD532"/>
      <c r="AE532"/>
      <c r="AF532"/>
      <c r="AG532"/>
    </row>
    <row r="533" spans="1:33" ht="72" customHeight="1" x14ac:dyDescent="0.25">
      <c r="A533" s="16"/>
      <c r="B533" s="16"/>
      <c r="C533" s="16"/>
      <c r="D533" s="16"/>
      <c r="E533" s="16"/>
      <c r="F533" s="16"/>
      <c r="G533" s="16"/>
      <c r="H533"/>
      <c r="I533"/>
      <c r="J533"/>
      <c r="K533"/>
      <c r="L533"/>
      <c r="M533"/>
      <c r="N533"/>
      <c r="O533"/>
      <c r="P533"/>
      <c r="Q533"/>
      <c r="R533"/>
      <c r="S533"/>
      <c r="T533"/>
      <c r="U533"/>
      <c r="V533"/>
      <c r="W533"/>
      <c r="X533"/>
      <c r="Y533"/>
      <c r="Z533"/>
      <c r="AA533"/>
      <c r="AB533"/>
      <c r="AC533"/>
      <c r="AD533"/>
      <c r="AE533"/>
      <c r="AF533"/>
      <c r="AG533"/>
    </row>
    <row r="534" spans="1:33" ht="72" customHeight="1" x14ac:dyDescent="0.25">
      <c r="A534" s="16"/>
      <c r="B534" s="16"/>
      <c r="C534" s="16"/>
      <c r="D534" s="16"/>
      <c r="E534" s="16"/>
      <c r="F534" s="16"/>
      <c r="G534" s="16"/>
      <c r="H534"/>
      <c r="I534"/>
      <c r="J534"/>
      <c r="K534"/>
      <c r="L534"/>
      <c r="M534"/>
      <c r="N534"/>
      <c r="O534"/>
      <c r="P534"/>
      <c r="Q534"/>
      <c r="R534"/>
      <c r="S534"/>
      <c r="T534"/>
      <c r="U534"/>
      <c r="V534"/>
      <c r="W534"/>
      <c r="X534"/>
      <c r="Y534"/>
      <c r="Z534"/>
      <c r="AA534"/>
      <c r="AB534"/>
      <c r="AC534"/>
      <c r="AD534"/>
      <c r="AE534"/>
      <c r="AF534"/>
      <c r="AG534"/>
    </row>
    <row r="535" spans="1:33" ht="72" customHeight="1" x14ac:dyDescent="0.25">
      <c r="A535" s="16"/>
      <c r="B535" s="16"/>
      <c r="C535" s="16"/>
      <c r="D535" s="16"/>
      <c r="E535" s="16"/>
      <c r="F535" s="16"/>
      <c r="G535" s="16"/>
      <c r="H535"/>
      <c r="I535"/>
      <c r="J535"/>
      <c r="K535"/>
      <c r="L535"/>
      <c r="M535"/>
      <c r="N535"/>
      <c r="O535"/>
      <c r="P535"/>
      <c r="Q535"/>
      <c r="R535"/>
      <c r="S535"/>
      <c r="T535"/>
      <c r="U535"/>
      <c r="V535"/>
      <c r="W535"/>
      <c r="X535"/>
      <c r="Y535"/>
      <c r="Z535"/>
      <c r="AA535"/>
      <c r="AB535"/>
      <c r="AC535"/>
      <c r="AD535"/>
      <c r="AE535"/>
      <c r="AF535"/>
      <c r="AG535"/>
    </row>
    <row r="536" spans="1:33" ht="72" customHeight="1" x14ac:dyDescent="0.25">
      <c r="A536" s="16"/>
      <c r="B536" s="16"/>
      <c r="C536" s="16"/>
      <c r="D536" s="16"/>
      <c r="E536" s="16"/>
      <c r="F536" s="16"/>
      <c r="G536" s="16"/>
      <c r="H536"/>
      <c r="I536"/>
      <c r="J536"/>
      <c r="K536"/>
      <c r="L536"/>
      <c r="M536"/>
      <c r="N536"/>
      <c r="O536"/>
      <c r="P536"/>
      <c r="Q536"/>
      <c r="R536"/>
      <c r="S536"/>
      <c r="T536"/>
      <c r="U536"/>
      <c r="V536"/>
      <c r="W536"/>
      <c r="X536"/>
      <c r="Y536"/>
      <c r="Z536"/>
      <c r="AA536"/>
      <c r="AB536"/>
      <c r="AC536"/>
      <c r="AD536"/>
      <c r="AE536"/>
      <c r="AF536"/>
      <c r="AG536"/>
    </row>
    <row r="537" spans="1:33" ht="72" customHeight="1" x14ac:dyDescent="0.25">
      <c r="A537" s="16"/>
      <c r="B537" s="16"/>
      <c r="C537" s="16"/>
      <c r="D537" s="16"/>
      <c r="E537" s="16"/>
      <c r="F537" s="16"/>
      <c r="G537" s="16"/>
      <c r="H537"/>
      <c r="I537"/>
      <c r="J537"/>
      <c r="K537"/>
      <c r="L537"/>
      <c r="M537"/>
      <c r="N537"/>
      <c r="O537"/>
      <c r="P537"/>
      <c r="Q537"/>
      <c r="R537"/>
      <c r="S537"/>
      <c r="T537"/>
      <c r="U537"/>
      <c r="V537"/>
      <c r="W537"/>
      <c r="X537"/>
      <c r="Y537"/>
      <c r="Z537"/>
      <c r="AA537"/>
      <c r="AB537"/>
      <c r="AC537"/>
      <c r="AD537"/>
      <c r="AE537"/>
      <c r="AF537"/>
      <c r="AG537"/>
    </row>
    <row r="538" spans="1:33" ht="72" customHeight="1" x14ac:dyDescent="0.25">
      <c r="A538" s="16"/>
      <c r="B538" s="16"/>
      <c r="C538" s="16"/>
      <c r="D538" s="16"/>
      <c r="E538" s="16"/>
      <c r="F538" s="16"/>
      <c r="G538" s="16"/>
      <c r="H538"/>
      <c r="I538"/>
      <c r="J538"/>
      <c r="K538"/>
      <c r="L538"/>
      <c r="M538"/>
      <c r="N538"/>
      <c r="O538"/>
      <c r="P538"/>
      <c r="Q538"/>
      <c r="R538"/>
      <c r="S538"/>
      <c r="T538"/>
      <c r="U538"/>
      <c r="V538"/>
      <c r="W538"/>
      <c r="X538"/>
      <c r="Y538"/>
      <c r="Z538"/>
      <c r="AA538"/>
      <c r="AB538"/>
      <c r="AC538"/>
      <c r="AD538"/>
      <c r="AE538"/>
      <c r="AF538"/>
      <c r="AG538"/>
    </row>
    <row r="539" spans="1:33" ht="72" customHeight="1" x14ac:dyDescent="0.25">
      <c r="A539" s="16"/>
      <c r="B539" s="16"/>
      <c r="C539" s="16"/>
      <c r="D539" s="16"/>
      <c r="E539" s="16"/>
      <c r="F539" s="16"/>
      <c r="G539" s="16"/>
      <c r="H539"/>
      <c r="I539"/>
      <c r="J539"/>
      <c r="K539"/>
      <c r="L539"/>
      <c r="M539"/>
      <c r="N539"/>
      <c r="O539"/>
      <c r="P539"/>
      <c r="Q539"/>
      <c r="R539"/>
      <c r="S539"/>
      <c r="T539"/>
      <c r="U539"/>
      <c r="V539"/>
      <c r="W539"/>
      <c r="X539"/>
      <c r="Y539"/>
      <c r="Z539"/>
      <c r="AA539"/>
      <c r="AB539"/>
      <c r="AC539"/>
      <c r="AD539"/>
      <c r="AE539"/>
      <c r="AF539"/>
      <c r="AG539"/>
    </row>
    <row r="540" spans="1:33" ht="72" customHeight="1" x14ac:dyDescent="0.25">
      <c r="A540" s="16"/>
      <c r="B540" s="16"/>
      <c r="C540" s="16"/>
      <c r="D540" s="16"/>
      <c r="E540" s="16"/>
      <c r="F540" s="16"/>
      <c r="G540" s="16"/>
      <c r="H540"/>
      <c r="I540"/>
      <c r="J540"/>
      <c r="K540"/>
      <c r="L540"/>
      <c r="M540"/>
      <c r="N540"/>
      <c r="O540"/>
      <c r="P540"/>
      <c r="Q540"/>
      <c r="R540"/>
      <c r="S540"/>
      <c r="T540"/>
      <c r="U540"/>
      <c r="V540"/>
      <c r="W540"/>
      <c r="X540"/>
      <c r="Y540"/>
      <c r="Z540"/>
      <c r="AA540"/>
      <c r="AB540"/>
      <c r="AC540"/>
      <c r="AD540"/>
      <c r="AE540"/>
      <c r="AF540"/>
      <c r="AG540"/>
    </row>
    <row r="541" spans="1:33" ht="72" customHeight="1" x14ac:dyDescent="0.25">
      <c r="A541" s="16"/>
      <c r="B541" s="16"/>
      <c r="C541" s="16"/>
      <c r="D541" s="16"/>
      <c r="E541" s="16"/>
      <c r="F541" s="16"/>
      <c r="G541" s="16"/>
      <c r="H541"/>
      <c r="I541"/>
      <c r="J541"/>
      <c r="K541"/>
      <c r="L541"/>
      <c r="M541"/>
      <c r="N541"/>
      <c r="O541"/>
      <c r="P541"/>
      <c r="Q541"/>
      <c r="R541"/>
      <c r="S541"/>
      <c r="T541"/>
      <c r="U541"/>
      <c r="V541"/>
      <c r="W541"/>
      <c r="X541"/>
      <c r="Y541"/>
      <c r="Z541"/>
      <c r="AA541"/>
      <c r="AB541"/>
      <c r="AC541"/>
      <c r="AD541"/>
      <c r="AE541"/>
      <c r="AF541"/>
      <c r="AG541"/>
    </row>
    <row r="542" spans="1:33" ht="72" customHeight="1" x14ac:dyDescent="0.25">
      <c r="A542" s="16"/>
      <c r="B542" s="16"/>
      <c r="C542" s="16"/>
      <c r="D542" s="16"/>
      <c r="E542" s="16"/>
      <c r="F542" s="16"/>
      <c r="G542" s="16"/>
      <c r="H542"/>
      <c r="I542"/>
      <c r="J542"/>
      <c r="K542"/>
      <c r="L542"/>
      <c r="M542"/>
      <c r="N542"/>
      <c r="O542"/>
      <c r="P542"/>
      <c r="Q542"/>
      <c r="R542"/>
      <c r="S542"/>
      <c r="T542"/>
      <c r="U542"/>
      <c r="V542"/>
      <c r="W542"/>
      <c r="X542"/>
      <c r="Y542"/>
      <c r="Z542"/>
      <c r="AA542"/>
      <c r="AB542"/>
      <c r="AC542"/>
      <c r="AD542"/>
      <c r="AE542"/>
      <c r="AF542"/>
      <c r="AG542"/>
    </row>
    <row r="543" spans="1:33" ht="72" customHeight="1" x14ac:dyDescent="0.25">
      <c r="A543" s="16"/>
      <c r="B543" s="16"/>
      <c r="C543" s="16"/>
      <c r="D543" s="16"/>
      <c r="E543" s="16"/>
      <c r="F543" s="16"/>
      <c r="G543" s="16"/>
      <c r="H543"/>
      <c r="I543"/>
      <c r="J543"/>
      <c r="K543"/>
      <c r="L543"/>
      <c r="M543"/>
      <c r="N543"/>
      <c r="O543"/>
      <c r="P543"/>
      <c r="Q543"/>
      <c r="R543"/>
      <c r="S543"/>
      <c r="T543"/>
      <c r="U543"/>
      <c r="V543"/>
      <c r="W543"/>
      <c r="X543"/>
      <c r="Y543"/>
      <c r="Z543"/>
      <c r="AA543"/>
      <c r="AB543"/>
      <c r="AC543"/>
      <c r="AD543"/>
      <c r="AE543"/>
      <c r="AF543"/>
      <c r="AG543"/>
    </row>
    <row r="544" spans="1:33" ht="72" customHeight="1" x14ac:dyDescent="0.25">
      <c r="A544" s="16"/>
      <c r="B544" s="16"/>
      <c r="C544" s="16"/>
      <c r="D544" s="16"/>
      <c r="E544" s="16"/>
      <c r="F544" s="16"/>
      <c r="G544" s="16"/>
      <c r="H544"/>
      <c r="I544"/>
      <c r="J544"/>
      <c r="K544"/>
      <c r="L544"/>
      <c r="M544"/>
      <c r="N544"/>
      <c r="O544"/>
      <c r="P544"/>
      <c r="Q544"/>
      <c r="R544"/>
      <c r="S544"/>
      <c r="T544"/>
      <c r="U544"/>
      <c r="V544"/>
      <c r="W544"/>
      <c r="X544"/>
      <c r="Y544"/>
      <c r="Z544"/>
      <c r="AA544"/>
      <c r="AB544"/>
      <c r="AC544"/>
      <c r="AD544"/>
      <c r="AE544"/>
      <c r="AF544"/>
      <c r="AG544"/>
    </row>
    <row r="545" spans="1:33" ht="72" customHeight="1" x14ac:dyDescent="0.25">
      <c r="A545" s="16"/>
      <c r="B545" s="16"/>
      <c r="C545" s="16"/>
      <c r="D545" s="16"/>
      <c r="E545" s="16"/>
      <c r="F545" s="16"/>
      <c r="G545" s="16"/>
      <c r="H545"/>
      <c r="I545"/>
      <c r="J545"/>
      <c r="K545"/>
      <c r="L545"/>
      <c r="M545"/>
      <c r="N545"/>
      <c r="O545"/>
      <c r="P545"/>
      <c r="Q545"/>
      <c r="R545"/>
      <c r="S545"/>
      <c r="T545"/>
      <c r="U545"/>
      <c r="V545"/>
      <c r="W545"/>
      <c r="X545"/>
      <c r="Y545"/>
      <c r="Z545"/>
      <c r="AA545"/>
      <c r="AB545"/>
      <c r="AC545"/>
      <c r="AD545"/>
      <c r="AE545"/>
      <c r="AF545"/>
      <c r="AG545"/>
    </row>
    <row r="546" spans="1:33" ht="72" customHeight="1" x14ac:dyDescent="0.25">
      <c r="A546" s="16"/>
      <c r="B546" s="16"/>
      <c r="C546" s="16"/>
      <c r="D546" s="16"/>
      <c r="E546" s="16"/>
      <c r="F546" s="16"/>
      <c r="G546" s="16"/>
      <c r="H546"/>
      <c r="I546"/>
      <c r="J546"/>
      <c r="K546"/>
      <c r="L546"/>
      <c r="M546"/>
      <c r="N546"/>
      <c r="O546"/>
      <c r="P546"/>
      <c r="Q546"/>
      <c r="R546"/>
      <c r="S546"/>
      <c r="T546"/>
      <c r="U546"/>
      <c r="V546"/>
      <c r="W546"/>
      <c r="X546"/>
      <c r="Y546"/>
      <c r="Z546"/>
      <c r="AA546"/>
      <c r="AB546"/>
      <c r="AC546"/>
      <c r="AD546"/>
      <c r="AE546"/>
      <c r="AF546"/>
      <c r="AG546"/>
    </row>
    <row r="547" spans="1:33" ht="72" customHeight="1" x14ac:dyDescent="0.25">
      <c r="A547" s="16"/>
      <c r="B547" s="16"/>
      <c r="C547" s="16"/>
      <c r="D547" s="16"/>
      <c r="E547" s="16"/>
      <c r="F547" s="16"/>
      <c r="G547" s="16"/>
      <c r="H547"/>
      <c r="I547"/>
      <c r="J547"/>
      <c r="K547"/>
      <c r="L547"/>
      <c r="M547"/>
      <c r="N547"/>
      <c r="O547"/>
      <c r="P547"/>
      <c r="Q547"/>
      <c r="R547"/>
      <c r="S547"/>
      <c r="T547"/>
      <c r="U547"/>
      <c r="V547"/>
      <c r="W547"/>
      <c r="X547"/>
      <c r="Y547"/>
      <c r="Z547"/>
      <c r="AA547"/>
      <c r="AB547"/>
      <c r="AC547"/>
      <c r="AD547"/>
      <c r="AE547"/>
      <c r="AF547"/>
      <c r="AG547"/>
    </row>
    <row r="548" spans="1:33" ht="72" customHeight="1" x14ac:dyDescent="0.25">
      <c r="A548" s="16"/>
      <c r="B548" s="16"/>
      <c r="C548" s="16"/>
      <c r="D548" s="16"/>
      <c r="E548" s="16"/>
      <c r="F548" s="16"/>
      <c r="G548" s="16"/>
      <c r="H548"/>
      <c r="I548"/>
      <c r="J548"/>
      <c r="K548"/>
      <c r="L548"/>
      <c r="M548"/>
      <c r="N548"/>
      <c r="O548"/>
      <c r="P548"/>
      <c r="Q548"/>
      <c r="R548"/>
      <c r="S548"/>
      <c r="T548"/>
      <c r="U548"/>
      <c r="V548"/>
      <c r="W548"/>
      <c r="X548"/>
      <c r="Y548"/>
      <c r="Z548"/>
      <c r="AA548"/>
      <c r="AB548"/>
      <c r="AC548"/>
      <c r="AD548"/>
      <c r="AE548"/>
      <c r="AF548"/>
      <c r="AG548"/>
    </row>
    <row r="549" spans="1:33" ht="72" customHeight="1" x14ac:dyDescent="0.25">
      <c r="A549" s="16"/>
      <c r="B549" s="16"/>
      <c r="C549" s="16"/>
      <c r="D549" s="16"/>
      <c r="E549" s="16"/>
      <c r="F549" s="16"/>
      <c r="G549" s="16"/>
      <c r="H549"/>
      <c r="I549"/>
      <c r="J549"/>
      <c r="K549"/>
      <c r="L549"/>
      <c r="M549"/>
      <c r="N549"/>
      <c r="O549"/>
      <c r="P549"/>
      <c r="Q549"/>
      <c r="R549"/>
      <c r="S549"/>
      <c r="T549"/>
      <c r="U549"/>
      <c r="V549"/>
      <c r="W549"/>
      <c r="X549"/>
      <c r="Y549"/>
      <c r="Z549"/>
      <c r="AA549"/>
      <c r="AB549"/>
      <c r="AC549"/>
      <c r="AD549"/>
      <c r="AE549"/>
      <c r="AF549"/>
      <c r="AG549"/>
    </row>
    <row r="550" spans="1:33" ht="72" customHeight="1" x14ac:dyDescent="0.25">
      <c r="A550" s="16"/>
      <c r="B550" s="16"/>
      <c r="C550" s="16"/>
      <c r="D550" s="16"/>
      <c r="E550" s="16"/>
      <c r="F550" s="16"/>
      <c r="G550" s="16"/>
      <c r="H550"/>
      <c r="I550"/>
      <c r="J550"/>
      <c r="K550"/>
      <c r="L550"/>
      <c r="M550"/>
      <c r="N550"/>
      <c r="O550"/>
      <c r="P550"/>
      <c r="Q550"/>
      <c r="R550"/>
      <c r="S550"/>
      <c r="T550"/>
      <c r="U550"/>
      <c r="V550"/>
      <c r="W550"/>
      <c r="X550"/>
      <c r="Y550"/>
      <c r="Z550"/>
      <c r="AA550"/>
      <c r="AB550"/>
      <c r="AC550"/>
      <c r="AD550"/>
      <c r="AE550"/>
      <c r="AF550"/>
      <c r="AG550"/>
    </row>
    <row r="551" spans="1:33" ht="72" customHeight="1" x14ac:dyDescent="0.25">
      <c r="A551" s="16"/>
      <c r="B551" s="16"/>
      <c r="C551" s="16"/>
      <c r="D551" s="16"/>
      <c r="E551" s="16"/>
      <c r="F551" s="16"/>
      <c r="G551" s="16"/>
      <c r="H551"/>
      <c r="I551"/>
      <c r="J551"/>
      <c r="K551"/>
      <c r="L551"/>
      <c r="M551"/>
      <c r="N551"/>
      <c r="O551"/>
      <c r="P551"/>
      <c r="Q551"/>
      <c r="R551"/>
      <c r="S551"/>
      <c r="T551"/>
      <c r="U551"/>
      <c r="V551"/>
      <c r="W551"/>
      <c r="X551"/>
      <c r="Y551"/>
      <c r="Z551"/>
      <c r="AA551"/>
      <c r="AB551"/>
      <c r="AC551"/>
      <c r="AD551"/>
      <c r="AE551"/>
      <c r="AF551"/>
      <c r="AG551"/>
    </row>
    <row r="552" spans="1:33" ht="72" customHeight="1" x14ac:dyDescent="0.25">
      <c r="A552" s="16"/>
      <c r="B552" s="16"/>
      <c r="C552" s="16"/>
      <c r="D552" s="16"/>
      <c r="E552" s="16"/>
      <c r="F552" s="16"/>
      <c r="G552" s="16"/>
      <c r="H552"/>
      <c r="I552"/>
      <c r="J552"/>
      <c r="K552"/>
      <c r="L552"/>
      <c r="M552"/>
      <c r="N552"/>
      <c r="O552"/>
      <c r="P552"/>
      <c r="Q552"/>
      <c r="R552"/>
      <c r="S552"/>
      <c r="T552"/>
      <c r="U552"/>
      <c r="V552"/>
      <c r="W552"/>
      <c r="X552"/>
      <c r="Y552"/>
      <c r="Z552"/>
      <c r="AA552"/>
      <c r="AB552"/>
      <c r="AC552"/>
      <c r="AD552"/>
      <c r="AE552"/>
      <c r="AF552"/>
      <c r="AG552"/>
    </row>
    <row r="553" spans="1:33" ht="72" customHeight="1" x14ac:dyDescent="0.25">
      <c r="A553" s="16"/>
      <c r="B553" s="16"/>
      <c r="C553" s="16"/>
      <c r="D553" s="16"/>
      <c r="E553" s="16"/>
      <c r="F553" s="16"/>
      <c r="G553" s="16"/>
      <c r="H553"/>
      <c r="I553"/>
      <c r="J553"/>
      <c r="K553"/>
      <c r="L553"/>
      <c r="M553"/>
      <c r="N553"/>
      <c r="O553"/>
      <c r="P553"/>
      <c r="Q553"/>
      <c r="R553"/>
      <c r="S553"/>
      <c r="T553"/>
      <c r="U553"/>
      <c r="V553"/>
      <c r="W553"/>
      <c r="X553"/>
      <c r="Y553"/>
      <c r="Z553"/>
      <c r="AA553"/>
      <c r="AB553"/>
      <c r="AC553"/>
      <c r="AD553"/>
      <c r="AE553"/>
      <c r="AF553"/>
      <c r="AG553"/>
    </row>
    <row r="554" spans="1:33" ht="72" customHeight="1" x14ac:dyDescent="0.25">
      <c r="A554" s="16"/>
      <c r="B554" s="16"/>
      <c r="C554" s="16"/>
      <c r="D554" s="16"/>
      <c r="E554" s="16"/>
      <c r="F554" s="16"/>
      <c r="G554" s="16"/>
      <c r="H554"/>
      <c r="I554"/>
      <c r="J554"/>
      <c r="K554"/>
      <c r="L554"/>
      <c r="M554"/>
      <c r="N554"/>
      <c r="O554"/>
      <c r="P554"/>
      <c r="Q554"/>
      <c r="R554"/>
      <c r="S554"/>
      <c r="T554"/>
      <c r="U554"/>
      <c r="V554"/>
      <c r="W554"/>
      <c r="X554"/>
      <c r="Y554"/>
      <c r="Z554"/>
      <c r="AA554"/>
      <c r="AB554"/>
      <c r="AC554"/>
      <c r="AD554"/>
      <c r="AE554"/>
      <c r="AF554"/>
      <c r="AG554"/>
    </row>
    <row r="555" spans="1:33" ht="72" customHeight="1" x14ac:dyDescent="0.25">
      <c r="A555" s="16"/>
      <c r="B555" s="16"/>
      <c r="C555" s="16"/>
      <c r="D555" s="16"/>
      <c r="E555" s="16"/>
      <c r="F555" s="16"/>
      <c r="G555" s="16"/>
      <c r="H555"/>
      <c r="I555"/>
      <c r="J555"/>
      <c r="K555"/>
      <c r="L555"/>
      <c r="M555"/>
      <c r="N555"/>
      <c r="O555"/>
      <c r="P555"/>
      <c r="Q555"/>
      <c r="R555"/>
      <c r="S555"/>
      <c r="T555"/>
      <c r="U555"/>
      <c r="V555"/>
      <c r="W555"/>
      <c r="X555"/>
      <c r="Y555"/>
      <c r="Z555"/>
      <c r="AA555"/>
      <c r="AB555"/>
      <c r="AC555"/>
      <c r="AD555"/>
      <c r="AE555"/>
      <c r="AF555"/>
      <c r="AG555"/>
    </row>
    <row r="556" spans="1:33" ht="72" customHeight="1" x14ac:dyDescent="0.25">
      <c r="A556" s="16"/>
      <c r="B556" s="16"/>
      <c r="C556" s="16"/>
      <c r="D556" s="16"/>
      <c r="E556" s="16"/>
      <c r="F556" s="16"/>
      <c r="G556" s="16"/>
      <c r="H556"/>
      <c r="I556"/>
      <c r="J556"/>
      <c r="K556"/>
      <c r="L556"/>
      <c r="M556"/>
      <c r="N556"/>
      <c r="O556"/>
      <c r="P556"/>
      <c r="Q556"/>
      <c r="R556"/>
      <c r="S556"/>
      <c r="T556"/>
      <c r="U556"/>
      <c r="V556"/>
      <c r="W556"/>
      <c r="X556"/>
      <c r="Y556"/>
      <c r="Z556"/>
      <c r="AA556"/>
      <c r="AB556"/>
      <c r="AC556"/>
      <c r="AD556"/>
      <c r="AE556"/>
      <c r="AF556"/>
      <c r="AG556"/>
    </row>
    <row r="557" spans="1:33" ht="72" customHeight="1" x14ac:dyDescent="0.25">
      <c r="A557" s="16"/>
      <c r="B557" s="16"/>
      <c r="C557" s="16"/>
      <c r="D557" s="16"/>
      <c r="E557" s="16"/>
      <c r="F557" s="16"/>
      <c r="G557" s="16"/>
      <c r="H557"/>
      <c r="I557"/>
      <c r="J557"/>
      <c r="K557"/>
      <c r="L557"/>
      <c r="M557"/>
      <c r="N557"/>
      <c r="O557"/>
      <c r="P557"/>
      <c r="Q557"/>
      <c r="R557"/>
      <c r="S557"/>
      <c r="T557"/>
      <c r="U557"/>
      <c r="V557"/>
      <c r="W557"/>
      <c r="X557"/>
      <c r="Y557"/>
      <c r="Z557"/>
      <c r="AA557"/>
      <c r="AB557"/>
      <c r="AC557"/>
      <c r="AD557"/>
      <c r="AE557"/>
      <c r="AF557"/>
      <c r="AG557"/>
    </row>
    <row r="558" spans="1:33" ht="72" customHeight="1" x14ac:dyDescent="0.25">
      <c r="A558" s="16"/>
      <c r="B558" s="16"/>
      <c r="C558" s="16"/>
      <c r="D558" s="16"/>
      <c r="E558" s="16"/>
      <c r="F558" s="16"/>
      <c r="G558" s="16"/>
      <c r="H558"/>
      <c r="I558"/>
      <c r="J558"/>
      <c r="K558"/>
      <c r="L558"/>
      <c r="M558"/>
      <c r="N558"/>
      <c r="O558"/>
      <c r="P558"/>
      <c r="Q558"/>
      <c r="R558"/>
      <c r="S558"/>
      <c r="T558"/>
      <c r="U558"/>
      <c r="V558"/>
      <c r="W558"/>
      <c r="X558"/>
      <c r="Y558"/>
      <c r="Z558"/>
      <c r="AA558"/>
      <c r="AB558"/>
      <c r="AC558"/>
      <c r="AD558"/>
      <c r="AE558"/>
      <c r="AF558"/>
      <c r="AG558"/>
    </row>
    <row r="559" spans="1:33" ht="72" customHeight="1" x14ac:dyDescent="0.25">
      <c r="A559" s="16"/>
      <c r="B559" s="16"/>
      <c r="C559" s="16"/>
      <c r="D559" s="16"/>
      <c r="E559" s="16"/>
      <c r="F559" s="16"/>
      <c r="G559" s="16"/>
      <c r="H559"/>
      <c r="I559"/>
      <c r="J559"/>
      <c r="K559"/>
      <c r="L559"/>
      <c r="M559"/>
      <c r="N559"/>
      <c r="O559"/>
      <c r="P559"/>
      <c r="Q559"/>
      <c r="R559"/>
      <c r="S559"/>
      <c r="T559"/>
      <c r="U559"/>
      <c r="V559"/>
      <c r="W559"/>
      <c r="X559"/>
      <c r="Y559"/>
      <c r="Z559"/>
      <c r="AA559"/>
      <c r="AB559"/>
      <c r="AC559"/>
      <c r="AD559"/>
      <c r="AE559"/>
      <c r="AF559"/>
      <c r="AG559"/>
    </row>
    <row r="560" spans="1:33" ht="72" customHeight="1" x14ac:dyDescent="0.25">
      <c r="A560" s="16"/>
      <c r="B560" s="16"/>
      <c r="C560" s="16"/>
      <c r="D560" s="16"/>
      <c r="E560" s="16"/>
      <c r="F560" s="16"/>
      <c r="G560" s="16"/>
      <c r="H560"/>
      <c r="I560"/>
      <c r="J560"/>
      <c r="K560"/>
      <c r="L560"/>
      <c r="M560"/>
      <c r="N560"/>
      <c r="O560"/>
      <c r="P560"/>
      <c r="Q560"/>
      <c r="R560"/>
      <c r="S560"/>
      <c r="T560"/>
      <c r="U560"/>
      <c r="V560"/>
      <c r="W560"/>
      <c r="X560"/>
      <c r="Y560"/>
      <c r="Z560"/>
      <c r="AA560"/>
      <c r="AB560"/>
      <c r="AC560"/>
      <c r="AD560"/>
      <c r="AE560"/>
      <c r="AF560"/>
      <c r="AG560"/>
    </row>
    <row r="561" spans="1:33" ht="72" customHeight="1" x14ac:dyDescent="0.25">
      <c r="A561" s="16"/>
      <c r="B561" s="16"/>
      <c r="C561" s="16"/>
      <c r="D561" s="16"/>
      <c r="E561" s="16"/>
      <c r="F561" s="16"/>
      <c r="G561" s="16"/>
      <c r="H561"/>
      <c r="I561"/>
      <c r="J561"/>
      <c r="K561"/>
      <c r="L561"/>
      <c r="M561"/>
      <c r="N561"/>
      <c r="O561"/>
      <c r="P561"/>
      <c r="Q561"/>
      <c r="R561"/>
      <c r="S561"/>
      <c r="T561"/>
      <c r="U561"/>
      <c r="V561"/>
      <c r="W561"/>
      <c r="X561"/>
      <c r="Y561"/>
      <c r="Z561"/>
      <c r="AA561"/>
      <c r="AB561"/>
      <c r="AC561"/>
      <c r="AD561"/>
      <c r="AE561"/>
      <c r="AF561"/>
      <c r="AG561"/>
    </row>
    <row r="562" spans="1:33" ht="72" customHeight="1" x14ac:dyDescent="0.25">
      <c r="A562" s="16"/>
      <c r="B562" s="16"/>
      <c r="C562" s="16"/>
      <c r="D562" s="16"/>
      <c r="E562" s="16"/>
      <c r="F562" s="16"/>
      <c r="G562" s="16"/>
      <c r="H562"/>
      <c r="I562"/>
      <c r="J562"/>
      <c r="K562"/>
      <c r="L562"/>
      <c r="M562"/>
      <c r="N562"/>
      <c r="O562"/>
      <c r="P562"/>
      <c r="Q562"/>
      <c r="R562"/>
      <c r="S562"/>
      <c r="T562"/>
      <c r="U562"/>
      <c r="V562"/>
      <c r="W562"/>
      <c r="X562"/>
      <c r="Y562"/>
      <c r="Z562"/>
      <c r="AA562"/>
      <c r="AB562"/>
      <c r="AC562"/>
      <c r="AD562"/>
      <c r="AE562"/>
      <c r="AF562"/>
      <c r="AG562"/>
    </row>
    <row r="563" spans="1:33" ht="72" customHeight="1" x14ac:dyDescent="0.25">
      <c r="A563" s="16"/>
      <c r="B563" s="16"/>
      <c r="C563" s="16"/>
      <c r="D563" s="16"/>
      <c r="E563" s="16"/>
      <c r="F563" s="16"/>
      <c r="G563" s="16"/>
      <c r="H563"/>
      <c r="I563"/>
      <c r="J563"/>
      <c r="K563"/>
      <c r="L563"/>
      <c r="M563"/>
      <c r="N563"/>
      <c r="O563"/>
      <c r="P563"/>
      <c r="Q563"/>
      <c r="R563"/>
      <c r="S563"/>
      <c r="T563"/>
      <c r="U563"/>
      <c r="V563"/>
      <c r="W563"/>
      <c r="X563"/>
      <c r="Y563"/>
      <c r="Z563"/>
      <c r="AA563"/>
      <c r="AB563"/>
      <c r="AC563"/>
      <c r="AD563"/>
      <c r="AE563"/>
      <c r="AF563"/>
      <c r="AG563"/>
    </row>
    <row r="564" spans="1:33" ht="72" customHeight="1" x14ac:dyDescent="0.25">
      <c r="A564" s="16"/>
      <c r="B564" s="16"/>
      <c r="C564" s="16"/>
      <c r="D564" s="16"/>
      <c r="E564" s="16"/>
      <c r="F564" s="16"/>
      <c r="G564" s="16"/>
      <c r="H564"/>
      <c r="I564"/>
      <c r="J564"/>
      <c r="K564"/>
      <c r="L564"/>
      <c r="M564"/>
      <c r="N564"/>
      <c r="O564"/>
      <c r="P564"/>
      <c r="Q564"/>
      <c r="R564"/>
      <c r="S564"/>
      <c r="T564"/>
      <c r="U564"/>
      <c r="V564"/>
      <c r="W564"/>
      <c r="X564"/>
      <c r="Y564"/>
      <c r="Z564"/>
      <c r="AA564"/>
      <c r="AB564"/>
      <c r="AC564"/>
      <c r="AD564"/>
      <c r="AE564"/>
      <c r="AF564"/>
      <c r="AG564"/>
    </row>
    <row r="565" spans="1:33" ht="72" customHeight="1" x14ac:dyDescent="0.25">
      <c r="A565" s="16"/>
      <c r="B565" s="16"/>
      <c r="C565" s="16"/>
      <c r="D565" s="16"/>
      <c r="E565" s="16"/>
      <c r="F565" s="16"/>
      <c r="G565" s="16"/>
      <c r="H565"/>
      <c r="I565"/>
      <c r="J565"/>
      <c r="K565"/>
      <c r="L565"/>
      <c r="M565"/>
      <c r="N565"/>
      <c r="O565"/>
      <c r="P565"/>
      <c r="Q565"/>
      <c r="R565"/>
      <c r="S565"/>
      <c r="T565"/>
      <c r="U565"/>
      <c r="V565"/>
      <c r="W565"/>
      <c r="X565"/>
      <c r="Y565"/>
      <c r="Z565"/>
      <c r="AA565"/>
      <c r="AB565"/>
      <c r="AC565"/>
      <c r="AD565"/>
      <c r="AE565"/>
      <c r="AF565"/>
      <c r="AG565"/>
    </row>
    <row r="566" spans="1:33" ht="72" customHeight="1" x14ac:dyDescent="0.25">
      <c r="A566" s="16"/>
      <c r="B566" s="16"/>
      <c r="C566" s="16"/>
      <c r="D566" s="16"/>
      <c r="E566" s="16"/>
      <c r="F566" s="16"/>
      <c r="G566" s="16"/>
      <c r="H566"/>
      <c r="I566"/>
      <c r="J566"/>
      <c r="K566"/>
      <c r="L566"/>
      <c r="M566"/>
      <c r="N566"/>
      <c r="O566"/>
      <c r="P566"/>
      <c r="Q566"/>
      <c r="R566"/>
      <c r="S566"/>
      <c r="T566"/>
      <c r="U566"/>
      <c r="V566"/>
      <c r="W566"/>
      <c r="X566"/>
      <c r="Y566"/>
      <c r="Z566"/>
      <c r="AA566"/>
      <c r="AB566"/>
      <c r="AC566"/>
      <c r="AD566"/>
      <c r="AE566"/>
      <c r="AF566"/>
      <c r="AG566"/>
    </row>
    <row r="567" spans="1:33" ht="72" customHeight="1" x14ac:dyDescent="0.25">
      <c r="A567" s="16"/>
      <c r="B567" s="16"/>
      <c r="C567" s="16"/>
      <c r="D567" s="16"/>
      <c r="E567" s="16"/>
      <c r="F567" s="16"/>
      <c r="G567" s="16"/>
      <c r="H567"/>
      <c r="I567"/>
      <c r="J567"/>
      <c r="K567"/>
      <c r="L567"/>
      <c r="M567"/>
      <c r="N567"/>
      <c r="O567"/>
      <c r="P567"/>
      <c r="Q567"/>
      <c r="R567"/>
      <c r="S567"/>
      <c r="T567"/>
      <c r="U567"/>
      <c r="V567"/>
      <c r="W567"/>
      <c r="X567"/>
      <c r="Y567"/>
      <c r="Z567"/>
      <c r="AA567"/>
      <c r="AB567"/>
      <c r="AC567"/>
      <c r="AD567"/>
      <c r="AE567"/>
      <c r="AF567"/>
      <c r="AG567"/>
    </row>
    <row r="568" spans="1:33" ht="72" customHeight="1" x14ac:dyDescent="0.25">
      <c r="A568" s="16"/>
      <c r="B568" s="16"/>
      <c r="C568" s="16"/>
      <c r="D568" s="16"/>
      <c r="E568" s="16"/>
      <c r="F568" s="16"/>
      <c r="G568" s="16"/>
      <c r="H568"/>
      <c r="I568"/>
      <c r="J568"/>
      <c r="K568"/>
      <c r="L568"/>
      <c r="M568"/>
      <c r="N568"/>
      <c r="O568"/>
      <c r="P568"/>
      <c r="Q568"/>
      <c r="R568"/>
      <c r="S568"/>
      <c r="T568"/>
      <c r="U568"/>
      <c r="V568"/>
      <c r="W568"/>
      <c r="X568"/>
      <c r="Y568"/>
      <c r="Z568"/>
      <c r="AA568"/>
      <c r="AB568"/>
      <c r="AC568"/>
      <c r="AD568"/>
      <c r="AE568"/>
      <c r="AF568"/>
      <c r="AG568"/>
    </row>
    <row r="569" spans="1:33" ht="72" customHeight="1" x14ac:dyDescent="0.25">
      <c r="A569" s="16"/>
      <c r="B569" s="16"/>
      <c r="C569" s="16"/>
      <c r="D569" s="16"/>
      <c r="E569" s="16"/>
      <c r="F569" s="16"/>
      <c r="G569" s="16"/>
      <c r="H569"/>
      <c r="I569"/>
      <c r="J569"/>
      <c r="K569"/>
      <c r="L569"/>
      <c r="M569"/>
      <c r="N569"/>
      <c r="O569"/>
      <c r="P569"/>
      <c r="Q569"/>
      <c r="R569"/>
      <c r="S569"/>
      <c r="T569"/>
      <c r="U569"/>
      <c r="V569"/>
      <c r="W569"/>
      <c r="X569"/>
      <c r="Y569"/>
      <c r="Z569"/>
      <c r="AA569"/>
      <c r="AB569"/>
      <c r="AC569"/>
      <c r="AD569"/>
      <c r="AE569"/>
      <c r="AF569"/>
      <c r="AG569"/>
    </row>
    <row r="570" spans="1:33" ht="72" customHeight="1" x14ac:dyDescent="0.25">
      <c r="A570" s="16"/>
      <c r="B570" s="16"/>
      <c r="C570" s="16"/>
      <c r="D570" s="16"/>
      <c r="E570" s="16"/>
      <c r="F570" s="16"/>
      <c r="G570" s="16"/>
      <c r="H570"/>
      <c r="I570"/>
      <c r="J570"/>
      <c r="K570"/>
      <c r="L570"/>
      <c r="M570"/>
      <c r="N570"/>
      <c r="O570"/>
      <c r="P570"/>
      <c r="Q570"/>
      <c r="R570"/>
      <c r="S570"/>
      <c r="T570"/>
      <c r="U570"/>
      <c r="V570"/>
      <c r="W570"/>
      <c r="X570"/>
      <c r="Y570"/>
      <c r="Z570"/>
      <c r="AA570"/>
      <c r="AB570"/>
      <c r="AC570"/>
      <c r="AD570"/>
      <c r="AE570"/>
      <c r="AF570"/>
      <c r="AG570"/>
    </row>
    <row r="571" spans="1:33" ht="72" customHeight="1" x14ac:dyDescent="0.25">
      <c r="A571" s="16"/>
      <c r="B571" s="16"/>
      <c r="C571" s="16"/>
      <c r="D571" s="16"/>
      <c r="E571" s="16"/>
      <c r="F571" s="16"/>
      <c r="G571" s="16"/>
      <c r="H571"/>
      <c r="I571"/>
      <c r="J571"/>
      <c r="K571"/>
      <c r="L571"/>
      <c r="M571"/>
      <c r="N571"/>
      <c r="O571"/>
      <c r="P571"/>
      <c r="Q571"/>
      <c r="R571"/>
      <c r="S571"/>
      <c r="T571"/>
      <c r="U571"/>
      <c r="V571"/>
      <c r="W571"/>
      <c r="X571"/>
      <c r="Y571"/>
      <c r="Z571"/>
      <c r="AA571"/>
      <c r="AB571"/>
      <c r="AC571"/>
      <c r="AD571"/>
      <c r="AE571"/>
      <c r="AF571"/>
      <c r="AG571"/>
    </row>
    <row r="572" spans="1:33" ht="72" customHeight="1" x14ac:dyDescent="0.25">
      <c r="A572" s="16"/>
      <c r="B572" s="16"/>
      <c r="C572" s="16"/>
      <c r="D572" s="16"/>
      <c r="E572" s="16"/>
      <c r="F572" s="16"/>
      <c r="G572" s="16"/>
      <c r="H572"/>
      <c r="I572"/>
      <c r="J572"/>
      <c r="K572"/>
      <c r="L572"/>
      <c r="M572"/>
      <c r="N572"/>
      <c r="O572"/>
      <c r="P572"/>
      <c r="Q572"/>
      <c r="R572"/>
      <c r="S572"/>
      <c r="T572"/>
      <c r="U572"/>
      <c r="V572"/>
      <c r="W572"/>
      <c r="X572"/>
      <c r="Y572"/>
      <c r="Z572"/>
      <c r="AA572"/>
      <c r="AB572"/>
      <c r="AC572"/>
      <c r="AD572"/>
      <c r="AE572"/>
      <c r="AF572"/>
      <c r="AG572"/>
    </row>
    <row r="573" spans="1:33" ht="72" customHeight="1" x14ac:dyDescent="0.25">
      <c r="A573" s="16"/>
      <c r="B573" s="16"/>
      <c r="C573" s="16"/>
      <c r="D573" s="16"/>
      <c r="E573" s="16"/>
      <c r="F573" s="16"/>
      <c r="G573" s="16"/>
      <c r="H573"/>
      <c r="I573"/>
      <c r="J573"/>
      <c r="K573"/>
      <c r="L573"/>
      <c r="M573"/>
      <c r="N573"/>
      <c r="O573"/>
      <c r="P573"/>
      <c r="Q573"/>
      <c r="R573"/>
      <c r="S573"/>
      <c r="T573"/>
      <c r="U573"/>
      <c r="V573"/>
      <c r="W573"/>
      <c r="X573"/>
      <c r="Y573"/>
      <c r="Z573"/>
      <c r="AA573"/>
      <c r="AB573"/>
      <c r="AC573"/>
      <c r="AD573"/>
      <c r="AE573"/>
      <c r="AF573"/>
      <c r="AG573"/>
    </row>
    <row r="574" spans="1:33" ht="72" customHeight="1" x14ac:dyDescent="0.25">
      <c r="A574" s="16"/>
      <c r="B574" s="16"/>
      <c r="C574" s="16"/>
      <c r="D574" s="16"/>
      <c r="E574" s="16"/>
      <c r="F574" s="16"/>
      <c r="G574" s="16"/>
      <c r="H574"/>
      <c r="I574"/>
      <c r="J574"/>
      <c r="K574"/>
      <c r="L574"/>
      <c r="M574"/>
      <c r="N574"/>
      <c r="O574"/>
      <c r="P574"/>
      <c r="Q574"/>
      <c r="R574"/>
      <c r="S574"/>
      <c r="T574"/>
      <c r="U574"/>
      <c r="V574"/>
      <c r="W574"/>
      <c r="X574"/>
      <c r="Y574"/>
      <c r="Z574"/>
      <c r="AA574"/>
      <c r="AB574"/>
      <c r="AC574"/>
      <c r="AD574"/>
      <c r="AE574"/>
      <c r="AF574"/>
      <c r="AG574"/>
    </row>
    <row r="575" spans="1:33" ht="72" customHeight="1" x14ac:dyDescent="0.25">
      <c r="A575" s="16"/>
      <c r="B575" s="16"/>
      <c r="C575" s="16"/>
      <c r="D575" s="16"/>
      <c r="E575" s="16"/>
      <c r="F575" s="16"/>
      <c r="G575" s="16"/>
      <c r="H575"/>
      <c r="I575"/>
      <c r="J575"/>
      <c r="K575"/>
      <c r="L575"/>
      <c r="M575"/>
      <c r="N575"/>
      <c r="O575"/>
      <c r="P575"/>
      <c r="Q575"/>
      <c r="R575"/>
      <c r="S575"/>
      <c r="T575"/>
      <c r="U575"/>
      <c r="V575"/>
      <c r="W575"/>
      <c r="X575"/>
      <c r="Y575"/>
      <c r="Z575"/>
      <c r="AA575"/>
      <c r="AB575"/>
      <c r="AC575"/>
      <c r="AD575"/>
      <c r="AE575"/>
      <c r="AF575"/>
      <c r="AG575"/>
    </row>
    <row r="576" spans="1:33" ht="72" customHeight="1" x14ac:dyDescent="0.25">
      <c r="A576" s="16"/>
      <c r="B576" s="16"/>
      <c r="C576" s="16"/>
      <c r="D576" s="16"/>
      <c r="E576" s="16"/>
      <c r="F576" s="16"/>
      <c r="G576" s="16"/>
      <c r="H576"/>
      <c r="I576"/>
      <c r="J576"/>
      <c r="K576"/>
      <c r="L576"/>
      <c r="M576"/>
      <c r="N576"/>
      <c r="O576"/>
      <c r="P576"/>
      <c r="Q576"/>
      <c r="R576"/>
      <c r="S576"/>
      <c r="T576"/>
      <c r="U576"/>
      <c r="V576"/>
      <c r="W576"/>
      <c r="X576"/>
      <c r="Y576"/>
      <c r="Z576"/>
      <c r="AA576"/>
      <c r="AB576"/>
      <c r="AC576"/>
      <c r="AD576"/>
      <c r="AE576"/>
      <c r="AF576"/>
      <c r="AG576"/>
    </row>
    <row r="577" spans="1:33" ht="72" customHeight="1" x14ac:dyDescent="0.25">
      <c r="A577" s="16"/>
      <c r="B577" s="16"/>
      <c r="C577" s="16"/>
      <c r="D577" s="16"/>
      <c r="E577" s="16"/>
      <c r="F577" s="16"/>
      <c r="G577" s="16"/>
      <c r="H577"/>
      <c r="I577"/>
      <c r="J577"/>
      <c r="K577"/>
      <c r="L577"/>
      <c r="M577"/>
      <c r="N577"/>
      <c r="O577"/>
      <c r="P577"/>
      <c r="Q577"/>
      <c r="R577"/>
      <c r="S577"/>
      <c r="T577"/>
      <c r="U577"/>
      <c r="V577"/>
      <c r="W577"/>
      <c r="X577"/>
      <c r="Y577"/>
      <c r="Z577"/>
      <c r="AA577"/>
      <c r="AB577"/>
      <c r="AC577"/>
      <c r="AD577"/>
      <c r="AE577"/>
      <c r="AF577"/>
      <c r="AG577"/>
    </row>
    <row r="578" spans="1:33" ht="72" customHeight="1" x14ac:dyDescent="0.25">
      <c r="A578" s="16"/>
      <c r="B578" s="16"/>
      <c r="C578" s="16"/>
      <c r="D578" s="16"/>
      <c r="E578" s="16"/>
      <c r="F578" s="16"/>
      <c r="G578" s="16"/>
      <c r="H578"/>
      <c r="I578"/>
      <c r="J578"/>
      <c r="K578"/>
      <c r="L578"/>
      <c r="M578"/>
      <c r="N578"/>
      <c r="O578"/>
      <c r="P578"/>
      <c r="Q578"/>
      <c r="R578"/>
      <c r="S578"/>
      <c r="T578"/>
      <c r="U578"/>
      <c r="V578"/>
      <c r="W578"/>
      <c r="X578"/>
      <c r="Y578"/>
      <c r="Z578"/>
      <c r="AA578"/>
      <c r="AB578"/>
      <c r="AC578"/>
      <c r="AD578"/>
      <c r="AE578"/>
      <c r="AF578"/>
      <c r="AG578"/>
    </row>
    <row r="579" spans="1:33" ht="72" customHeight="1" x14ac:dyDescent="0.25">
      <c r="A579" s="16"/>
      <c r="B579" s="16"/>
      <c r="C579" s="16"/>
      <c r="D579" s="16"/>
      <c r="E579" s="16"/>
      <c r="F579" s="16"/>
      <c r="G579" s="16"/>
      <c r="H579"/>
      <c r="I579"/>
      <c r="J579"/>
      <c r="K579"/>
      <c r="L579"/>
      <c r="M579"/>
      <c r="N579"/>
      <c r="O579"/>
      <c r="P579"/>
      <c r="Q579"/>
      <c r="R579"/>
      <c r="S579"/>
      <c r="T579"/>
      <c r="U579"/>
      <c r="V579"/>
      <c r="W579"/>
      <c r="X579"/>
      <c r="Y579"/>
      <c r="Z579"/>
      <c r="AA579"/>
      <c r="AB579"/>
      <c r="AC579"/>
      <c r="AD579"/>
      <c r="AE579"/>
      <c r="AF579"/>
      <c r="AG579"/>
    </row>
    <row r="580" spans="1:33" ht="72" customHeight="1" x14ac:dyDescent="0.25">
      <c r="A580" s="16"/>
      <c r="B580" s="16"/>
      <c r="C580" s="16"/>
      <c r="D580" s="16"/>
      <c r="E580" s="16"/>
      <c r="F580" s="16"/>
      <c r="G580" s="16"/>
      <c r="H580"/>
      <c r="I580"/>
      <c r="J580"/>
      <c r="K580"/>
      <c r="L580"/>
      <c r="M580"/>
      <c r="N580"/>
      <c r="O580"/>
      <c r="P580"/>
      <c r="Q580"/>
      <c r="R580"/>
      <c r="S580"/>
      <c r="T580"/>
      <c r="U580"/>
      <c r="V580"/>
      <c r="W580"/>
      <c r="X580"/>
      <c r="Y580"/>
      <c r="Z580"/>
      <c r="AA580"/>
      <c r="AB580"/>
      <c r="AC580"/>
      <c r="AD580"/>
      <c r="AE580"/>
      <c r="AF580"/>
      <c r="AG580"/>
    </row>
    <row r="581" spans="1:33" ht="72" customHeight="1" x14ac:dyDescent="0.25">
      <c r="A581" s="16"/>
      <c r="B581" s="16"/>
      <c r="C581" s="16"/>
      <c r="D581" s="16"/>
      <c r="E581" s="16"/>
      <c r="F581" s="16"/>
      <c r="G581" s="16"/>
      <c r="H581"/>
      <c r="I581"/>
      <c r="J581"/>
      <c r="K581"/>
      <c r="L581"/>
      <c r="M581"/>
      <c r="N581"/>
      <c r="O581"/>
      <c r="P581"/>
      <c r="Q581"/>
      <c r="R581"/>
      <c r="S581"/>
      <c r="T581"/>
      <c r="U581"/>
      <c r="V581"/>
      <c r="W581"/>
      <c r="X581"/>
      <c r="Y581"/>
      <c r="Z581"/>
      <c r="AA581"/>
      <c r="AB581"/>
      <c r="AC581"/>
      <c r="AD581"/>
      <c r="AE581"/>
      <c r="AF581"/>
      <c r="AG581"/>
    </row>
    <row r="582" spans="1:33" ht="72" customHeight="1" x14ac:dyDescent="0.25">
      <c r="A582" s="16"/>
      <c r="B582" s="16"/>
      <c r="C582" s="16"/>
      <c r="D582" s="16"/>
      <c r="E582" s="16"/>
      <c r="F582" s="16"/>
      <c r="G582" s="16"/>
      <c r="H582"/>
      <c r="I582"/>
      <c r="J582"/>
      <c r="K582"/>
      <c r="L582"/>
      <c r="M582"/>
      <c r="N582"/>
      <c r="O582"/>
      <c r="P582"/>
      <c r="Q582"/>
      <c r="R582"/>
      <c r="S582"/>
      <c r="T582"/>
      <c r="U582"/>
      <c r="V582"/>
      <c r="W582"/>
      <c r="X582"/>
      <c r="Y582"/>
      <c r="Z582"/>
      <c r="AA582"/>
      <c r="AB582"/>
      <c r="AC582"/>
      <c r="AD582"/>
      <c r="AE582"/>
      <c r="AF582"/>
      <c r="AG582"/>
    </row>
    <row r="583" spans="1:33" ht="72" customHeight="1" x14ac:dyDescent="0.25">
      <c r="A583" s="16"/>
      <c r="B583" s="16"/>
      <c r="C583" s="16"/>
      <c r="D583" s="16"/>
      <c r="E583" s="16"/>
      <c r="F583" s="16"/>
      <c r="G583" s="16"/>
      <c r="H583"/>
      <c r="I583"/>
      <c r="J583"/>
      <c r="K583"/>
      <c r="L583"/>
      <c r="M583"/>
      <c r="N583"/>
      <c r="O583"/>
      <c r="P583"/>
      <c r="Q583"/>
      <c r="R583"/>
      <c r="S583"/>
      <c r="T583"/>
      <c r="U583"/>
      <c r="V583"/>
      <c r="W583"/>
      <c r="X583"/>
      <c r="Y583"/>
      <c r="Z583"/>
      <c r="AA583"/>
      <c r="AB583"/>
      <c r="AC583"/>
      <c r="AD583"/>
      <c r="AE583"/>
      <c r="AF583"/>
      <c r="AG583"/>
    </row>
    <row r="584" spans="1:33" ht="72" customHeight="1" x14ac:dyDescent="0.25">
      <c r="A584" s="16"/>
      <c r="B584" s="16"/>
      <c r="C584" s="16"/>
      <c r="D584" s="16"/>
      <c r="E584" s="16"/>
      <c r="F584" s="16"/>
      <c r="G584" s="16"/>
      <c r="H584"/>
      <c r="I584"/>
      <c r="J584"/>
      <c r="K584"/>
      <c r="L584"/>
      <c r="M584"/>
      <c r="N584"/>
      <c r="O584"/>
      <c r="P584"/>
      <c r="Q584"/>
      <c r="R584"/>
      <c r="S584"/>
      <c r="T584"/>
      <c r="U584"/>
      <c r="V584"/>
      <c r="W584"/>
      <c r="X584"/>
      <c r="Y584"/>
      <c r="Z584"/>
      <c r="AA584"/>
      <c r="AB584"/>
      <c r="AC584"/>
      <c r="AD584"/>
      <c r="AE584"/>
      <c r="AF584"/>
      <c r="AG584"/>
    </row>
    <row r="585" spans="1:33" ht="72" customHeight="1" x14ac:dyDescent="0.25">
      <c r="A585" s="16"/>
      <c r="B585" s="16"/>
      <c r="C585" s="16"/>
      <c r="D585" s="16"/>
      <c r="E585" s="16"/>
      <c r="F585" s="16"/>
      <c r="G585" s="16"/>
      <c r="H585"/>
      <c r="I585"/>
      <c r="J585"/>
      <c r="K585"/>
      <c r="L585"/>
      <c r="M585"/>
      <c r="N585"/>
      <c r="O585"/>
      <c r="P585"/>
      <c r="Q585"/>
      <c r="R585"/>
      <c r="S585"/>
      <c r="T585"/>
      <c r="U585"/>
      <c r="V585"/>
      <c r="W585"/>
      <c r="X585"/>
      <c r="Y585"/>
      <c r="Z585"/>
      <c r="AA585"/>
      <c r="AB585"/>
      <c r="AC585"/>
      <c r="AD585"/>
      <c r="AE585"/>
      <c r="AF585"/>
      <c r="AG585"/>
    </row>
    <row r="586" spans="1:33" ht="72" customHeight="1" x14ac:dyDescent="0.25">
      <c r="A586" s="16"/>
      <c r="B586" s="16"/>
      <c r="C586" s="16"/>
      <c r="D586" s="16"/>
      <c r="E586" s="16"/>
      <c r="F586" s="16"/>
      <c r="G586" s="16"/>
      <c r="H586"/>
      <c r="I586"/>
      <c r="J586"/>
      <c r="K586"/>
      <c r="L586"/>
      <c r="M586"/>
      <c r="N586"/>
      <c r="O586"/>
      <c r="P586"/>
      <c r="Q586"/>
      <c r="R586"/>
      <c r="S586"/>
      <c r="T586"/>
      <c r="U586"/>
      <c r="V586"/>
      <c r="W586"/>
      <c r="X586"/>
      <c r="Y586"/>
      <c r="Z586"/>
      <c r="AA586"/>
      <c r="AB586"/>
      <c r="AC586"/>
      <c r="AD586"/>
      <c r="AE586"/>
      <c r="AF586"/>
      <c r="AG586"/>
    </row>
    <row r="587" spans="1:33" ht="72" customHeight="1" x14ac:dyDescent="0.25">
      <c r="A587" s="16"/>
      <c r="B587" s="16"/>
      <c r="C587" s="16"/>
      <c r="D587" s="16"/>
      <c r="E587" s="16"/>
      <c r="F587" s="16"/>
      <c r="G587" s="16"/>
      <c r="H587"/>
      <c r="I587"/>
      <c r="J587"/>
      <c r="K587"/>
      <c r="L587"/>
      <c r="M587"/>
      <c r="N587"/>
      <c r="O587"/>
      <c r="P587"/>
      <c r="Q587"/>
      <c r="R587"/>
      <c r="S587"/>
      <c r="T587"/>
      <c r="U587"/>
      <c r="V587"/>
      <c r="W587"/>
      <c r="X587"/>
      <c r="Y587"/>
      <c r="Z587"/>
      <c r="AA587"/>
      <c r="AB587"/>
      <c r="AC587"/>
      <c r="AD587"/>
      <c r="AE587"/>
      <c r="AF587"/>
      <c r="AG587"/>
    </row>
    <row r="588" spans="1:33" ht="72" customHeight="1" x14ac:dyDescent="0.25">
      <c r="A588" s="16"/>
      <c r="B588" s="16"/>
      <c r="C588" s="16"/>
      <c r="D588" s="16"/>
      <c r="E588" s="16"/>
      <c r="F588" s="16"/>
      <c r="G588" s="16"/>
      <c r="H588"/>
      <c r="I588"/>
      <c r="J588"/>
      <c r="K588"/>
      <c r="L588"/>
      <c r="M588"/>
      <c r="N588"/>
      <c r="O588"/>
      <c r="P588"/>
      <c r="Q588"/>
      <c r="R588"/>
      <c r="S588"/>
      <c r="T588"/>
      <c r="U588"/>
      <c r="V588"/>
      <c r="W588"/>
      <c r="X588"/>
      <c r="Y588"/>
      <c r="Z588"/>
      <c r="AA588"/>
      <c r="AB588"/>
      <c r="AC588"/>
      <c r="AD588"/>
      <c r="AE588"/>
      <c r="AF588"/>
      <c r="AG588"/>
    </row>
    <row r="589" spans="1:33" ht="72" customHeight="1" x14ac:dyDescent="0.25">
      <c r="A589" s="16"/>
      <c r="B589" s="16"/>
      <c r="C589" s="16"/>
      <c r="D589" s="16"/>
      <c r="E589" s="16"/>
      <c r="F589" s="16"/>
      <c r="G589" s="16"/>
      <c r="H589"/>
      <c r="I589"/>
      <c r="J589"/>
      <c r="K589"/>
      <c r="L589"/>
      <c r="M589"/>
      <c r="N589"/>
      <c r="O589"/>
      <c r="P589"/>
      <c r="Q589"/>
      <c r="R589"/>
      <c r="S589"/>
      <c r="T589"/>
      <c r="U589"/>
      <c r="V589"/>
      <c r="W589"/>
      <c r="X589"/>
      <c r="Y589"/>
      <c r="Z589"/>
      <c r="AA589"/>
      <c r="AB589"/>
      <c r="AC589"/>
      <c r="AD589"/>
      <c r="AE589"/>
      <c r="AF589"/>
      <c r="AG589"/>
    </row>
    <row r="590" spans="1:33" ht="72" customHeight="1" x14ac:dyDescent="0.25">
      <c r="A590" s="16"/>
      <c r="B590" s="16"/>
      <c r="C590" s="16"/>
      <c r="D590" s="16"/>
      <c r="E590" s="16"/>
      <c r="F590" s="16"/>
      <c r="G590" s="16"/>
      <c r="H590"/>
      <c r="I590"/>
      <c r="J590"/>
      <c r="K590"/>
      <c r="L590"/>
      <c r="M590"/>
      <c r="N590"/>
      <c r="O590"/>
      <c r="P590"/>
      <c r="Q590"/>
      <c r="R590"/>
      <c r="S590"/>
      <c r="T590"/>
      <c r="U590"/>
      <c r="V590"/>
      <c r="W590"/>
      <c r="X590"/>
      <c r="Y590"/>
      <c r="Z590"/>
      <c r="AA590"/>
      <c r="AB590"/>
      <c r="AC590"/>
      <c r="AD590"/>
      <c r="AE590"/>
      <c r="AF590"/>
      <c r="AG590"/>
    </row>
    <row r="591" spans="1:33" ht="72" customHeight="1" x14ac:dyDescent="0.25">
      <c r="A591" s="16"/>
      <c r="B591" s="16"/>
      <c r="C591" s="16"/>
      <c r="D591" s="16"/>
      <c r="E591" s="16"/>
      <c r="F591" s="16"/>
      <c r="G591" s="16"/>
      <c r="H591"/>
      <c r="I591"/>
      <c r="J591"/>
      <c r="K591"/>
      <c r="L591"/>
      <c r="M591"/>
      <c r="N591"/>
      <c r="O591"/>
      <c r="P591"/>
      <c r="Q591"/>
      <c r="R591"/>
      <c r="S591"/>
      <c r="T591"/>
      <c r="U591"/>
      <c r="V591"/>
      <c r="W591"/>
      <c r="X591"/>
      <c r="Y591"/>
      <c r="Z591"/>
      <c r="AA591"/>
      <c r="AB591"/>
      <c r="AC591"/>
      <c r="AD591"/>
      <c r="AE591"/>
      <c r="AF591"/>
      <c r="AG591"/>
    </row>
    <row r="592" spans="1:33" ht="72" customHeight="1" x14ac:dyDescent="0.25">
      <c r="A592" s="16"/>
      <c r="B592" s="16"/>
      <c r="C592" s="16"/>
      <c r="D592" s="16"/>
      <c r="E592" s="16"/>
      <c r="F592" s="16"/>
      <c r="G592" s="16"/>
      <c r="H592"/>
      <c r="I592"/>
      <c r="J592"/>
      <c r="K592"/>
      <c r="L592"/>
      <c r="M592"/>
      <c r="N592"/>
      <c r="O592"/>
      <c r="P592"/>
      <c r="Q592"/>
      <c r="R592"/>
      <c r="S592"/>
      <c r="T592"/>
      <c r="U592"/>
      <c r="V592"/>
      <c r="W592"/>
      <c r="X592"/>
      <c r="Y592"/>
      <c r="Z592"/>
      <c r="AA592"/>
      <c r="AB592"/>
      <c r="AC592"/>
      <c r="AD592"/>
      <c r="AE592"/>
      <c r="AF592"/>
      <c r="AG592"/>
    </row>
    <row r="593" spans="1:33" ht="72" customHeight="1" x14ac:dyDescent="0.25">
      <c r="A593" s="16"/>
      <c r="B593" s="16"/>
      <c r="C593" s="16"/>
      <c r="D593" s="16"/>
      <c r="E593" s="16"/>
      <c r="F593" s="16"/>
      <c r="G593" s="16"/>
      <c r="H593"/>
      <c r="I593"/>
      <c r="J593"/>
      <c r="K593"/>
      <c r="L593"/>
      <c r="M593"/>
      <c r="N593"/>
      <c r="O593"/>
      <c r="P593"/>
      <c r="Q593"/>
      <c r="R593"/>
      <c r="S593"/>
      <c r="T593"/>
      <c r="U593"/>
      <c r="V593"/>
      <c r="W593"/>
      <c r="X593"/>
      <c r="Y593"/>
      <c r="Z593"/>
      <c r="AA593"/>
      <c r="AB593"/>
      <c r="AC593"/>
      <c r="AD593"/>
      <c r="AE593"/>
      <c r="AF593"/>
      <c r="AG593"/>
    </row>
    <row r="594" spans="1:33" ht="72" customHeight="1" x14ac:dyDescent="0.25">
      <c r="A594" s="16"/>
      <c r="B594" s="16"/>
      <c r="C594" s="16"/>
      <c r="D594" s="16"/>
      <c r="E594" s="16"/>
      <c r="F594" s="16"/>
      <c r="G594" s="16"/>
      <c r="H594"/>
      <c r="I594"/>
      <c r="J594"/>
      <c r="K594"/>
      <c r="L594"/>
      <c r="M594"/>
      <c r="N594"/>
      <c r="O594"/>
      <c r="P594"/>
      <c r="Q594"/>
      <c r="R594"/>
      <c r="S594"/>
      <c r="T594"/>
      <c r="U594"/>
      <c r="V594"/>
      <c r="W594"/>
      <c r="X594"/>
      <c r="Y594"/>
      <c r="Z594"/>
      <c r="AA594"/>
      <c r="AB594"/>
      <c r="AC594"/>
      <c r="AD594"/>
      <c r="AE594"/>
      <c r="AF594"/>
      <c r="AG594"/>
    </row>
    <row r="595" spans="1:33" ht="72" customHeight="1" x14ac:dyDescent="0.25">
      <c r="A595" s="16"/>
      <c r="B595" s="16"/>
      <c r="C595" s="16"/>
      <c r="D595" s="16"/>
      <c r="E595" s="16"/>
      <c r="F595" s="16"/>
      <c r="G595" s="16"/>
      <c r="H595"/>
      <c r="I595"/>
      <c r="J595"/>
      <c r="K595"/>
      <c r="L595"/>
      <c r="M595"/>
      <c r="N595"/>
      <c r="O595"/>
      <c r="P595"/>
      <c r="Q595"/>
      <c r="R595"/>
      <c r="S595"/>
      <c r="T595"/>
      <c r="U595"/>
      <c r="V595"/>
      <c r="W595"/>
      <c r="X595"/>
      <c r="Y595"/>
      <c r="Z595"/>
      <c r="AA595"/>
      <c r="AB595"/>
      <c r="AC595"/>
      <c r="AD595"/>
      <c r="AE595"/>
      <c r="AF595"/>
      <c r="AG595"/>
    </row>
    <row r="596" spans="1:33" ht="72" customHeight="1" x14ac:dyDescent="0.25">
      <c r="A596" s="16"/>
      <c r="B596" s="16"/>
      <c r="C596" s="16"/>
      <c r="D596" s="16"/>
      <c r="E596" s="16"/>
      <c r="F596" s="16"/>
      <c r="G596" s="16"/>
      <c r="H596"/>
      <c r="I596"/>
      <c r="J596"/>
      <c r="K596"/>
      <c r="L596"/>
      <c r="M596"/>
      <c r="N596"/>
      <c r="O596"/>
      <c r="P596"/>
      <c r="Q596"/>
      <c r="R596"/>
      <c r="S596"/>
      <c r="T596"/>
      <c r="U596"/>
      <c r="V596"/>
      <c r="W596"/>
      <c r="X596"/>
      <c r="Y596"/>
      <c r="Z596"/>
      <c r="AA596"/>
      <c r="AB596"/>
      <c r="AC596"/>
      <c r="AD596"/>
      <c r="AE596"/>
      <c r="AF596"/>
      <c r="AG596"/>
    </row>
    <row r="597" spans="1:33" ht="72" customHeight="1" x14ac:dyDescent="0.25">
      <c r="A597" s="16"/>
      <c r="B597" s="16"/>
      <c r="C597" s="16"/>
      <c r="D597" s="16"/>
      <c r="E597" s="16"/>
      <c r="F597" s="16"/>
      <c r="G597" s="16"/>
      <c r="H597"/>
      <c r="I597"/>
      <c r="J597"/>
      <c r="K597"/>
      <c r="L597"/>
      <c r="M597"/>
      <c r="N597"/>
      <c r="O597"/>
      <c r="P597"/>
      <c r="Q597"/>
      <c r="R597"/>
      <c r="S597"/>
      <c r="T597"/>
      <c r="U597"/>
      <c r="V597"/>
      <c r="W597"/>
      <c r="X597"/>
      <c r="Y597"/>
      <c r="Z597"/>
      <c r="AA597"/>
      <c r="AB597"/>
      <c r="AC597"/>
      <c r="AD597"/>
      <c r="AE597"/>
      <c r="AF597"/>
      <c r="AG597"/>
    </row>
    <row r="598" spans="1:33" ht="72" customHeight="1" x14ac:dyDescent="0.25">
      <c r="A598" s="16"/>
      <c r="B598" s="16"/>
      <c r="C598" s="16"/>
      <c r="D598" s="16"/>
      <c r="E598" s="16"/>
      <c r="F598" s="16"/>
      <c r="G598" s="16"/>
      <c r="H598"/>
      <c r="I598"/>
      <c r="J598"/>
      <c r="K598"/>
      <c r="L598"/>
      <c r="M598"/>
      <c r="N598"/>
      <c r="O598"/>
      <c r="P598"/>
      <c r="Q598"/>
      <c r="R598"/>
      <c r="S598"/>
      <c r="T598"/>
      <c r="U598"/>
      <c r="V598"/>
      <c r="W598"/>
      <c r="X598"/>
      <c r="Y598"/>
      <c r="Z598"/>
      <c r="AA598"/>
      <c r="AB598"/>
      <c r="AC598"/>
      <c r="AD598"/>
      <c r="AE598"/>
      <c r="AF598"/>
      <c r="AG598"/>
    </row>
    <row r="599" spans="1:33" ht="72" customHeight="1" x14ac:dyDescent="0.25">
      <c r="A599" s="16"/>
      <c r="B599" s="16"/>
      <c r="C599" s="16"/>
      <c r="D599" s="16"/>
      <c r="E599" s="16"/>
      <c r="F599" s="16"/>
      <c r="G599" s="16"/>
      <c r="H599"/>
      <c r="I599"/>
      <c r="J599"/>
      <c r="K599"/>
      <c r="L599"/>
      <c r="M599"/>
      <c r="N599"/>
      <c r="O599"/>
      <c r="P599"/>
      <c r="Q599"/>
      <c r="R599"/>
      <c r="S599"/>
      <c r="T599"/>
      <c r="U599"/>
      <c r="V599"/>
      <c r="W599"/>
      <c r="X599"/>
      <c r="Y599"/>
      <c r="Z599"/>
      <c r="AA599"/>
      <c r="AB599"/>
      <c r="AC599"/>
      <c r="AD599"/>
      <c r="AE599"/>
      <c r="AF599"/>
      <c r="AG599"/>
    </row>
    <row r="600" spans="1:33" ht="72" customHeight="1" x14ac:dyDescent="0.25">
      <c r="A600" s="16"/>
      <c r="B600" s="16"/>
      <c r="C600" s="16"/>
      <c r="D600" s="16"/>
      <c r="E600" s="16"/>
      <c r="F600" s="16"/>
      <c r="G600" s="16"/>
      <c r="H600"/>
      <c r="I600"/>
      <c r="J600"/>
      <c r="K600"/>
      <c r="L600"/>
      <c r="M600"/>
      <c r="N600"/>
      <c r="O600"/>
      <c r="P600"/>
      <c r="Q600"/>
      <c r="R600"/>
      <c r="S600"/>
      <c r="T600"/>
      <c r="U600"/>
      <c r="V600"/>
      <c r="W600"/>
      <c r="X600"/>
      <c r="Y600"/>
      <c r="Z600"/>
      <c r="AA600"/>
      <c r="AB600"/>
      <c r="AC600"/>
      <c r="AD600"/>
      <c r="AE600"/>
      <c r="AF600"/>
      <c r="AG600"/>
    </row>
    <row r="601" spans="1:33" ht="72" customHeight="1" x14ac:dyDescent="0.25">
      <c r="A601" s="16"/>
      <c r="B601" s="16"/>
      <c r="C601" s="16"/>
      <c r="D601" s="16"/>
      <c r="E601" s="16"/>
      <c r="F601" s="16"/>
      <c r="G601" s="16"/>
      <c r="H601"/>
      <c r="I601"/>
      <c r="J601"/>
      <c r="K601"/>
      <c r="L601"/>
      <c r="M601"/>
      <c r="N601"/>
      <c r="O601"/>
      <c r="P601"/>
      <c r="Q601"/>
      <c r="R601"/>
      <c r="S601"/>
      <c r="T601"/>
      <c r="U601"/>
      <c r="V601"/>
      <c r="W601"/>
      <c r="X601"/>
      <c r="Y601"/>
      <c r="Z601"/>
      <c r="AA601"/>
      <c r="AB601"/>
      <c r="AC601"/>
      <c r="AD601"/>
      <c r="AE601"/>
      <c r="AF601"/>
      <c r="AG601"/>
    </row>
    <row r="602" spans="1:33" ht="72" customHeight="1" x14ac:dyDescent="0.25">
      <c r="A602" s="16"/>
      <c r="B602" s="16"/>
      <c r="C602" s="16"/>
      <c r="D602" s="16"/>
      <c r="E602" s="16"/>
      <c r="F602" s="16"/>
      <c r="G602" s="16"/>
      <c r="H602"/>
      <c r="I602"/>
      <c r="J602"/>
      <c r="K602"/>
      <c r="L602"/>
      <c r="M602"/>
      <c r="N602"/>
      <c r="O602"/>
      <c r="P602"/>
      <c r="Q602"/>
      <c r="R602"/>
      <c r="S602"/>
      <c r="T602"/>
      <c r="U602"/>
      <c r="V602"/>
      <c r="W602"/>
      <c r="X602"/>
      <c r="Y602"/>
      <c r="Z602"/>
      <c r="AA602"/>
      <c r="AB602"/>
      <c r="AC602"/>
      <c r="AD602"/>
      <c r="AE602"/>
      <c r="AF602"/>
      <c r="AG602"/>
    </row>
    <row r="603" spans="1:33" ht="72" customHeight="1" x14ac:dyDescent="0.25">
      <c r="A603" s="16"/>
      <c r="B603" s="16"/>
      <c r="C603" s="16"/>
      <c r="D603" s="16"/>
      <c r="E603" s="16"/>
      <c r="F603" s="16"/>
      <c r="G603" s="16"/>
      <c r="H603"/>
      <c r="I603"/>
      <c r="J603"/>
      <c r="K603"/>
      <c r="L603"/>
      <c r="M603"/>
      <c r="N603"/>
      <c r="O603"/>
      <c r="P603"/>
      <c r="Q603"/>
      <c r="R603"/>
      <c r="S603"/>
      <c r="T603"/>
      <c r="U603"/>
      <c r="V603"/>
      <c r="W603"/>
      <c r="X603"/>
      <c r="Y603"/>
      <c r="Z603"/>
      <c r="AA603"/>
      <c r="AB603"/>
      <c r="AC603"/>
      <c r="AD603"/>
      <c r="AE603"/>
      <c r="AF603"/>
      <c r="AG603"/>
    </row>
    <row r="604" spans="1:33" ht="72" customHeight="1" x14ac:dyDescent="0.25">
      <c r="A604" s="16"/>
      <c r="B604" s="16"/>
      <c r="C604" s="16"/>
      <c r="D604" s="16"/>
      <c r="E604" s="16"/>
      <c r="F604" s="16"/>
      <c r="G604" s="16"/>
      <c r="H604"/>
      <c r="I604"/>
      <c r="J604"/>
      <c r="K604"/>
      <c r="L604"/>
      <c r="M604"/>
      <c r="N604"/>
      <c r="O604"/>
      <c r="P604"/>
      <c r="Q604"/>
      <c r="R604"/>
      <c r="S604"/>
      <c r="T604"/>
      <c r="U604"/>
      <c r="V604"/>
      <c r="W604"/>
      <c r="X604"/>
      <c r="Y604"/>
      <c r="Z604"/>
      <c r="AA604"/>
      <c r="AB604"/>
      <c r="AC604"/>
      <c r="AD604"/>
      <c r="AE604"/>
      <c r="AF604"/>
      <c r="AG604"/>
    </row>
    <row r="605" spans="1:33" ht="72" customHeight="1" x14ac:dyDescent="0.25">
      <c r="A605" s="16"/>
      <c r="B605" s="16"/>
      <c r="C605" s="16"/>
      <c r="D605" s="16"/>
      <c r="E605" s="16"/>
      <c r="F605" s="16"/>
      <c r="G605" s="16"/>
      <c r="H605"/>
      <c r="I605"/>
      <c r="J605"/>
      <c r="K605"/>
      <c r="L605"/>
      <c r="M605"/>
      <c r="N605"/>
      <c r="O605"/>
      <c r="P605"/>
      <c r="Q605"/>
      <c r="R605"/>
      <c r="S605"/>
      <c r="T605"/>
      <c r="U605"/>
      <c r="V605"/>
      <c r="W605"/>
      <c r="X605"/>
      <c r="Y605"/>
      <c r="Z605"/>
      <c r="AA605"/>
      <c r="AB605"/>
      <c r="AC605"/>
      <c r="AD605"/>
      <c r="AE605"/>
      <c r="AF605"/>
      <c r="AG605"/>
    </row>
    <row r="606" spans="1:33" ht="72" customHeight="1" x14ac:dyDescent="0.25">
      <c r="A606" s="16"/>
      <c r="B606" s="16"/>
      <c r="C606" s="16"/>
      <c r="D606" s="16"/>
      <c r="E606" s="16"/>
      <c r="F606" s="16"/>
      <c r="G606" s="16"/>
      <c r="H606"/>
      <c r="I606"/>
      <c r="J606"/>
      <c r="K606"/>
      <c r="L606"/>
      <c r="M606"/>
      <c r="N606"/>
      <c r="O606"/>
      <c r="P606"/>
      <c r="Q606"/>
      <c r="R606"/>
      <c r="S606"/>
      <c r="T606"/>
      <c r="U606"/>
      <c r="V606"/>
      <c r="W606"/>
      <c r="X606"/>
      <c r="Y606"/>
      <c r="Z606"/>
      <c r="AA606"/>
      <c r="AB606"/>
      <c r="AC606"/>
      <c r="AD606"/>
      <c r="AE606"/>
      <c r="AF606"/>
      <c r="AG606"/>
    </row>
    <row r="607" spans="1:33" ht="72" customHeight="1" x14ac:dyDescent="0.25">
      <c r="A607" s="16"/>
      <c r="B607" s="16"/>
      <c r="C607" s="16"/>
      <c r="D607" s="16"/>
      <c r="E607" s="16"/>
      <c r="F607" s="16"/>
      <c r="G607" s="16"/>
      <c r="H607"/>
      <c r="I607"/>
      <c r="J607"/>
      <c r="K607"/>
      <c r="L607"/>
      <c r="M607"/>
      <c r="N607"/>
      <c r="O607"/>
      <c r="P607"/>
      <c r="Q607"/>
      <c r="R607"/>
      <c r="S607"/>
      <c r="T607"/>
      <c r="U607"/>
      <c r="V607"/>
      <c r="W607"/>
      <c r="X607"/>
      <c r="Y607"/>
      <c r="Z607"/>
      <c r="AA607"/>
      <c r="AB607"/>
      <c r="AC607"/>
      <c r="AD607"/>
      <c r="AE607"/>
      <c r="AF607"/>
      <c r="AG607"/>
    </row>
    <row r="608" spans="1:33" ht="72" customHeight="1" x14ac:dyDescent="0.25">
      <c r="A608" s="16"/>
      <c r="B608" s="16"/>
      <c r="C608" s="16"/>
      <c r="D608" s="16"/>
      <c r="E608" s="16"/>
      <c r="F608" s="16"/>
      <c r="G608" s="16"/>
      <c r="H608"/>
      <c r="I608"/>
      <c r="J608"/>
      <c r="K608"/>
      <c r="L608"/>
      <c r="M608"/>
      <c r="N608"/>
      <c r="O608"/>
      <c r="P608"/>
      <c r="Q608"/>
      <c r="R608"/>
      <c r="S608"/>
      <c r="T608"/>
      <c r="U608"/>
      <c r="V608"/>
      <c r="W608"/>
      <c r="X608"/>
      <c r="Y608"/>
      <c r="Z608"/>
      <c r="AA608"/>
      <c r="AB608"/>
      <c r="AC608"/>
      <c r="AD608"/>
      <c r="AE608"/>
      <c r="AF608"/>
      <c r="AG608"/>
    </row>
    <row r="609" spans="1:33" ht="72" customHeight="1" x14ac:dyDescent="0.25">
      <c r="A609" s="16"/>
      <c r="B609" s="16"/>
      <c r="C609" s="16"/>
      <c r="D609" s="16"/>
      <c r="E609" s="16"/>
      <c r="F609" s="16"/>
      <c r="G609" s="16"/>
      <c r="H609"/>
      <c r="I609"/>
      <c r="J609"/>
      <c r="K609"/>
      <c r="L609"/>
      <c r="M609"/>
      <c r="N609"/>
      <c r="O609"/>
      <c r="P609"/>
      <c r="Q609"/>
      <c r="R609"/>
      <c r="S609"/>
      <c r="T609"/>
      <c r="U609"/>
      <c r="V609"/>
      <c r="W609"/>
      <c r="X609"/>
      <c r="Y609"/>
      <c r="Z609"/>
      <c r="AA609"/>
      <c r="AB609"/>
      <c r="AC609"/>
      <c r="AD609"/>
      <c r="AE609"/>
      <c r="AF609"/>
      <c r="AG609"/>
    </row>
    <row r="610" spans="1:33" ht="72" customHeight="1" x14ac:dyDescent="0.25">
      <c r="A610" s="16"/>
      <c r="B610" s="16"/>
      <c r="C610" s="16"/>
      <c r="D610" s="16"/>
      <c r="E610" s="16"/>
      <c r="F610" s="16"/>
      <c r="G610" s="16"/>
      <c r="H610"/>
      <c r="I610"/>
      <c r="J610"/>
      <c r="K610"/>
      <c r="L610"/>
      <c r="M610"/>
      <c r="N610"/>
      <c r="O610"/>
      <c r="P610"/>
      <c r="Q610"/>
      <c r="R610"/>
      <c r="S610"/>
      <c r="T610"/>
      <c r="U610"/>
      <c r="V610"/>
      <c r="W610"/>
      <c r="X610"/>
      <c r="Y610"/>
      <c r="Z610"/>
      <c r="AA610"/>
      <c r="AB610"/>
      <c r="AC610"/>
      <c r="AD610"/>
      <c r="AE610"/>
      <c r="AF610"/>
      <c r="AG610"/>
    </row>
    <row r="611" spans="1:33" ht="72" customHeight="1" x14ac:dyDescent="0.25">
      <c r="A611" s="16"/>
      <c r="B611" s="16"/>
      <c r="C611" s="16"/>
      <c r="D611" s="16"/>
      <c r="E611" s="16"/>
      <c r="F611" s="16"/>
      <c r="G611" s="16"/>
      <c r="H611"/>
      <c r="I611"/>
      <c r="J611"/>
      <c r="K611"/>
      <c r="L611"/>
      <c r="M611"/>
      <c r="N611"/>
      <c r="O611"/>
      <c r="P611"/>
      <c r="Q611"/>
      <c r="R611"/>
      <c r="S611"/>
      <c r="T611"/>
      <c r="U611"/>
      <c r="V611"/>
      <c r="W611"/>
      <c r="X611"/>
      <c r="Y611"/>
      <c r="Z611"/>
      <c r="AA611"/>
      <c r="AB611"/>
      <c r="AC611"/>
      <c r="AD611"/>
      <c r="AE611"/>
      <c r="AF611"/>
      <c r="AG611"/>
    </row>
    <row r="612" spans="1:33" ht="72" customHeight="1" x14ac:dyDescent="0.25">
      <c r="A612" s="16"/>
      <c r="B612" s="16"/>
      <c r="C612" s="16"/>
      <c r="D612" s="16"/>
      <c r="E612" s="16"/>
      <c r="F612" s="16"/>
      <c r="G612" s="16"/>
      <c r="H612"/>
      <c r="I612"/>
      <c r="J612"/>
      <c r="K612"/>
      <c r="L612"/>
      <c r="M612"/>
      <c r="N612"/>
      <c r="O612"/>
      <c r="P612"/>
      <c r="Q612"/>
      <c r="R612"/>
      <c r="S612"/>
      <c r="T612"/>
      <c r="U612"/>
      <c r="V612"/>
      <c r="W612"/>
      <c r="X612"/>
      <c r="Y612"/>
      <c r="Z612"/>
      <c r="AA612"/>
      <c r="AB612"/>
      <c r="AC612"/>
      <c r="AD612"/>
      <c r="AE612"/>
      <c r="AF612"/>
      <c r="AG612"/>
    </row>
    <row r="613" spans="1:33" ht="72" customHeight="1" x14ac:dyDescent="0.25">
      <c r="A613" s="16"/>
      <c r="B613" s="16"/>
      <c r="C613" s="16"/>
      <c r="D613" s="16"/>
      <c r="E613" s="16"/>
      <c r="F613" s="16"/>
      <c r="G613" s="16"/>
      <c r="H613"/>
      <c r="I613"/>
      <c r="J613"/>
      <c r="K613"/>
      <c r="L613"/>
      <c r="M613"/>
      <c r="N613"/>
      <c r="O613"/>
      <c r="P613"/>
      <c r="Q613"/>
      <c r="R613"/>
      <c r="S613"/>
      <c r="T613"/>
      <c r="U613"/>
      <c r="V613"/>
      <c r="W613"/>
      <c r="X613"/>
      <c r="Y613"/>
      <c r="Z613"/>
      <c r="AA613"/>
      <c r="AB613"/>
      <c r="AC613"/>
      <c r="AD613"/>
      <c r="AE613"/>
      <c r="AF613"/>
      <c r="AG613"/>
    </row>
    <row r="614" spans="1:33" ht="72" customHeight="1" x14ac:dyDescent="0.25">
      <c r="A614" s="16"/>
      <c r="B614" s="16"/>
      <c r="C614" s="16"/>
      <c r="D614" s="16"/>
      <c r="E614" s="16"/>
      <c r="F614" s="16"/>
      <c r="G614" s="16"/>
      <c r="H614"/>
      <c r="I614"/>
      <c r="J614"/>
      <c r="K614"/>
      <c r="L614"/>
      <c r="M614"/>
      <c r="N614"/>
      <c r="O614"/>
      <c r="P614"/>
      <c r="Q614"/>
      <c r="R614"/>
      <c r="S614"/>
      <c r="T614"/>
      <c r="U614"/>
      <c r="V614"/>
      <c r="W614"/>
      <c r="X614"/>
      <c r="Y614"/>
      <c r="Z614"/>
      <c r="AA614"/>
      <c r="AB614"/>
      <c r="AC614"/>
      <c r="AD614"/>
      <c r="AE614"/>
      <c r="AF614"/>
      <c r="AG614"/>
    </row>
    <row r="615" spans="1:33" ht="72" customHeight="1" x14ac:dyDescent="0.25">
      <c r="A615" s="16"/>
      <c r="B615" s="16"/>
      <c r="C615" s="16"/>
      <c r="D615" s="16"/>
      <c r="E615" s="16"/>
      <c r="F615" s="16"/>
      <c r="G615" s="16"/>
      <c r="H615"/>
      <c r="I615"/>
      <c r="J615"/>
      <c r="K615"/>
      <c r="L615"/>
      <c r="M615"/>
      <c r="N615"/>
      <c r="O615"/>
      <c r="P615"/>
      <c r="Q615"/>
      <c r="R615"/>
      <c r="S615"/>
      <c r="T615"/>
      <c r="U615"/>
      <c r="V615"/>
      <c r="W615"/>
      <c r="X615"/>
      <c r="Y615"/>
      <c r="Z615"/>
      <c r="AA615"/>
      <c r="AB615"/>
      <c r="AC615"/>
      <c r="AD615"/>
      <c r="AE615"/>
      <c r="AF615"/>
      <c r="AG615"/>
    </row>
    <row r="616" spans="1:33" ht="72" customHeight="1" x14ac:dyDescent="0.25">
      <c r="A616" s="16"/>
      <c r="B616" s="16"/>
      <c r="C616" s="16"/>
      <c r="D616" s="16"/>
      <c r="E616" s="16"/>
      <c r="F616" s="16"/>
      <c r="G616" s="16"/>
      <c r="H616"/>
      <c r="I616"/>
      <c r="J616"/>
      <c r="K616"/>
      <c r="L616"/>
      <c r="M616"/>
      <c r="N616"/>
      <c r="O616"/>
      <c r="P616"/>
      <c r="Q616"/>
      <c r="R616"/>
      <c r="S616"/>
      <c r="T616"/>
      <c r="U616"/>
      <c r="V616"/>
      <c r="W616"/>
      <c r="X616"/>
      <c r="Y616"/>
      <c r="Z616"/>
      <c r="AA616"/>
      <c r="AB616"/>
      <c r="AC616"/>
      <c r="AD616"/>
      <c r="AE616"/>
      <c r="AF616"/>
      <c r="AG616"/>
    </row>
    <row r="617" spans="1:33" ht="72" customHeight="1" x14ac:dyDescent="0.25">
      <c r="A617" s="16"/>
      <c r="B617" s="16"/>
      <c r="C617" s="16"/>
      <c r="D617" s="16"/>
      <c r="E617" s="16"/>
      <c r="F617" s="16"/>
      <c r="G617" s="16"/>
      <c r="H617"/>
      <c r="I617"/>
      <c r="J617"/>
      <c r="K617"/>
      <c r="L617"/>
      <c r="M617"/>
      <c r="N617"/>
      <c r="O617"/>
      <c r="P617"/>
      <c r="Q617"/>
      <c r="R617"/>
      <c r="S617"/>
      <c r="T617"/>
      <c r="U617"/>
      <c r="V617"/>
      <c r="W617"/>
      <c r="X617"/>
      <c r="Y617"/>
      <c r="Z617"/>
      <c r="AA617"/>
      <c r="AB617"/>
      <c r="AC617"/>
      <c r="AD617"/>
      <c r="AE617"/>
      <c r="AF617"/>
      <c r="AG617"/>
    </row>
    <row r="618" spans="1:33" ht="72" customHeight="1" x14ac:dyDescent="0.25">
      <c r="A618" s="16"/>
      <c r="B618" s="16"/>
      <c r="C618" s="16"/>
      <c r="D618" s="16"/>
      <c r="E618" s="16"/>
      <c r="F618" s="16"/>
      <c r="G618" s="16"/>
      <c r="H618"/>
      <c r="I618"/>
      <c r="J618"/>
      <c r="K618"/>
      <c r="L618"/>
      <c r="M618"/>
      <c r="N618"/>
      <c r="O618"/>
      <c r="P618"/>
      <c r="Q618"/>
      <c r="R618"/>
      <c r="S618"/>
      <c r="T618"/>
      <c r="U618"/>
      <c r="V618"/>
      <c r="W618"/>
      <c r="X618"/>
      <c r="Y618"/>
      <c r="Z618"/>
      <c r="AA618"/>
      <c r="AB618"/>
      <c r="AC618"/>
      <c r="AD618"/>
      <c r="AE618"/>
      <c r="AF618"/>
      <c r="AG618"/>
    </row>
    <row r="619" spans="1:33" ht="72" customHeight="1" x14ac:dyDescent="0.25">
      <c r="A619" s="16"/>
      <c r="B619" s="16"/>
      <c r="C619" s="16"/>
      <c r="D619" s="16"/>
      <c r="E619" s="16"/>
      <c r="F619" s="16"/>
      <c r="G619" s="16"/>
      <c r="H619"/>
      <c r="I619"/>
      <c r="J619"/>
      <c r="K619"/>
      <c r="L619"/>
      <c r="M619"/>
      <c r="N619"/>
      <c r="O619"/>
      <c r="P619"/>
      <c r="Q619"/>
      <c r="R619"/>
      <c r="S619"/>
      <c r="T619"/>
      <c r="U619"/>
      <c r="V619"/>
      <c r="W619"/>
      <c r="X619"/>
      <c r="Y619"/>
      <c r="Z619"/>
      <c r="AA619"/>
      <c r="AB619"/>
      <c r="AC619"/>
      <c r="AD619"/>
      <c r="AE619"/>
      <c r="AF619"/>
      <c r="AG619"/>
    </row>
    <row r="620" spans="1:33" ht="72" customHeight="1" x14ac:dyDescent="0.25">
      <c r="A620" s="16"/>
      <c r="B620" s="16"/>
      <c r="C620" s="16"/>
      <c r="D620" s="16"/>
      <c r="E620" s="16"/>
      <c r="F620" s="16"/>
      <c r="G620" s="16"/>
      <c r="H620"/>
      <c r="I620"/>
      <c r="J620"/>
      <c r="K620"/>
      <c r="L620"/>
      <c r="M620"/>
      <c r="N620"/>
      <c r="O620"/>
      <c r="P620"/>
      <c r="Q620"/>
      <c r="R620"/>
      <c r="S620"/>
      <c r="T620"/>
      <c r="U620"/>
      <c r="V620"/>
      <c r="W620"/>
      <c r="X620"/>
      <c r="Y620"/>
      <c r="Z620"/>
      <c r="AA620"/>
      <c r="AB620"/>
      <c r="AC620"/>
      <c r="AD620"/>
      <c r="AE620"/>
      <c r="AF620"/>
      <c r="AG620"/>
    </row>
    <row r="621" spans="1:33" ht="72" customHeight="1" x14ac:dyDescent="0.25">
      <c r="A621" s="16"/>
      <c r="B621" s="16"/>
      <c r="C621" s="16"/>
      <c r="D621" s="16"/>
      <c r="E621" s="16"/>
      <c r="F621" s="16"/>
      <c r="G621" s="16"/>
      <c r="H621"/>
      <c r="I621"/>
      <c r="J621"/>
      <c r="K621"/>
      <c r="L621"/>
      <c r="M621"/>
      <c r="N621"/>
      <c r="O621"/>
      <c r="P621"/>
      <c r="Q621"/>
      <c r="R621"/>
      <c r="S621"/>
      <c r="T621"/>
      <c r="U621"/>
      <c r="V621"/>
      <c r="W621"/>
      <c r="X621"/>
      <c r="Y621"/>
      <c r="Z621"/>
      <c r="AA621"/>
      <c r="AB621"/>
      <c r="AC621"/>
      <c r="AD621"/>
      <c r="AE621"/>
      <c r="AF621"/>
      <c r="AG621"/>
    </row>
    <row r="622" spans="1:33" ht="72" customHeight="1" x14ac:dyDescent="0.25">
      <c r="A622" s="16"/>
      <c r="B622" s="16"/>
      <c r="C622" s="16"/>
      <c r="D622" s="16"/>
      <c r="E622" s="16"/>
      <c r="F622" s="16"/>
      <c r="G622" s="16"/>
      <c r="H622"/>
      <c r="I622"/>
      <c r="J622"/>
      <c r="K622"/>
      <c r="L622"/>
      <c r="M622"/>
      <c r="N622"/>
      <c r="O622"/>
      <c r="P622"/>
      <c r="Q622"/>
      <c r="R622"/>
      <c r="S622"/>
      <c r="T622"/>
      <c r="U622"/>
      <c r="V622"/>
      <c r="W622"/>
      <c r="X622"/>
      <c r="Y622"/>
      <c r="Z622"/>
      <c r="AA622"/>
      <c r="AB622"/>
      <c r="AC622"/>
      <c r="AD622"/>
      <c r="AE622"/>
      <c r="AF622"/>
      <c r="AG622"/>
    </row>
    <row r="623" spans="1:33" ht="72" customHeight="1" x14ac:dyDescent="0.25">
      <c r="A623" s="16"/>
      <c r="B623" s="16"/>
      <c r="C623" s="16"/>
      <c r="D623" s="16"/>
      <c r="E623" s="16"/>
      <c r="F623" s="16"/>
      <c r="G623" s="16"/>
      <c r="H623"/>
      <c r="I623"/>
      <c r="J623"/>
      <c r="K623"/>
      <c r="L623"/>
      <c r="M623"/>
      <c r="N623"/>
      <c r="O623"/>
      <c r="P623"/>
      <c r="Q623"/>
      <c r="R623"/>
      <c r="S623"/>
      <c r="T623"/>
      <c r="U623"/>
      <c r="V623"/>
      <c r="W623"/>
      <c r="X623"/>
      <c r="Y623"/>
      <c r="Z623"/>
      <c r="AA623"/>
      <c r="AB623"/>
      <c r="AC623"/>
      <c r="AD623"/>
      <c r="AE623"/>
      <c r="AF623"/>
      <c r="AG623"/>
    </row>
    <row r="624" spans="1:33" ht="72" customHeight="1" x14ac:dyDescent="0.25">
      <c r="A624" s="16"/>
      <c r="B624" s="16"/>
      <c r="C624" s="16"/>
      <c r="D624" s="16"/>
      <c r="E624" s="16"/>
      <c r="F624" s="16"/>
      <c r="G624" s="16"/>
      <c r="H624"/>
      <c r="I624"/>
      <c r="J624"/>
      <c r="K624"/>
      <c r="L624"/>
      <c r="M624"/>
      <c r="N624"/>
      <c r="O624"/>
      <c r="P624"/>
      <c r="Q624"/>
      <c r="R624"/>
      <c r="S624"/>
      <c r="T624"/>
      <c r="U624"/>
      <c r="V624"/>
      <c r="W624"/>
      <c r="X624"/>
      <c r="Y624"/>
      <c r="Z624"/>
      <c r="AA624"/>
      <c r="AB624"/>
      <c r="AC624"/>
      <c r="AD624"/>
      <c r="AE624"/>
      <c r="AF624"/>
      <c r="AG624"/>
    </row>
    <row r="625" spans="1:33" ht="72" customHeight="1" x14ac:dyDescent="0.25">
      <c r="A625" s="16"/>
      <c r="B625" s="16"/>
      <c r="C625" s="16"/>
      <c r="D625" s="16"/>
      <c r="E625" s="16"/>
      <c r="F625" s="16"/>
      <c r="G625" s="16"/>
      <c r="H625"/>
      <c r="I625"/>
      <c r="J625"/>
      <c r="K625"/>
      <c r="L625"/>
      <c r="M625"/>
      <c r="N625"/>
      <c r="O625"/>
      <c r="P625"/>
      <c r="Q625"/>
      <c r="R625"/>
      <c r="S625"/>
      <c r="T625"/>
      <c r="U625"/>
      <c r="V625"/>
      <c r="W625"/>
      <c r="X625"/>
      <c r="Y625"/>
      <c r="Z625"/>
      <c r="AA625"/>
      <c r="AB625"/>
      <c r="AC625"/>
      <c r="AD625"/>
      <c r="AE625"/>
      <c r="AF625"/>
      <c r="AG625"/>
    </row>
    <row r="626" spans="1:33" ht="72" customHeight="1" x14ac:dyDescent="0.25">
      <c r="A626" s="16"/>
      <c r="B626" s="16"/>
      <c r="C626" s="16"/>
      <c r="D626" s="16"/>
      <c r="E626" s="16"/>
      <c r="F626" s="16"/>
      <c r="G626" s="16"/>
      <c r="H626"/>
      <c r="I626"/>
      <c r="J626"/>
      <c r="K626"/>
      <c r="L626"/>
      <c r="M626"/>
      <c r="N626"/>
      <c r="O626"/>
      <c r="P626"/>
      <c r="Q626"/>
      <c r="R626"/>
      <c r="S626"/>
      <c r="T626"/>
      <c r="U626"/>
      <c r="V626"/>
      <c r="W626"/>
      <c r="X626"/>
      <c r="Y626"/>
      <c r="Z626"/>
      <c r="AA626"/>
      <c r="AB626"/>
      <c r="AC626"/>
      <c r="AD626"/>
      <c r="AE626"/>
      <c r="AF626"/>
      <c r="AG626"/>
    </row>
    <row r="627" spans="1:33" ht="72" customHeight="1" x14ac:dyDescent="0.25">
      <c r="A627" s="16"/>
      <c r="B627" s="16"/>
      <c r="C627" s="16"/>
      <c r="D627" s="16"/>
      <c r="E627" s="16"/>
      <c r="F627" s="16"/>
      <c r="G627" s="16"/>
      <c r="H627"/>
      <c r="I627"/>
      <c r="J627"/>
      <c r="K627"/>
      <c r="L627"/>
      <c r="M627"/>
      <c r="N627"/>
      <c r="O627"/>
      <c r="P627"/>
      <c r="Q627"/>
      <c r="R627"/>
      <c r="S627"/>
      <c r="T627"/>
      <c r="U627"/>
      <c r="V627"/>
      <c r="W627"/>
      <c r="X627"/>
      <c r="Y627"/>
      <c r="Z627"/>
      <c r="AA627"/>
      <c r="AB627"/>
      <c r="AC627"/>
      <c r="AD627"/>
      <c r="AE627"/>
      <c r="AF627"/>
      <c r="AG627"/>
    </row>
    <row r="628" spans="1:33" ht="72" customHeight="1" x14ac:dyDescent="0.25">
      <c r="A628" s="16"/>
      <c r="B628" s="16"/>
      <c r="C628" s="16"/>
      <c r="D628" s="16"/>
      <c r="E628" s="16"/>
      <c r="F628" s="16"/>
      <c r="G628" s="16"/>
      <c r="H628"/>
      <c r="I628"/>
      <c r="J628"/>
      <c r="K628"/>
      <c r="L628"/>
      <c r="M628"/>
      <c r="N628"/>
      <c r="O628"/>
      <c r="P628"/>
      <c r="Q628"/>
      <c r="R628"/>
      <c r="S628"/>
      <c r="T628"/>
      <c r="U628"/>
      <c r="V628"/>
      <c r="W628"/>
      <c r="X628"/>
      <c r="Y628"/>
      <c r="Z628"/>
      <c r="AA628"/>
      <c r="AB628"/>
      <c r="AC628"/>
      <c r="AD628"/>
      <c r="AE628"/>
      <c r="AF628"/>
      <c r="AG628"/>
    </row>
    <row r="629" spans="1:33" ht="72" customHeight="1" x14ac:dyDescent="0.25">
      <c r="A629" s="16"/>
      <c r="B629" s="16"/>
      <c r="C629" s="16"/>
      <c r="D629" s="16"/>
      <c r="E629" s="16"/>
      <c r="F629" s="16"/>
      <c r="G629" s="16"/>
      <c r="H629"/>
      <c r="I629"/>
      <c r="J629"/>
      <c r="K629"/>
      <c r="L629"/>
      <c r="M629"/>
      <c r="N629"/>
      <c r="O629"/>
      <c r="P629"/>
      <c r="Q629"/>
      <c r="R629"/>
      <c r="S629"/>
      <c r="T629"/>
      <c r="U629"/>
      <c r="V629"/>
      <c r="W629"/>
      <c r="X629"/>
      <c r="Y629"/>
      <c r="Z629"/>
      <c r="AA629"/>
      <c r="AB629"/>
      <c r="AC629"/>
      <c r="AD629"/>
      <c r="AE629"/>
      <c r="AF629"/>
      <c r="AG629"/>
    </row>
    <row r="630" spans="1:33" ht="72" customHeight="1" x14ac:dyDescent="0.25">
      <c r="A630" s="16"/>
      <c r="B630" s="16"/>
      <c r="C630" s="16"/>
      <c r="D630" s="16"/>
      <c r="E630" s="16"/>
      <c r="F630" s="16"/>
      <c r="G630" s="16"/>
      <c r="H630"/>
      <c r="I630"/>
      <c r="J630"/>
      <c r="K630"/>
      <c r="L630"/>
      <c r="M630"/>
      <c r="N630"/>
      <c r="O630"/>
      <c r="P630"/>
      <c r="Q630"/>
      <c r="R630"/>
      <c r="S630"/>
      <c r="T630"/>
      <c r="U630"/>
      <c r="V630"/>
      <c r="W630"/>
      <c r="X630"/>
      <c r="Y630"/>
      <c r="Z630"/>
      <c r="AA630"/>
      <c r="AB630"/>
      <c r="AC630"/>
      <c r="AD630"/>
      <c r="AE630"/>
      <c r="AF630"/>
      <c r="AG630"/>
    </row>
    <row r="631" spans="1:33" ht="72" customHeight="1" x14ac:dyDescent="0.25">
      <c r="A631" s="16"/>
      <c r="B631" s="16"/>
      <c r="C631" s="16"/>
      <c r="D631" s="16"/>
      <c r="E631" s="16"/>
      <c r="F631" s="16"/>
      <c r="G631" s="16"/>
      <c r="H631"/>
      <c r="I631"/>
      <c r="J631"/>
      <c r="K631"/>
      <c r="L631"/>
      <c r="M631"/>
      <c r="N631"/>
      <c r="O631"/>
      <c r="P631"/>
      <c r="Q631"/>
      <c r="R631"/>
      <c r="S631"/>
      <c r="T631"/>
      <c r="U631"/>
      <c r="V631"/>
      <c r="W631"/>
      <c r="X631"/>
      <c r="Y631"/>
      <c r="Z631"/>
      <c r="AA631"/>
      <c r="AB631"/>
      <c r="AC631"/>
      <c r="AD631"/>
      <c r="AE631"/>
      <c r="AF631"/>
      <c r="AG631"/>
    </row>
    <row r="632" spans="1:33" ht="72" customHeight="1" x14ac:dyDescent="0.25">
      <c r="A632" s="16"/>
      <c r="B632" s="16"/>
      <c r="C632" s="16"/>
      <c r="D632" s="16"/>
      <c r="E632" s="16"/>
      <c r="F632" s="16"/>
      <c r="G632" s="16"/>
      <c r="H632"/>
      <c r="I632"/>
      <c r="J632"/>
      <c r="K632"/>
      <c r="L632"/>
      <c r="M632"/>
      <c r="N632"/>
      <c r="O632"/>
      <c r="P632"/>
      <c r="Q632"/>
      <c r="R632"/>
      <c r="S632"/>
      <c r="T632"/>
      <c r="U632"/>
      <c r="V632"/>
      <c r="W632"/>
      <c r="X632"/>
      <c r="Y632"/>
      <c r="Z632"/>
      <c r="AA632"/>
      <c r="AB632"/>
      <c r="AC632"/>
      <c r="AD632"/>
      <c r="AE632"/>
      <c r="AF632"/>
      <c r="AG632"/>
    </row>
    <row r="633" spans="1:33" ht="72" customHeight="1" x14ac:dyDescent="0.25">
      <c r="A633" s="16"/>
      <c r="B633" s="16"/>
      <c r="C633" s="16"/>
      <c r="D633" s="16"/>
      <c r="E633" s="16"/>
      <c r="F633" s="16"/>
      <c r="G633" s="16"/>
      <c r="H633"/>
      <c r="I633"/>
      <c r="J633"/>
      <c r="K633"/>
      <c r="L633"/>
      <c r="M633"/>
      <c r="N633"/>
      <c r="O633"/>
      <c r="P633"/>
      <c r="Q633"/>
      <c r="R633"/>
      <c r="S633"/>
      <c r="T633"/>
      <c r="U633"/>
      <c r="V633"/>
      <c r="W633"/>
      <c r="X633"/>
      <c r="Y633"/>
      <c r="Z633"/>
      <c r="AA633"/>
      <c r="AB633"/>
      <c r="AC633"/>
      <c r="AD633"/>
      <c r="AE633"/>
      <c r="AF633"/>
      <c r="AG633"/>
    </row>
    <row r="634" spans="1:33" ht="72" customHeight="1" x14ac:dyDescent="0.25">
      <c r="A634" s="16"/>
      <c r="B634" s="16"/>
      <c r="C634" s="16"/>
      <c r="D634" s="16"/>
      <c r="E634" s="16"/>
      <c r="F634" s="16"/>
      <c r="G634" s="16"/>
      <c r="H634"/>
      <c r="I634"/>
      <c r="J634"/>
      <c r="K634"/>
      <c r="L634"/>
      <c r="M634"/>
      <c r="N634"/>
      <c r="O634"/>
      <c r="P634"/>
      <c r="Q634"/>
      <c r="R634"/>
      <c r="S634"/>
      <c r="T634"/>
      <c r="U634"/>
      <c r="V634"/>
      <c r="W634"/>
      <c r="X634"/>
      <c r="Y634"/>
      <c r="Z634"/>
      <c r="AA634"/>
      <c r="AB634"/>
      <c r="AC634"/>
      <c r="AD634"/>
      <c r="AE634"/>
      <c r="AF634"/>
      <c r="AG634"/>
    </row>
    <row r="635" spans="1:33" ht="72" customHeight="1" x14ac:dyDescent="0.25">
      <c r="A635" s="16"/>
      <c r="B635" s="16"/>
      <c r="C635" s="16"/>
      <c r="D635" s="16"/>
      <c r="E635" s="16"/>
      <c r="F635" s="16"/>
      <c r="G635" s="16"/>
      <c r="H635"/>
      <c r="I635"/>
      <c r="J635"/>
      <c r="K635"/>
      <c r="L635"/>
      <c r="M635"/>
      <c r="N635"/>
      <c r="O635"/>
      <c r="P635"/>
      <c r="Q635"/>
      <c r="R635"/>
      <c r="S635"/>
      <c r="T635"/>
      <c r="U635"/>
      <c r="V635"/>
      <c r="W635"/>
      <c r="X635"/>
      <c r="Y635"/>
      <c r="Z635"/>
      <c r="AA635"/>
      <c r="AB635"/>
      <c r="AC635"/>
      <c r="AD635"/>
      <c r="AE635"/>
      <c r="AF635"/>
      <c r="AG635"/>
    </row>
    <row r="636" spans="1:33" ht="72" customHeight="1" x14ac:dyDescent="0.25">
      <c r="A636" s="16"/>
      <c r="B636" s="16"/>
      <c r="C636" s="16"/>
      <c r="D636" s="16"/>
      <c r="E636" s="16"/>
      <c r="F636" s="16"/>
      <c r="G636" s="16"/>
      <c r="H636"/>
      <c r="I636"/>
      <c r="J636"/>
      <c r="K636"/>
      <c r="L636"/>
      <c r="M636"/>
      <c r="N636"/>
      <c r="O636"/>
      <c r="P636"/>
      <c r="Q636"/>
      <c r="R636"/>
      <c r="S636"/>
      <c r="T636"/>
      <c r="U636"/>
      <c r="V636"/>
      <c r="W636"/>
      <c r="X636"/>
      <c r="Y636"/>
      <c r="Z636"/>
      <c r="AA636"/>
      <c r="AB636"/>
      <c r="AC636"/>
      <c r="AD636"/>
      <c r="AE636"/>
      <c r="AF636"/>
      <c r="AG636"/>
    </row>
    <row r="637" spans="1:33" ht="72" customHeight="1" x14ac:dyDescent="0.25">
      <c r="A637" s="16"/>
      <c r="B637" s="16"/>
      <c r="C637" s="16"/>
      <c r="D637" s="16"/>
      <c r="E637" s="16"/>
      <c r="F637" s="16"/>
      <c r="G637" s="16"/>
      <c r="H637"/>
      <c r="I637"/>
      <c r="J637"/>
      <c r="K637"/>
      <c r="L637"/>
      <c r="M637"/>
      <c r="N637"/>
      <c r="O637"/>
      <c r="P637"/>
      <c r="Q637"/>
      <c r="R637"/>
      <c r="S637"/>
      <c r="T637"/>
      <c r="U637"/>
      <c r="V637"/>
      <c r="W637"/>
      <c r="X637"/>
      <c r="Y637"/>
      <c r="Z637"/>
      <c r="AA637"/>
      <c r="AB637"/>
      <c r="AC637"/>
      <c r="AD637"/>
      <c r="AE637"/>
      <c r="AF637"/>
      <c r="AG637"/>
    </row>
    <row r="638" spans="1:33" ht="72" customHeight="1" x14ac:dyDescent="0.25">
      <c r="A638" s="16"/>
      <c r="B638" s="16"/>
      <c r="C638" s="16"/>
      <c r="D638" s="16"/>
      <c r="E638" s="16"/>
      <c r="F638" s="16"/>
      <c r="G638" s="16"/>
      <c r="H638"/>
      <c r="I638"/>
      <c r="J638"/>
      <c r="K638"/>
      <c r="L638"/>
      <c r="M638"/>
      <c r="N638"/>
      <c r="O638"/>
      <c r="P638"/>
      <c r="Q638"/>
      <c r="R638"/>
      <c r="S638"/>
      <c r="T638"/>
      <c r="U638"/>
      <c r="V638"/>
      <c r="W638"/>
      <c r="X638"/>
      <c r="Y638"/>
      <c r="Z638"/>
      <c r="AA638"/>
      <c r="AB638"/>
      <c r="AC638"/>
      <c r="AD638"/>
      <c r="AE638"/>
      <c r="AF638"/>
      <c r="AG638"/>
    </row>
    <row r="639" spans="1:33" ht="72" customHeight="1" x14ac:dyDescent="0.25">
      <c r="A639" s="16"/>
      <c r="B639" s="16"/>
      <c r="C639" s="16"/>
      <c r="D639" s="16"/>
      <c r="E639" s="16"/>
      <c r="F639" s="16"/>
      <c r="G639" s="16"/>
      <c r="H639"/>
      <c r="I639"/>
      <c r="J639"/>
      <c r="K639"/>
      <c r="L639"/>
      <c r="M639"/>
      <c r="N639"/>
      <c r="O639"/>
      <c r="P639"/>
      <c r="Q639"/>
      <c r="R639"/>
      <c r="S639"/>
      <c r="T639"/>
      <c r="U639"/>
      <c r="V639"/>
      <c r="W639"/>
      <c r="X639"/>
      <c r="Y639"/>
      <c r="Z639"/>
      <c r="AA639"/>
      <c r="AB639"/>
      <c r="AC639"/>
      <c r="AD639"/>
      <c r="AE639"/>
      <c r="AF639"/>
      <c r="AG639"/>
    </row>
    <row r="640" spans="1:33" ht="72" customHeight="1" x14ac:dyDescent="0.25">
      <c r="A640" s="16"/>
      <c r="B640" s="16"/>
      <c r="C640" s="16"/>
      <c r="D640" s="16"/>
      <c r="E640" s="16"/>
      <c r="F640" s="16"/>
      <c r="G640" s="16"/>
      <c r="H640"/>
      <c r="I640"/>
      <c r="J640"/>
      <c r="K640"/>
      <c r="L640"/>
      <c r="M640"/>
      <c r="N640"/>
      <c r="O640"/>
      <c r="P640"/>
      <c r="Q640"/>
      <c r="R640"/>
      <c r="S640"/>
      <c r="T640"/>
      <c r="U640"/>
      <c r="V640"/>
      <c r="W640"/>
      <c r="X640"/>
      <c r="Y640"/>
      <c r="Z640"/>
      <c r="AA640"/>
      <c r="AB640"/>
      <c r="AC640"/>
      <c r="AD640"/>
      <c r="AE640"/>
      <c r="AF640"/>
      <c r="AG640"/>
    </row>
    <row r="641" spans="1:33" ht="72" customHeight="1" x14ac:dyDescent="0.25">
      <c r="A641" s="16"/>
      <c r="B641" s="16"/>
      <c r="C641" s="16"/>
      <c r="D641" s="16"/>
      <c r="E641" s="16"/>
      <c r="F641" s="16"/>
      <c r="G641" s="16"/>
      <c r="H641"/>
      <c r="I641"/>
      <c r="J641"/>
      <c r="K641"/>
      <c r="L641"/>
      <c r="M641"/>
      <c r="N641"/>
      <c r="O641"/>
      <c r="P641"/>
      <c r="Q641"/>
      <c r="R641"/>
      <c r="S641"/>
      <c r="T641"/>
      <c r="U641"/>
      <c r="V641"/>
      <c r="W641"/>
      <c r="X641"/>
      <c r="Y641"/>
      <c r="Z641"/>
      <c r="AA641"/>
      <c r="AB641"/>
      <c r="AC641"/>
      <c r="AD641"/>
      <c r="AE641"/>
      <c r="AF641"/>
      <c r="AG641"/>
    </row>
    <row r="642" spans="1:33" ht="72" customHeight="1" x14ac:dyDescent="0.25">
      <c r="A642" s="16"/>
      <c r="B642" s="16"/>
      <c r="C642" s="16"/>
      <c r="D642" s="16"/>
      <c r="E642" s="16"/>
      <c r="F642" s="16"/>
      <c r="G642" s="16"/>
      <c r="H642"/>
      <c r="I642"/>
      <c r="J642"/>
      <c r="K642"/>
      <c r="L642"/>
      <c r="M642"/>
      <c r="N642"/>
      <c r="O642"/>
      <c r="P642"/>
      <c r="Q642"/>
      <c r="R642"/>
      <c r="S642"/>
      <c r="T642"/>
      <c r="U642"/>
      <c r="V642"/>
      <c r="W642"/>
      <c r="X642"/>
      <c r="Y642"/>
      <c r="Z642"/>
      <c r="AA642"/>
      <c r="AB642"/>
      <c r="AC642"/>
      <c r="AD642"/>
      <c r="AE642"/>
      <c r="AF642"/>
      <c r="AG642"/>
    </row>
    <row r="643" spans="1:33" ht="72" customHeight="1" x14ac:dyDescent="0.25">
      <c r="A643" s="16"/>
      <c r="B643" s="16"/>
      <c r="C643" s="16"/>
      <c r="D643" s="16"/>
      <c r="E643" s="16"/>
      <c r="F643" s="16"/>
      <c r="G643" s="16"/>
      <c r="H643"/>
      <c r="I643"/>
      <c r="J643"/>
      <c r="K643"/>
      <c r="L643"/>
      <c r="M643"/>
      <c r="N643"/>
      <c r="O643"/>
      <c r="P643"/>
      <c r="Q643"/>
      <c r="R643"/>
      <c r="S643"/>
      <c r="T643"/>
      <c r="U643"/>
      <c r="V643"/>
      <c r="W643"/>
      <c r="X643"/>
      <c r="Y643"/>
      <c r="Z643"/>
      <c r="AA643"/>
      <c r="AB643"/>
      <c r="AC643"/>
      <c r="AD643"/>
      <c r="AE643"/>
      <c r="AF643"/>
      <c r="AG643"/>
    </row>
    <row r="644" spans="1:33" ht="72" customHeight="1" x14ac:dyDescent="0.25">
      <c r="A644" s="16"/>
      <c r="B644" s="16"/>
      <c r="C644" s="16"/>
      <c r="D644" s="16"/>
      <c r="E644" s="16"/>
      <c r="F644" s="16"/>
      <c r="G644" s="16"/>
      <c r="H644"/>
      <c r="I644"/>
      <c r="J644"/>
      <c r="K644"/>
      <c r="L644"/>
      <c r="M644"/>
      <c r="N644"/>
      <c r="O644"/>
      <c r="P644"/>
      <c r="Q644"/>
      <c r="R644"/>
      <c r="S644"/>
      <c r="T644"/>
      <c r="U644"/>
      <c r="V644"/>
      <c r="W644"/>
      <c r="X644"/>
      <c r="Y644"/>
      <c r="Z644"/>
      <c r="AA644"/>
      <c r="AB644"/>
      <c r="AC644"/>
      <c r="AD644"/>
      <c r="AE644"/>
      <c r="AF644"/>
      <c r="AG644"/>
    </row>
    <row r="645" spans="1:33" ht="72" customHeight="1" x14ac:dyDescent="0.25">
      <c r="A645" s="16"/>
      <c r="B645" s="16"/>
      <c r="C645" s="16"/>
      <c r="D645" s="16"/>
      <c r="E645" s="16"/>
      <c r="F645" s="16"/>
      <c r="G645" s="16"/>
      <c r="H645"/>
      <c r="I645"/>
      <c r="J645"/>
      <c r="K645"/>
      <c r="L645"/>
      <c r="M645"/>
      <c r="N645"/>
      <c r="O645"/>
      <c r="P645"/>
      <c r="Q645"/>
      <c r="R645"/>
      <c r="S645"/>
      <c r="T645"/>
      <c r="U645"/>
      <c r="V645"/>
      <c r="W645"/>
      <c r="X645"/>
      <c r="Y645"/>
      <c r="Z645"/>
      <c r="AA645"/>
      <c r="AB645"/>
      <c r="AC645"/>
      <c r="AD645"/>
      <c r="AE645"/>
      <c r="AF645"/>
      <c r="AG645"/>
    </row>
    <row r="646" spans="1:33" ht="72" customHeight="1" x14ac:dyDescent="0.25">
      <c r="A646" s="16"/>
      <c r="B646" s="16"/>
      <c r="C646" s="16"/>
      <c r="D646" s="16"/>
      <c r="E646" s="16"/>
      <c r="F646" s="16"/>
      <c r="G646" s="16"/>
      <c r="H646"/>
      <c r="I646"/>
      <c r="J646"/>
      <c r="K646"/>
      <c r="L646"/>
      <c r="M646"/>
      <c r="N646"/>
      <c r="O646"/>
      <c r="P646"/>
      <c r="Q646"/>
      <c r="R646"/>
      <c r="S646"/>
      <c r="T646"/>
      <c r="U646"/>
      <c r="V646"/>
      <c r="W646"/>
      <c r="X646"/>
      <c r="Y646"/>
      <c r="Z646"/>
      <c r="AA646"/>
      <c r="AB646"/>
      <c r="AC646"/>
      <c r="AD646"/>
      <c r="AE646"/>
      <c r="AF646"/>
      <c r="AG646"/>
    </row>
    <row r="647" spans="1:33" ht="72" customHeight="1" x14ac:dyDescent="0.25">
      <c r="A647" s="16"/>
      <c r="B647" s="16"/>
      <c r="C647" s="16"/>
      <c r="D647" s="16"/>
      <c r="E647" s="16"/>
      <c r="F647" s="16"/>
      <c r="G647" s="16"/>
      <c r="H647"/>
      <c r="I647"/>
      <c r="J647"/>
      <c r="K647"/>
      <c r="L647"/>
      <c r="M647"/>
      <c r="N647"/>
      <c r="O647"/>
      <c r="P647"/>
      <c r="Q647"/>
      <c r="R647"/>
      <c r="S647"/>
      <c r="T647"/>
      <c r="U647"/>
      <c r="V647"/>
      <c r="W647"/>
      <c r="X647"/>
      <c r="Y647"/>
      <c r="Z647"/>
      <c r="AA647"/>
      <c r="AB647"/>
      <c r="AC647"/>
      <c r="AD647"/>
      <c r="AE647"/>
      <c r="AF647"/>
      <c r="AG647"/>
    </row>
    <row r="648" spans="1:33" ht="72" customHeight="1" x14ac:dyDescent="0.25">
      <c r="A648" s="16"/>
      <c r="B648" s="16"/>
      <c r="C648" s="16"/>
      <c r="D648" s="16"/>
      <c r="E648" s="16"/>
      <c r="F648" s="16"/>
      <c r="G648" s="16"/>
      <c r="H648"/>
      <c r="I648"/>
      <c r="J648"/>
      <c r="K648"/>
      <c r="L648"/>
      <c r="M648"/>
      <c r="N648"/>
      <c r="O648"/>
      <c r="P648"/>
      <c r="Q648"/>
      <c r="R648"/>
      <c r="S648"/>
      <c r="T648"/>
      <c r="U648"/>
      <c r="V648"/>
      <c r="W648"/>
      <c r="X648"/>
      <c r="Y648"/>
      <c r="Z648"/>
      <c r="AA648"/>
      <c r="AB648"/>
      <c r="AC648"/>
      <c r="AD648"/>
      <c r="AE648"/>
      <c r="AF648"/>
      <c r="AG648"/>
    </row>
    <row r="649" spans="1:33" ht="72" customHeight="1" x14ac:dyDescent="0.25">
      <c r="A649" s="16"/>
      <c r="B649" s="16"/>
      <c r="C649" s="16"/>
      <c r="D649" s="16"/>
      <c r="E649" s="16"/>
      <c r="F649" s="16"/>
      <c r="G649" s="16"/>
      <c r="H649"/>
      <c r="I649"/>
      <c r="J649"/>
      <c r="K649"/>
      <c r="L649"/>
      <c r="M649"/>
      <c r="N649"/>
      <c r="O649"/>
      <c r="P649"/>
      <c r="Q649"/>
      <c r="R649"/>
      <c r="S649"/>
      <c r="T649"/>
      <c r="U649"/>
      <c r="V649"/>
      <c r="W649"/>
      <c r="X649"/>
      <c r="Y649"/>
      <c r="Z649"/>
      <c r="AA649"/>
      <c r="AB649"/>
      <c r="AC649"/>
      <c r="AD649"/>
      <c r="AE649"/>
      <c r="AF649"/>
      <c r="AG649"/>
    </row>
    <row r="650" spans="1:33" ht="72" customHeight="1" x14ac:dyDescent="0.25">
      <c r="A650" s="16"/>
      <c r="B650" s="16"/>
      <c r="C650" s="16"/>
      <c r="D650" s="16"/>
      <c r="E650" s="16"/>
      <c r="F650" s="16"/>
      <c r="G650" s="16"/>
      <c r="H650"/>
      <c r="I650"/>
      <c r="J650"/>
      <c r="K650"/>
      <c r="L650"/>
      <c r="M650"/>
      <c r="N650"/>
      <c r="O650"/>
      <c r="P650"/>
      <c r="Q650"/>
      <c r="R650"/>
      <c r="S650"/>
      <c r="T650"/>
      <c r="U650"/>
      <c r="V650"/>
      <c r="W650"/>
      <c r="X650"/>
      <c r="Y650"/>
      <c r="Z650"/>
      <c r="AA650"/>
      <c r="AB650"/>
      <c r="AC650"/>
      <c r="AD650"/>
      <c r="AE650"/>
      <c r="AF650"/>
      <c r="AG650"/>
    </row>
    <row r="651" spans="1:33" ht="72" customHeight="1" x14ac:dyDescent="0.25">
      <c r="A651" s="16"/>
      <c r="B651" s="16"/>
      <c r="C651" s="16"/>
      <c r="D651" s="16"/>
      <c r="E651" s="16"/>
      <c r="F651" s="16"/>
      <c r="G651" s="16"/>
      <c r="H651"/>
      <c r="I651"/>
      <c r="J651"/>
      <c r="K651"/>
      <c r="L651"/>
      <c r="M651"/>
      <c r="N651"/>
      <c r="O651"/>
      <c r="P651"/>
      <c r="Q651"/>
      <c r="R651"/>
      <c r="S651"/>
      <c r="T651"/>
      <c r="U651"/>
      <c r="V651"/>
      <c r="W651"/>
      <c r="X651"/>
      <c r="Y651"/>
      <c r="Z651"/>
      <c r="AA651"/>
      <c r="AB651"/>
      <c r="AC651"/>
      <c r="AD651"/>
      <c r="AE651"/>
      <c r="AF651"/>
      <c r="AG651"/>
    </row>
    <row r="652" spans="1:33" ht="72" customHeight="1" x14ac:dyDescent="0.25">
      <c r="A652" s="16"/>
      <c r="B652" s="16"/>
      <c r="C652" s="16"/>
      <c r="D652" s="16"/>
      <c r="E652" s="16"/>
      <c r="F652" s="16"/>
      <c r="G652" s="16"/>
      <c r="H652"/>
      <c r="I652"/>
      <c r="J652"/>
      <c r="K652"/>
      <c r="L652"/>
      <c r="M652"/>
      <c r="N652"/>
      <c r="O652"/>
      <c r="P652"/>
      <c r="Q652"/>
      <c r="R652"/>
      <c r="S652"/>
      <c r="T652"/>
      <c r="U652"/>
      <c r="V652"/>
      <c r="W652"/>
      <c r="X652"/>
      <c r="Y652"/>
      <c r="Z652"/>
      <c r="AA652"/>
      <c r="AB652"/>
      <c r="AC652"/>
      <c r="AD652"/>
      <c r="AE652"/>
      <c r="AF652"/>
      <c r="AG652"/>
    </row>
    <row r="653" spans="1:33" ht="72" customHeight="1" x14ac:dyDescent="0.25">
      <c r="A653" s="16"/>
      <c r="B653" s="16"/>
      <c r="C653" s="16"/>
      <c r="D653" s="16"/>
      <c r="E653" s="16"/>
      <c r="F653" s="16"/>
      <c r="G653" s="16"/>
      <c r="H653"/>
      <c r="I653"/>
      <c r="J653"/>
      <c r="K653"/>
      <c r="L653"/>
      <c r="M653"/>
      <c r="N653"/>
      <c r="O653"/>
      <c r="P653"/>
      <c r="Q653"/>
      <c r="R653"/>
      <c r="S653"/>
      <c r="T653"/>
      <c r="U653"/>
      <c r="V653"/>
      <c r="W653"/>
      <c r="X653"/>
      <c r="Y653"/>
      <c r="Z653"/>
      <c r="AA653"/>
      <c r="AB653"/>
      <c r="AC653"/>
      <c r="AD653"/>
      <c r="AE653"/>
      <c r="AF653"/>
      <c r="AG653"/>
    </row>
    <row r="654" spans="1:33" ht="72" customHeight="1" x14ac:dyDescent="0.25">
      <c r="A654" s="16"/>
      <c r="B654" s="16"/>
      <c r="C654" s="16"/>
      <c r="D654" s="16"/>
      <c r="E654" s="16"/>
      <c r="F654" s="16"/>
      <c r="G654" s="16"/>
      <c r="H654"/>
      <c r="I654"/>
      <c r="J654"/>
      <c r="K654"/>
      <c r="L654"/>
      <c r="M654"/>
      <c r="N654"/>
      <c r="O654"/>
      <c r="P654"/>
      <c r="Q654"/>
      <c r="R654"/>
      <c r="S654"/>
      <c r="T654"/>
      <c r="U654"/>
      <c r="V654"/>
      <c r="W654"/>
      <c r="X654"/>
      <c r="Y654"/>
      <c r="Z654"/>
      <c r="AA654"/>
      <c r="AB654"/>
      <c r="AC654"/>
      <c r="AD654"/>
      <c r="AE654"/>
      <c r="AF654"/>
      <c r="AG654"/>
    </row>
    <row r="655" spans="1:33" ht="72" customHeight="1" x14ac:dyDescent="0.25">
      <c r="A655" s="16"/>
      <c r="B655" s="16"/>
      <c r="C655" s="16"/>
      <c r="D655" s="16"/>
      <c r="E655" s="16"/>
      <c r="F655" s="16"/>
      <c r="G655" s="16"/>
      <c r="H655"/>
      <c r="I655"/>
      <c r="J655"/>
      <c r="K655"/>
      <c r="L655"/>
      <c r="M655"/>
      <c r="N655"/>
      <c r="O655"/>
      <c r="P655"/>
      <c r="Q655"/>
      <c r="R655"/>
      <c r="S655"/>
      <c r="T655"/>
      <c r="U655"/>
      <c r="V655"/>
      <c r="W655"/>
      <c r="X655"/>
      <c r="Y655"/>
      <c r="Z655"/>
      <c r="AA655"/>
      <c r="AB655"/>
      <c r="AC655"/>
      <c r="AD655"/>
      <c r="AE655"/>
      <c r="AF655"/>
      <c r="AG655"/>
    </row>
    <row r="656" spans="1:33" ht="72" customHeight="1" x14ac:dyDescent="0.25">
      <c r="A656" s="16"/>
      <c r="B656" s="16"/>
      <c r="C656" s="16"/>
      <c r="D656" s="16"/>
      <c r="E656" s="16"/>
      <c r="F656" s="16"/>
      <c r="G656" s="16"/>
      <c r="H656"/>
      <c r="I656"/>
      <c r="J656"/>
      <c r="K656"/>
      <c r="L656"/>
      <c r="M656"/>
      <c r="N656"/>
      <c r="O656"/>
      <c r="P656"/>
      <c r="Q656"/>
      <c r="R656"/>
      <c r="S656"/>
      <c r="T656"/>
      <c r="U656"/>
      <c r="V656"/>
      <c r="W656"/>
      <c r="X656"/>
      <c r="Y656"/>
      <c r="Z656"/>
      <c r="AA656"/>
      <c r="AB656"/>
      <c r="AC656"/>
      <c r="AD656"/>
      <c r="AE656"/>
      <c r="AF656"/>
      <c r="AG656"/>
    </row>
    <row r="657" spans="1:33" ht="72" customHeight="1" x14ac:dyDescent="0.25">
      <c r="A657" s="16"/>
      <c r="B657" s="16"/>
      <c r="C657" s="16"/>
      <c r="D657" s="16"/>
      <c r="E657" s="16"/>
      <c r="F657" s="16"/>
      <c r="G657" s="16"/>
      <c r="H657"/>
      <c r="I657"/>
      <c r="J657"/>
      <c r="K657"/>
      <c r="L657"/>
      <c r="M657"/>
      <c r="N657"/>
      <c r="O657"/>
      <c r="P657"/>
      <c r="Q657"/>
      <c r="R657"/>
      <c r="S657"/>
      <c r="T657"/>
      <c r="U657"/>
      <c r="V657"/>
      <c r="W657"/>
      <c r="X657"/>
      <c r="Y657"/>
      <c r="Z657"/>
      <c r="AA657"/>
      <c r="AB657"/>
      <c r="AC657"/>
      <c r="AD657"/>
      <c r="AE657"/>
      <c r="AF657"/>
      <c r="AG657"/>
    </row>
    <row r="658" spans="1:33" ht="72" customHeight="1" x14ac:dyDescent="0.25">
      <c r="A658" s="16"/>
      <c r="B658" s="16"/>
      <c r="C658" s="16"/>
      <c r="D658" s="16"/>
      <c r="E658" s="16"/>
      <c r="F658" s="16"/>
      <c r="G658" s="16"/>
      <c r="H658"/>
      <c r="I658"/>
      <c r="J658"/>
      <c r="K658"/>
      <c r="L658"/>
      <c r="M658"/>
      <c r="N658"/>
      <c r="O658"/>
      <c r="P658"/>
      <c r="Q658"/>
      <c r="R658"/>
      <c r="S658"/>
      <c r="T658"/>
      <c r="U658"/>
      <c r="V658"/>
      <c r="W658"/>
      <c r="X658"/>
      <c r="Y658"/>
      <c r="Z658"/>
      <c r="AA658"/>
      <c r="AB658"/>
      <c r="AC658"/>
      <c r="AD658"/>
      <c r="AE658"/>
      <c r="AF658"/>
      <c r="AG658"/>
    </row>
    <row r="659" spans="1:33" ht="72" customHeight="1" x14ac:dyDescent="0.25">
      <c r="A659" s="16"/>
      <c r="B659" s="16"/>
      <c r="C659" s="16"/>
      <c r="D659" s="16"/>
      <c r="E659" s="16"/>
      <c r="F659" s="16"/>
      <c r="G659" s="16"/>
      <c r="H659"/>
      <c r="I659"/>
      <c r="J659"/>
      <c r="K659"/>
      <c r="L659"/>
      <c r="M659"/>
      <c r="N659"/>
      <c r="O659"/>
      <c r="P659"/>
      <c r="Q659"/>
      <c r="R659"/>
      <c r="S659"/>
      <c r="T659"/>
      <c r="U659"/>
      <c r="V659"/>
      <c r="W659"/>
      <c r="X659"/>
      <c r="Y659"/>
      <c r="Z659"/>
      <c r="AA659"/>
      <c r="AB659"/>
      <c r="AC659"/>
      <c r="AD659"/>
      <c r="AE659"/>
      <c r="AF659"/>
      <c r="AG659"/>
    </row>
    <row r="660" spans="1:33" ht="72" customHeight="1" x14ac:dyDescent="0.25">
      <c r="A660" s="16"/>
      <c r="B660" s="16"/>
      <c r="C660" s="16"/>
      <c r="D660" s="16"/>
      <c r="E660" s="16"/>
      <c r="F660" s="16"/>
      <c r="G660" s="16"/>
      <c r="H660"/>
      <c r="I660"/>
      <c r="J660"/>
      <c r="K660"/>
      <c r="L660"/>
      <c r="M660"/>
      <c r="N660"/>
      <c r="O660"/>
      <c r="P660"/>
      <c r="Q660"/>
      <c r="R660"/>
      <c r="S660"/>
      <c r="T660"/>
      <c r="U660"/>
      <c r="V660"/>
      <c r="W660"/>
      <c r="X660"/>
      <c r="Y660"/>
      <c r="Z660"/>
      <c r="AA660"/>
      <c r="AB660"/>
      <c r="AC660"/>
      <c r="AD660"/>
      <c r="AE660"/>
      <c r="AF660"/>
      <c r="AG660"/>
    </row>
    <row r="661" spans="1:33" ht="72" customHeight="1" x14ac:dyDescent="0.25">
      <c r="A661" s="16"/>
      <c r="B661" s="16"/>
      <c r="C661" s="16"/>
      <c r="D661" s="16"/>
      <c r="E661" s="16"/>
      <c r="F661" s="16"/>
      <c r="G661" s="16"/>
      <c r="H661"/>
      <c r="I661"/>
      <c r="J661"/>
      <c r="K661"/>
      <c r="L661"/>
      <c r="M661"/>
      <c r="N661"/>
      <c r="O661"/>
      <c r="P661"/>
      <c r="Q661"/>
      <c r="R661"/>
      <c r="S661"/>
      <c r="T661"/>
      <c r="U661"/>
      <c r="V661"/>
      <c r="W661"/>
      <c r="X661"/>
      <c r="Y661"/>
      <c r="Z661"/>
      <c r="AA661"/>
      <c r="AB661"/>
      <c r="AC661"/>
      <c r="AD661"/>
      <c r="AE661"/>
      <c r="AF661"/>
      <c r="AG661"/>
    </row>
    <row r="662" spans="1:33" ht="72" customHeight="1" x14ac:dyDescent="0.25">
      <c r="A662" s="16"/>
      <c r="B662" s="16"/>
      <c r="C662" s="16"/>
      <c r="D662" s="16"/>
      <c r="E662" s="16"/>
      <c r="F662" s="16"/>
      <c r="G662" s="16"/>
      <c r="H662"/>
      <c r="I662"/>
      <c r="J662"/>
      <c r="K662"/>
      <c r="L662"/>
      <c r="M662"/>
      <c r="N662"/>
      <c r="O662"/>
      <c r="P662"/>
      <c r="Q662"/>
      <c r="R662"/>
      <c r="S662"/>
      <c r="T662"/>
      <c r="U662"/>
      <c r="V662"/>
      <c r="W662"/>
      <c r="X662"/>
      <c r="Y662"/>
      <c r="Z662"/>
      <c r="AA662"/>
      <c r="AB662"/>
      <c r="AC662"/>
      <c r="AD662"/>
      <c r="AE662"/>
      <c r="AF662"/>
      <c r="AG662"/>
    </row>
    <row r="663" spans="1:33" ht="72" customHeight="1" x14ac:dyDescent="0.25">
      <c r="A663" s="16"/>
      <c r="B663" s="16"/>
      <c r="C663" s="16"/>
      <c r="D663" s="16"/>
      <c r="E663" s="16"/>
      <c r="F663" s="16"/>
      <c r="G663" s="16"/>
      <c r="H663"/>
      <c r="I663"/>
      <c r="J663"/>
      <c r="K663"/>
      <c r="L663"/>
      <c r="M663"/>
      <c r="N663"/>
      <c r="O663"/>
      <c r="P663"/>
      <c r="Q663"/>
      <c r="R663"/>
      <c r="S663"/>
      <c r="T663"/>
      <c r="U663"/>
      <c r="V663"/>
      <c r="W663"/>
      <c r="X663"/>
      <c r="Y663"/>
      <c r="Z663"/>
      <c r="AA663"/>
      <c r="AB663"/>
      <c r="AC663"/>
      <c r="AD663"/>
      <c r="AE663"/>
      <c r="AF663"/>
      <c r="AG663"/>
    </row>
    <row r="664" spans="1:33" ht="72" customHeight="1" x14ac:dyDescent="0.25">
      <c r="A664" s="16"/>
      <c r="B664" s="16"/>
      <c r="C664" s="16"/>
      <c r="D664" s="16"/>
      <c r="E664" s="16"/>
      <c r="F664" s="16"/>
      <c r="G664" s="16"/>
      <c r="H664"/>
      <c r="I664"/>
      <c r="J664"/>
      <c r="K664"/>
      <c r="L664"/>
      <c r="M664"/>
      <c r="N664"/>
      <c r="O664"/>
      <c r="P664"/>
      <c r="Q664"/>
      <c r="R664"/>
      <c r="S664"/>
      <c r="T664"/>
      <c r="U664"/>
      <c r="V664"/>
      <c r="W664"/>
      <c r="X664"/>
      <c r="Y664"/>
      <c r="Z664"/>
      <c r="AA664"/>
      <c r="AB664"/>
      <c r="AC664"/>
      <c r="AD664"/>
      <c r="AE664"/>
      <c r="AF664"/>
      <c r="AG664"/>
    </row>
    <row r="665" spans="1:33" ht="72" customHeight="1" x14ac:dyDescent="0.25">
      <c r="A665" s="16"/>
      <c r="B665" s="16"/>
      <c r="C665" s="16"/>
      <c r="D665" s="16"/>
      <c r="E665" s="16"/>
      <c r="F665" s="16"/>
      <c r="G665" s="16"/>
      <c r="H665"/>
      <c r="I665"/>
      <c r="J665"/>
      <c r="K665"/>
      <c r="L665"/>
      <c r="M665"/>
      <c r="N665"/>
      <c r="O665"/>
      <c r="P665"/>
      <c r="Q665"/>
      <c r="R665"/>
      <c r="S665"/>
      <c r="T665"/>
      <c r="U665"/>
      <c r="V665"/>
      <c r="W665"/>
      <c r="X665"/>
      <c r="Y665"/>
      <c r="Z665"/>
      <c r="AA665"/>
      <c r="AB665"/>
      <c r="AC665"/>
      <c r="AD665"/>
      <c r="AE665"/>
      <c r="AF665"/>
      <c r="AG665"/>
    </row>
    <row r="666" spans="1:33" ht="72" customHeight="1" x14ac:dyDescent="0.25">
      <c r="A666" s="16"/>
      <c r="B666" s="16"/>
      <c r="C666" s="16"/>
      <c r="D666" s="16"/>
      <c r="E666" s="16"/>
      <c r="F666" s="16"/>
      <c r="G666" s="16"/>
      <c r="H666"/>
      <c r="I666"/>
      <c r="J666"/>
      <c r="K666"/>
      <c r="L666"/>
      <c r="M666"/>
      <c r="N666"/>
      <c r="O666"/>
      <c r="P666"/>
      <c r="Q666"/>
      <c r="R666"/>
      <c r="S666"/>
      <c r="T666"/>
      <c r="U666"/>
      <c r="V666"/>
      <c r="W666"/>
      <c r="X666"/>
      <c r="Y666"/>
      <c r="Z666"/>
      <c r="AA666"/>
      <c r="AB666"/>
      <c r="AC666"/>
      <c r="AD666"/>
      <c r="AE666"/>
      <c r="AF666"/>
      <c r="AG666"/>
    </row>
    <row r="667" spans="1:33" ht="72" customHeight="1" x14ac:dyDescent="0.25">
      <c r="A667" s="16"/>
      <c r="B667" s="16"/>
      <c r="C667" s="16"/>
      <c r="D667" s="16"/>
      <c r="E667" s="16"/>
      <c r="F667" s="16"/>
      <c r="G667" s="16"/>
      <c r="H667"/>
      <c r="I667"/>
      <c r="J667"/>
      <c r="K667"/>
      <c r="L667"/>
      <c r="M667"/>
      <c r="N667"/>
      <c r="O667"/>
      <c r="P667"/>
      <c r="Q667"/>
      <c r="R667"/>
      <c r="S667"/>
      <c r="T667"/>
      <c r="U667"/>
      <c r="V667"/>
      <c r="W667"/>
      <c r="X667"/>
      <c r="Y667"/>
      <c r="Z667"/>
      <c r="AA667"/>
      <c r="AB667"/>
      <c r="AC667"/>
      <c r="AD667"/>
      <c r="AE667"/>
      <c r="AF667"/>
      <c r="AG667"/>
    </row>
    <row r="668" spans="1:33" ht="72" customHeight="1" x14ac:dyDescent="0.25">
      <c r="A668" s="16"/>
      <c r="B668" s="16"/>
      <c r="C668" s="16"/>
      <c r="D668" s="16"/>
      <c r="E668" s="16"/>
      <c r="F668" s="16"/>
      <c r="G668" s="16"/>
      <c r="H668"/>
      <c r="I668"/>
      <c r="J668"/>
      <c r="K668"/>
      <c r="L668"/>
      <c r="M668"/>
      <c r="N668"/>
      <c r="O668"/>
      <c r="P668"/>
      <c r="Q668"/>
      <c r="R668"/>
      <c r="S668"/>
      <c r="T668"/>
      <c r="U668"/>
      <c r="V668"/>
      <c r="W668"/>
      <c r="X668"/>
      <c r="Y668"/>
      <c r="Z668"/>
      <c r="AA668"/>
      <c r="AB668"/>
      <c r="AC668"/>
      <c r="AD668"/>
      <c r="AE668"/>
      <c r="AF668"/>
      <c r="AG668"/>
    </row>
    <row r="669" spans="1:33" ht="72" customHeight="1" x14ac:dyDescent="0.25">
      <c r="A669" s="16"/>
      <c r="B669" s="16"/>
      <c r="C669" s="16"/>
      <c r="D669" s="16"/>
      <c r="E669" s="16"/>
      <c r="F669" s="16"/>
      <c r="G669" s="16"/>
      <c r="H669"/>
      <c r="I669"/>
      <c r="J669"/>
      <c r="K669"/>
      <c r="L669"/>
      <c r="M669"/>
      <c r="N669"/>
      <c r="O669"/>
      <c r="P669"/>
      <c r="Q669"/>
      <c r="R669"/>
      <c r="S669"/>
      <c r="T669"/>
      <c r="U669"/>
      <c r="V669"/>
      <c r="W669"/>
      <c r="X669"/>
      <c r="Y669"/>
      <c r="Z669"/>
      <c r="AA669"/>
      <c r="AB669"/>
      <c r="AC669"/>
      <c r="AD669"/>
      <c r="AE669"/>
      <c r="AF669"/>
      <c r="AG669"/>
    </row>
    <row r="670" spans="1:33" ht="72" customHeight="1" x14ac:dyDescent="0.25">
      <c r="A670" s="16"/>
      <c r="B670" s="16"/>
      <c r="C670" s="16"/>
      <c r="D670" s="16"/>
      <c r="E670" s="16"/>
      <c r="F670" s="16"/>
      <c r="G670" s="16"/>
      <c r="H670"/>
      <c r="I670"/>
      <c r="J670"/>
      <c r="K670"/>
      <c r="L670"/>
      <c r="M670"/>
      <c r="N670"/>
      <c r="O670"/>
      <c r="P670"/>
      <c r="Q670"/>
      <c r="R670"/>
      <c r="S670"/>
      <c r="T670"/>
      <c r="U670"/>
      <c r="V670"/>
      <c r="W670"/>
      <c r="X670"/>
      <c r="Y670"/>
      <c r="Z670"/>
      <c r="AA670"/>
      <c r="AB670"/>
      <c r="AC670"/>
      <c r="AD670"/>
      <c r="AE670"/>
      <c r="AF670"/>
      <c r="AG670"/>
    </row>
    <row r="671" spans="1:33" ht="72" customHeight="1" x14ac:dyDescent="0.25">
      <c r="A671" s="16"/>
      <c r="B671" s="16"/>
      <c r="C671" s="16"/>
      <c r="D671" s="16"/>
      <c r="E671" s="16"/>
      <c r="F671" s="16"/>
      <c r="G671" s="16"/>
      <c r="H671"/>
      <c r="I671"/>
      <c r="J671"/>
      <c r="K671"/>
      <c r="L671"/>
      <c r="M671"/>
      <c r="N671"/>
      <c r="O671"/>
      <c r="P671"/>
      <c r="Q671"/>
      <c r="R671"/>
      <c r="S671"/>
      <c r="T671"/>
      <c r="U671"/>
      <c r="V671"/>
      <c r="W671"/>
      <c r="X671"/>
      <c r="Y671"/>
      <c r="Z671"/>
      <c r="AA671"/>
      <c r="AB671"/>
      <c r="AC671"/>
      <c r="AD671"/>
      <c r="AE671"/>
      <c r="AF671"/>
      <c r="AG671"/>
    </row>
    <row r="672" spans="1:33" ht="72" customHeight="1" x14ac:dyDescent="0.25">
      <c r="A672" s="16"/>
      <c r="B672" s="16"/>
      <c r="C672" s="16"/>
      <c r="D672" s="16"/>
      <c r="E672" s="16"/>
      <c r="F672" s="16"/>
      <c r="G672" s="16"/>
      <c r="H672"/>
      <c r="I672"/>
      <c r="J672"/>
      <c r="K672"/>
      <c r="L672"/>
      <c r="M672"/>
      <c r="N672"/>
      <c r="O672"/>
      <c r="P672"/>
      <c r="Q672"/>
      <c r="R672"/>
      <c r="S672"/>
      <c r="T672"/>
      <c r="U672"/>
      <c r="V672"/>
      <c r="W672"/>
      <c r="X672"/>
      <c r="Y672"/>
      <c r="Z672"/>
      <c r="AA672"/>
      <c r="AB672"/>
      <c r="AC672"/>
      <c r="AD672"/>
      <c r="AE672"/>
      <c r="AF672"/>
      <c r="AG672"/>
    </row>
    <row r="673" spans="1:33" ht="72" customHeight="1" x14ac:dyDescent="0.25">
      <c r="A673" s="16"/>
      <c r="B673" s="16"/>
      <c r="C673" s="16"/>
      <c r="D673" s="16"/>
      <c r="E673" s="16"/>
      <c r="F673" s="16"/>
      <c r="G673" s="16"/>
      <c r="H673"/>
      <c r="I673"/>
      <c r="J673"/>
      <c r="K673"/>
      <c r="L673"/>
      <c r="M673"/>
      <c r="N673"/>
      <c r="O673"/>
      <c r="P673"/>
      <c r="Q673"/>
      <c r="R673"/>
      <c r="S673"/>
      <c r="T673"/>
      <c r="U673"/>
      <c r="V673"/>
      <c r="W673"/>
      <c r="X673"/>
      <c r="Y673"/>
      <c r="Z673"/>
      <c r="AA673"/>
      <c r="AB673"/>
      <c r="AC673"/>
      <c r="AD673"/>
      <c r="AE673"/>
      <c r="AF673"/>
      <c r="AG673"/>
    </row>
    <row r="674" spans="1:33" ht="72" customHeight="1" x14ac:dyDescent="0.25">
      <c r="A674" s="16"/>
      <c r="B674" s="16"/>
      <c r="C674" s="16"/>
      <c r="D674" s="16"/>
      <c r="E674" s="16"/>
      <c r="F674" s="16"/>
      <c r="G674" s="16"/>
      <c r="H674"/>
      <c r="I674"/>
      <c r="J674"/>
      <c r="K674"/>
      <c r="L674"/>
      <c r="M674"/>
      <c r="N674"/>
      <c r="O674"/>
      <c r="P674"/>
      <c r="Q674"/>
      <c r="R674"/>
      <c r="S674"/>
      <c r="T674"/>
      <c r="U674"/>
      <c r="V674"/>
      <c r="W674"/>
      <c r="X674"/>
      <c r="Y674"/>
      <c r="Z674"/>
      <c r="AA674"/>
      <c r="AB674"/>
      <c r="AC674"/>
      <c r="AD674"/>
      <c r="AE674"/>
      <c r="AF674"/>
      <c r="AG674"/>
    </row>
    <row r="675" spans="1:33" ht="72" customHeight="1" x14ac:dyDescent="0.25">
      <c r="A675" s="16"/>
      <c r="B675" s="16"/>
      <c r="C675" s="16"/>
      <c r="D675" s="16"/>
      <c r="E675" s="16"/>
      <c r="F675" s="16"/>
      <c r="G675" s="16"/>
      <c r="H675"/>
      <c r="I675"/>
      <c r="J675"/>
      <c r="K675"/>
      <c r="L675"/>
      <c r="M675"/>
      <c r="N675"/>
      <c r="O675"/>
      <c r="P675"/>
      <c r="Q675"/>
      <c r="R675"/>
      <c r="S675"/>
      <c r="T675"/>
      <c r="U675"/>
      <c r="V675"/>
      <c r="W675"/>
      <c r="X675"/>
      <c r="Y675"/>
      <c r="Z675"/>
      <c r="AA675"/>
      <c r="AB675"/>
      <c r="AC675"/>
      <c r="AD675"/>
      <c r="AE675"/>
      <c r="AF675"/>
      <c r="AG675"/>
    </row>
    <row r="676" spans="1:33" ht="72" customHeight="1" x14ac:dyDescent="0.25">
      <c r="A676" s="16"/>
      <c r="B676" s="16"/>
      <c r="C676" s="16"/>
      <c r="D676" s="16"/>
      <c r="E676" s="16"/>
      <c r="F676" s="16"/>
      <c r="G676" s="16"/>
      <c r="H676"/>
      <c r="I676"/>
      <c r="J676"/>
      <c r="K676"/>
      <c r="L676"/>
      <c r="M676"/>
      <c r="N676"/>
      <c r="O676"/>
      <c r="P676"/>
      <c r="Q676"/>
      <c r="R676"/>
      <c r="S676"/>
      <c r="T676"/>
      <c r="U676"/>
      <c r="V676"/>
      <c r="W676"/>
      <c r="X676"/>
      <c r="Y676"/>
      <c r="Z676"/>
      <c r="AA676"/>
      <c r="AB676"/>
      <c r="AC676"/>
      <c r="AD676"/>
      <c r="AE676"/>
      <c r="AF676"/>
      <c r="AG676"/>
    </row>
    <row r="677" spans="1:33" ht="72" customHeight="1" x14ac:dyDescent="0.25">
      <c r="A677" s="16"/>
      <c r="B677" s="16"/>
      <c r="C677" s="16"/>
      <c r="D677" s="16"/>
      <c r="E677" s="16"/>
      <c r="F677" s="16"/>
      <c r="G677" s="16"/>
      <c r="H677"/>
      <c r="I677"/>
      <c r="J677"/>
      <c r="K677"/>
      <c r="L677"/>
      <c r="M677"/>
      <c r="N677"/>
      <c r="O677"/>
      <c r="P677"/>
      <c r="Q677"/>
      <c r="R677"/>
      <c r="S677"/>
      <c r="T677"/>
      <c r="U677"/>
      <c r="V677"/>
      <c r="W677"/>
      <c r="X677"/>
      <c r="Y677"/>
      <c r="Z677"/>
      <c r="AA677"/>
      <c r="AB677"/>
      <c r="AC677"/>
      <c r="AD677"/>
      <c r="AE677"/>
      <c r="AF677"/>
      <c r="AG677"/>
    </row>
    <row r="678" spans="1:33" ht="72" customHeight="1" x14ac:dyDescent="0.25">
      <c r="A678" s="16"/>
      <c r="B678" s="16"/>
      <c r="C678" s="16"/>
      <c r="D678" s="16"/>
      <c r="E678" s="16"/>
      <c r="F678" s="16"/>
      <c r="G678" s="16"/>
      <c r="H678"/>
      <c r="I678"/>
      <c r="J678"/>
      <c r="K678"/>
      <c r="L678"/>
      <c r="M678"/>
      <c r="N678"/>
      <c r="O678"/>
      <c r="P678"/>
      <c r="Q678"/>
      <c r="R678"/>
      <c r="S678"/>
      <c r="T678"/>
      <c r="U678"/>
      <c r="V678"/>
      <c r="W678"/>
      <c r="X678"/>
      <c r="Y678"/>
      <c r="Z678"/>
      <c r="AA678"/>
      <c r="AB678"/>
      <c r="AC678"/>
      <c r="AD678"/>
      <c r="AE678"/>
      <c r="AF678"/>
      <c r="AG678"/>
    </row>
    <row r="679" spans="1:33" ht="72" customHeight="1" x14ac:dyDescent="0.25">
      <c r="A679" s="16"/>
      <c r="B679" s="16"/>
      <c r="C679" s="16"/>
      <c r="D679" s="16"/>
      <c r="E679" s="16"/>
      <c r="F679" s="16"/>
      <c r="G679" s="16"/>
      <c r="H679"/>
      <c r="I679"/>
      <c r="J679"/>
      <c r="K679"/>
      <c r="L679"/>
      <c r="M679"/>
      <c r="N679"/>
      <c r="O679"/>
      <c r="P679"/>
      <c r="Q679"/>
      <c r="R679"/>
      <c r="S679"/>
      <c r="T679"/>
      <c r="U679"/>
      <c r="V679"/>
      <c r="W679"/>
      <c r="X679"/>
      <c r="Y679"/>
      <c r="Z679"/>
      <c r="AA679"/>
      <c r="AB679"/>
      <c r="AC679"/>
      <c r="AD679"/>
      <c r="AE679"/>
      <c r="AF679"/>
      <c r="AG679"/>
    </row>
    <row r="680" spans="1:33" ht="72" customHeight="1" x14ac:dyDescent="0.25">
      <c r="A680" s="16"/>
      <c r="B680" s="16"/>
      <c r="C680" s="16"/>
      <c r="D680" s="16"/>
      <c r="E680" s="16"/>
      <c r="F680" s="16"/>
      <c r="G680" s="16"/>
      <c r="H680"/>
      <c r="I680"/>
      <c r="J680"/>
      <c r="K680"/>
      <c r="L680"/>
      <c r="M680"/>
      <c r="N680"/>
      <c r="O680"/>
      <c r="P680"/>
      <c r="Q680"/>
      <c r="R680"/>
      <c r="S680"/>
      <c r="T680"/>
      <c r="U680"/>
      <c r="V680"/>
      <c r="W680"/>
      <c r="X680"/>
      <c r="Y680"/>
      <c r="Z680"/>
      <c r="AA680"/>
      <c r="AB680"/>
      <c r="AC680"/>
      <c r="AD680"/>
      <c r="AE680"/>
      <c r="AF680"/>
      <c r="AG680"/>
    </row>
    <row r="681" spans="1:33" ht="72" customHeight="1" x14ac:dyDescent="0.25">
      <c r="A681" s="16"/>
      <c r="B681" s="16"/>
      <c r="C681" s="16"/>
      <c r="D681" s="16"/>
      <c r="E681" s="16"/>
      <c r="F681" s="16"/>
      <c r="G681" s="16"/>
      <c r="H681"/>
      <c r="I681"/>
      <c r="J681"/>
      <c r="K681"/>
      <c r="L681"/>
      <c r="M681"/>
      <c r="N681"/>
      <c r="O681"/>
      <c r="P681"/>
      <c r="Q681"/>
      <c r="R681"/>
      <c r="S681"/>
      <c r="T681"/>
      <c r="U681"/>
      <c r="V681"/>
      <c r="W681"/>
      <c r="X681"/>
      <c r="Y681"/>
      <c r="Z681"/>
      <c r="AA681"/>
      <c r="AB681"/>
      <c r="AC681"/>
      <c r="AD681"/>
      <c r="AE681"/>
      <c r="AF681"/>
      <c r="AG681"/>
    </row>
    <row r="682" spans="1:33" ht="72" customHeight="1" x14ac:dyDescent="0.25">
      <c r="A682" s="16"/>
      <c r="B682" s="16"/>
      <c r="C682" s="16"/>
      <c r="D682" s="16"/>
      <c r="E682" s="16"/>
      <c r="F682" s="16"/>
      <c r="G682" s="16"/>
      <c r="H682"/>
      <c r="I682"/>
      <c r="J682"/>
      <c r="K682"/>
      <c r="L682"/>
      <c r="M682"/>
      <c r="N682"/>
      <c r="O682"/>
      <c r="P682"/>
      <c r="Q682"/>
      <c r="R682"/>
      <c r="S682"/>
      <c r="T682"/>
      <c r="U682"/>
      <c r="V682"/>
      <c r="W682"/>
      <c r="X682"/>
      <c r="Y682"/>
      <c r="Z682"/>
      <c r="AA682"/>
      <c r="AB682"/>
      <c r="AC682"/>
      <c r="AD682"/>
      <c r="AE682"/>
      <c r="AF682"/>
      <c r="AG682"/>
    </row>
    <row r="683" spans="1:33" ht="72" customHeight="1" x14ac:dyDescent="0.25">
      <c r="A683" s="16"/>
      <c r="B683" s="16"/>
      <c r="C683" s="16"/>
      <c r="D683" s="16"/>
      <c r="E683" s="16"/>
      <c r="F683" s="16"/>
      <c r="G683" s="16"/>
      <c r="H683"/>
      <c r="I683"/>
      <c r="J683"/>
      <c r="K683"/>
      <c r="L683"/>
      <c r="M683"/>
      <c r="N683"/>
      <c r="O683"/>
      <c r="P683"/>
      <c r="Q683"/>
      <c r="R683"/>
      <c r="S683"/>
      <c r="T683"/>
      <c r="U683"/>
      <c r="V683"/>
      <c r="W683"/>
      <c r="X683"/>
      <c r="Y683"/>
      <c r="Z683"/>
      <c r="AA683"/>
      <c r="AB683"/>
      <c r="AC683"/>
      <c r="AD683"/>
      <c r="AE683"/>
      <c r="AF683"/>
      <c r="AG683"/>
    </row>
    <row r="684" spans="1:33" ht="72" customHeight="1" x14ac:dyDescent="0.25">
      <c r="A684" s="16"/>
      <c r="B684" s="16"/>
      <c r="C684" s="16"/>
      <c r="D684" s="16"/>
      <c r="E684" s="16"/>
      <c r="F684" s="16"/>
      <c r="G684" s="16"/>
      <c r="H684"/>
      <c r="I684"/>
      <c r="J684"/>
      <c r="K684"/>
      <c r="L684"/>
      <c r="M684"/>
      <c r="N684"/>
      <c r="O684"/>
      <c r="P684"/>
      <c r="Q684"/>
      <c r="R684"/>
      <c r="S684"/>
      <c r="T684"/>
      <c r="U684"/>
      <c r="V684"/>
      <c r="W684"/>
      <c r="X684"/>
      <c r="Y684"/>
      <c r="Z684"/>
      <c r="AA684"/>
      <c r="AB684"/>
      <c r="AC684"/>
      <c r="AD684"/>
      <c r="AE684"/>
      <c r="AF684"/>
      <c r="AG684"/>
    </row>
    <row r="685" spans="1:33" ht="72" customHeight="1" x14ac:dyDescent="0.25">
      <c r="A685" s="16"/>
      <c r="B685" s="16"/>
      <c r="C685" s="16"/>
      <c r="D685" s="16"/>
      <c r="E685" s="16"/>
      <c r="F685" s="16"/>
      <c r="G685" s="16"/>
      <c r="H685"/>
      <c r="I685"/>
      <c r="J685"/>
      <c r="K685"/>
      <c r="L685"/>
      <c r="M685"/>
      <c r="N685"/>
      <c r="O685"/>
      <c r="P685"/>
      <c r="Q685"/>
      <c r="R685"/>
      <c r="S685"/>
      <c r="T685"/>
      <c r="U685"/>
      <c r="V685"/>
      <c r="W685"/>
      <c r="X685"/>
      <c r="Y685"/>
      <c r="Z685"/>
      <c r="AA685"/>
      <c r="AB685"/>
      <c r="AC685"/>
      <c r="AD685"/>
      <c r="AE685"/>
      <c r="AF685"/>
      <c r="AG685"/>
    </row>
    <row r="686" spans="1:33" ht="72" customHeight="1" x14ac:dyDescent="0.25">
      <c r="A686" s="16"/>
      <c r="B686" s="16"/>
      <c r="C686" s="16"/>
      <c r="D686" s="16"/>
      <c r="E686" s="16"/>
      <c r="F686" s="16"/>
      <c r="G686" s="16"/>
      <c r="H686"/>
      <c r="I686"/>
      <c r="J686"/>
      <c r="K686"/>
      <c r="L686"/>
      <c r="M686"/>
      <c r="N686"/>
      <c r="O686"/>
      <c r="P686"/>
      <c r="Q686"/>
      <c r="R686"/>
      <c r="S686"/>
      <c r="T686"/>
      <c r="U686"/>
      <c r="V686"/>
      <c r="W686"/>
      <c r="X686"/>
      <c r="Y686"/>
      <c r="Z686"/>
      <c r="AA686"/>
      <c r="AB686"/>
      <c r="AC686"/>
      <c r="AD686"/>
      <c r="AE686"/>
      <c r="AF686"/>
      <c r="AG686"/>
    </row>
    <row r="687" spans="1:33" ht="72" customHeight="1" x14ac:dyDescent="0.25">
      <c r="A687" s="16"/>
      <c r="B687" s="16"/>
      <c r="C687" s="16"/>
      <c r="D687" s="16"/>
      <c r="E687" s="16"/>
      <c r="F687" s="16"/>
      <c r="G687" s="16"/>
      <c r="H687"/>
      <c r="I687"/>
      <c r="J687"/>
      <c r="K687"/>
      <c r="L687"/>
      <c r="M687"/>
      <c r="N687"/>
      <c r="O687"/>
      <c r="P687"/>
      <c r="Q687"/>
      <c r="R687"/>
      <c r="S687"/>
      <c r="T687"/>
      <c r="U687"/>
      <c r="V687"/>
      <c r="W687"/>
      <c r="X687"/>
      <c r="Y687"/>
      <c r="Z687"/>
      <c r="AA687"/>
      <c r="AB687"/>
      <c r="AC687"/>
      <c r="AD687"/>
      <c r="AE687"/>
      <c r="AF687"/>
      <c r="AG687"/>
    </row>
    <row r="688" spans="1:33" ht="72" customHeight="1" x14ac:dyDescent="0.25">
      <c r="A688" s="16"/>
      <c r="B688" s="16"/>
      <c r="C688" s="16"/>
      <c r="D688" s="16"/>
      <c r="E688" s="16"/>
      <c r="F688" s="16"/>
      <c r="G688" s="16"/>
      <c r="H688"/>
      <c r="I688"/>
      <c r="J688"/>
      <c r="K688"/>
      <c r="L688"/>
      <c r="M688"/>
      <c r="N688"/>
      <c r="O688"/>
      <c r="P688"/>
      <c r="Q688"/>
      <c r="R688"/>
      <c r="S688"/>
      <c r="T688"/>
      <c r="U688"/>
      <c r="V688"/>
      <c r="W688"/>
      <c r="X688"/>
      <c r="Y688"/>
      <c r="Z688"/>
      <c r="AA688"/>
      <c r="AB688"/>
      <c r="AC688"/>
      <c r="AD688"/>
      <c r="AE688"/>
      <c r="AF688"/>
      <c r="AG688"/>
    </row>
    <row r="689" spans="1:33" ht="72" customHeight="1" x14ac:dyDescent="0.25">
      <c r="A689" s="16"/>
      <c r="B689" s="16"/>
      <c r="C689" s="16"/>
      <c r="D689" s="16"/>
      <c r="E689" s="16"/>
      <c r="F689" s="16"/>
      <c r="G689" s="16"/>
      <c r="H689"/>
      <c r="I689"/>
      <c r="J689"/>
      <c r="K689"/>
      <c r="L689"/>
      <c r="M689"/>
      <c r="N689"/>
      <c r="O689"/>
      <c r="P689"/>
      <c r="Q689"/>
      <c r="R689"/>
      <c r="S689"/>
      <c r="T689"/>
      <c r="U689"/>
      <c r="V689"/>
      <c r="W689"/>
      <c r="X689"/>
      <c r="Y689"/>
      <c r="Z689"/>
      <c r="AA689"/>
      <c r="AB689"/>
      <c r="AC689"/>
      <c r="AD689"/>
      <c r="AE689"/>
      <c r="AF689"/>
      <c r="AG689"/>
    </row>
    <row r="690" spans="1:33" ht="72" customHeight="1" x14ac:dyDescent="0.25">
      <c r="A690" s="16"/>
      <c r="B690" s="16"/>
      <c r="C690" s="16"/>
      <c r="D690" s="16"/>
      <c r="E690" s="16"/>
      <c r="F690" s="16"/>
      <c r="G690" s="16"/>
      <c r="H690"/>
      <c r="I690"/>
      <c r="J690"/>
      <c r="K690"/>
      <c r="L690"/>
      <c r="M690"/>
      <c r="N690"/>
      <c r="O690"/>
      <c r="P690"/>
      <c r="Q690"/>
      <c r="R690"/>
      <c r="S690"/>
      <c r="T690"/>
      <c r="U690"/>
      <c r="V690"/>
      <c r="W690"/>
      <c r="X690"/>
      <c r="Y690"/>
      <c r="Z690"/>
      <c r="AA690"/>
      <c r="AB690"/>
      <c r="AC690"/>
      <c r="AD690"/>
      <c r="AE690"/>
      <c r="AF690"/>
      <c r="AG690"/>
    </row>
    <row r="691" spans="1:33" ht="72" customHeight="1" x14ac:dyDescent="0.25">
      <c r="A691" s="16"/>
      <c r="B691" s="16"/>
      <c r="C691" s="16"/>
      <c r="D691" s="16"/>
      <c r="E691" s="16"/>
      <c r="F691" s="16"/>
      <c r="G691" s="16"/>
      <c r="H691"/>
      <c r="I691"/>
      <c r="J691"/>
      <c r="K691"/>
      <c r="L691"/>
      <c r="M691"/>
      <c r="N691"/>
      <c r="O691"/>
      <c r="P691"/>
      <c r="Q691"/>
      <c r="R691"/>
      <c r="S691"/>
      <c r="T691"/>
      <c r="U691"/>
      <c r="V691"/>
      <c r="W691"/>
      <c r="X691"/>
      <c r="Y691"/>
      <c r="Z691"/>
      <c r="AA691"/>
      <c r="AB691"/>
      <c r="AC691"/>
      <c r="AD691"/>
      <c r="AE691"/>
      <c r="AF691"/>
      <c r="AG691"/>
    </row>
    <row r="692" spans="1:33" ht="72" customHeight="1" x14ac:dyDescent="0.25">
      <c r="A692" s="16"/>
      <c r="B692" s="16"/>
      <c r="C692" s="16"/>
      <c r="D692" s="16"/>
      <c r="E692" s="16"/>
      <c r="F692" s="16"/>
      <c r="G692" s="16"/>
      <c r="H692"/>
      <c r="I692"/>
      <c r="J692"/>
      <c r="K692"/>
      <c r="L692"/>
      <c r="M692"/>
      <c r="N692"/>
      <c r="O692"/>
      <c r="P692"/>
      <c r="Q692"/>
      <c r="R692"/>
      <c r="S692"/>
      <c r="T692"/>
      <c r="U692"/>
      <c r="V692"/>
      <c r="W692"/>
      <c r="X692"/>
      <c r="Y692"/>
      <c r="Z692"/>
      <c r="AA692"/>
      <c r="AB692"/>
      <c r="AC692"/>
      <c r="AD692"/>
      <c r="AE692"/>
      <c r="AF692"/>
      <c r="AG692"/>
    </row>
    <row r="693" spans="1:33" ht="72" customHeight="1" x14ac:dyDescent="0.25">
      <c r="A693" s="16"/>
      <c r="B693" s="16"/>
      <c r="C693" s="16"/>
      <c r="D693" s="16"/>
      <c r="E693" s="16"/>
      <c r="F693" s="16"/>
      <c r="G693" s="16"/>
      <c r="H693"/>
      <c r="I693"/>
      <c r="J693"/>
      <c r="K693"/>
      <c r="L693"/>
      <c r="M693"/>
      <c r="N693"/>
      <c r="O693"/>
      <c r="P693"/>
      <c r="Q693"/>
      <c r="R693"/>
      <c r="S693"/>
      <c r="T693"/>
      <c r="U693"/>
      <c r="V693"/>
      <c r="W693"/>
      <c r="X693"/>
      <c r="Y693"/>
      <c r="Z693"/>
      <c r="AA693"/>
      <c r="AB693"/>
      <c r="AC693"/>
      <c r="AD693"/>
      <c r="AE693"/>
      <c r="AF693"/>
      <c r="AG693"/>
    </row>
    <row r="694" spans="1:33" ht="72" customHeight="1" x14ac:dyDescent="0.25">
      <c r="A694" s="16"/>
      <c r="B694" s="16"/>
      <c r="C694" s="16"/>
      <c r="D694" s="16"/>
      <c r="E694" s="16"/>
      <c r="F694" s="16"/>
      <c r="G694" s="16"/>
      <c r="H694"/>
      <c r="I694"/>
      <c r="J694"/>
      <c r="K694"/>
      <c r="L694"/>
      <c r="M694"/>
      <c r="N694"/>
      <c r="O694"/>
      <c r="P694"/>
      <c r="Q694"/>
      <c r="R694"/>
      <c r="S694"/>
      <c r="T694"/>
      <c r="U694"/>
      <c r="V694"/>
      <c r="W694"/>
      <c r="X694"/>
      <c r="Y694"/>
      <c r="Z694"/>
      <c r="AA694"/>
      <c r="AB694"/>
      <c r="AC694"/>
      <c r="AD694"/>
      <c r="AE694"/>
      <c r="AF694"/>
      <c r="AG694"/>
    </row>
    <row r="695" spans="1:33" ht="72" customHeight="1" x14ac:dyDescent="0.25">
      <c r="A695" s="16"/>
      <c r="B695" s="16"/>
      <c r="C695" s="16"/>
      <c r="D695" s="16"/>
      <c r="E695" s="16"/>
      <c r="F695" s="16"/>
      <c r="G695" s="16"/>
      <c r="H695"/>
      <c r="I695"/>
      <c r="J695"/>
      <c r="K695"/>
      <c r="L695"/>
      <c r="M695"/>
      <c r="N695"/>
      <c r="O695"/>
      <c r="P695"/>
      <c r="Q695"/>
      <c r="R695"/>
      <c r="S695"/>
      <c r="T695"/>
      <c r="U695"/>
      <c r="V695"/>
      <c r="W695"/>
      <c r="X695"/>
      <c r="Y695"/>
      <c r="Z695"/>
      <c r="AA695"/>
      <c r="AB695"/>
      <c r="AC695"/>
      <c r="AD695"/>
      <c r="AE695"/>
      <c r="AF695"/>
      <c r="AG695"/>
    </row>
    <row r="696" spans="1:33" ht="72" customHeight="1" x14ac:dyDescent="0.25">
      <c r="A696" s="16"/>
      <c r="B696" s="16"/>
      <c r="C696" s="16"/>
      <c r="D696" s="16"/>
      <c r="E696" s="16"/>
      <c r="F696" s="16"/>
      <c r="G696" s="16"/>
      <c r="H696"/>
      <c r="I696"/>
      <c r="J696"/>
      <c r="K696"/>
      <c r="L696"/>
      <c r="M696"/>
      <c r="N696"/>
      <c r="O696"/>
      <c r="P696"/>
      <c r="Q696"/>
      <c r="R696"/>
      <c r="S696"/>
      <c r="T696"/>
      <c r="U696"/>
      <c r="V696"/>
      <c r="W696"/>
      <c r="X696"/>
      <c r="Y696"/>
      <c r="Z696"/>
      <c r="AA696"/>
      <c r="AB696"/>
      <c r="AC696"/>
      <c r="AD696"/>
      <c r="AE696"/>
      <c r="AF696"/>
      <c r="AG696"/>
    </row>
    <row r="697" spans="1:33" ht="72" customHeight="1" x14ac:dyDescent="0.25">
      <c r="A697" s="16"/>
      <c r="B697" s="16"/>
      <c r="C697" s="16"/>
      <c r="D697" s="16"/>
      <c r="E697" s="16"/>
      <c r="F697" s="16"/>
      <c r="G697" s="16"/>
      <c r="H697"/>
      <c r="I697"/>
      <c r="J697"/>
      <c r="K697"/>
      <c r="L697"/>
      <c r="M697"/>
      <c r="N697"/>
      <c r="O697"/>
      <c r="P697"/>
      <c r="Q697"/>
      <c r="R697"/>
      <c r="S697"/>
      <c r="T697"/>
      <c r="U697"/>
      <c r="V697"/>
      <c r="W697"/>
      <c r="X697"/>
      <c r="Y697"/>
      <c r="Z697"/>
      <c r="AA697"/>
      <c r="AB697"/>
      <c r="AC697"/>
      <c r="AD697"/>
      <c r="AE697"/>
      <c r="AF697"/>
      <c r="AG697"/>
    </row>
    <row r="698" spans="1:33" ht="72" customHeight="1" x14ac:dyDescent="0.25">
      <c r="A698" s="16"/>
      <c r="B698" s="16"/>
      <c r="C698" s="16"/>
      <c r="D698" s="16"/>
      <c r="E698" s="16"/>
      <c r="F698" s="16"/>
      <c r="G698" s="16"/>
      <c r="H698"/>
      <c r="I698"/>
      <c r="J698"/>
      <c r="K698"/>
      <c r="L698"/>
      <c r="M698"/>
      <c r="N698"/>
      <c r="O698"/>
      <c r="P698"/>
      <c r="Q698"/>
      <c r="R698"/>
      <c r="S698"/>
      <c r="T698"/>
      <c r="U698"/>
      <c r="V698"/>
      <c r="W698"/>
      <c r="X698"/>
      <c r="Y698"/>
      <c r="Z698"/>
      <c r="AA698"/>
      <c r="AB698"/>
      <c r="AC698"/>
      <c r="AD698"/>
      <c r="AE698"/>
      <c r="AF698"/>
      <c r="AG698"/>
    </row>
    <row r="699" spans="1:33" ht="72" customHeight="1" x14ac:dyDescent="0.25">
      <c r="A699" s="16"/>
      <c r="B699" s="16"/>
      <c r="C699" s="16"/>
      <c r="D699" s="16"/>
      <c r="E699" s="16"/>
      <c r="F699" s="16"/>
      <c r="G699" s="16"/>
      <c r="H699"/>
      <c r="I699"/>
      <c r="J699"/>
      <c r="K699"/>
      <c r="L699"/>
      <c r="M699"/>
      <c r="N699"/>
      <c r="O699"/>
      <c r="P699"/>
      <c r="Q699"/>
      <c r="R699"/>
      <c r="S699"/>
      <c r="T699"/>
      <c r="U699"/>
      <c r="V699"/>
      <c r="W699"/>
      <c r="X699"/>
      <c r="Y699"/>
      <c r="Z699"/>
      <c r="AA699"/>
      <c r="AB699"/>
      <c r="AC699"/>
      <c r="AD699"/>
      <c r="AE699"/>
      <c r="AF699"/>
      <c r="AG699"/>
    </row>
    <row r="700" spans="1:33" ht="72" customHeight="1" x14ac:dyDescent="0.25">
      <c r="A700" s="16"/>
      <c r="B700" s="16"/>
      <c r="C700" s="16"/>
      <c r="D700" s="16"/>
      <c r="E700" s="16"/>
      <c r="F700" s="16"/>
      <c r="G700" s="16"/>
      <c r="H700"/>
      <c r="I700"/>
      <c r="J700"/>
      <c r="K700"/>
      <c r="L700"/>
      <c r="M700"/>
      <c r="N700"/>
      <c r="O700"/>
      <c r="P700"/>
      <c r="Q700"/>
      <c r="R700"/>
      <c r="S700"/>
      <c r="T700"/>
      <c r="U700"/>
      <c r="V700"/>
      <c r="W700"/>
      <c r="X700"/>
      <c r="Y700"/>
      <c r="Z700"/>
      <c r="AA700"/>
      <c r="AB700"/>
      <c r="AC700"/>
      <c r="AD700"/>
      <c r="AE700"/>
      <c r="AF700"/>
      <c r="AG700"/>
    </row>
    <row r="701" spans="1:33" ht="72" customHeight="1" x14ac:dyDescent="0.25">
      <c r="A701" s="16"/>
      <c r="B701" s="16"/>
      <c r="C701" s="16"/>
      <c r="D701" s="16"/>
      <c r="E701" s="16"/>
      <c r="F701" s="16"/>
      <c r="G701" s="16"/>
      <c r="H701"/>
      <c r="I701"/>
      <c r="J701"/>
      <c r="K701"/>
      <c r="L701"/>
      <c r="M701"/>
      <c r="N701"/>
      <c r="O701"/>
      <c r="P701"/>
      <c r="Q701"/>
      <c r="R701"/>
      <c r="S701"/>
      <c r="T701"/>
      <c r="U701"/>
      <c r="V701"/>
      <c r="W701"/>
      <c r="X701"/>
      <c r="Y701"/>
      <c r="Z701"/>
      <c r="AA701"/>
      <c r="AB701"/>
      <c r="AC701"/>
      <c r="AD701"/>
      <c r="AE701"/>
      <c r="AF701"/>
      <c r="AG701"/>
    </row>
    <row r="702" spans="1:33" ht="72" customHeight="1" x14ac:dyDescent="0.25">
      <c r="A702" s="16"/>
      <c r="B702" s="16"/>
      <c r="C702" s="16"/>
      <c r="D702" s="16"/>
      <c r="E702" s="16"/>
      <c r="F702" s="16"/>
      <c r="G702" s="16"/>
      <c r="H702"/>
      <c r="I702"/>
      <c r="J702"/>
      <c r="K702"/>
      <c r="L702"/>
      <c r="M702"/>
      <c r="N702"/>
      <c r="O702"/>
      <c r="P702"/>
      <c r="Q702"/>
      <c r="R702"/>
      <c r="S702"/>
      <c r="T702"/>
      <c r="U702"/>
      <c r="V702"/>
      <c r="W702"/>
      <c r="X702"/>
      <c r="Y702"/>
      <c r="Z702"/>
      <c r="AA702"/>
      <c r="AB702"/>
      <c r="AC702"/>
      <c r="AD702"/>
      <c r="AE702"/>
      <c r="AF702"/>
      <c r="AG702"/>
    </row>
    <row r="703" spans="1:33" ht="72" customHeight="1" x14ac:dyDescent="0.25">
      <c r="A703" s="16"/>
      <c r="B703" s="16"/>
      <c r="C703" s="16"/>
      <c r="D703" s="16"/>
      <c r="E703" s="16"/>
      <c r="F703" s="16"/>
      <c r="G703" s="16"/>
      <c r="H703"/>
      <c r="I703"/>
      <c r="J703"/>
      <c r="K703"/>
      <c r="L703"/>
      <c r="M703"/>
      <c r="N703"/>
      <c r="O703"/>
      <c r="P703"/>
      <c r="Q703"/>
      <c r="R703"/>
      <c r="S703"/>
      <c r="T703"/>
      <c r="U703"/>
      <c r="V703"/>
      <c r="W703"/>
      <c r="X703"/>
      <c r="Y703"/>
      <c r="Z703"/>
      <c r="AA703"/>
      <c r="AB703"/>
      <c r="AC703"/>
      <c r="AD703"/>
      <c r="AE703"/>
      <c r="AF703"/>
      <c r="AG703"/>
    </row>
    <row r="704" spans="1:33" ht="72" customHeight="1" x14ac:dyDescent="0.25">
      <c r="A704" s="16"/>
      <c r="B704" s="16"/>
      <c r="C704" s="16"/>
      <c r="D704" s="16"/>
      <c r="E704" s="16"/>
      <c r="F704" s="16"/>
      <c r="G704" s="16"/>
      <c r="H704"/>
      <c r="I704"/>
      <c r="J704"/>
      <c r="K704"/>
      <c r="L704"/>
      <c r="M704"/>
      <c r="N704"/>
      <c r="O704"/>
      <c r="P704"/>
      <c r="Q704"/>
      <c r="R704"/>
      <c r="S704"/>
      <c r="T704"/>
      <c r="U704"/>
      <c r="V704"/>
      <c r="W704"/>
      <c r="X704"/>
      <c r="Y704"/>
      <c r="Z704"/>
      <c r="AA704"/>
      <c r="AB704"/>
      <c r="AC704"/>
      <c r="AD704"/>
      <c r="AE704"/>
      <c r="AF704"/>
      <c r="AG704"/>
    </row>
    <row r="705" spans="1:33" ht="72" customHeight="1" x14ac:dyDescent="0.25">
      <c r="A705" s="16"/>
      <c r="B705" s="16"/>
      <c r="C705" s="16"/>
      <c r="D705" s="16"/>
      <c r="E705" s="16"/>
      <c r="F705" s="16"/>
      <c r="G705" s="16"/>
      <c r="H705"/>
      <c r="I705"/>
      <c r="J705"/>
      <c r="K705"/>
      <c r="L705"/>
      <c r="M705"/>
      <c r="N705"/>
      <c r="O705"/>
      <c r="P705"/>
      <c r="Q705"/>
      <c r="R705"/>
      <c r="S705"/>
      <c r="T705"/>
      <c r="U705"/>
      <c r="V705"/>
      <c r="W705"/>
      <c r="X705"/>
      <c r="Y705"/>
      <c r="Z705"/>
      <c r="AA705"/>
      <c r="AB705"/>
      <c r="AC705"/>
      <c r="AD705"/>
      <c r="AE705"/>
      <c r="AF705"/>
      <c r="AG705"/>
    </row>
    <row r="706" spans="1:33" ht="72" customHeight="1" x14ac:dyDescent="0.25">
      <c r="A706" s="16"/>
      <c r="B706" s="16"/>
      <c r="C706" s="16"/>
      <c r="D706" s="16"/>
      <c r="E706" s="16"/>
      <c r="F706" s="16"/>
      <c r="G706" s="16"/>
      <c r="H706"/>
      <c r="I706"/>
      <c r="J706"/>
      <c r="K706"/>
      <c r="L706"/>
      <c r="M706"/>
      <c r="N706"/>
      <c r="O706"/>
      <c r="P706"/>
      <c r="Q706"/>
      <c r="R706"/>
      <c r="S706"/>
      <c r="T706"/>
      <c r="U706"/>
      <c r="V706"/>
      <c r="W706"/>
      <c r="X706"/>
      <c r="Y706"/>
      <c r="Z706"/>
      <c r="AA706"/>
      <c r="AB706"/>
      <c r="AC706"/>
      <c r="AD706"/>
      <c r="AE706"/>
      <c r="AF706"/>
      <c r="AG706"/>
    </row>
    <row r="707" spans="1:33" ht="72" customHeight="1" x14ac:dyDescent="0.25">
      <c r="A707" s="16"/>
      <c r="B707" s="16"/>
      <c r="C707" s="16"/>
      <c r="D707" s="16"/>
      <c r="E707" s="16"/>
      <c r="F707" s="16"/>
      <c r="G707" s="16"/>
      <c r="H707"/>
      <c r="I707"/>
      <c r="J707"/>
      <c r="K707"/>
      <c r="L707"/>
      <c r="M707"/>
      <c r="N707"/>
      <c r="O707"/>
      <c r="P707"/>
      <c r="Q707"/>
      <c r="R707"/>
      <c r="S707"/>
      <c r="T707"/>
      <c r="U707"/>
      <c r="V707"/>
      <c r="W707"/>
      <c r="X707"/>
      <c r="Y707"/>
      <c r="Z707"/>
      <c r="AA707"/>
      <c r="AB707"/>
      <c r="AC707"/>
      <c r="AD707"/>
      <c r="AE707"/>
      <c r="AF707"/>
      <c r="AG707"/>
    </row>
    <row r="708" spans="1:33" ht="72" customHeight="1" x14ac:dyDescent="0.25">
      <c r="A708" s="16"/>
      <c r="B708" s="16"/>
      <c r="C708" s="16"/>
      <c r="D708" s="16"/>
      <c r="E708" s="16"/>
      <c r="F708" s="16"/>
      <c r="G708" s="16"/>
      <c r="H708"/>
      <c r="I708"/>
      <c r="J708"/>
      <c r="K708"/>
      <c r="L708"/>
      <c r="M708"/>
      <c r="N708"/>
      <c r="O708"/>
      <c r="P708"/>
      <c r="Q708"/>
      <c r="R708"/>
      <c r="S708"/>
      <c r="T708"/>
      <c r="U708"/>
      <c r="V708"/>
      <c r="W708"/>
      <c r="X708"/>
      <c r="Y708"/>
      <c r="Z708"/>
      <c r="AA708"/>
      <c r="AB708"/>
      <c r="AC708"/>
      <c r="AD708"/>
      <c r="AE708"/>
      <c r="AF708"/>
      <c r="AG708"/>
    </row>
    <row r="709" spans="1:33" ht="72" customHeight="1" x14ac:dyDescent="0.25">
      <c r="A709" s="16"/>
      <c r="B709" s="16"/>
      <c r="C709" s="16"/>
      <c r="D709" s="16"/>
      <c r="E709" s="16"/>
      <c r="F709" s="16"/>
      <c r="G709" s="16"/>
      <c r="H709"/>
      <c r="I709"/>
      <c r="J709"/>
      <c r="K709"/>
      <c r="L709"/>
      <c r="M709"/>
      <c r="N709"/>
      <c r="O709"/>
      <c r="P709"/>
      <c r="Q709"/>
      <c r="R709"/>
      <c r="S709"/>
      <c r="T709"/>
      <c r="U709"/>
      <c r="V709"/>
      <c r="W709"/>
      <c r="X709"/>
      <c r="Y709"/>
      <c r="Z709"/>
      <c r="AA709"/>
      <c r="AB709"/>
      <c r="AC709"/>
      <c r="AD709"/>
      <c r="AE709"/>
      <c r="AF709"/>
      <c r="AG709"/>
    </row>
    <row r="710" spans="1:33" ht="72" customHeight="1" x14ac:dyDescent="0.25">
      <c r="A710" s="16"/>
      <c r="B710" s="16"/>
      <c r="C710" s="16"/>
      <c r="D710" s="16"/>
      <c r="E710" s="16"/>
      <c r="F710" s="16"/>
      <c r="G710" s="16"/>
      <c r="H710"/>
      <c r="I710"/>
      <c r="J710"/>
      <c r="K710"/>
      <c r="L710"/>
      <c r="M710"/>
      <c r="N710"/>
      <c r="O710"/>
      <c r="P710"/>
      <c r="Q710"/>
      <c r="R710"/>
      <c r="S710"/>
      <c r="T710"/>
      <c r="U710"/>
      <c r="V710"/>
      <c r="W710"/>
      <c r="X710"/>
      <c r="Y710"/>
      <c r="Z710"/>
      <c r="AA710"/>
      <c r="AB710"/>
      <c r="AC710"/>
      <c r="AD710"/>
      <c r="AE710"/>
      <c r="AF710"/>
      <c r="AG710"/>
    </row>
    <row r="711" spans="1:33" ht="72" customHeight="1" x14ac:dyDescent="0.25">
      <c r="A711" s="16"/>
      <c r="B711" s="16"/>
      <c r="C711" s="16"/>
      <c r="D711" s="16"/>
      <c r="E711" s="16"/>
      <c r="F711" s="16"/>
      <c r="G711" s="16"/>
      <c r="H711"/>
      <c r="I711"/>
      <c r="J711"/>
      <c r="K711"/>
      <c r="L711"/>
      <c r="M711"/>
      <c r="N711"/>
      <c r="O711"/>
      <c r="P711"/>
      <c r="Q711"/>
      <c r="R711"/>
      <c r="S711"/>
      <c r="T711"/>
      <c r="U711"/>
      <c r="V711"/>
      <c r="W711"/>
      <c r="X711"/>
      <c r="Y711"/>
      <c r="Z711"/>
      <c r="AA711"/>
      <c r="AB711"/>
      <c r="AC711"/>
      <c r="AD711"/>
      <c r="AE711"/>
      <c r="AF711"/>
      <c r="AG711"/>
    </row>
    <row r="712" spans="1:33" ht="72" customHeight="1" x14ac:dyDescent="0.25">
      <c r="A712" s="16"/>
      <c r="B712" s="16"/>
      <c r="C712" s="16"/>
      <c r="D712" s="16"/>
      <c r="E712" s="16"/>
      <c r="F712" s="16"/>
      <c r="G712" s="16"/>
      <c r="H712"/>
      <c r="I712"/>
      <c r="J712"/>
      <c r="K712"/>
      <c r="L712"/>
      <c r="M712"/>
      <c r="N712"/>
      <c r="O712"/>
      <c r="P712"/>
      <c r="Q712"/>
      <c r="R712"/>
      <c r="S712"/>
      <c r="T712"/>
      <c r="U712"/>
      <c r="V712"/>
      <c r="W712"/>
      <c r="X712"/>
      <c r="Y712"/>
      <c r="Z712"/>
      <c r="AA712"/>
      <c r="AB712"/>
      <c r="AC712"/>
      <c r="AD712"/>
      <c r="AE712"/>
      <c r="AF712"/>
      <c r="AG712"/>
    </row>
    <row r="713" spans="1:33" ht="72" customHeight="1" x14ac:dyDescent="0.25">
      <c r="A713" s="16"/>
      <c r="B713" s="16"/>
      <c r="C713" s="16"/>
      <c r="D713" s="16"/>
      <c r="E713" s="16"/>
      <c r="F713" s="16"/>
      <c r="G713" s="16"/>
      <c r="H713"/>
      <c r="I713"/>
      <c r="J713"/>
      <c r="K713"/>
      <c r="L713"/>
      <c r="M713"/>
      <c r="N713"/>
      <c r="O713"/>
      <c r="P713"/>
      <c r="Q713"/>
      <c r="R713"/>
      <c r="S713"/>
      <c r="T713"/>
      <c r="U713"/>
      <c r="V713"/>
      <c r="W713"/>
      <c r="X713"/>
      <c r="Y713"/>
      <c r="Z713"/>
      <c r="AA713"/>
      <c r="AB713"/>
      <c r="AC713"/>
      <c r="AD713"/>
      <c r="AE713"/>
      <c r="AF713"/>
      <c r="AG713"/>
    </row>
    <row r="714" spans="1:33" ht="72" customHeight="1" x14ac:dyDescent="0.25">
      <c r="A714" s="16"/>
      <c r="B714" s="16"/>
      <c r="C714" s="16"/>
      <c r="D714" s="16"/>
      <c r="E714" s="16"/>
      <c r="F714" s="16"/>
      <c r="G714" s="16"/>
      <c r="H714"/>
      <c r="I714"/>
      <c r="J714"/>
      <c r="K714"/>
      <c r="L714"/>
      <c r="M714"/>
      <c r="N714"/>
      <c r="O714"/>
      <c r="P714"/>
      <c r="Q714"/>
      <c r="R714"/>
      <c r="S714"/>
      <c r="T714"/>
      <c r="U714"/>
      <c r="V714"/>
      <c r="W714"/>
      <c r="X714"/>
      <c r="Y714"/>
      <c r="Z714"/>
      <c r="AA714"/>
      <c r="AB714"/>
      <c r="AC714"/>
      <c r="AD714"/>
      <c r="AE714"/>
      <c r="AF714"/>
      <c r="AG714"/>
    </row>
    <row r="715" spans="1:33" ht="72" customHeight="1" x14ac:dyDescent="0.25">
      <c r="A715" s="16"/>
      <c r="B715" s="16"/>
      <c r="C715" s="16"/>
      <c r="D715" s="16"/>
      <c r="E715" s="16"/>
      <c r="F715" s="16"/>
      <c r="G715" s="16"/>
      <c r="H715"/>
      <c r="I715"/>
      <c r="J715"/>
      <c r="K715"/>
      <c r="L715"/>
      <c r="M715"/>
      <c r="N715"/>
      <c r="O715"/>
      <c r="P715"/>
      <c r="Q715"/>
      <c r="R715"/>
      <c r="S715"/>
      <c r="T715"/>
      <c r="U715"/>
      <c r="V715"/>
      <c r="W715"/>
      <c r="X715"/>
      <c r="Y715"/>
      <c r="Z715"/>
      <c r="AA715"/>
      <c r="AB715"/>
      <c r="AC715"/>
      <c r="AD715"/>
      <c r="AE715"/>
      <c r="AF715"/>
      <c r="AG715"/>
    </row>
    <row r="716" spans="1:33" ht="72" customHeight="1" x14ac:dyDescent="0.25">
      <c r="A716" s="16"/>
      <c r="B716" s="16"/>
      <c r="C716" s="16"/>
      <c r="D716" s="16"/>
      <c r="E716" s="16"/>
      <c r="F716" s="16"/>
      <c r="G716" s="16"/>
      <c r="H716"/>
      <c r="I716"/>
      <c r="J716"/>
      <c r="K716"/>
      <c r="L716"/>
      <c r="M716"/>
      <c r="N716"/>
      <c r="O716"/>
      <c r="P716"/>
      <c r="Q716"/>
      <c r="R716"/>
      <c r="S716"/>
      <c r="T716"/>
      <c r="U716"/>
      <c r="V716"/>
      <c r="W716"/>
      <c r="X716"/>
      <c r="Y716"/>
      <c r="Z716"/>
      <c r="AA716"/>
      <c r="AB716"/>
      <c r="AC716"/>
      <c r="AD716"/>
      <c r="AE716"/>
      <c r="AF716"/>
      <c r="AG716"/>
    </row>
    <row r="717" spans="1:33" ht="72" customHeight="1" x14ac:dyDescent="0.25">
      <c r="A717" s="16"/>
      <c r="B717" s="16"/>
      <c r="C717" s="16"/>
      <c r="D717" s="16"/>
      <c r="E717" s="16"/>
      <c r="F717" s="16"/>
      <c r="G717" s="16"/>
      <c r="H717"/>
      <c r="I717"/>
      <c r="J717"/>
      <c r="K717"/>
      <c r="L717"/>
      <c r="M717"/>
      <c r="N717"/>
      <c r="O717"/>
      <c r="P717"/>
      <c r="Q717"/>
      <c r="R717"/>
      <c r="S717"/>
      <c r="T717"/>
      <c r="U717"/>
      <c r="V717"/>
      <c r="W717"/>
      <c r="X717"/>
      <c r="Y717"/>
      <c r="Z717"/>
      <c r="AA717"/>
      <c r="AB717"/>
      <c r="AC717"/>
      <c r="AD717"/>
      <c r="AE717"/>
      <c r="AF717"/>
      <c r="AG717"/>
    </row>
    <row r="718" spans="1:33" ht="72" customHeight="1" x14ac:dyDescent="0.25">
      <c r="A718" s="16"/>
      <c r="B718" s="16"/>
      <c r="C718" s="16"/>
      <c r="D718" s="16"/>
      <c r="E718" s="16"/>
      <c r="F718" s="16"/>
      <c r="G718" s="16"/>
      <c r="H718"/>
      <c r="I718"/>
      <c r="J718"/>
      <c r="K718"/>
      <c r="L718"/>
      <c r="M718"/>
      <c r="N718"/>
      <c r="O718"/>
      <c r="P718"/>
      <c r="Q718"/>
      <c r="R718"/>
      <c r="S718"/>
      <c r="T718"/>
      <c r="U718"/>
      <c r="V718"/>
      <c r="W718"/>
      <c r="X718"/>
      <c r="Y718"/>
      <c r="Z718"/>
      <c r="AA718"/>
      <c r="AB718"/>
      <c r="AC718"/>
      <c r="AD718"/>
      <c r="AE718"/>
      <c r="AF718"/>
      <c r="AG718"/>
    </row>
    <row r="719" spans="1:33" ht="72" customHeight="1" x14ac:dyDescent="0.25">
      <c r="A719" s="16"/>
      <c r="B719" s="16"/>
      <c r="C719" s="16"/>
      <c r="D719" s="16"/>
      <c r="E719" s="16"/>
      <c r="F719" s="16"/>
      <c r="G719" s="16"/>
      <c r="H719"/>
      <c r="I719"/>
      <c r="J719"/>
      <c r="K719"/>
      <c r="L719"/>
      <c r="M719"/>
      <c r="N719"/>
      <c r="O719"/>
      <c r="P719"/>
      <c r="Q719"/>
      <c r="R719"/>
      <c r="S719"/>
      <c r="T719"/>
      <c r="U719"/>
      <c r="V719"/>
      <c r="W719"/>
      <c r="X719"/>
      <c r="Y719"/>
      <c r="Z719"/>
      <c r="AA719"/>
      <c r="AB719"/>
      <c r="AC719"/>
      <c r="AD719"/>
      <c r="AE719"/>
      <c r="AF719"/>
      <c r="AG719"/>
    </row>
    <row r="720" spans="1:33" ht="72" customHeight="1" x14ac:dyDescent="0.25">
      <c r="A720" s="16"/>
      <c r="B720" s="16"/>
      <c r="C720" s="16"/>
      <c r="D720" s="16"/>
      <c r="E720" s="16"/>
      <c r="F720" s="16"/>
      <c r="G720" s="16"/>
      <c r="H720"/>
      <c r="I720"/>
      <c r="J720"/>
      <c r="K720"/>
      <c r="L720"/>
      <c r="M720"/>
      <c r="N720"/>
      <c r="O720"/>
      <c r="P720"/>
      <c r="Q720"/>
      <c r="R720"/>
      <c r="S720"/>
      <c r="T720"/>
      <c r="U720"/>
      <c r="V720"/>
      <c r="W720"/>
      <c r="X720"/>
      <c r="Y720"/>
      <c r="Z720"/>
      <c r="AA720"/>
      <c r="AB720"/>
      <c r="AC720"/>
      <c r="AD720"/>
      <c r="AE720"/>
      <c r="AF720"/>
      <c r="AG720"/>
    </row>
    <row r="721" spans="1:33" ht="72" customHeight="1" x14ac:dyDescent="0.25">
      <c r="A721" s="16"/>
      <c r="B721" s="16"/>
      <c r="C721" s="16"/>
      <c r="D721" s="16"/>
      <c r="E721" s="16"/>
      <c r="F721" s="16"/>
      <c r="G721" s="16"/>
      <c r="H721"/>
      <c r="I721"/>
      <c r="J721"/>
      <c r="K721"/>
      <c r="L721"/>
      <c r="M721"/>
      <c r="N721"/>
      <c r="O721"/>
      <c r="P721"/>
      <c r="Q721"/>
      <c r="R721"/>
      <c r="S721"/>
      <c r="T721"/>
      <c r="U721"/>
      <c r="V721"/>
      <c r="W721"/>
      <c r="X721"/>
      <c r="Y721"/>
      <c r="Z721"/>
      <c r="AA721"/>
      <c r="AB721"/>
      <c r="AC721"/>
      <c r="AD721"/>
      <c r="AE721"/>
      <c r="AF721"/>
      <c r="AG721"/>
    </row>
    <row r="722" spans="1:33" ht="72" customHeight="1" x14ac:dyDescent="0.25">
      <c r="A722" s="16"/>
      <c r="B722" s="16"/>
      <c r="C722" s="16"/>
      <c r="D722" s="16"/>
      <c r="E722" s="16"/>
      <c r="F722" s="16"/>
      <c r="G722" s="16"/>
      <c r="H722"/>
      <c r="I722"/>
      <c r="J722"/>
      <c r="K722"/>
      <c r="L722"/>
      <c r="M722"/>
      <c r="N722"/>
      <c r="O722"/>
      <c r="P722"/>
      <c r="Q722"/>
      <c r="R722"/>
      <c r="S722"/>
      <c r="T722"/>
      <c r="U722"/>
      <c r="V722"/>
      <c r="W722"/>
      <c r="X722"/>
      <c r="Y722"/>
      <c r="Z722"/>
      <c r="AA722"/>
      <c r="AB722"/>
      <c r="AC722"/>
      <c r="AD722"/>
      <c r="AE722"/>
      <c r="AF722"/>
      <c r="AG722"/>
    </row>
    <row r="723" spans="1:33" ht="72" customHeight="1" x14ac:dyDescent="0.25">
      <c r="A723" s="16"/>
      <c r="B723" s="16"/>
      <c r="C723" s="16"/>
      <c r="D723" s="16"/>
      <c r="E723" s="16"/>
      <c r="F723" s="16"/>
      <c r="G723" s="16"/>
      <c r="H723"/>
      <c r="I723"/>
      <c r="J723"/>
      <c r="K723"/>
      <c r="L723"/>
      <c r="M723"/>
      <c r="N723"/>
      <c r="O723"/>
      <c r="P723"/>
      <c r="Q723"/>
      <c r="R723"/>
      <c r="S723"/>
      <c r="T723"/>
      <c r="U723"/>
      <c r="V723"/>
      <c r="W723"/>
      <c r="X723"/>
      <c r="Y723"/>
      <c r="Z723"/>
      <c r="AA723"/>
      <c r="AB723"/>
      <c r="AC723"/>
      <c r="AD723"/>
      <c r="AE723"/>
      <c r="AF723"/>
      <c r="AG723"/>
    </row>
    <row r="724" spans="1:33" ht="72" customHeight="1" x14ac:dyDescent="0.25">
      <c r="A724" s="16"/>
      <c r="B724" s="16"/>
      <c r="C724" s="16"/>
      <c r="D724" s="16"/>
      <c r="E724" s="16"/>
      <c r="F724" s="16"/>
      <c r="G724" s="16"/>
      <c r="H724"/>
      <c r="I724"/>
      <c r="J724"/>
      <c r="K724"/>
      <c r="L724"/>
      <c r="M724"/>
      <c r="N724"/>
      <c r="O724"/>
      <c r="P724"/>
      <c r="Q724"/>
      <c r="R724"/>
      <c r="S724"/>
      <c r="T724"/>
      <c r="U724"/>
      <c r="V724"/>
      <c r="W724"/>
      <c r="X724"/>
      <c r="Y724"/>
      <c r="Z724"/>
      <c r="AA724"/>
      <c r="AB724"/>
      <c r="AC724"/>
      <c r="AD724"/>
      <c r="AE724"/>
      <c r="AF724"/>
      <c r="AG724"/>
    </row>
    <row r="725" spans="1:33" ht="72" customHeight="1" x14ac:dyDescent="0.25">
      <c r="A725" s="16"/>
      <c r="B725" s="16"/>
      <c r="C725" s="16"/>
      <c r="D725" s="16"/>
      <c r="E725" s="16"/>
      <c r="F725" s="16"/>
      <c r="G725" s="16"/>
      <c r="H725"/>
      <c r="I725"/>
      <c r="J725"/>
      <c r="K725"/>
      <c r="L725"/>
      <c r="M725"/>
      <c r="N725"/>
      <c r="O725"/>
      <c r="P725"/>
      <c r="Q725"/>
      <c r="R725"/>
      <c r="S725"/>
      <c r="T725"/>
      <c r="U725"/>
      <c r="V725"/>
      <c r="W725"/>
      <c r="X725"/>
      <c r="Y725"/>
      <c r="Z725"/>
      <c r="AA725"/>
      <c r="AB725"/>
      <c r="AC725"/>
      <c r="AD725"/>
      <c r="AE725"/>
      <c r="AF725"/>
      <c r="AG725"/>
    </row>
    <row r="726" spans="1:33" ht="72" customHeight="1" x14ac:dyDescent="0.25">
      <c r="A726" s="16"/>
      <c r="B726" s="16"/>
      <c r="C726" s="16"/>
      <c r="D726" s="16"/>
      <c r="E726" s="16"/>
      <c r="F726" s="16"/>
      <c r="G726" s="16"/>
      <c r="H726"/>
      <c r="I726"/>
      <c r="J726"/>
      <c r="K726"/>
      <c r="L726"/>
      <c r="M726"/>
      <c r="N726"/>
      <c r="O726"/>
      <c r="P726"/>
      <c r="Q726"/>
      <c r="R726"/>
      <c r="S726"/>
      <c r="T726"/>
      <c r="U726"/>
      <c r="V726"/>
      <c r="W726"/>
      <c r="X726"/>
      <c r="Y726"/>
      <c r="Z726"/>
      <c r="AA726"/>
      <c r="AB726"/>
      <c r="AC726"/>
      <c r="AD726"/>
      <c r="AE726"/>
      <c r="AF726"/>
      <c r="AG726"/>
    </row>
    <row r="727" spans="1:33" ht="72" customHeight="1" x14ac:dyDescent="0.25">
      <c r="A727" s="16"/>
      <c r="B727" s="16"/>
      <c r="C727" s="16"/>
      <c r="D727" s="16"/>
      <c r="E727" s="16"/>
      <c r="F727" s="16"/>
      <c r="G727" s="16"/>
      <c r="H727"/>
      <c r="I727"/>
      <c r="J727"/>
      <c r="K727"/>
      <c r="L727"/>
      <c r="M727"/>
      <c r="N727"/>
      <c r="O727"/>
      <c r="P727"/>
      <c r="Q727"/>
      <c r="R727"/>
      <c r="S727"/>
      <c r="T727"/>
      <c r="U727"/>
      <c r="V727"/>
      <c r="W727"/>
      <c r="X727"/>
      <c r="Y727"/>
      <c r="Z727"/>
      <c r="AA727"/>
      <c r="AB727"/>
      <c r="AC727"/>
      <c r="AD727"/>
      <c r="AE727"/>
      <c r="AF727"/>
      <c r="AG727"/>
    </row>
    <row r="728" spans="1:33" ht="72" customHeight="1" x14ac:dyDescent="0.25">
      <c r="A728" s="16"/>
      <c r="B728" s="16"/>
      <c r="C728" s="16"/>
      <c r="D728" s="16"/>
      <c r="E728" s="16"/>
      <c r="F728" s="16"/>
      <c r="G728" s="16"/>
      <c r="H728"/>
      <c r="I728"/>
      <c r="J728"/>
      <c r="K728"/>
      <c r="L728"/>
      <c r="M728"/>
      <c r="N728"/>
      <c r="O728"/>
      <c r="P728"/>
      <c r="Q728"/>
      <c r="R728"/>
      <c r="S728"/>
      <c r="T728"/>
      <c r="U728"/>
      <c r="V728"/>
      <c r="W728"/>
      <c r="X728"/>
      <c r="Y728"/>
      <c r="Z728"/>
      <c r="AA728"/>
      <c r="AB728"/>
      <c r="AC728"/>
      <c r="AD728"/>
      <c r="AE728"/>
      <c r="AF728"/>
      <c r="AG728"/>
    </row>
    <row r="729" spans="1:33" ht="72" customHeight="1" x14ac:dyDescent="0.25">
      <c r="A729" s="16"/>
      <c r="B729" s="16"/>
      <c r="C729" s="16"/>
      <c r="D729" s="16"/>
      <c r="E729" s="16"/>
      <c r="F729" s="16"/>
      <c r="G729" s="16"/>
      <c r="H729"/>
      <c r="I729"/>
      <c r="J729"/>
      <c r="K729"/>
      <c r="L729"/>
      <c r="M729"/>
      <c r="N729"/>
      <c r="O729"/>
      <c r="P729"/>
      <c r="Q729"/>
      <c r="R729"/>
      <c r="S729"/>
      <c r="T729"/>
      <c r="U729"/>
      <c r="V729"/>
      <c r="W729"/>
      <c r="X729"/>
      <c r="Y729"/>
      <c r="Z729"/>
      <c r="AA729"/>
      <c r="AB729"/>
      <c r="AC729"/>
      <c r="AD729"/>
      <c r="AE729"/>
      <c r="AF729"/>
      <c r="AG729"/>
    </row>
    <row r="730" spans="1:33" ht="72" customHeight="1" x14ac:dyDescent="0.25">
      <c r="A730" s="16"/>
      <c r="B730" s="16"/>
      <c r="C730" s="16"/>
      <c r="D730" s="16"/>
      <c r="E730" s="16"/>
      <c r="F730" s="16"/>
      <c r="G730" s="16"/>
      <c r="H730"/>
      <c r="I730"/>
      <c r="J730"/>
      <c r="K730"/>
      <c r="L730"/>
      <c r="M730"/>
      <c r="N730"/>
      <c r="O730"/>
      <c r="P730"/>
      <c r="Q730"/>
      <c r="R730"/>
      <c r="S730"/>
      <c r="T730"/>
      <c r="U730"/>
      <c r="V730"/>
      <c r="W730"/>
      <c r="X730"/>
      <c r="Y730"/>
      <c r="Z730"/>
      <c r="AA730"/>
      <c r="AB730"/>
      <c r="AC730"/>
      <c r="AD730"/>
      <c r="AE730"/>
      <c r="AF730"/>
      <c r="AG730"/>
    </row>
    <row r="731" spans="1:33" ht="72" customHeight="1" x14ac:dyDescent="0.25">
      <c r="A731" s="16"/>
      <c r="B731" s="16"/>
      <c r="C731" s="16"/>
      <c r="D731" s="16"/>
      <c r="E731" s="16"/>
      <c r="F731" s="16"/>
      <c r="G731" s="16"/>
      <c r="H731"/>
      <c r="I731"/>
      <c r="J731"/>
      <c r="K731"/>
      <c r="L731"/>
      <c r="M731"/>
      <c r="N731"/>
      <c r="O731"/>
      <c r="P731"/>
      <c r="Q731"/>
      <c r="R731"/>
      <c r="S731"/>
      <c r="T731"/>
      <c r="U731"/>
      <c r="V731"/>
      <c r="W731"/>
      <c r="X731"/>
      <c r="Y731"/>
      <c r="Z731"/>
      <c r="AA731"/>
      <c r="AB731"/>
      <c r="AC731"/>
      <c r="AD731"/>
      <c r="AE731"/>
      <c r="AF731"/>
      <c r="AG731"/>
    </row>
    <row r="732" spans="1:33" ht="72" customHeight="1" x14ac:dyDescent="0.25">
      <c r="A732" s="16"/>
      <c r="B732" s="16"/>
      <c r="C732" s="16"/>
      <c r="D732" s="16"/>
      <c r="E732" s="16"/>
      <c r="F732" s="16"/>
      <c r="G732" s="16"/>
      <c r="H732"/>
      <c r="I732"/>
      <c r="J732"/>
      <c r="K732"/>
      <c r="L732"/>
      <c r="M732"/>
      <c r="N732"/>
      <c r="O732"/>
      <c r="P732"/>
      <c r="Q732"/>
      <c r="R732"/>
      <c r="S732"/>
      <c r="T732"/>
      <c r="U732"/>
      <c r="V732"/>
      <c r="W732"/>
      <c r="X732"/>
      <c r="Y732"/>
      <c r="Z732"/>
      <c r="AA732"/>
      <c r="AB732"/>
      <c r="AC732"/>
      <c r="AD732"/>
      <c r="AE732"/>
      <c r="AF732"/>
      <c r="AG732"/>
    </row>
    <row r="733" spans="1:33" ht="72" customHeight="1" x14ac:dyDescent="0.25">
      <c r="A733" s="16"/>
      <c r="B733" s="16"/>
      <c r="C733" s="16"/>
      <c r="D733" s="16"/>
      <c r="E733" s="16"/>
      <c r="F733" s="16"/>
      <c r="G733" s="16"/>
      <c r="H733"/>
      <c r="I733"/>
      <c r="J733"/>
      <c r="K733"/>
      <c r="L733"/>
      <c r="M733"/>
      <c r="N733"/>
      <c r="O733"/>
      <c r="P733"/>
      <c r="Q733"/>
      <c r="R733"/>
      <c r="S733"/>
      <c r="T733"/>
      <c r="U733"/>
      <c r="V733"/>
      <c r="W733"/>
      <c r="X733"/>
      <c r="Y733"/>
      <c r="Z733"/>
      <c r="AA733"/>
      <c r="AB733"/>
      <c r="AC733"/>
      <c r="AD733"/>
      <c r="AE733"/>
      <c r="AF733"/>
      <c r="AG733"/>
    </row>
    <row r="734" spans="1:33" ht="72" customHeight="1" x14ac:dyDescent="0.25">
      <c r="A734" s="16"/>
      <c r="B734" s="16"/>
      <c r="C734" s="16"/>
      <c r="D734" s="16"/>
      <c r="E734" s="16"/>
      <c r="F734" s="16"/>
      <c r="G734" s="16"/>
      <c r="H734"/>
      <c r="I734"/>
      <c r="J734"/>
      <c r="K734"/>
      <c r="L734"/>
      <c r="M734"/>
      <c r="N734"/>
      <c r="O734"/>
      <c r="P734"/>
      <c r="Q734"/>
      <c r="R734"/>
      <c r="S734"/>
      <c r="T734"/>
      <c r="U734"/>
      <c r="V734"/>
      <c r="W734"/>
      <c r="X734"/>
      <c r="Y734"/>
      <c r="Z734"/>
      <c r="AA734"/>
      <c r="AB734"/>
      <c r="AC734"/>
      <c r="AD734"/>
      <c r="AE734"/>
      <c r="AF734"/>
      <c r="AG734"/>
    </row>
    <row r="735" spans="1:33" ht="72" customHeight="1" x14ac:dyDescent="0.25">
      <c r="A735" s="16"/>
      <c r="B735" s="16"/>
      <c r="C735" s="16"/>
      <c r="D735" s="16"/>
      <c r="E735" s="16"/>
      <c r="F735" s="16"/>
      <c r="G735" s="16"/>
      <c r="H735"/>
      <c r="I735"/>
      <c r="J735"/>
      <c r="K735"/>
      <c r="L735"/>
      <c r="M735"/>
      <c r="N735"/>
      <c r="O735"/>
      <c r="P735"/>
      <c r="Q735"/>
      <c r="R735"/>
      <c r="S735"/>
      <c r="T735"/>
      <c r="U735"/>
      <c r="V735"/>
      <c r="W735"/>
      <c r="X735"/>
      <c r="Y735"/>
      <c r="Z735"/>
      <c r="AA735"/>
      <c r="AB735"/>
      <c r="AC735"/>
      <c r="AD735"/>
      <c r="AE735"/>
      <c r="AF735"/>
      <c r="AG735"/>
    </row>
    <row r="736" spans="1:33" ht="72" customHeight="1" x14ac:dyDescent="0.25">
      <c r="A736" s="16"/>
      <c r="B736" s="16"/>
      <c r="C736" s="16"/>
      <c r="D736" s="16"/>
      <c r="E736" s="16"/>
      <c r="F736" s="16"/>
      <c r="G736" s="16"/>
      <c r="H736"/>
      <c r="I736"/>
      <c r="J736"/>
      <c r="K736"/>
      <c r="L736"/>
      <c r="M736"/>
      <c r="N736"/>
      <c r="O736"/>
      <c r="P736"/>
      <c r="Q736"/>
      <c r="R736"/>
      <c r="S736"/>
      <c r="T736"/>
      <c r="U736"/>
      <c r="V736"/>
      <c r="W736"/>
      <c r="X736"/>
      <c r="Y736"/>
      <c r="Z736"/>
      <c r="AA736"/>
      <c r="AB736"/>
      <c r="AC736"/>
      <c r="AD736"/>
      <c r="AE736"/>
      <c r="AF736"/>
      <c r="AG736"/>
    </row>
    <row r="737" spans="1:33" ht="72" customHeight="1" x14ac:dyDescent="0.25">
      <c r="A737" s="16"/>
      <c r="B737" s="16"/>
      <c r="C737" s="16"/>
      <c r="D737" s="16"/>
      <c r="E737" s="16"/>
      <c r="F737" s="16"/>
      <c r="G737" s="16"/>
      <c r="H737"/>
      <c r="I737"/>
      <c r="J737"/>
      <c r="K737"/>
      <c r="L737"/>
      <c r="M737"/>
      <c r="N737"/>
      <c r="O737"/>
      <c r="P737"/>
      <c r="Q737"/>
      <c r="R737"/>
      <c r="S737"/>
      <c r="T737"/>
      <c r="U737"/>
      <c r="V737"/>
      <c r="W737"/>
      <c r="X737"/>
      <c r="Y737"/>
      <c r="Z737"/>
      <c r="AA737"/>
      <c r="AB737"/>
      <c r="AC737"/>
      <c r="AD737"/>
      <c r="AE737"/>
      <c r="AF737"/>
      <c r="AG737"/>
    </row>
    <row r="738" spans="1:33" ht="72" customHeight="1" x14ac:dyDescent="0.25">
      <c r="A738" s="16"/>
      <c r="B738" s="16"/>
      <c r="C738" s="16"/>
      <c r="D738" s="16"/>
      <c r="E738" s="16"/>
      <c r="F738" s="16"/>
      <c r="G738" s="16"/>
      <c r="H738"/>
      <c r="I738"/>
      <c r="J738"/>
      <c r="K738"/>
      <c r="L738"/>
      <c r="M738"/>
      <c r="N738"/>
      <c r="O738"/>
      <c r="P738"/>
      <c r="Q738"/>
      <c r="R738"/>
      <c r="S738"/>
      <c r="T738"/>
      <c r="U738"/>
      <c r="V738"/>
      <c r="W738"/>
      <c r="X738"/>
      <c r="Y738"/>
      <c r="Z738"/>
      <c r="AA738"/>
      <c r="AB738"/>
      <c r="AC738"/>
      <c r="AD738"/>
      <c r="AE738"/>
      <c r="AF738"/>
      <c r="AG738"/>
    </row>
    <row r="739" spans="1:33" ht="72" customHeight="1" x14ac:dyDescent="0.25">
      <c r="A739" s="16"/>
      <c r="B739" s="16"/>
      <c r="C739" s="16"/>
      <c r="D739" s="16"/>
      <c r="E739" s="16"/>
      <c r="F739" s="16"/>
      <c r="G739" s="16"/>
      <c r="H739"/>
      <c r="I739"/>
      <c r="J739"/>
      <c r="K739"/>
      <c r="L739"/>
      <c r="M739"/>
      <c r="N739"/>
      <c r="O739"/>
      <c r="P739"/>
      <c r="Q739"/>
      <c r="R739"/>
      <c r="S739"/>
      <c r="T739"/>
      <c r="U739"/>
      <c r="V739"/>
      <c r="W739"/>
      <c r="X739"/>
      <c r="Y739"/>
      <c r="Z739"/>
      <c r="AA739"/>
      <c r="AB739"/>
      <c r="AC739"/>
      <c r="AD739"/>
      <c r="AE739"/>
      <c r="AF739"/>
      <c r="AG739"/>
    </row>
    <row r="740" spans="1:33" ht="72" customHeight="1" x14ac:dyDescent="0.25">
      <c r="A740" s="16"/>
      <c r="B740" s="16"/>
      <c r="C740" s="16"/>
      <c r="D740" s="16"/>
      <c r="E740" s="16"/>
      <c r="F740" s="16"/>
      <c r="G740" s="16"/>
      <c r="H740"/>
      <c r="I740"/>
      <c r="J740"/>
      <c r="K740"/>
      <c r="L740"/>
      <c r="M740"/>
      <c r="N740"/>
      <c r="O740"/>
      <c r="P740"/>
      <c r="Q740"/>
      <c r="R740"/>
      <c r="S740"/>
      <c r="T740"/>
      <c r="U740"/>
      <c r="V740"/>
      <c r="W740"/>
      <c r="X740"/>
      <c r="Y740"/>
      <c r="Z740"/>
      <c r="AA740"/>
      <c r="AB740"/>
      <c r="AC740"/>
      <c r="AD740"/>
      <c r="AE740"/>
      <c r="AF740"/>
      <c r="AG740"/>
    </row>
    <row r="741" spans="1:33" ht="72" customHeight="1" x14ac:dyDescent="0.25">
      <c r="A741" s="16"/>
      <c r="B741" s="16"/>
      <c r="C741" s="16"/>
      <c r="D741" s="16"/>
      <c r="E741" s="16"/>
      <c r="F741" s="16"/>
      <c r="G741" s="16"/>
      <c r="H741"/>
      <c r="I741"/>
      <c r="J741"/>
      <c r="K741"/>
      <c r="L741"/>
      <c r="M741"/>
      <c r="N741"/>
      <c r="O741"/>
      <c r="P741"/>
      <c r="Q741"/>
      <c r="R741"/>
      <c r="S741"/>
      <c r="T741"/>
      <c r="U741"/>
      <c r="V741"/>
      <c r="W741"/>
      <c r="X741"/>
      <c r="Y741"/>
      <c r="Z741"/>
      <c r="AA741"/>
      <c r="AB741"/>
      <c r="AC741"/>
      <c r="AD741"/>
      <c r="AE741"/>
      <c r="AF741"/>
      <c r="AG741"/>
    </row>
    <row r="742" spans="1:33" ht="72" customHeight="1" x14ac:dyDescent="0.25">
      <c r="A742" s="16"/>
      <c r="B742" s="16"/>
      <c r="C742" s="16"/>
      <c r="D742" s="16"/>
      <c r="E742" s="16"/>
      <c r="F742" s="16"/>
      <c r="G742" s="16"/>
      <c r="H742"/>
      <c r="I742"/>
      <c r="J742"/>
      <c r="K742"/>
      <c r="L742"/>
      <c r="M742"/>
      <c r="N742"/>
      <c r="O742"/>
      <c r="P742"/>
      <c r="Q742"/>
      <c r="R742"/>
      <c r="S742"/>
      <c r="T742"/>
      <c r="U742"/>
      <c r="V742"/>
      <c r="W742"/>
      <c r="X742"/>
      <c r="Y742"/>
      <c r="Z742"/>
      <c r="AA742"/>
      <c r="AB742"/>
      <c r="AC742"/>
      <c r="AD742"/>
      <c r="AE742"/>
      <c r="AF742"/>
      <c r="AG742"/>
    </row>
    <row r="743" spans="1:33" ht="72" customHeight="1" x14ac:dyDescent="0.25">
      <c r="A743" s="16"/>
      <c r="B743" s="16"/>
      <c r="C743" s="16"/>
      <c r="D743" s="16"/>
      <c r="E743" s="16"/>
      <c r="F743" s="16"/>
      <c r="G743" s="16"/>
      <c r="H743"/>
      <c r="I743"/>
      <c r="J743"/>
      <c r="K743"/>
      <c r="L743"/>
      <c r="M743"/>
      <c r="N743"/>
      <c r="O743"/>
      <c r="P743"/>
      <c r="Q743"/>
      <c r="R743"/>
      <c r="S743"/>
      <c r="T743"/>
      <c r="U743"/>
      <c r="V743"/>
      <c r="W743"/>
      <c r="X743"/>
      <c r="Y743"/>
      <c r="Z743"/>
      <c r="AA743"/>
      <c r="AB743"/>
      <c r="AC743"/>
      <c r="AD743"/>
      <c r="AE743"/>
      <c r="AF743"/>
      <c r="AG743"/>
    </row>
    <row r="744" spans="1:33" ht="72" customHeight="1" x14ac:dyDescent="0.25">
      <c r="A744" s="16"/>
      <c r="B744" s="16"/>
      <c r="C744" s="16"/>
      <c r="D744" s="16"/>
      <c r="E744" s="16"/>
      <c r="F744" s="16"/>
      <c r="G744" s="16"/>
      <c r="H744"/>
      <c r="I744"/>
      <c r="J744"/>
      <c r="K744"/>
      <c r="L744"/>
      <c r="M744"/>
      <c r="N744"/>
      <c r="O744"/>
      <c r="P744"/>
      <c r="Q744"/>
      <c r="R744"/>
      <c r="S744"/>
      <c r="T744"/>
      <c r="U744"/>
      <c r="V744"/>
      <c r="W744"/>
      <c r="X744"/>
      <c r="Y744"/>
      <c r="Z744"/>
      <c r="AA744"/>
      <c r="AB744"/>
      <c r="AC744"/>
      <c r="AD744"/>
      <c r="AE744"/>
      <c r="AF744"/>
      <c r="AG744"/>
    </row>
    <row r="745" spans="1:33" ht="72" customHeight="1" x14ac:dyDescent="0.25">
      <c r="A745" s="16"/>
      <c r="B745" s="16"/>
      <c r="C745" s="16"/>
      <c r="D745" s="16"/>
      <c r="E745" s="16"/>
      <c r="F745" s="16"/>
      <c r="G745" s="16"/>
      <c r="H745"/>
      <c r="I745"/>
      <c r="J745"/>
      <c r="K745"/>
      <c r="L745"/>
      <c r="M745"/>
      <c r="N745"/>
      <c r="O745"/>
      <c r="P745"/>
      <c r="Q745"/>
      <c r="R745"/>
      <c r="S745"/>
      <c r="T745"/>
      <c r="U745"/>
      <c r="V745"/>
      <c r="W745"/>
      <c r="X745"/>
      <c r="Y745"/>
      <c r="Z745"/>
      <c r="AA745"/>
      <c r="AB745"/>
      <c r="AC745"/>
      <c r="AD745"/>
      <c r="AE745"/>
      <c r="AF745"/>
      <c r="AG745"/>
    </row>
    <row r="746" spans="1:33" ht="72" customHeight="1" x14ac:dyDescent="0.25">
      <c r="A746" s="16"/>
      <c r="B746" s="16"/>
      <c r="C746" s="16"/>
      <c r="D746" s="16"/>
      <c r="E746" s="16"/>
      <c r="F746" s="16"/>
      <c r="G746" s="16"/>
      <c r="H746"/>
      <c r="I746"/>
      <c r="J746"/>
      <c r="K746"/>
      <c r="L746"/>
      <c r="M746"/>
      <c r="N746"/>
      <c r="O746"/>
      <c r="P746"/>
      <c r="Q746"/>
      <c r="R746"/>
      <c r="S746"/>
      <c r="T746"/>
      <c r="U746"/>
      <c r="V746"/>
      <c r="W746"/>
      <c r="X746"/>
      <c r="Y746"/>
      <c r="Z746"/>
      <c r="AA746"/>
      <c r="AB746"/>
      <c r="AC746"/>
      <c r="AD746"/>
      <c r="AE746"/>
      <c r="AF746"/>
      <c r="AG746"/>
    </row>
    <row r="747" spans="1:33" ht="72" customHeight="1" x14ac:dyDescent="0.25">
      <c r="A747" s="16"/>
      <c r="B747" s="16"/>
      <c r="C747" s="16"/>
      <c r="D747" s="16"/>
      <c r="E747" s="16"/>
      <c r="F747" s="16"/>
      <c r="G747" s="16"/>
      <c r="H747"/>
      <c r="I747"/>
      <c r="J747"/>
      <c r="K747"/>
      <c r="L747"/>
      <c r="M747"/>
      <c r="N747"/>
      <c r="O747"/>
      <c r="P747"/>
      <c r="Q747"/>
      <c r="R747"/>
      <c r="S747"/>
      <c r="T747"/>
      <c r="U747"/>
      <c r="V747"/>
      <c r="W747"/>
      <c r="X747"/>
      <c r="Y747"/>
      <c r="Z747"/>
      <c r="AA747"/>
      <c r="AB747"/>
      <c r="AC747"/>
      <c r="AD747"/>
      <c r="AE747"/>
      <c r="AF747"/>
      <c r="AG747"/>
    </row>
    <row r="748" spans="1:33" ht="72" customHeight="1" x14ac:dyDescent="0.25">
      <c r="A748" s="16"/>
      <c r="B748" s="16"/>
      <c r="C748" s="16"/>
      <c r="D748" s="16"/>
      <c r="E748" s="16"/>
      <c r="F748" s="16"/>
      <c r="G748" s="16"/>
      <c r="H748"/>
      <c r="I748"/>
      <c r="J748"/>
      <c r="K748"/>
      <c r="L748"/>
      <c r="M748"/>
      <c r="N748"/>
      <c r="O748"/>
      <c r="P748"/>
      <c r="Q748"/>
      <c r="R748"/>
      <c r="S748"/>
      <c r="T748"/>
      <c r="U748"/>
      <c r="V748"/>
      <c r="W748"/>
      <c r="X748"/>
      <c r="Y748"/>
      <c r="Z748"/>
      <c r="AA748"/>
      <c r="AB748"/>
      <c r="AC748"/>
      <c r="AD748"/>
      <c r="AE748"/>
      <c r="AF748"/>
      <c r="AG748"/>
    </row>
    <row r="749" spans="1:33" ht="72" customHeight="1" x14ac:dyDescent="0.25">
      <c r="A749" s="16"/>
      <c r="B749" s="16"/>
      <c r="C749" s="16"/>
      <c r="D749" s="16"/>
      <c r="E749" s="16"/>
      <c r="F749" s="16"/>
      <c r="G749" s="16"/>
      <c r="H749"/>
      <c r="I749"/>
      <c r="J749"/>
      <c r="K749"/>
      <c r="L749"/>
      <c r="M749"/>
      <c r="N749"/>
      <c r="O749"/>
      <c r="P749"/>
      <c r="Q749"/>
      <c r="R749"/>
      <c r="S749"/>
      <c r="T749"/>
      <c r="U749"/>
      <c r="V749"/>
      <c r="W749"/>
      <c r="X749"/>
      <c r="Y749"/>
      <c r="Z749"/>
      <c r="AA749"/>
      <c r="AB749"/>
      <c r="AC749"/>
      <c r="AD749"/>
      <c r="AE749"/>
      <c r="AF749"/>
      <c r="AG749"/>
    </row>
    <row r="750" spans="1:33" ht="72" customHeight="1" x14ac:dyDescent="0.25">
      <c r="A750" s="16"/>
      <c r="B750" s="16"/>
      <c r="C750" s="16"/>
      <c r="D750" s="16"/>
      <c r="E750" s="16"/>
      <c r="F750" s="16"/>
      <c r="G750" s="16"/>
      <c r="H750"/>
      <c r="I750"/>
      <c r="J750"/>
      <c r="K750"/>
      <c r="L750"/>
      <c r="M750"/>
      <c r="N750"/>
      <c r="O750"/>
      <c r="P750"/>
      <c r="Q750"/>
      <c r="R750"/>
      <c r="S750"/>
      <c r="T750"/>
      <c r="U750"/>
      <c r="V750"/>
      <c r="W750"/>
      <c r="X750"/>
      <c r="Y750"/>
      <c r="Z750"/>
      <c r="AA750"/>
      <c r="AB750"/>
      <c r="AC750"/>
      <c r="AD750"/>
      <c r="AE750"/>
      <c r="AF750"/>
      <c r="AG750"/>
    </row>
    <row r="751" spans="1:33" ht="72" customHeight="1" x14ac:dyDescent="0.25">
      <c r="A751" s="16"/>
      <c r="B751" s="16"/>
      <c r="C751" s="16"/>
      <c r="D751" s="16"/>
      <c r="E751" s="16"/>
      <c r="F751" s="16"/>
      <c r="G751" s="16"/>
      <c r="H751"/>
      <c r="I751"/>
      <c r="J751"/>
      <c r="K751"/>
      <c r="L751"/>
      <c r="M751"/>
      <c r="N751"/>
      <c r="O751"/>
      <c r="P751"/>
      <c r="Q751"/>
      <c r="R751"/>
      <c r="S751"/>
      <c r="T751"/>
      <c r="U751"/>
      <c r="V751"/>
      <c r="W751"/>
      <c r="X751"/>
      <c r="Y751"/>
      <c r="Z751"/>
      <c r="AA751"/>
      <c r="AB751"/>
      <c r="AC751"/>
      <c r="AD751"/>
      <c r="AE751"/>
      <c r="AF751"/>
      <c r="AG751"/>
    </row>
    <row r="752" spans="1:33" ht="72" customHeight="1" x14ac:dyDescent="0.25">
      <c r="A752" s="16"/>
      <c r="B752" s="16"/>
      <c r="C752" s="16"/>
      <c r="D752" s="16"/>
      <c r="E752" s="16"/>
      <c r="F752" s="16"/>
      <c r="G752" s="16"/>
      <c r="H752"/>
      <c r="I752"/>
      <c r="J752"/>
      <c r="K752"/>
      <c r="L752"/>
      <c r="M752"/>
      <c r="N752"/>
      <c r="O752"/>
      <c r="P752"/>
      <c r="Q752"/>
      <c r="R752"/>
      <c r="S752"/>
      <c r="T752"/>
      <c r="U752"/>
      <c r="V752"/>
      <c r="W752"/>
      <c r="X752"/>
      <c r="Y752"/>
      <c r="Z752"/>
      <c r="AA752"/>
      <c r="AB752"/>
      <c r="AC752"/>
      <c r="AD752"/>
      <c r="AE752"/>
      <c r="AF752"/>
      <c r="AG752"/>
    </row>
    <row r="753" spans="1:33" ht="72" customHeight="1" x14ac:dyDescent="0.25">
      <c r="A753" s="16"/>
      <c r="B753" s="16"/>
      <c r="C753" s="16"/>
      <c r="D753" s="16"/>
      <c r="E753" s="16"/>
      <c r="F753" s="16"/>
      <c r="G753" s="16"/>
      <c r="H753"/>
      <c r="I753"/>
      <c r="J753"/>
      <c r="K753"/>
      <c r="L753"/>
      <c r="M753"/>
      <c r="N753"/>
      <c r="O753"/>
      <c r="P753"/>
      <c r="Q753"/>
      <c r="R753"/>
      <c r="S753"/>
      <c r="T753"/>
      <c r="U753"/>
      <c r="V753"/>
      <c r="W753"/>
      <c r="X753"/>
      <c r="Y753"/>
      <c r="Z753"/>
      <c r="AA753"/>
      <c r="AB753"/>
      <c r="AC753"/>
      <c r="AD753"/>
      <c r="AE753"/>
      <c r="AF753"/>
      <c r="AG753"/>
    </row>
    <row r="754" spans="1:33" ht="72" customHeight="1" x14ac:dyDescent="0.25">
      <c r="A754" s="16"/>
      <c r="B754" s="16"/>
      <c r="C754" s="16"/>
      <c r="D754" s="16"/>
      <c r="E754" s="16"/>
      <c r="F754" s="16"/>
      <c r="G754" s="16"/>
      <c r="H754"/>
      <c r="I754"/>
      <c r="J754"/>
      <c r="K754"/>
      <c r="L754"/>
      <c r="M754"/>
      <c r="N754"/>
      <c r="O754"/>
      <c r="P754"/>
      <c r="Q754"/>
      <c r="R754"/>
      <c r="S754"/>
      <c r="T754"/>
      <c r="U754"/>
      <c r="V754"/>
      <c r="W754"/>
      <c r="X754"/>
      <c r="Y754"/>
      <c r="Z754"/>
      <c r="AA754"/>
      <c r="AB754"/>
      <c r="AC754"/>
      <c r="AD754"/>
      <c r="AE754"/>
      <c r="AF754"/>
      <c r="AG754"/>
    </row>
    <row r="755" spans="1:33" ht="72" customHeight="1" x14ac:dyDescent="0.25">
      <c r="A755" s="16"/>
      <c r="B755" s="16"/>
      <c r="C755" s="16"/>
      <c r="D755" s="16"/>
      <c r="E755" s="16"/>
      <c r="F755" s="16"/>
      <c r="G755" s="16"/>
      <c r="H755"/>
      <c r="I755"/>
      <c r="J755"/>
      <c r="K755"/>
      <c r="L755"/>
      <c r="M755"/>
      <c r="N755"/>
      <c r="O755"/>
      <c r="P755"/>
      <c r="Q755"/>
      <c r="R755"/>
      <c r="S755"/>
      <c r="T755"/>
      <c r="U755"/>
      <c r="V755"/>
      <c r="W755"/>
      <c r="X755"/>
      <c r="Y755"/>
      <c r="Z755"/>
      <c r="AA755"/>
      <c r="AB755"/>
      <c r="AC755"/>
      <c r="AD755"/>
      <c r="AE755"/>
      <c r="AF755"/>
      <c r="AG755"/>
    </row>
    <row r="756" spans="1:33" ht="72" customHeight="1" x14ac:dyDescent="0.25">
      <c r="A756" s="16"/>
      <c r="B756" s="16"/>
      <c r="C756" s="16"/>
      <c r="D756" s="16"/>
      <c r="E756" s="16"/>
      <c r="F756" s="16"/>
      <c r="G756" s="16"/>
      <c r="H756"/>
      <c r="I756"/>
      <c r="J756"/>
      <c r="K756"/>
      <c r="L756"/>
      <c r="M756"/>
      <c r="N756"/>
      <c r="O756"/>
      <c r="P756"/>
      <c r="Q756"/>
      <c r="R756"/>
      <c r="S756"/>
      <c r="T756"/>
      <c r="U756"/>
      <c r="V756"/>
      <c r="W756"/>
      <c r="X756"/>
      <c r="Y756"/>
      <c r="Z756"/>
      <c r="AA756"/>
      <c r="AB756"/>
      <c r="AC756"/>
      <c r="AD756"/>
      <c r="AE756"/>
      <c r="AF756"/>
      <c r="AG756"/>
    </row>
    <row r="757" spans="1:33" ht="72" customHeight="1" x14ac:dyDescent="0.25">
      <c r="A757" s="16"/>
      <c r="B757" s="16"/>
      <c r="C757" s="16"/>
      <c r="D757" s="16"/>
      <c r="E757" s="16"/>
      <c r="F757" s="16"/>
      <c r="G757" s="16"/>
      <c r="H757"/>
      <c r="I757"/>
      <c r="J757"/>
      <c r="K757"/>
      <c r="L757"/>
      <c r="M757"/>
      <c r="N757"/>
      <c r="O757"/>
      <c r="P757"/>
      <c r="Q757"/>
      <c r="R757"/>
      <c r="S757"/>
      <c r="T757"/>
      <c r="U757"/>
      <c r="V757"/>
      <c r="W757"/>
      <c r="X757"/>
      <c r="Y757"/>
      <c r="Z757"/>
      <c r="AA757"/>
      <c r="AB757"/>
      <c r="AC757"/>
      <c r="AD757"/>
      <c r="AE757"/>
      <c r="AF757"/>
      <c r="AG757"/>
    </row>
    <row r="758" spans="1:33" ht="72" customHeight="1" x14ac:dyDescent="0.25">
      <c r="A758" s="16"/>
      <c r="B758" s="16"/>
      <c r="C758" s="16"/>
      <c r="D758" s="16"/>
      <c r="E758" s="16"/>
      <c r="F758" s="16"/>
      <c r="G758" s="16"/>
      <c r="H758"/>
      <c r="I758"/>
      <c r="J758"/>
      <c r="K758"/>
      <c r="L758"/>
      <c r="M758"/>
      <c r="N758"/>
      <c r="O758"/>
      <c r="P758"/>
      <c r="Q758"/>
      <c r="R758"/>
      <c r="S758"/>
      <c r="T758"/>
      <c r="U758"/>
      <c r="V758"/>
      <c r="W758"/>
      <c r="X758"/>
      <c r="Y758"/>
      <c r="Z758"/>
      <c r="AA758"/>
      <c r="AB758"/>
      <c r="AC758"/>
      <c r="AD758"/>
      <c r="AE758"/>
      <c r="AF758"/>
      <c r="AG758"/>
    </row>
    <row r="759" spans="1:33" ht="72" customHeight="1" x14ac:dyDescent="0.25">
      <c r="A759" s="16"/>
      <c r="B759" s="16"/>
      <c r="C759" s="16"/>
      <c r="D759" s="16"/>
      <c r="E759" s="16"/>
      <c r="F759" s="16"/>
      <c r="G759" s="16"/>
      <c r="H759"/>
      <c r="I759"/>
      <c r="J759"/>
      <c r="K759"/>
      <c r="L759"/>
      <c r="M759"/>
      <c r="N759"/>
      <c r="O759"/>
      <c r="P759"/>
      <c r="Q759"/>
      <c r="R759"/>
      <c r="S759"/>
      <c r="T759"/>
      <c r="U759"/>
      <c r="V759"/>
      <c r="W759"/>
      <c r="X759"/>
      <c r="Y759"/>
      <c r="Z759"/>
      <c r="AA759"/>
      <c r="AB759"/>
      <c r="AC759"/>
      <c r="AD759"/>
      <c r="AE759"/>
      <c r="AF759"/>
      <c r="AG759"/>
    </row>
    <row r="760" spans="1:33" ht="72" customHeight="1" x14ac:dyDescent="0.25">
      <c r="A760" s="16"/>
      <c r="B760" s="16"/>
      <c r="C760" s="16"/>
      <c r="D760" s="16"/>
      <c r="E760" s="16"/>
      <c r="F760" s="16"/>
      <c r="G760" s="16"/>
      <c r="H760"/>
      <c r="I760"/>
      <c r="J760"/>
      <c r="K760"/>
      <c r="L760"/>
      <c r="M760"/>
      <c r="N760"/>
      <c r="O760"/>
      <c r="P760"/>
      <c r="Q760"/>
      <c r="R760"/>
      <c r="S760"/>
      <c r="T760"/>
      <c r="U760"/>
      <c r="V760"/>
      <c r="W760"/>
      <c r="X760"/>
      <c r="Y760"/>
      <c r="Z760"/>
      <c r="AA760"/>
      <c r="AB760"/>
      <c r="AC760"/>
      <c r="AD760"/>
      <c r="AE760"/>
      <c r="AF760"/>
      <c r="AG760"/>
    </row>
    <row r="761" spans="1:33" ht="72" customHeight="1" x14ac:dyDescent="0.25">
      <c r="A761" s="16"/>
      <c r="B761" s="16"/>
      <c r="C761" s="16"/>
      <c r="D761" s="16"/>
      <c r="E761" s="16"/>
      <c r="F761" s="16"/>
      <c r="G761" s="16"/>
      <c r="H761"/>
      <c r="I761"/>
      <c r="J761"/>
      <c r="K761"/>
      <c r="L761"/>
      <c r="M761"/>
      <c r="N761"/>
      <c r="O761"/>
      <c r="P761"/>
      <c r="Q761"/>
      <c r="R761"/>
      <c r="S761"/>
      <c r="T761"/>
      <c r="U761"/>
      <c r="V761"/>
      <c r="W761"/>
      <c r="X761"/>
      <c r="Y761"/>
      <c r="Z761"/>
      <c r="AA761"/>
      <c r="AB761"/>
      <c r="AC761"/>
      <c r="AD761"/>
      <c r="AE761"/>
      <c r="AF761"/>
      <c r="AG761"/>
    </row>
    <row r="762" spans="1:33" ht="72" customHeight="1" x14ac:dyDescent="0.25">
      <c r="A762" s="16"/>
      <c r="B762" s="16"/>
      <c r="C762" s="16"/>
      <c r="D762" s="16"/>
      <c r="E762" s="16"/>
      <c r="F762" s="16"/>
      <c r="G762" s="16"/>
      <c r="H762"/>
      <c r="I762"/>
      <c r="J762"/>
      <c r="K762"/>
      <c r="L762"/>
      <c r="M762"/>
      <c r="N762"/>
      <c r="O762"/>
      <c r="P762"/>
      <c r="Q762"/>
      <c r="R762"/>
      <c r="S762"/>
      <c r="T762"/>
      <c r="U762"/>
      <c r="V762"/>
      <c r="W762"/>
      <c r="X762"/>
      <c r="Y762"/>
      <c r="Z762"/>
      <c r="AA762"/>
      <c r="AB762"/>
      <c r="AC762"/>
      <c r="AD762"/>
      <c r="AE762"/>
      <c r="AF762"/>
      <c r="AG762"/>
    </row>
    <row r="763" spans="1:33" ht="72" customHeight="1" x14ac:dyDescent="0.25">
      <c r="A763" s="16"/>
      <c r="B763" s="16"/>
      <c r="C763" s="16"/>
      <c r="D763" s="16"/>
      <c r="E763" s="16"/>
      <c r="F763" s="16"/>
      <c r="G763" s="16"/>
      <c r="H763"/>
      <c r="I763"/>
      <c r="J763"/>
      <c r="K763"/>
      <c r="L763"/>
      <c r="M763"/>
      <c r="N763"/>
      <c r="O763"/>
      <c r="P763"/>
      <c r="Q763"/>
      <c r="R763"/>
      <c r="S763"/>
      <c r="T763"/>
      <c r="U763"/>
      <c r="V763"/>
      <c r="W763"/>
      <c r="X763"/>
      <c r="Y763"/>
      <c r="Z763"/>
      <c r="AA763"/>
      <c r="AB763"/>
      <c r="AC763"/>
      <c r="AD763"/>
      <c r="AE763"/>
      <c r="AF763"/>
      <c r="AG763"/>
    </row>
    <row r="764" spans="1:33" ht="72" customHeight="1" x14ac:dyDescent="0.25">
      <c r="A764" s="16"/>
      <c r="B764" s="16"/>
      <c r="C764" s="16"/>
      <c r="D764" s="16"/>
      <c r="E764" s="16"/>
      <c r="F764" s="16"/>
      <c r="G764" s="16"/>
      <c r="H764"/>
      <c r="I764"/>
      <c r="J764"/>
      <c r="K764"/>
      <c r="L764"/>
      <c r="M764"/>
      <c r="N764"/>
      <c r="O764"/>
      <c r="P764"/>
      <c r="Q764"/>
      <c r="R764"/>
      <c r="S764"/>
      <c r="T764"/>
      <c r="U764"/>
      <c r="V764"/>
      <c r="W764"/>
      <c r="X764"/>
      <c r="Y764"/>
      <c r="Z764"/>
      <c r="AA764"/>
      <c r="AB764"/>
      <c r="AC764"/>
      <c r="AD764"/>
      <c r="AE764"/>
      <c r="AF764"/>
      <c r="AG764"/>
    </row>
    <row r="765" spans="1:33" ht="72" customHeight="1" x14ac:dyDescent="0.25">
      <c r="A765" s="16"/>
      <c r="B765" s="16"/>
      <c r="C765" s="16"/>
      <c r="D765" s="16"/>
      <c r="E765" s="16"/>
      <c r="F765" s="16"/>
      <c r="G765" s="16"/>
      <c r="H765"/>
      <c r="I765"/>
      <c r="J765"/>
      <c r="K765"/>
      <c r="L765"/>
      <c r="M765"/>
      <c r="N765"/>
      <c r="O765"/>
      <c r="P765"/>
      <c r="Q765"/>
      <c r="R765"/>
      <c r="S765"/>
      <c r="T765"/>
      <c r="U765"/>
      <c r="V765"/>
      <c r="W765"/>
      <c r="X765"/>
      <c r="Y765"/>
      <c r="Z765"/>
      <c r="AA765"/>
      <c r="AB765"/>
      <c r="AC765"/>
      <c r="AD765"/>
      <c r="AE765"/>
      <c r="AF765"/>
      <c r="AG765"/>
    </row>
    <row r="766" spans="1:33" ht="72" customHeight="1" x14ac:dyDescent="0.25">
      <c r="A766" s="16"/>
      <c r="B766" s="16"/>
      <c r="C766" s="16"/>
      <c r="D766" s="16"/>
      <c r="E766" s="16"/>
      <c r="F766" s="16"/>
      <c r="G766" s="16"/>
      <c r="H766"/>
      <c r="I766"/>
      <c r="J766"/>
      <c r="K766"/>
      <c r="L766"/>
      <c r="M766"/>
      <c r="N766"/>
      <c r="O766"/>
      <c r="P766"/>
      <c r="Q766"/>
      <c r="R766"/>
      <c r="S766"/>
      <c r="T766"/>
      <c r="U766"/>
      <c r="V766"/>
      <c r="W766"/>
      <c r="X766"/>
      <c r="Y766"/>
      <c r="Z766"/>
      <c r="AA766"/>
      <c r="AB766"/>
      <c r="AC766"/>
      <c r="AD766"/>
      <c r="AE766"/>
      <c r="AF766"/>
      <c r="AG766"/>
    </row>
    <row r="767" spans="1:33" ht="72" customHeight="1" x14ac:dyDescent="0.25">
      <c r="A767" s="16"/>
      <c r="B767" s="16"/>
      <c r="C767" s="16"/>
      <c r="D767" s="16"/>
      <c r="E767" s="16"/>
      <c r="F767" s="16"/>
      <c r="G767" s="16"/>
      <c r="H767"/>
      <c r="I767"/>
      <c r="J767"/>
      <c r="K767"/>
      <c r="L767"/>
      <c r="M767"/>
      <c r="N767"/>
      <c r="O767"/>
      <c r="P767"/>
      <c r="Q767"/>
      <c r="R767"/>
      <c r="S767"/>
      <c r="T767"/>
      <c r="U767"/>
      <c r="V767"/>
      <c r="W767"/>
      <c r="X767"/>
      <c r="Y767"/>
      <c r="Z767"/>
      <c r="AA767"/>
      <c r="AB767"/>
      <c r="AC767"/>
      <c r="AD767"/>
      <c r="AE767"/>
      <c r="AF767"/>
      <c r="AG767"/>
    </row>
    <row r="768" spans="1:33" ht="72" customHeight="1" x14ac:dyDescent="0.25">
      <c r="A768" s="16"/>
      <c r="B768" s="16"/>
      <c r="C768" s="16"/>
      <c r="D768" s="16"/>
      <c r="E768" s="16"/>
      <c r="F768" s="16"/>
      <c r="G768" s="16"/>
      <c r="H768"/>
      <c r="I768"/>
      <c r="J768"/>
      <c r="K768"/>
      <c r="L768"/>
      <c r="M768"/>
      <c r="N768"/>
      <c r="O768"/>
      <c r="P768"/>
      <c r="Q768"/>
      <c r="R768"/>
      <c r="S768"/>
      <c r="T768"/>
      <c r="U768"/>
      <c r="V768"/>
      <c r="W768"/>
      <c r="X768"/>
      <c r="Y768"/>
      <c r="Z768"/>
      <c r="AA768"/>
      <c r="AB768"/>
      <c r="AC768"/>
      <c r="AD768"/>
      <c r="AE768"/>
      <c r="AF768"/>
      <c r="AG768"/>
    </row>
    <row r="769" spans="1:33" ht="72" customHeight="1" x14ac:dyDescent="0.25">
      <c r="A769" s="16"/>
      <c r="B769" s="16"/>
      <c r="C769" s="16"/>
      <c r="D769" s="16"/>
      <c r="E769" s="16"/>
      <c r="F769" s="16"/>
      <c r="G769" s="16"/>
      <c r="H769"/>
      <c r="I769"/>
      <c r="J769"/>
      <c r="K769"/>
      <c r="L769"/>
      <c r="M769"/>
      <c r="N769"/>
      <c r="O769"/>
      <c r="P769"/>
      <c r="Q769"/>
      <c r="R769"/>
      <c r="S769"/>
      <c r="T769"/>
      <c r="U769"/>
      <c r="V769"/>
      <c r="W769"/>
      <c r="X769"/>
      <c r="Y769"/>
      <c r="Z769"/>
      <c r="AA769"/>
      <c r="AB769"/>
      <c r="AC769"/>
      <c r="AD769"/>
      <c r="AE769"/>
      <c r="AF769"/>
      <c r="AG769"/>
    </row>
    <row r="770" spans="1:33" ht="72" customHeight="1" x14ac:dyDescent="0.25">
      <c r="A770" s="16"/>
      <c r="B770" s="16"/>
      <c r="C770" s="16"/>
      <c r="D770" s="16"/>
      <c r="E770" s="16"/>
      <c r="F770" s="16"/>
      <c r="G770" s="16"/>
      <c r="H770"/>
      <c r="I770"/>
      <c r="J770"/>
      <c r="K770"/>
      <c r="L770"/>
      <c r="M770"/>
      <c r="N770"/>
      <c r="O770"/>
      <c r="P770"/>
      <c r="Q770"/>
      <c r="R770"/>
      <c r="S770"/>
      <c r="T770"/>
      <c r="U770"/>
      <c r="V770"/>
      <c r="W770"/>
      <c r="X770"/>
      <c r="Y770"/>
      <c r="Z770"/>
      <c r="AA770"/>
      <c r="AB770"/>
      <c r="AC770"/>
      <c r="AD770"/>
      <c r="AE770"/>
      <c r="AF770"/>
      <c r="AG770"/>
    </row>
    <row r="771" spans="1:33" ht="72" customHeight="1" x14ac:dyDescent="0.25">
      <c r="A771" s="16"/>
      <c r="B771" s="16"/>
      <c r="C771" s="16"/>
      <c r="D771" s="16"/>
      <c r="E771" s="16"/>
      <c r="F771" s="16"/>
      <c r="G771" s="16"/>
      <c r="H771"/>
      <c r="I771"/>
      <c r="J771"/>
      <c r="K771"/>
      <c r="L771"/>
      <c r="M771"/>
      <c r="N771"/>
      <c r="O771"/>
      <c r="P771"/>
      <c r="Q771"/>
      <c r="R771"/>
      <c r="S771"/>
      <c r="T771"/>
      <c r="U771"/>
      <c r="V771"/>
      <c r="W771"/>
      <c r="X771"/>
      <c r="Y771"/>
      <c r="Z771"/>
      <c r="AA771"/>
      <c r="AB771"/>
      <c r="AC771"/>
      <c r="AD771"/>
      <c r="AE771"/>
      <c r="AF771"/>
      <c r="AG771"/>
    </row>
    <row r="772" spans="1:33" ht="72" customHeight="1" x14ac:dyDescent="0.25">
      <c r="A772" s="16"/>
      <c r="B772" s="16"/>
      <c r="C772" s="16"/>
      <c r="D772" s="16"/>
      <c r="E772" s="16"/>
      <c r="F772" s="16"/>
      <c r="G772" s="16"/>
      <c r="H772"/>
      <c r="I772"/>
      <c r="J772"/>
      <c r="K772"/>
      <c r="L772"/>
      <c r="M772"/>
      <c r="N772"/>
      <c r="O772"/>
      <c r="P772"/>
      <c r="Q772"/>
      <c r="R772"/>
      <c r="S772"/>
      <c r="T772"/>
      <c r="U772"/>
      <c r="V772"/>
      <c r="W772"/>
      <c r="X772"/>
      <c r="Y772"/>
      <c r="Z772"/>
      <c r="AA772"/>
      <c r="AB772"/>
      <c r="AC772"/>
      <c r="AD772"/>
      <c r="AE772"/>
      <c r="AF772"/>
      <c r="AG772"/>
    </row>
    <row r="773" spans="1:33" ht="72" customHeight="1" x14ac:dyDescent="0.25">
      <c r="A773" s="16"/>
      <c r="B773" s="16"/>
      <c r="C773" s="16"/>
      <c r="D773" s="16"/>
      <c r="E773" s="16"/>
      <c r="F773" s="16"/>
      <c r="G773" s="16"/>
      <c r="H773"/>
      <c r="I773"/>
      <c r="J773"/>
      <c r="K773"/>
      <c r="L773"/>
      <c r="M773"/>
      <c r="N773"/>
      <c r="O773"/>
      <c r="P773"/>
      <c r="Q773"/>
      <c r="R773"/>
      <c r="S773"/>
      <c r="T773"/>
      <c r="U773"/>
      <c r="V773"/>
      <c r="W773"/>
      <c r="X773"/>
      <c r="Y773"/>
      <c r="Z773"/>
      <c r="AA773"/>
      <c r="AB773"/>
      <c r="AC773"/>
      <c r="AD773"/>
      <c r="AE773"/>
      <c r="AF773"/>
      <c r="AG773"/>
    </row>
    <row r="774" spans="1:33" ht="72" customHeight="1" x14ac:dyDescent="0.25">
      <c r="A774" s="16"/>
      <c r="B774" s="16"/>
      <c r="C774" s="16"/>
      <c r="D774" s="16"/>
      <c r="E774" s="16"/>
      <c r="F774" s="16"/>
      <c r="G774" s="16"/>
      <c r="H774"/>
      <c r="I774"/>
      <c r="J774"/>
      <c r="K774"/>
      <c r="L774"/>
      <c r="M774"/>
      <c r="N774"/>
      <c r="O774"/>
      <c r="P774"/>
      <c r="Q774"/>
      <c r="R774"/>
      <c r="S774"/>
      <c r="T774"/>
      <c r="U774"/>
      <c r="V774"/>
      <c r="W774"/>
      <c r="X774"/>
      <c r="Y774"/>
      <c r="Z774"/>
      <c r="AA774"/>
      <c r="AB774"/>
      <c r="AC774"/>
      <c r="AD774"/>
      <c r="AE774"/>
      <c r="AF774"/>
      <c r="AG774"/>
    </row>
    <row r="775" spans="1:33" ht="72" customHeight="1" x14ac:dyDescent="0.25">
      <c r="A775" s="16"/>
      <c r="B775" s="16"/>
      <c r="C775" s="16"/>
      <c r="D775" s="16"/>
      <c r="E775" s="16"/>
      <c r="F775" s="16"/>
      <c r="G775" s="16"/>
      <c r="H775"/>
      <c r="I775"/>
      <c r="J775"/>
      <c r="K775"/>
      <c r="L775"/>
      <c r="M775"/>
      <c r="N775"/>
      <c r="O775"/>
      <c r="P775"/>
      <c r="Q775"/>
      <c r="R775"/>
      <c r="S775"/>
      <c r="T775"/>
      <c r="U775"/>
      <c r="V775"/>
      <c r="W775"/>
      <c r="X775"/>
      <c r="Y775"/>
      <c r="Z775"/>
      <c r="AA775"/>
      <c r="AB775"/>
      <c r="AC775"/>
      <c r="AD775"/>
      <c r="AE775"/>
      <c r="AF775"/>
      <c r="AG775"/>
    </row>
    <row r="776" spans="1:33" ht="72" customHeight="1" x14ac:dyDescent="0.25">
      <c r="A776" s="16"/>
      <c r="B776" s="16"/>
      <c r="C776" s="16"/>
      <c r="D776" s="16"/>
      <c r="E776" s="16"/>
      <c r="F776" s="16"/>
      <c r="G776" s="16"/>
      <c r="H776"/>
      <c r="I776"/>
      <c r="J776"/>
      <c r="K776"/>
      <c r="L776"/>
      <c r="M776"/>
      <c r="N776"/>
      <c r="O776"/>
      <c r="P776"/>
      <c r="Q776"/>
      <c r="R776"/>
      <c r="S776"/>
      <c r="T776"/>
      <c r="U776"/>
      <c r="V776"/>
      <c r="W776"/>
      <c r="X776"/>
      <c r="Y776"/>
      <c r="Z776"/>
      <c r="AA776"/>
      <c r="AB776"/>
      <c r="AC776"/>
      <c r="AD776"/>
      <c r="AE776"/>
      <c r="AF776"/>
      <c r="AG776"/>
    </row>
    <row r="777" spans="1:33" ht="72" customHeight="1" x14ac:dyDescent="0.25">
      <c r="A777" s="16"/>
      <c r="B777" s="16"/>
      <c r="C777" s="16"/>
      <c r="D777" s="16"/>
      <c r="E777" s="16"/>
      <c r="F777" s="16"/>
      <c r="G777" s="16"/>
      <c r="H777"/>
      <c r="I777"/>
      <c r="J777"/>
      <c r="K777"/>
      <c r="L777"/>
      <c r="M777"/>
      <c r="N777"/>
      <c r="O777"/>
      <c r="P777"/>
      <c r="Q777"/>
      <c r="R777"/>
      <c r="S777"/>
      <c r="T777"/>
      <c r="U777"/>
      <c r="V777"/>
      <c r="W777"/>
      <c r="X777"/>
      <c r="Y777"/>
      <c r="Z777"/>
      <c r="AA777"/>
      <c r="AB777"/>
      <c r="AC777"/>
      <c r="AD777"/>
      <c r="AE777"/>
      <c r="AF777"/>
      <c r="AG777"/>
    </row>
    <row r="778" spans="1:33" ht="72" customHeight="1" x14ac:dyDescent="0.25">
      <c r="A778" s="16"/>
      <c r="B778" s="16"/>
      <c r="C778" s="16"/>
      <c r="D778" s="16"/>
      <c r="E778" s="16"/>
      <c r="F778" s="16"/>
      <c r="G778" s="16"/>
      <c r="H778"/>
      <c r="I778"/>
      <c r="J778"/>
      <c r="K778"/>
      <c r="L778"/>
      <c r="M778"/>
      <c r="N778"/>
      <c r="O778"/>
      <c r="P778"/>
      <c r="Q778"/>
      <c r="R778"/>
      <c r="S778"/>
      <c r="T778"/>
      <c r="U778"/>
      <c r="V778"/>
      <c r="W778"/>
      <c r="X778"/>
      <c r="Y778"/>
      <c r="Z778"/>
      <c r="AA778"/>
      <c r="AB778"/>
      <c r="AC778"/>
      <c r="AD778"/>
      <c r="AE778"/>
      <c r="AF778"/>
      <c r="AG778"/>
    </row>
    <row r="779" spans="1:33" ht="72" customHeight="1" x14ac:dyDescent="0.25">
      <c r="A779" s="16"/>
      <c r="B779" s="16"/>
      <c r="C779" s="16"/>
      <c r="D779" s="16"/>
      <c r="E779" s="16"/>
      <c r="F779" s="16"/>
      <c r="G779" s="16"/>
      <c r="H779"/>
      <c r="I779"/>
      <c r="J779"/>
      <c r="K779"/>
      <c r="L779"/>
      <c r="M779"/>
      <c r="N779"/>
      <c r="O779"/>
      <c r="P779"/>
      <c r="Q779"/>
      <c r="R779"/>
      <c r="S779"/>
      <c r="T779"/>
      <c r="U779"/>
      <c r="V779"/>
      <c r="W779"/>
      <c r="X779"/>
      <c r="Y779"/>
      <c r="Z779"/>
      <c r="AA779"/>
      <c r="AB779"/>
      <c r="AC779"/>
      <c r="AD779"/>
      <c r="AE779"/>
      <c r="AF779"/>
      <c r="AG779"/>
    </row>
    <row r="780" spans="1:33" ht="72" customHeight="1" x14ac:dyDescent="0.25">
      <c r="A780" s="16"/>
      <c r="B780" s="16"/>
      <c r="C780" s="16"/>
      <c r="D780" s="16"/>
      <c r="E780" s="16"/>
      <c r="F780" s="16"/>
      <c r="G780" s="16"/>
      <c r="H780"/>
      <c r="I780"/>
      <c r="J780"/>
      <c r="K780"/>
      <c r="L780"/>
      <c r="M780"/>
      <c r="N780"/>
      <c r="O780"/>
      <c r="P780"/>
      <c r="Q780"/>
      <c r="R780"/>
      <c r="S780"/>
      <c r="T780"/>
      <c r="U780"/>
      <c r="V780"/>
      <c r="W780"/>
      <c r="X780"/>
      <c r="Y780"/>
      <c r="Z780"/>
      <c r="AA780"/>
      <c r="AB780"/>
      <c r="AC780"/>
      <c r="AD780"/>
      <c r="AE780"/>
      <c r="AF780"/>
      <c r="AG780"/>
    </row>
    <row r="781" spans="1:33" ht="72" customHeight="1" x14ac:dyDescent="0.25">
      <c r="A781" s="16"/>
      <c r="B781" s="16"/>
      <c r="C781" s="16"/>
      <c r="D781" s="16"/>
      <c r="E781" s="16"/>
      <c r="F781" s="16"/>
      <c r="G781" s="16"/>
      <c r="H781"/>
      <c r="I781"/>
      <c r="J781"/>
      <c r="K781"/>
      <c r="L781"/>
      <c r="M781"/>
      <c r="N781"/>
      <c r="O781"/>
      <c r="P781"/>
      <c r="Q781"/>
      <c r="R781"/>
      <c r="S781"/>
      <c r="T781"/>
      <c r="U781"/>
      <c r="V781"/>
      <c r="W781"/>
      <c r="X781"/>
      <c r="Y781"/>
      <c r="Z781"/>
      <c r="AA781"/>
      <c r="AB781"/>
      <c r="AC781"/>
      <c r="AD781"/>
      <c r="AE781"/>
      <c r="AF781"/>
      <c r="AG781"/>
    </row>
    <row r="782" spans="1:33" ht="72" customHeight="1" x14ac:dyDescent="0.25">
      <c r="A782" s="16"/>
      <c r="B782" s="16"/>
      <c r="C782" s="16"/>
      <c r="D782" s="16"/>
      <c r="E782" s="16"/>
      <c r="F782" s="16"/>
      <c r="G782" s="16"/>
      <c r="H782"/>
      <c r="I782"/>
      <c r="J782"/>
      <c r="K782"/>
      <c r="L782"/>
      <c r="M782"/>
      <c r="N782"/>
      <c r="O782"/>
      <c r="P782"/>
      <c r="Q782"/>
      <c r="R782"/>
      <c r="S782"/>
      <c r="T782"/>
      <c r="U782"/>
      <c r="V782"/>
      <c r="W782"/>
      <c r="X782"/>
      <c r="Y782"/>
      <c r="Z782"/>
      <c r="AA782"/>
      <c r="AB782"/>
      <c r="AC782"/>
      <c r="AD782"/>
      <c r="AE782"/>
      <c r="AF782"/>
      <c r="AG782"/>
    </row>
    <row r="783" spans="1:33" ht="72" customHeight="1" x14ac:dyDescent="0.25">
      <c r="A783" s="16"/>
      <c r="B783" s="16"/>
      <c r="C783" s="16"/>
      <c r="D783" s="16"/>
      <c r="E783" s="16"/>
      <c r="F783" s="16"/>
      <c r="G783" s="16"/>
      <c r="H783"/>
      <c r="I783"/>
      <c r="J783"/>
      <c r="K783"/>
      <c r="L783"/>
      <c r="M783"/>
      <c r="N783"/>
      <c r="O783"/>
      <c r="P783"/>
      <c r="Q783"/>
      <c r="R783"/>
      <c r="S783"/>
      <c r="T783"/>
      <c r="U783"/>
      <c r="V783"/>
      <c r="W783"/>
      <c r="X783"/>
      <c r="Y783"/>
      <c r="Z783"/>
      <c r="AA783"/>
      <c r="AB783"/>
      <c r="AC783"/>
      <c r="AD783"/>
      <c r="AE783"/>
      <c r="AF783"/>
      <c r="AG783"/>
    </row>
    <row r="784" spans="1:33" ht="72" customHeight="1" x14ac:dyDescent="0.25">
      <c r="A784" s="16"/>
      <c r="B784" s="16"/>
      <c r="C784" s="16"/>
      <c r="D784" s="16"/>
      <c r="E784" s="16"/>
      <c r="F784" s="16"/>
      <c r="G784" s="16"/>
      <c r="H784"/>
      <c r="I784"/>
      <c r="J784"/>
      <c r="K784"/>
      <c r="L784"/>
      <c r="M784"/>
      <c r="N784"/>
      <c r="O784"/>
      <c r="P784"/>
      <c r="Q784"/>
      <c r="R784"/>
      <c r="S784"/>
      <c r="T784"/>
      <c r="U784"/>
      <c r="V784"/>
      <c r="W784"/>
      <c r="X784"/>
      <c r="Y784"/>
      <c r="Z784"/>
      <c r="AA784"/>
      <c r="AB784"/>
      <c r="AC784"/>
      <c r="AD784"/>
      <c r="AE784"/>
      <c r="AF784"/>
      <c r="AG784"/>
    </row>
    <row r="785" spans="1:33" ht="72" customHeight="1" x14ac:dyDescent="0.25">
      <c r="A785" s="16"/>
      <c r="B785" s="16"/>
      <c r="C785" s="16"/>
      <c r="D785" s="16"/>
      <c r="E785" s="16"/>
      <c r="F785" s="16"/>
      <c r="G785" s="16"/>
      <c r="H785"/>
      <c r="I785"/>
      <c r="J785"/>
      <c r="K785"/>
      <c r="L785"/>
      <c r="M785"/>
      <c r="N785"/>
      <c r="O785"/>
      <c r="P785"/>
      <c r="Q785"/>
      <c r="R785"/>
      <c r="S785"/>
      <c r="T785"/>
      <c r="U785"/>
      <c r="V785"/>
      <c r="W785"/>
      <c r="X785"/>
      <c r="Y785"/>
      <c r="Z785"/>
      <c r="AA785"/>
      <c r="AB785"/>
      <c r="AC785"/>
      <c r="AD785"/>
      <c r="AE785"/>
      <c r="AF785"/>
      <c r="AG785"/>
    </row>
    <row r="786" spans="1:33" ht="72" customHeight="1" x14ac:dyDescent="0.25">
      <c r="A786" s="16"/>
      <c r="B786" s="16"/>
      <c r="C786" s="16"/>
      <c r="D786" s="16"/>
      <c r="E786" s="16"/>
      <c r="F786" s="16"/>
      <c r="G786" s="16"/>
      <c r="H786"/>
      <c r="I786"/>
      <c r="J786"/>
      <c r="K786"/>
      <c r="L786"/>
      <c r="M786"/>
      <c r="N786"/>
      <c r="O786"/>
      <c r="P786"/>
      <c r="Q786"/>
      <c r="R786"/>
      <c r="S786"/>
      <c r="T786"/>
      <c r="U786"/>
      <c r="V786"/>
      <c r="W786"/>
      <c r="X786"/>
      <c r="Y786"/>
      <c r="Z786"/>
      <c r="AA786"/>
      <c r="AB786"/>
      <c r="AC786"/>
      <c r="AD786"/>
      <c r="AE786"/>
      <c r="AF786"/>
      <c r="AG786"/>
    </row>
    <row r="787" spans="1:33" ht="72" customHeight="1" x14ac:dyDescent="0.25">
      <c r="A787" s="16"/>
      <c r="B787" s="16"/>
      <c r="C787" s="16"/>
      <c r="D787" s="16"/>
      <c r="E787" s="16"/>
      <c r="F787" s="16"/>
      <c r="G787" s="16"/>
      <c r="H787"/>
      <c r="I787"/>
      <c r="J787"/>
      <c r="K787"/>
      <c r="L787"/>
      <c r="M787"/>
      <c r="N787"/>
      <c r="O787"/>
      <c r="P787"/>
      <c r="Q787"/>
      <c r="R787"/>
      <c r="S787"/>
      <c r="T787"/>
      <c r="U787"/>
      <c r="V787"/>
      <c r="W787"/>
      <c r="X787"/>
      <c r="Y787"/>
      <c r="Z787"/>
      <c r="AA787"/>
      <c r="AB787"/>
      <c r="AC787"/>
      <c r="AD787"/>
      <c r="AE787"/>
      <c r="AF787"/>
      <c r="AG787"/>
    </row>
    <row r="788" spans="1:33" ht="72" customHeight="1" x14ac:dyDescent="0.25">
      <c r="A788" s="16"/>
      <c r="B788" s="16"/>
      <c r="C788" s="16"/>
      <c r="D788" s="16"/>
      <c r="E788" s="16"/>
      <c r="F788" s="16"/>
      <c r="G788" s="16"/>
      <c r="H788"/>
      <c r="I788"/>
      <c r="J788"/>
      <c r="K788"/>
      <c r="L788"/>
      <c r="M788"/>
      <c r="N788"/>
      <c r="O788"/>
      <c r="P788"/>
      <c r="Q788"/>
      <c r="R788"/>
      <c r="S788"/>
      <c r="T788"/>
      <c r="U788"/>
      <c r="V788"/>
      <c r="W788"/>
      <c r="X788"/>
      <c r="Y788"/>
      <c r="Z788"/>
      <c r="AA788"/>
      <c r="AB788"/>
      <c r="AC788"/>
      <c r="AD788"/>
      <c r="AE788"/>
      <c r="AF788"/>
      <c r="AG788"/>
    </row>
    <row r="789" spans="1:33" ht="72" customHeight="1" x14ac:dyDescent="0.25">
      <c r="A789" s="16"/>
      <c r="B789" s="16"/>
      <c r="C789" s="16"/>
      <c r="D789" s="16"/>
      <c r="E789" s="16"/>
      <c r="F789" s="16"/>
      <c r="G789" s="16"/>
      <c r="H789"/>
      <c r="I789"/>
      <c r="J789"/>
      <c r="K789"/>
      <c r="L789"/>
      <c r="M789"/>
      <c r="N789"/>
      <c r="O789"/>
      <c r="P789"/>
      <c r="Q789"/>
      <c r="R789"/>
      <c r="S789"/>
      <c r="T789"/>
      <c r="U789"/>
      <c r="V789"/>
      <c r="W789"/>
      <c r="X789"/>
      <c r="Y789"/>
      <c r="Z789"/>
      <c r="AA789"/>
      <c r="AB789"/>
      <c r="AC789"/>
      <c r="AD789"/>
      <c r="AE789"/>
      <c r="AF789"/>
      <c r="AG789"/>
    </row>
    <row r="790" spans="1:33" ht="72" customHeight="1" x14ac:dyDescent="0.25">
      <c r="A790" s="16"/>
      <c r="B790" s="16"/>
      <c r="C790" s="16"/>
      <c r="D790" s="16"/>
      <c r="E790" s="16"/>
      <c r="F790" s="16"/>
      <c r="G790" s="16"/>
      <c r="H790"/>
      <c r="I790"/>
      <c r="J790"/>
      <c r="K790"/>
      <c r="L790"/>
      <c r="M790"/>
      <c r="N790"/>
      <c r="O790"/>
      <c r="P790"/>
      <c r="Q790"/>
      <c r="R790"/>
      <c r="S790"/>
      <c r="T790"/>
      <c r="U790"/>
      <c r="V790"/>
      <c r="W790"/>
      <c r="X790"/>
      <c r="Y790"/>
      <c r="Z790"/>
      <c r="AA790"/>
      <c r="AB790"/>
      <c r="AC790"/>
      <c r="AD790"/>
      <c r="AE790"/>
      <c r="AF790"/>
      <c r="AG790"/>
    </row>
    <row r="791" spans="1:33" ht="72" customHeight="1" x14ac:dyDescent="0.25">
      <c r="A791" s="16"/>
      <c r="B791" s="16"/>
      <c r="C791" s="16"/>
      <c r="D791" s="16"/>
      <c r="E791" s="16"/>
      <c r="F791" s="16"/>
      <c r="G791" s="16"/>
      <c r="H791"/>
      <c r="I791"/>
      <c r="J791"/>
      <c r="K791"/>
      <c r="L791"/>
      <c r="M791"/>
      <c r="N791"/>
      <c r="O791"/>
      <c r="P791"/>
      <c r="Q791"/>
      <c r="R791"/>
      <c r="S791"/>
      <c r="T791"/>
      <c r="U791"/>
      <c r="V791"/>
      <c r="W791"/>
      <c r="X791"/>
      <c r="Y791"/>
      <c r="Z791"/>
      <c r="AA791"/>
      <c r="AB791"/>
      <c r="AC791"/>
      <c r="AD791"/>
      <c r="AE791"/>
      <c r="AF791"/>
      <c r="AG791"/>
    </row>
    <row r="792" spans="1:33" ht="72" customHeight="1" x14ac:dyDescent="0.25">
      <c r="A792" s="16"/>
      <c r="B792" s="16"/>
      <c r="C792" s="16"/>
      <c r="D792" s="16"/>
      <c r="E792" s="16"/>
      <c r="F792" s="16"/>
      <c r="G792" s="16"/>
      <c r="H792"/>
      <c r="I792"/>
      <c r="J792"/>
      <c r="K792"/>
      <c r="L792"/>
      <c r="M792"/>
      <c r="N792"/>
      <c r="O792"/>
      <c r="P792"/>
      <c r="Q792"/>
      <c r="R792"/>
      <c r="S792"/>
      <c r="T792"/>
      <c r="U792"/>
      <c r="V792"/>
      <c r="W792"/>
      <c r="X792"/>
      <c r="Y792"/>
      <c r="Z792"/>
      <c r="AA792"/>
      <c r="AB792"/>
      <c r="AC792"/>
      <c r="AD792"/>
      <c r="AE792"/>
      <c r="AF792"/>
      <c r="AG792"/>
    </row>
    <row r="793" spans="1:33" ht="72" customHeight="1" x14ac:dyDescent="0.25">
      <c r="A793" s="16"/>
      <c r="B793" s="16"/>
      <c r="C793" s="16"/>
      <c r="D793" s="16"/>
      <c r="E793" s="16"/>
      <c r="F793" s="16"/>
      <c r="G793" s="16"/>
      <c r="H793"/>
      <c r="I793"/>
      <c r="J793"/>
      <c r="K793"/>
      <c r="L793"/>
      <c r="M793"/>
      <c r="N793"/>
      <c r="O793"/>
      <c r="P793"/>
      <c r="Q793"/>
      <c r="R793"/>
      <c r="S793"/>
      <c r="T793"/>
      <c r="U793"/>
      <c r="V793"/>
      <c r="W793"/>
      <c r="X793"/>
      <c r="Y793"/>
      <c r="Z793"/>
      <c r="AA793"/>
      <c r="AB793"/>
      <c r="AC793"/>
      <c r="AD793"/>
      <c r="AE793"/>
      <c r="AF793"/>
      <c r="AG793"/>
    </row>
    <row r="794" spans="1:33" ht="72" customHeight="1" x14ac:dyDescent="0.25">
      <c r="A794" s="16"/>
      <c r="B794" s="16"/>
      <c r="C794" s="16"/>
      <c r="D794" s="16"/>
      <c r="E794" s="16"/>
      <c r="F794" s="16"/>
      <c r="G794" s="16"/>
      <c r="H794"/>
      <c r="I794"/>
      <c r="J794"/>
      <c r="K794"/>
      <c r="L794"/>
      <c r="M794"/>
      <c r="N794"/>
      <c r="O794"/>
      <c r="P794"/>
      <c r="Q794"/>
      <c r="R794"/>
      <c r="S794"/>
      <c r="T794"/>
      <c r="U794"/>
      <c r="V794"/>
      <c r="W794"/>
      <c r="X794"/>
      <c r="Y794"/>
      <c r="Z794"/>
      <c r="AA794"/>
      <c r="AB794"/>
      <c r="AC794"/>
      <c r="AD794"/>
      <c r="AE794"/>
      <c r="AF794"/>
      <c r="AG794"/>
    </row>
    <row r="795" spans="1:33" ht="72" customHeight="1" x14ac:dyDescent="0.25">
      <c r="A795" s="16"/>
      <c r="B795" s="16"/>
      <c r="C795" s="16"/>
      <c r="D795" s="16"/>
      <c r="E795" s="16"/>
      <c r="F795" s="16"/>
      <c r="G795" s="16"/>
      <c r="H795"/>
      <c r="I795"/>
      <c r="J795"/>
      <c r="K795"/>
      <c r="L795"/>
      <c r="M795"/>
      <c r="N795"/>
      <c r="O795"/>
      <c r="P795"/>
      <c r="Q795"/>
      <c r="R795"/>
      <c r="S795"/>
      <c r="T795"/>
      <c r="U795"/>
      <c r="V795"/>
      <c r="W795"/>
      <c r="X795"/>
      <c r="Y795"/>
      <c r="Z795"/>
      <c r="AA795"/>
      <c r="AB795"/>
      <c r="AC795"/>
      <c r="AD795"/>
      <c r="AE795"/>
      <c r="AF795"/>
      <c r="AG795"/>
    </row>
    <row r="796" spans="1:33" ht="72" customHeight="1" x14ac:dyDescent="0.25">
      <c r="A796" s="16"/>
      <c r="B796" s="16"/>
      <c r="C796" s="16"/>
      <c r="D796" s="16"/>
      <c r="E796" s="16"/>
      <c r="F796" s="16"/>
      <c r="G796" s="16"/>
      <c r="H796"/>
      <c r="I796"/>
      <c r="J796"/>
      <c r="K796"/>
      <c r="L796"/>
      <c r="M796"/>
      <c r="N796"/>
      <c r="O796"/>
      <c r="P796"/>
      <c r="Q796"/>
      <c r="R796"/>
      <c r="S796"/>
      <c r="T796"/>
      <c r="U796"/>
      <c r="V796"/>
      <c r="W796"/>
      <c r="X796"/>
      <c r="Y796"/>
      <c r="Z796"/>
      <c r="AA796"/>
      <c r="AB796"/>
      <c r="AC796"/>
      <c r="AD796"/>
      <c r="AE796"/>
      <c r="AF796"/>
      <c r="AG796"/>
    </row>
    <row r="797" spans="1:33" ht="72" customHeight="1" x14ac:dyDescent="0.25">
      <c r="A797" s="16"/>
      <c r="B797" s="16"/>
      <c r="C797" s="16"/>
      <c r="D797" s="16"/>
      <c r="E797" s="16"/>
      <c r="F797" s="16"/>
      <c r="G797" s="16"/>
      <c r="H797"/>
      <c r="I797"/>
      <c r="J797"/>
      <c r="K797"/>
      <c r="L797"/>
      <c r="M797"/>
      <c r="N797"/>
      <c r="O797"/>
      <c r="P797"/>
      <c r="Q797"/>
      <c r="R797"/>
      <c r="S797"/>
      <c r="T797"/>
      <c r="U797"/>
      <c r="V797"/>
      <c r="W797"/>
      <c r="X797"/>
      <c r="Y797"/>
      <c r="Z797"/>
      <c r="AA797"/>
      <c r="AB797"/>
      <c r="AC797"/>
      <c r="AD797"/>
      <c r="AE797"/>
      <c r="AF797"/>
      <c r="AG797"/>
    </row>
    <row r="798" spans="1:33" ht="72" customHeight="1" x14ac:dyDescent="0.25">
      <c r="A798" s="16"/>
      <c r="B798" s="16"/>
      <c r="C798" s="16"/>
      <c r="D798" s="16"/>
      <c r="E798" s="16"/>
      <c r="F798" s="16"/>
      <c r="G798" s="16"/>
      <c r="H798"/>
      <c r="I798"/>
      <c r="J798"/>
      <c r="K798"/>
      <c r="L798"/>
      <c r="M798"/>
      <c r="N798"/>
      <c r="O798"/>
      <c r="P798"/>
      <c r="Q798"/>
      <c r="R798"/>
      <c r="S798"/>
      <c r="T798"/>
      <c r="U798"/>
      <c r="V798"/>
      <c r="W798"/>
      <c r="X798"/>
      <c r="Y798"/>
      <c r="Z798"/>
      <c r="AA798"/>
      <c r="AB798"/>
      <c r="AC798"/>
      <c r="AD798"/>
      <c r="AE798"/>
      <c r="AF798"/>
      <c r="AG798"/>
    </row>
    <row r="799" spans="1:33" ht="72" customHeight="1" x14ac:dyDescent="0.25">
      <c r="A799" s="16"/>
      <c r="B799" s="16"/>
      <c r="C799" s="16"/>
      <c r="D799" s="16"/>
      <c r="E799" s="16"/>
      <c r="F799" s="16"/>
      <c r="G799" s="16"/>
      <c r="H799"/>
      <c r="I799"/>
      <c r="J799"/>
      <c r="K799"/>
      <c r="L799"/>
      <c r="M799"/>
      <c r="N799"/>
      <c r="O799"/>
      <c r="P799"/>
      <c r="Q799"/>
      <c r="R799"/>
      <c r="S799"/>
      <c r="T799"/>
      <c r="U799"/>
      <c r="V799"/>
      <c r="W799"/>
      <c r="X799"/>
      <c r="Y799"/>
      <c r="Z799"/>
      <c r="AA799"/>
      <c r="AB799"/>
      <c r="AC799"/>
      <c r="AD799"/>
      <c r="AE799"/>
      <c r="AF799"/>
      <c r="AG799"/>
    </row>
    <row r="800" spans="1:33" ht="72" customHeight="1" x14ac:dyDescent="0.25">
      <c r="A800" s="16"/>
      <c r="B800" s="16"/>
      <c r="C800" s="16"/>
      <c r="D800" s="16"/>
      <c r="E800" s="16"/>
      <c r="F800" s="16"/>
      <c r="G800" s="16"/>
      <c r="H800"/>
      <c r="I800"/>
      <c r="J800"/>
      <c r="K800"/>
      <c r="L800"/>
      <c r="M800"/>
      <c r="N800"/>
      <c r="O800"/>
      <c r="P800"/>
      <c r="Q800"/>
      <c r="R800"/>
      <c r="S800"/>
      <c r="T800"/>
      <c r="U800"/>
      <c r="V800"/>
      <c r="W800"/>
      <c r="X800"/>
      <c r="Y800"/>
      <c r="Z800"/>
      <c r="AA800"/>
      <c r="AB800"/>
      <c r="AC800"/>
      <c r="AD800"/>
      <c r="AE800"/>
      <c r="AF800"/>
      <c r="AG800"/>
    </row>
    <row r="801" spans="1:33" ht="72" customHeight="1" x14ac:dyDescent="0.25">
      <c r="A801" s="16"/>
      <c r="B801" s="16"/>
      <c r="C801" s="16"/>
      <c r="D801" s="16"/>
      <c r="E801" s="16"/>
      <c r="F801" s="16"/>
      <c r="G801" s="16"/>
      <c r="H801"/>
      <c r="I801"/>
      <c r="J801"/>
      <c r="K801"/>
      <c r="L801"/>
      <c r="M801"/>
      <c r="N801"/>
      <c r="O801"/>
      <c r="P801"/>
      <c r="Q801"/>
      <c r="R801"/>
      <c r="S801"/>
      <c r="T801"/>
      <c r="U801"/>
      <c r="V801"/>
      <c r="W801"/>
      <c r="X801"/>
      <c r="Y801"/>
      <c r="Z801"/>
      <c r="AA801"/>
      <c r="AB801"/>
      <c r="AC801"/>
      <c r="AD801"/>
      <c r="AE801"/>
      <c r="AF801"/>
      <c r="AG801"/>
    </row>
    <row r="802" spans="1:33" ht="72" customHeight="1" x14ac:dyDescent="0.25">
      <c r="A802" s="16"/>
      <c r="B802" s="16"/>
      <c r="C802" s="16"/>
      <c r="D802" s="16"/>
      <c r="E802" s="16"/>
      <c r="F802" s="16"/>
      <c r="G802" s="16"/>
      <c r="H802"/>
      <c r="I802"/>
      <c r="J802"/>
      <c r="K802"/>
      <c r="L802"/>
      <c r="M802"/>
      <c r="N802"/>
      <c r="O802"/>
      <c r="P802"/>
      <c r="Q802"/>
      <c r="R802"/>
      <c r="S802"/>
      <c r="T802"/>
      <c r="U802"/>
      <c r="V802"/>
      <c r="W802"/>
      <c r="X802"/>
      <c r="Y802"/>
      <c r="Z802"/>
      <c r="AA802"/>
      <c r="AB802"/>
      <c r="AC802"/>
      <c r="AD802"/>
      <c r="AE802"/>
      <c r="AF802"/>
      <c r="AG802"/>
    </row>
    <row r="803" spans="1:33" ht="72" customHeight="1" x14ac:dyDescent="0.25">
      <c r="A803" s="16"/>
      <c r="B803" s="16"/>
      <c r="C803" s="16"/>
      <c r="D803" s="16"/>
      <c r="E803" s="16"/>
      <c r="F803" s="16"/>
      <c r="G803" s="16"/>
      <c r="H803"/>
      <c r="I803"/>
      <c r="J803"/>
      <c r="K803"/>
      <c r="L803"/>
      <c r="M803"/>
      <c r="N803"/>
      <c r="O803"/>
      <c r="P803"/>
      <c r="Q803"/>
      <c r="R803"/>
      <c r="S803"/>
      <c r="T803"/>
      <c r="U803"/>
      <c r="V803"/>
      <c r="W803"/>
      <c r="X803"/>
      <c r="Y803"/>
      <c r="Z803"/>
      <c r="AA803"/>
      <c r="AB803"/>
      <c r="AC803"/>
      <c r="AD803"/>
      <c r="AE803"/>
      <c r="AF803"/>
      <c r="AG803"/>
    </row>
    <row r="804" spans="1:33" ht="72" customHeight="1" x14ac:dyDescent="0.25">
      <c r="A804" s="16"/>
      <c r="B804" s="16"/>
      <c r="C804" s="16"/>
      <c r="D804" s="16"/>
      <c r="E804" s="16"/>
      <c r="F804" s="16"/>
      <c r="G804" s="16"/>
      <c r="H804"/>
      <c r="I804"/>
      <c r="J804"/>
      <c r="K804"/>
      <c r="L804"/>
      <c r="M804"/>
      <c r="N804"/>
      <c r="O804"/>
      <c r="P804"/>
      <c r="Q804"/>
      <c r="R804"/>
      <c r="S804"/>
      <c r="T804"/>
      <c r="U804"/>
      <c r="V804"/>
      <c r="W804"/>
      <c r="X804"/>
      <c r="Y804"/>
      <c r="Z804"/>
      <c r="AA804"/>
      <c r="AB804"/>
      <c r="AC804"/>
      <c r="AD804"/>
      <c r="AE804"/>
      <c r="AF804"/>
      <c r="AG804"/>
    </row>
    <row r="805" spans="1:33" ht="72" customHeight="1" x14ac:dyDescent="0.25">
      <c r="A805" s="16"/>
      <c r="B805" s="16"/>
      <c r="C805" s="16"/>
      <c r="D805" s="16"/>
      <c r="E805" s="16"/>
      <c r="F805" s="16"/>
      <c r="G805" s="16"/>
      <c r="H805"/>
      <c r="I805"/>
      <c r="J805"/>
      <c r="K805"/>
      <c r="L805"/>
      <c r="M805"/>
      <c r="N805"/>
      <c r="O805"/>
      <c r="P805"/>
      <c r="Q805"/>
      <c r="R805"/>
      <c r="S805"/>
      <c r="T805"/>
      <c r="U805"/>
      <c r="V805"/>
      <c r="W805"/>
      <c r="X805"/>
      <c r="Y805"/>
      <c r="Z805"/>
      <c r="AA805"/>
      <c r="AB805"/>
      <c r="AC805"/>
      <c r="AD805"/>
      <c r="AE805"/>
      <c r="AF805"/>
      <c r="AG805"/>
    </row>
    <row r="806" spans="1:33" ht="72" customHeight="1" x14ac:dyDescent="0.25">
      <c r="A806" s="16"/>
      <c r="B806" s="16"/>
      <c r="C806" s="16"/>
      <c r="D806" s="16"/>
      <c r="E806" s="16"/>
      <c r="F806" s="16"/>
      <c r="G806" s="16"/>
      <c r="H806"/>
      <c r="I806"/>
      <c r="J806"/>
      <c r="K806"/>
      <c r="L806"/>
      <c r="M806"/>
      <c r="N806"/>
      <c r="O806"/>
      <c r="P806"/>
      <c r="Q806"/>
      <c r="R806"/>
      <c r="S806"/>
      <c r="T806"/>
      <c r="U806"/>
      <c r="V806"/>
      <c r="W806"/>
      <c r="X806"/>
      <c r="Y806"/>
      <c r="Z806"/>
      <c r="AA806"/>
      <c r="AB806"/>
      <c r="AC806"/>
      <c r="AD806"/>
      <c r="AE806"/>
      <c r="AF806"/>
      <c r="AG806"/>
    </row>
    <row r="807" spans="1:33" ht="72" customHeight="1" x14ac:dyDescent="0.25">
      <c r="A807" s="16"/>
      <c r="B807" s="16"/>
      <c r="C807" s="16"/>
      <c r="D807" s="16"/>
      <c r="E807" s="16"/>
      <c r="F807" s="16"/>
      <c r="G807" s="16"/>
      <c r="H807"/>
      <c r="I807"/>
      <c r="J807"/>
      <c r="K807"/>
      <c r="L807"/>
      <c r="M807"/>
      <c r="N807"/>
      <c r="O807"/>
      <c r="P807"/>
      <c r="Q807"/>
      <c r="R807"/>
      <c r="S807"/>
      <c r="T807"/>
      <c r="U807"/>
      <c r="V807"/>
      <c r="W807"/>
      <c r="X807"/>
      <c r="Y807"/>
      <c r="Z807"/>
      <c r="AA807"/>
      <c r="AB807"/>
      <c r="AC807"/>
      <c r="AD807"/>
      <c r="AE807"/>
      <c r="AF807"/>
      <c r="AG807"/>
    </row>
    <row r="808" spans="1:33" ht="72" customHeight="1" x14ac:dyDescent="0.25">
      <c r="A808" s="16"/>
      <c r="B808" s="16"/>
      <c r="C808" s="16"/>
      <c r="D808" s="16"/>
      <c r="E808" s="16"/>
      <c r="F808" s="16"/>
      <c r="G808" s="16"/>
      <c r="H808"/>
      <c r="I808"/>
      <c r="J808"/>
      <c r="K808"/>
      <c r="L808"/>
      <c r="M808"/>
      <c r="N808"/>
      <c r="O808"/>
      <c r="P808"/>
      <c r="Q808"/>
      <c r="R808"/>
      <c r="S808"/>
      <c r="T808"/>
      <c r="U808"/>
      <c r="V808"/>
      <c r="W808"/>
      <c r="X808"/>
      <c r="Y808"/>
      <c r="Z808"/>
      <c r="AA808"/>
      <c r="AB808"/>
      <c r="AC808"/>
      <c r="AD808"/>
      <c r="AE808"/>
      <c r="AF808"/>
      <c r="AG808"/>
    </row>
    <row r="809" spans="1:33" ht="72" customHeight="1" x14ac:dyDescent="0.25">
      <c r="A809" s="16"/>
      <c r="B809" s="16"/>
      <c r="C809" s="16"/>
      <c r="D809" s="16"/>
      <c r="E809" s="16"/>
      <c r="F809" s="16"/>
      <c r="G809" s="16"/>
      <c r="H809"/>
      <c r="I809"/>
      <c r="J809"/>
      <c r="K809"/>
      <c r="L809"/>
      <c r="M809"/>
      <c r="N809"/>
      <c r="O809"/>
      <c r="P809"/>
      <c r="Q809"/>
      <c r="R809"/>
      <c r="S809"/>
      <c r="T809"/>
      <c r="U809"/>
      <c r="V809"/>
      <c r="W809"/>
      <c r="X809"/>
      <c r="Y809"/>
      <c r="Z809"/>
      <c r="AA809"/>
      <c r="AB809"/>
      <c r="AC809"/>
      <c r="AD809"/>
      <c r="AE809"/>
      <c r="AF809"/>
      <c r="AG809"/>
    </row>
    <row r="810" spans="1:33" ht="72" customHeight="1" x14ac:dyDescent="0.25">
      <c r="A810" s="16"/>
      <c r="B810" s="16"/>
      <c r="C810" s="16"/>
      <c r="D810" s="16"/>
      <c r="E810" s="16"/>
      <c r="F810" s="16"/>
      <c r="G810" s="16"/>
      <c r="H810"/>
      <c r="I810"/>
      <c r="J810"/>
      <c r="K810"/>
      <c r="L810"/>
      <c r="M810"/>
      <c r="N810"/>
      <c r="O810"/>
      <c r="P810"/>
      <c r="Q810"/>
      <c r="R810"/>
      <c r="S810"/>
      <c r="T810"/>
      <c r="U810"/>
      <c r="V810"/>
      <c r="W810"/>
      <c r="X810"/>
      <c r="Y810"/>
      <c r="Z810"/>
      <c r="AA810"/>
      <c r="AB810"/>
      <c r="AC810"/>
      <c r="AD810"/>
      <c r="AE810"/>
      <c r="AF810"/>
      <c r="AG810"/>
    </row>
    <row r="811" spans="1:33" ht="72" customHeight="1" x14ac:dyDescent="0.25">
      <c r="A811" s="16"/>
      <c r="B811" s="16"/>
      <c r="C811" s="16"/>
      <c r="D811" s="16"/>
      <c r="E811" s="16"/>
      <c r="F811" s="16"/>
      <c r="G811" s="16"/>
      <c r="H811"/>
      <c r="I811"/>
      <c r="J811"/>
      <c r="K811"/>
      <c r="L811"/>
      <c r="M811"/>
      <c r="N811"/>
      <c r="O811"/>
      <c r="P811"/>
      <c r="Q811"/>
      <c r="R811"/>
      <c r="S811"/>
      <c r="T811"/>
      <c r="U811"/>
      <c r="V811"/>
      <c r="W811"/>
      <c r="X811"/>
      <c r="Y811"/>
      <c r="Z811"/>
      <c r="AA811"/>
      <c r="AB811"/>
      <c r="AC811"/>
      <c r="AD811"/>
      <c r="AE811"/>
      <c r="AF811"/>
      <c r="AG811"/>
    </row>
    <row r="812" spans="1:33" ht="72" customHeight="1" x14ac:dyDescent="0.25">
      <c r="A812" s="16"/>
      <c r="B812" s="16"/>
      <c r="C812" s="16"/>
      <c r="D812" s="16"/>
      <c r="E812" s="16"/>
      <c r="F812" s="16"/>
      <c r="G812" s="16"/>
      <c r="H812"/>
      <c r="I812"/>
      <c r="J812"/>
      <c r="K812"/>
      <c r="L812"/>
      <c r="M812"/>
      <c r="N812"/>
      <c r="O812"/>
      <c r="P812"/>
      <c r="Q812"/>
      <c r="R812"/>
      <c r="S812"/>
      <c r="T812"/>
      <c r="U812"/>
      <c r="V812"/>
      <c r="W812"/>
      <c r="X812"/>
      <c r="Y812"/>
      <c r="Z812"/>
      <c r="AA812"/>
      <c r="AB812"/>
      <c r="AC812"/>
      <c r="AD812"/>
      <c r="AE812"/>
      <c r="AF812"/>
      <c r="AG812"/>
    </row>
    <row r="813" spans="1:33" ht="72" customHeight="1" x14ac:dyDescent="0.25">
      <c r="A813" s="16"/>
      <c r="B813" s="16"/>
      <c r="C813" s="16"/>
      <c r="D813" s="16"/>
      <c r="E813" s="16"/>
      <c r="F813" s="16"/>
      <c r="G813" s="16"/>
      <c r="H813"/>
      <c r="I813"/>
      <c r="J813"/>
      <c r="K813"/>
      <c r="L813"/>
      <c r="M813"/>
      <c r="N813"/>
      <c r="O813"/>
      <c r="P813"/>
      <c r="Q813"/>
      <c r="R813"/>
      <c r="S813"/>
      <c r="T813"/>
      <c r="U813"/>
      <c r="V813"/>
      <c r="W813"/>
      <c r="X813"/>
      <c r="Y813"/>
      <c r="Z813"/>
      <c r="AA813"/>
      <c r="AB813"/>
      <c r="AC813"/>
      <c r="AD813"/>
      <c r="AE813"/>
      <c r="AF813"/>
      <c r="AG813"/>
    </row>
    <row r="814" spans="1:33" ht="72" customHeight="1" x14ac:dyDescent="0.25">
      <c r="A814" s="16"/>
      <c r="B814" s="16"/>
      <c r="C814" s="16"/>
      <c r="D814" s="16"/>
      <c r="E814" s="16"/>
      <c r="F814" s="16"/>
      <c r="G814" s="16"/>
      <c r="H814"/>
      <c r="I814"/>
      <c r="J814"/>
      <c r="K814"/>
      <c r="L814"/>
      <c r="M814"/>
      <c r="N814"/>
      <c r="O814"/>
      <c r="P814"/>
      <c r="Q814"/>
      <c r="R814"/>
      <c r="S814"/>
      <c r="T814"/>
      <c r="U814"/>
      <c r="V814"/>
      <c r="W814"/>
      <c r="X814"/>
      <c r="Y814"/>
      <c r="Z814"/>
      <c r="AA814"/>
      <c r="AB814"/>
      <c r="AC814"/>
      <c r="AD814"/>
      <c r="AE814"/>
      <c r="AF814"/>
      <c r="AG814"/>
    </row>
    <row r="815" spans="1:33" ht="72" customHeight="1" x14ac:dyDescent="0.25">
      <c r="A815" s="16"/>
      <c r="B815" s="16"/>
      <c r="C815" s="16"/>
      <c r="D815" s="16"/>
      <c r="E815" s="16"/>
      <c r="F815" s="16"/>
      <c r="G815" s="16"/>
      <c r="H815"/>
      <c r="I815"/>
      <c r="J815"/>
      <c r="K815"/>
      <c r="L815"/>
      <c r="M815"/>
      <c r="N815"/>
      <c r="O815"/>
      <c r="P815"/>
      <c r="Q815"/>
      <c r="R815"/>
      <c r="S815"/>
      <c r="T815"/>
      <c r="U815"/>
      <c r="V815"/>
      <c r="W815"/>
      <c r="X815"/>
      <c r="Y815"/>
      <c r="Z815"/>
      <c r="AA815"/>
      <c r="AB815"/>
      <c r="AC815"/>
      <c r="AD815"/>
      <c r="AE815"/>
      <c r="AF815"/>
      <c r="AG815"/>
    </row>
    <row r="816" spans="1:33" ht="72" customHeight="1" x14ac:dyDescent="0.25">
      <c r="A816" s="16"/>
      <c r="B816" s="16"/>
      <c r="C816" s="16"/>
      <c r="D816" s="16"/>
      <c r="E816" s="16"/>
      <c r="F816" s="16"/>
      <c r="G816" s="16"/>
      <c r="H816"/>
      <c r="I816"/>
      <c r="J816"/>
      <c r="K816"/>
      <c r="L816"/>
      <c r="M816"/>
      <c r="N816"/>
      <c r="O816"/>
      <c r="P816"/>
      <c r="Q816"/>
      <c r="R816"/>
      <c r="S816"/>
      <c r="T816"/>
      <c r="U816"/>
      <c r="V816"/>
      <c r="W816"/>
      <c r="X816"/>
      <c r="Y816"/>
      <c r="Z816"/>
      <c r="AA816"/>
      <c r="AB816"/>
      <c r="AC816"/>
      <c r="AD816"/>
      <c r="AE816"/>
      <c r="AF816"/>
      <c r="AG816"/>
    </row>
    <row r="817" spans="1:33" ht="72" customHeight="1" x14ac:dyDescent="0.25">
      <c r="A817" s="16"/>
      <c r="B817" s="16"/>
      <c r="C817" s="16"/>
      <c r="D817" s="16"/>
      <c r="E817" s="16"/>
      <c r="F817" s="16"/>
      <c r="G817" s="16"/>
      <c r="H817"/>
      <c r="I817"/>
      <c r="J817"/>
      <c r="K817"/>
      <c r="L817"/>
      <c r="M817"/>
      <c r="N817"/>
      <c r="O817"/>
      <c r="P817"/>
      <c r="Q817"/>
      <c r="R817"/>
      <c r="S817"/>
      <c r="T817"/>
      <c r="U817"/>
      <c r="V817"/>
      <c r="W817"/>
      <c r="X817"/>
      <c r="Y817"/>
      <c r="Z817"/>
      <c r="AA817"/>
      <c r="AB817"/>
      <c r="AC817"/>
      <c r="AD817"/>
      <c r="AE817"/>
      <c r="AF817"/>
      <c r="AG817"/>
    </row>
    <row r="818" spans="1:33" ht="72" customHeight="1" x14ac:dyDescent="0.25">
      <c r="A818" s="16"/>
      <c r="B818" s="16"/>
      <c r="C818" s="16"/>
      <c r="D818" s="16"/>
      <c r="E818" s="16"/>
      <c r="F818" s="16"/>
      <c r="G818" s="16"/>
      <c r="H818"/>
      <c r="I818"/>
      <c r="J818"/>
      <c r="K818"/>
      <c r="L818"/>
      <c r="M818"/>
      <c r="N818"/>
      <c r="O818"/>
      <c r="P818"/>
      <c r="Q818"/>
      <c r="R818"/>
      <c r="S818"/>
      <c r="T818"/>
      <c r="U818"/>
      <c r="V818"/>
      <c r="W818"/>
      <c r="X818"/>
      <c r="Y818"/>
      <c r="Z818"/>
      <c r="AA818"/>
      <c r="AB818"/>
      <c r="AC818"/>
      <c r="AD818"/>
      <c r="AE818"/>
      <c r="AF818"/>
      <c r="AG818"/>
    </row>
    <row r="819" spans="1:33" ht="72" customHeight="1" x14ac:dyDescent="0.25">
      <c r="A819" s="16"/>
      <c r="B819" s="16"/>
      <c r="C819" s="16"/>
      <c r="D819" s="16"/>
      <c r="E819" s="16"/>
      <c r="F819" s="16"/>
      <c r="G819" s="16"/>
      <c r="H819"/>
      <c r="I819"/>
      <c r="J819"/>
      <c r="K819"/>
      <c r="L819"/>
      <c r="M819"/>
      <c r="N819"/>
      <c r="O819"/>
      <c r="P819"/>
      <c r="Q819"/>
      <c r="R819"/>
      <c r="S819"/>
      <c r="T819"/>
      <c r="U819"/>
      <c r="V819"/>
      <c r="W819"/>
      <c r="X819"/>
      <c r="Y819"/>
      <c r="Z819"/>
      <c r="AA819"/>
      <c r="AB819"/>
      <c r="AC819"/>
      <c r="AD819"/>
      <c r="AE819"/>
      <c r="AF819"/>
      <c r="AG819"/>
    </row>
    <row r="820" spans="1:33" ht="72" customHeight="1" x14ac:dyDescent="0.25">
      <c r="A820" s="16"/>
      <c r="B820" s="16"/>
      <c r="C820" s="16"/>
      <c r="D820" s="16"/>
      <c r="E820" s="16"/>
      <c r="F820" s="16"/>
      <c r="G820" s="16"/>
      <c r="H820"/>
      <c r="I820"/>
      <c r="J820"/>
      <c r="K820"/>
      <c r="L820"/>
      <c r="M820"/>
      <c r="N820"/>
      <c r="O820"/>
      <c r="P820"/>
      <c r="Q820"/>
      <c r="R820"/>
      <c r="S820"/>
      <c r="T820"/>
      <c r="U820"/>
      <c r="V820"/>
      <c r="W820"/>
      <c r="X820"/>
      <c r="Y820"/>
      <c r="Z820"/>
      <c r="AA820"/>
      <c r="AB820"/>
      <c r="AC820"/>
      <c r="AD820"/>
      <c r="AE820"/>
      <c r="AF820"/>
      <c r="AG820"/>
    </row>
    <row r="821" spans="1:33" ht="72" customHeight="1" x14ac:dyDescent="0.25">
      <c r="A821" s="16"/>
      <c r="B821" s="16"/>
      <c r="C821" s="16"/>
      <c r="D821" s="16"/>
      <c r="E821" s="16"/>
      <c r="F821" s="16"/>
      <c r="G821" s="16"/>
      <c r="H821"/>
      <c r="I821"/>
      <c r="J821"/>
      <c r="K821"/>
      <c r="L821"/>
      <c r="M821"/>
      <c r="N821"/>
      <c r="O821"/>
      <c r="P821"/>
      <c r="Q821"/>
      <c r="R821"/>
      <c r="S821"/>
      <c r="T821"/>
      <c r="U821"/>
      <c r="V821"/>
      <c r="W821"/>
      <c r="X821"/>
      <c r="Y821"/>
      <c r="Z821"/>
      <c r="AA821"/>
      <c r="AB821"/>
      <c r="AC821"/>
      <c r="AD821"/>
      <c r="AE821"/>
      <c r="AF821"/>
      <c r="AG821"/>
    </row>
    <row r="822" spans="1:33" ht="72" customHeight="1" x14ac:dyDescent="0.25">
      <c r="A822" s="16"/>
      <c r="B822" s="16"/>
      <c r="C822" s="16"/>
      <c r="D822" s="16"/>
      <c r="E822" s="16"/>
      <c r="F822" s="16"/>
      <c r="G822" s="16"/>
      <c r="H822"/>
      <c r="I822"/>
      <c r="J822"/>
      <c r="K822"/>
      <c r="L822"/>
      <c r="M822"/>
      <c r="N822"/>
      <c r="O822"/>
      <c r="P822"/>
      <c r="Q822"/>
      <c r="R822"/>
      <c r="S822"/>
      <c r="T822"/>
      <c r="U822"/>
      <c r="V822"/>
      <c r="W822"/>
      <c r="X822"/>
      <c r="Y822"/>
      <c r="Z822"/>
      <c r="AA822"/>
      <c r="AB822"/>
      <c r="AC822"/>
      <c r="AD822"/>
      <c r="AE822"/>
      <c r="AF822"/>
      <c r="AG822"/>
    </row>
    <row r="823" spans="1:33" ht="72" customHeight="1" x14ac:dyDescent="0.25">
      <c r="A823" s="16"/>
      <c r="B823" s="16"/>
      <c r="C823" s="16"/>
      <c r="D823" s="16"/>
      <c r="E823" s="16"/>
      <c r="F823" s="16"/>
      <c r="G823" s="16"/>
      <c r="H823"/>
      <c r="I823"/>
      <c r="J823"/>
      <c r="K823"/>
      <c r="L823"/>
      <c r="M823"/>
      <c r="N823"/>
      <c r="O823"/>
      <c r="P823"/>
      <c r="Q823"/>
      <c r="R823"/>
      <c r="S823"/>
      <c r="T823"/>
      <c r="U823"/>
      <c r="V823"/>
      <c r="W823"/>
      <c r="X823"/>
      <c r="Y823"/>
      <c r="Z823"/>
      <c r="AA823"/>
      <c r="AB823"/>
      <c r="AC823"/>
      <c r="AD823"/>
      <c r="AE823"/>
      <c r="AF823"/>
      <c r="AG823"/>
    </row>
    <row r="824" spans="1:33" ht="72" customHeight="1" x14ac:dyDescent="0.25">
      <c r="A824" s="16"/>
      <c r="B824" s="16"/>
      <c r="C824" s="16"/>
      <c r="D824" s="16"/>
      <c r="E824" s="16"/>
      <c r="F824" s="16"/>
      <c r="G824" s="16"/>
      <c r="H824"/>
      <c r="I824"/>
      <c r="J824"/>
      <c r="K824"/>
      <c r="L824"/>
      <c r="M824"/>
      <c r="N824"/>
      <c r="O824"/>
      <c r="P824"/>
      <c r="Q824"/>
      <c r="R824"/>
      <c r="S824"/>
      <c r="T824"/>
      <c r="U824"/>
      <c r="V824"/>
      <c r="W824"/>
      <c r="X824"/>
      <c r="Y824"/>
      <c r="Z824"/>
      <c r="AA824"/>
      <c r="AB824"/>
      <c r="AC824"/>
      <c r="AD824"/>
      <c r="AE824"/>
      <c r="AF824"/>
      <c r="AG824"/>
    </row>
    <row r="825" spans="1:33" ht="72" customHeight="1" x14ac:dyDescent="0.25">
      <c r="A825" s="16"/>
      <c r="B825" s="16"/>
      <c r="C825" s="16"/>
      <c r="D825" s="16"/>
      <c r="E825" s="16"/>
      <c r="F825" s="16"/>
      <c r="G825" s="16"/>
      <c r="H825"/>
      <c r="I825"/>
      <c r="J825"/>
      <c r="K825"/>
      <c r="L825"/>
      <c r="M825"/>
      <c r="N825"/>
      <c r="O825"/>
      <c r="P825"/>
      <c r="Q825"/>
      <c r="R825"/>
      <c r="S825"/>
      <c r="T825"/>
      <c r="U825"/>
      <c r="V825"/>
      <c r="W825"/>
      <c r="X825"/>
      <c r="Y825"/>
      <c r="Z825"/>
      <c r="AA825"/>
      <c r="AB825"/>
      <c r="AC825"/>
      <c r="AD825"/>
      <c r="AE825"/>
      <c r="AF825"/>
      <c r="AG825"/>
    </row>
    <row r="826" spans="1:33" ht="72" customHeight="1" x14ac:dyDescent="0.25">
      <c r="A826" s="16"/>
      <c r="B826" s="16"/>
      <c r="C826" s="16"/>
      <c r="D826" s="16"/>
      <c r="E826" s="16"/>
      <c r="F826" s="16"/>
      <c r="G826" s="16"/>
      <c r="H826"/>
      <c r="I826"/>
      <c r="J826"/>
      <c r="K826"/>
      <c r="L826"/>
      <c r="M826"/>
      <c r="N826"/>
      <c r="O826"/>
      <c r="P826"/>
      <c r="Q826"/>
      <c r="R826"/>
      <c r="S826"/>
      <c r="T826"/>
      <c r="U826"/>
      <c r="V826"/>
      <c r="W826"/>
      <c r="X826"/>
      <c r="Y826"/>
      <c r="Z826"/>
      <c r="AA826"/>
      <c r="AB826"/>
      <c r="AC826"/>
      <c r="AD826"/>
      <c r="AE826"/>
      <c r="AF826"/>
      <c r="AG826"/>
    </row>
    <row r="827" spans="1:33" ht="72" customHeight="1" x14ac:dyDescent="0.25">
      <c r="A827" s="16"/>
      <c r="B827" s="16"/>
      <c r="C827" s="16"/>
      <c r="D827" s="16"/>
      <c r="E827" s="16"/>
      <c r="F827" s="16"/>
      <c r="G827" s="16"/>
      <c r="H827"/>
      <c r="I827"/>
      <c r="J827"/>
      <c r="K827"/>
      <c r="L827"/>
      <c r="M827"/>
      <c r="N827"/>
      <c r="O827"/>
      <c r="P827"/>
      <c r="Q827"/>
      <c r="R827"/>
      <c r="S827"/>
      <c r="T827"/>
      <c r="U827"/>
      <c r="V827"/>
      <c r="W827"/>
      <c r="X827"/>
      <c r="Y827"/>
      <c r="Z827"/>
      <c r="AA827"/>
      <c r="AB827"/>
      <c r="AC827"/>
      <c r="AD827"/>
      <c r="AE827"/>
      <c r="AF827"/>
      <c r="AG827"/>
    </row>
    <row r="828" spans="1:33" ht="72" customHeight="1" x14ac:dyDescent="0.25">
      <c r="A828" s="16"/>
      <c r="B828" s="16"/>
      <c r="C828" s="16"/>
      <c r="D828" s="16"/>
      <c r="E828" s="16"/>
      <c r="F828" s="16"/>
      <c r="G828" s="16"/>
      <c r="H828"/>
      <c r="I828"/>
      <c r="J828"/>
      <c r="K828"/>
      <c r="L828"/>
      <c r="M828"/>
      <c r="N828"/>
      <c r="O828"/>
      <c r="P828"/>
      <c r="Q828"/>
      <c r="R828"/>
      <c r="S828"/>
      <c r="T828"/>
      <c r="U828"/>
      <c r="V828"/>
      <c r="W828"/>
      <c r="X828"/>
      <c r="Y828"/>
      <c r="Z828"/>
      <c r="AA828"/>
      <c r="AB828"/>
      <c r="AC828"/>
      <c r="AD828"/>
      <c r="AE828"/>
      <c r="AF828"/>
      <c r="AG828"/>
    </row>
    <row r="829" spans="1:33" ht="72" customHeight="1" x14ac:dyDescent="0.25">
      <c r="A829" s="16"/>
      <c r="B829" s="16"/>
      <c r="C829" s="16"/>
      <c r="D829" s="16"/>
      <c r="E829" s="16"/>
      <c r="F829" s="16"/>
      <c r="G829" s="16"/>
      <c r="H829"/>
      <c r="I829"/>
      <c r="J829"/>
      <c r="K829"/>
      <c r="L829"/>
      <c r="M829"/>
      <c r="N829"/>
      <c r="O829"/>
      <c r="P829"/>
      <c r="Q829"/>
      <c r="R829"/>
      <c r="S829"/>
      <c r="T829"/>
      <c r="U829"/>
      <c r="V829"/>
      <c r="W829"/>
      <c r="X829"/>
      <c r="Y829"/>
      <c r="Z829"/>
      <c r="AA829"/>
      <c r="AB829"/>
      <c r="AC829"/>
      <c r="AD829"/>
      <c r="AE829"/>
      <c r="AF829"/>
      <c r="AG829"/>
    </row>
    <row r="830" spans="1:33" ht="72" customHeight="1" x14ac:dyDescent="0.25">
      <c r="A830" s="16"/>
      <c r="B830" s="16"/>
      <c r="C830" s="16"/>
      <c r="D830" s="16"/>
      <c r="E830" s="16"/>
      <c r="F830" s="16"/>
      <c r="G830" s="16"/>
      <c r="H830"/>
      <c r="I830"/>
      <c r="J830"/>
      <c r="K830"/>
      <c r="L830"/>
      <c r="M830"/>
      <c r="N830"/>
      <c r="O830"/>
      <c r="P830"/>
      <c r="Q830"/>
      <c r="R830"/>
      <c r="S830"/>
      <c r="T830"/>
      <c r="U830"/>
      <c r="V830"/>
      <c r="W830"/>
      <c r="X830"/>
      <c r="Y830"/>
      <c r="Z830"/>
      <c r="AA830"/>
      <c r="AB830"/>
      <c r="AC830"/>
      <c r="AD830"/>
      <c r="AE830"/>
      <c r="AF830"/>
      <c r="AG830"/>
    </row>
    <row r="831" spans="1:33" ht="72" customHeight="1" x14ac:dyDescent="0.25">
      <c r="A831" s="16"/>
      <c r="B831" s="16"/>
      <c r="C831" s="16"/>
      <c r="D831" s="16"/>
      <c r="E831" s="16"/>
      <c r="F831" s="16"/>
      <c r="G831" s="16"/>
      <c r="H831"/>
      <c r="I831"/>
      <c r="J831"/>
      <c r="K831"/>
      <c r="L831"/>
      <c r="M831"/>
      <c r="N831"/>
      <c r="O831"/>
      <c r="P831"/>
      <c r="Q831"/>
      <c r="R831"/>
      <c r="S831"/>
      <c r="T831"/>
      <c r="U831"/>
      <c r="V831"/>
      <c r="W831"/>
      <c r="X831"/>
      <c r="Y831"/>
      <c r="Z831"/>
      <c r="AA831"/>
      <c r="AB831"/>
      <c r="AC831"/>
      <c r="AD831"/>
      <c r="AE831"/>
      <c r="AF831"/>
      <c r="AG831"/>
    </row>
    <row r="832" spans="1:33" ht="72" customHeight="1" x14ac:dyDescent="0.25">
      <c r="A832" s="16"/>
      <c r="B832" s="16"/>
      <c r="C832" s="16"/>
      <c r="D832" s="16"/>
      <c r="E832" s="16"/>
      <c r="F832" s="16"/>
      <c r="G832" s="16"/>
      <c r="H832"/>
      <c r="I832"/>
      <c r="J832"/>
      <c r="K832"/>
      <c r="L832"/>
      <c r="M832"/>
      <c r="N832"/>
      <c r="O832"/>
      <c r="P832"/>
      <c r="Q832"/>
      <c r="R832"/>
      <c r="S832"/>
      <c r="T832"/>
      <c r="U832"/>
      <c r="V832"/>
      <c r="W832"/>
      <c r="X832"/>
      <c r="Y832"/>
      <c r="Z832"/>
      <c r="AA832"/>
      <c r="AB832"/>
      <c r="AC832"/>
      <c r="AD832"/>
      <c r="AE832"/>
      <c r="AF832"/>
      <c r="AG832"/>
    </row>
    <row r="833" spans="1:33" ht="72" customHeight="1" x14ac:dyDescent="0.25">
      <c r="A833" s="16"/>
      <c r="B833" s="16"/>
      <c r="C833" s="16"/>
      <c r="D833" s="16"/>
      <c r="E833" s="16"/>
      <c r="F833" s="16"/>
      <c r="G833" s="16"/>
      <c r="H833"/>
      <c r="I833"/>
      <c r="J833"/>
      <c r="K833"/>
      <c r="L833"/>
      <c r="M833"/>
      <c r="N833"/>
      <c r="O833"/>
      <c r="P833"/>
      <c r="Q833"/>
      <c r="R833"/>
      <c r="S833"/>
      <c r="T833"/>
      <c r="U833"/>
      <c r="V833"/>
      <c r="W833"/>
      <c r="X833"/>
      <c r="Y833"/>
      <c r="Z833"/>
      <c r="AA833"/>
      <c r="AB833"/>
      <c r="AC833"/>
      <c r="AD833"/>
      <c r="AE833"/>
      <c r="AF833"/>
      <c r="AG833"/>
    </row>
    <row r="834" spans="1:33" ht="72" customHeight="1" x14ac:dyDescent="0.25">
      <c r="A834" s="16"/>
      <c r="B834" s="16"/>
      <c r="C834" s="16"/>
      <c r="D834" s="16"/>
      <c r="E834" s="16"/>
      <c r="F834" s="16"/>
      <c r="G834" s="16"/>
      <c r="H834"/>
      <c r="I834"/>
      <c r="J834"/>
      <c r="K834"/>
      <c r="L834"/>
      <c r="M834"/>
      <c r="N834"/>
      <c r="O834"/>
      <c r="P834"/>
      <c r="Q834"/>
      <c r="R834"/>
      <c r="S834"/>
      <c r="T834"/>
      <c r="U834"/>
      <c r="V834"/>
      <c r="W834"/>
      <c r="X834"/>
      <c r="Y834"/>
      <c r="Z834"/>
      <c r="AA834"/>
      <c r="AB834"/>
      <c r="AC834"/>
      <c r="AD834"/>
      <c r="AE834"/>
      <c r="AF834"/>
      <c r="AG834"/>
    </row>
    <row r="835" spans="1:33" ht="72" customHeight="1" x14ac:dyDescent="0.25">
      <c r="A835" s="16"/>
      <c r="B835" s="16"/>
      <c r="C835" s="16"/>
      <c r="D835" s="16"/>
      <c r="E835" s="16"/>
      <c r="F835" s="16"/>
      <c r="G835" s="16"/>
      <c r="H835"/>
      <c r="I835"/>
      <c r="J835"/>
      <c r="K835"/>
      <c r="L835"/>
      <c r="M835"/>
      <c r="N835"/>
      <c r="O835"/>
      <c r="P835"/>
      <c r="Q835"/>
      <c r="R835"/>
      <c r="S835"/>
      <c r="T835"/>
      <c r="U835"/>
      <c r="V835"/>
      <c r="W835"/>
      <c r="X835"/>
      <c r="Y835"/>
      <c r="Z835"/>
      <c r="AA835"/>
      <c r="AB835"/>
      <c r="AC835"/>
      <c r="AD835"/>
      <c r="AE835"/>
      <c r="AF835"/>
      <c r="AG835"/>
    </row>
    <row r="836" spans="1:33" ht="72" customHeight="1" x14ac:dyDescent="0.25">
      <c r="A836" s="16"/>
      <c r="B836" s="16"/>
      <c r="C836" s="16"/>
      <c r="D836" s="16"/>
      <c r="E836" s="16"/>
      <c r="F836" s="16"/>
      <c r="G836" s="16"/>
      <c r="H836"/>
      <c r="I836"/>
      <c r="J836"/>
      <c r="K836"/>
      <c r="L836"/>
      <c r="M836"/>
      <c r="N836"/>
      <c r="O836"/>
      <c r="P836"/>
      <c r="Q836"/>
      <c r="R836"/>
      <c r="S836"/>
      <c r="T836"/>
      <c r="U836"/>
      <c r="V836"/>
      <c r="W836"/>
      <c r="X836"/>
      <c r="Y836"/>
      <c r="Z836"/>
      <c r="AA836"/>
      <c r="AB836"/>
      <c r="AC836"/>
      <c r="AD836"/>
      <c r="AE836"/>
      <c r="AF836"/>
      <c r="AG836"/>
    </row>
    <row r="837" spans="1:33" ht="72" customHeight="1" x14ac:dyDescent="0.25">
      <c r="A837" s="16"/>
      <c r="B837" s="16"/>
      <c r="C837" s="16"/>
      <c r="D837" s="16"/>
      <c r="E837" s="16"/>
      <c r="F837" s="16"/>
      <c r="G837" s="16"/>
      <c r="H837"/>
      <c r="I837"/>
      <c r="J837"/>
      <c r="K837"/>
      <c r="L837"/>
      <c r="M837"/>
      <c r="N837"/>
      <c r="O837"/>
      <c r="P837"/>
      <c r="Q837"/>
      <c r="R837"/>
      <c r="S837"/>
      <c r="T837"/>
      <c r="U837"/>
      <c r="V837"/>
      <c r="W837"/>
      <c r="X837"/>
      <c r="Y837"/>
      <c r="Z837"/>
      <c r="AA837"/>
      <c r="AB837"/>
      <c r="AC837"/>
      <c r="AD837"/>
      <c r="AE837"/>
      <c r="AF837"/>
      <c r="AG837"/>
    </row>
    <row r="838" spans="1:33" ht="72" customHeight="1" x14ac:dyDescent="0.25">
      <c r="A838" s="16"/>
      <c r="B838" s="16"/>
      <c r="C838" s="16"/>
      <c r="D838" s="16"/>
      <c r="E838" s="16"/>
      <c r="F838" s="16"/>
      <c r="G838" s="16"/>
      <c r="H838"/>
      <c r="I838"/>
      <c r="J838"/>
      <c r="K838"/>
      <c r="L838"/>
      <c r="M838"/>
      <c r="N838"/>
      <c r="O838"/>
      <c r="P838"/>
      <c r="Q838"/>
      <c r="R838"/>
      <c r="S838"/>
      <c r="T838"/>
      <c r="U838"/>
      <c r="V838"/>
      <c r="W838"/>
      <c r="X838"/>
      <c r="Y838"/>
      <c r="Z838"/>
      <c r="AA838"/>
      <c r="AB838"/>
      <c r="AC838"/>
      <c r="AD838"/>
      <c r="AE838"/>
      <c r="AF838"/>
      <c r="AG838"/>
    </row>
    <row r="839" spans="1:33" ht="72" customHeight="1" x14ac:dyDescent="0.25">
      <c r="A839" s="16"/>
      <c r="B839" s="16"/>
      <c r="C839" s="16"/>
      <c r="D839" s="16"/>
      <c r="E839" s="16"/>
      <c r="F839" s="16"/>
      <c r="G839" s="16"/>
      <c r="H839"/>
      <c r="I839"/>
      <c r="J839"/>
      <c r="K839"/>
      <c r="L839"/>
      <c r="M839"/>
      <c r="N839"/>
      <c r="O839"/>
      <c r="P839"/>
      <c r="Q839"/>
      <c r="R839"/>
      <c r="S839"/>
      <c r="T839"/>
      <c r="U839"/>
      <c r="V839"/>
      <c r="W839"/>
      <c r="X839"/>
      <c r="Y839"/>
      <c r="Z839"/>
      <c r="AA839"/>
      <c r="AB839"/>
      <c r="AC839"/>
      <c r="AD839"/>
      <c r="AE839"/>
      <c r="AF839"/>
      <c r="AG839"/>
    </row>
    <row r="840" spans="1:33" ht="72" customHeight="1" x14ac:dyDescent="0.25">
      <c r="A840" s="16"/>
      <c r="B840" s="16"/>
      <c r="C840" s="16"/>
      <c r="D840" s="16"/>
      <c r="E840" s="16"/>
      <c r="F840" s="16"/>
      <c r="G840" s="16"/>
      <c r="H840"/>
      <c r="I840"/>
      <c r="J840"/>
      <c r="K840"/>
      <c r="L840"/>
      <c r="M840"/>
      <c r="N840"/>
      <c r="O840"/>
      <c r="P840"/>
      <c r="Q840"/>
      <c r="R840"/>
      <c r="S840"/>
      <c r="T840"/>
      <c r="U840"/>
      <c r="V840"/>
      <c r="W840"/>
      <c r="X840"/>
      <c r="Y840"/>
      <c r="Z840"/>
      <c r="AA840"/>
      <c r="AB840"/>
      <c r="AC840"/>
      <c r="AD840"/>
      <c r="AE840"/>
      <c r="AF840"/>
      <c r="AG840"/>
    </row>
    <row r="841" spans="1:33" ht="72" customHeight="1" x14ac:dyDescent="0.25">
      <c r="A841" s="16"/>
      <c r="B841" s="16"/>
      <c r="C841" s="16"/>
      <c r="D841" s="16"/>
      <c r="E841" s="16"/>
      <c r="F841" s="16"/>
      <c r="G841" s="16"/>
      <c r="H841"/>
      <c r="I841"/>
      <c r="J841"/>
      <c r="K841"/>
      <c r="L841"/>
      <c r="M841"/>
      <c r="N841"/>
      <c r="O841"/>
      <c r="P841"/>
      <c r="Q841"/>
      <c r="R841"/>
      <c r="S841"/>
      <c r="T841"/>
      <c r="U841"/>
      <c r="V841"/>
      <c r="W841"/>
      <c r="X841"/>
      <c r="Y841"/>
      <c r="Z841"/>
      <c r="AA841"/>
      <c r="AB841"/>
      <c r="AC841"/>
      <c r="AD841"/>
      <c r="AE841"/>
      <c r="AF841"/>
      <c r="AG841"/>
    </row>
    <row r="842" spans="1:33" ht="72" customHeight="1" x14ac:dyDescent="0.25">
      <c r="A842" s="16"/>
      <c r="B842" s="16"/>
      <c r="C842" s="16"/>
      <c r="D842" s="16"/>
      <c r="E842" s="16"/>
      <c r="F842" s="16"/>
      <c r="G842" s="16"/>
      <c r="H842"/>
      <c r="I842"/>
      <c r="J842"/>
      <c r="K842"/>
      <c r="L842"/>
      <c r="M842"/>
      <c r="N842"/>
      <c r="O842"/>
      <c r="P842"/>
      <c r="Q842"/>
      <c r="R842"/>
      <c r="S842"/>
      <c r="T842"/>
      <c r="U842"/>
      <c r="V842"/>
      <c r="W842"/>
      <c r="X842"/>
      <c r="Y842"/>
      <c r="Z842"/>
      <c r="AA842"/>
      <c r="AB842"/>
      <c r="AC842"/>
      <c r="AD842"/>
      <c r="AE842"/>
      <c r="AF842"/>
      <c r="AG842"/>
    </row>
    <row r="843" spans="1:33" ht="72" customHeight="1" x14ac:dyDescent="0.25">
      <c r="A843" s="16"/>
      <c r="B843" s="16"/>
      <c r="C843" s="16"/>
      <c r="D843" s="16"/>
      <c r="E843" s="16"/>
      <c r="F843" s="16"/>
      <c r="G843" s="16"/>
      <c r="H843"/>
      <c r="I843"/>
      <c r="J843"/>
      <c r="K843"/>
      <c r="L843"/>
      <c r="M843"/>
      <c r="N843"/>
      <c r="O843"/>
      <c r="P843"/>
      <c r="Q843"/>
      <c r="R843"/>
      <c r="S843"/>
      <c r="T843"/>
      <c r="U843"/>
      <c r="V843"/>
      <c r="W843"/>
      <c r="X843"/>
      <c r="Y843"/>
      <c r="Z843"/>
      <c r="AA843"/>
      <c r="AB843"/>
      <c r="AC843"/>
      <c r="AD843"/>
      <c r="AE843"/>
      <c r="AF843"/>
      <c r="AG843"/>
    </row>
    <row r="844" spans="1:33" ht="72" customHeight="1" x14ac:dyDescent="0.25">
      <c r="A844" s="16"/>
      <c r="B844" s="16"/>
      <c r="C844" s="16"/>
      <c r="D844" s="16"/>
      <c r="E844" s="16"/>
      <c r="F844" s="16"/>
      <c r="G844" s="16"/>
      <c r="H844"/>
      <c r="I844"/>
      <c r="J844"/>
      <c r="K844"/>
      <c r="L844"/>
      <c r="M844"/>
      <c r="N844"/>
      <c r="O844"/>
      <c r="P844"/>
      <c r="Q844"/>
      <c r="R844"/>
      <c r="S844"/>
      <c r="T844"/>
      <c r="U844"/>
      <c r="V844"/>
      <c r="W844"/>
      <c r="X844"/>
      <c r="Y844"/>
      <c r="Z844"/>
      <c r="AA844"/>
      <c r="AB844"/>
      <c r="AC844"/>
      <c r="AD844"/>
      <c r="AE844"/>
      <c r="AF844"/>
      <c r="AG844"/>
    </row>
    <row r="845" spans="1:33" ht="72" customHeight="1" x14ac:dyDescent="0.25">
      <c r="A845" s="16"/>
      <c r="B845" s="16"/>
      <c r="C845" s="16"/>
      <c r="D845" s="16"/>
      <c r="E845" s="16"/>
      <c r="F845" s="16"/>
      <c r="G845" s="16"/>
      <c r="H845"/>
      <c r="I845"/>
      <c r="J845"/>
      <c r="K845"/>
      <c r="L845"/>
      <c r="M845"/>
      <c r="N845"/>
      <c r="O845"/>
      <c r="P845"/>
      <c r="Q845"/>
      <c r="R845"/>
      <c r="S845"/>
      <c r="T845"/>
      <c r="U845"/>
      <c r="V845"/>
      <c r="W845"/>
      <c r="X845"/>
      <c r="Y845"/>
      <c r="Z845"/>
      <c r="AA845"/>
      <c r="AB845"/>
      <c r="AC845"/>
      <c r="AD845"/>
      <c r="AE845"/>
      <c r="AF845"/>
      <c r="AG845"/>
    </row>
    <row r="846" spans="1:33" ht="72" customHeight="1" x14ac:dyDescent="0.25">
      <c r="A846" s="16"/>
      <c r="B846" s="16"/>
      <c r="C846" s="16"/>
      <c r="D846" s="16"/>
      <c r="E846" s="16"/>
      <c r="F846" s="16"/>
      <c r="G846" s="16"/>
      <c r="H846"/>
      <c r="I846"/>
      <c r="J846"/>
      <c r="K846"/>
      <c r="L846"/>
      <c r="M846"/>
      <c r="N846"/>
      <c r="O846"/>
      <c r="P846"/>
      <c r="Q846"/>
      <c r="R846"/>
      <c r="S846"/>
      <c r="T846"/>
      <c r="U846"/>
      <c r="V846"/>
      <c r="W846"/>
      <c r="X846"/>
      <c r="Y846"/>
      <c r="Z846"/>
      <c r="AA846"/>
      <c r="AB846"/>
      <c r="AC846"/>
      <c r="AD846"/>
      <c r="AE846"/>
      <c r="AF846"/>
      <c r="AG846"/>
    </row>
    <row r="847" spans="1:33" ht="72" customHeight="1" x14ac:dyDescent="0.25">
      <c r="A847" s="16"/>
      <c r="B847" s="16"/>
      <c r="C847" s="16"/>
      <c r="D847" s="16"/>
      <c r="E847" s="16"/>
      <c r="F847" s="16"/>
      <c r="G847" s="16"/>
      <c r="H847"/>
      <c r="I847"/>
      <c r="J847"/>
      <c r="K847"/>
      <c r="L847"/>
      <c r="M847"/>
      <c r="N847"/>
      <c r="O847"/>
      <c r="P847"/>
      <c r="Q847"/>
      <c r="R847"/>
      <c r="S847"/>
      <c r="T847"/>
      <c r="U847"/>
      <c r="V847"/>
      <c r="W847"/>
      <c r="X847"/>
      <c r="Y847"/>
      <c r="Z847"/>
      <c r="AA847"/>
      <c r="AB847"/>
      <c r="AC847"/>
      <c r="AD847"/>
      <c r="AE847"/>
      <c r="AF847"/>
      <c r="AG847"/>
    </row>
    <row r="848" spans="1:33" ht="72" customHeight="1" x14ac:dyDescent="0.25">
      <c r="A848" s="16"/>
      <c r="B848" s="16"/>
      <c r="C848" s="16"/>
      <c r="D848" s="16"/>
      <c r="E848" s="16"/>
      <c r="F848" s="16"/>
      <c r="G848" s="16"/>
      <c r="H848"/>
      <c r="I848"/>
      <c r="J848"/>
      <c r="K848"/>
      <c r="L848"/>
      <c r="M848"/>
      <c r="N848"/>
      <c r="O848"/>
      <c r="P848"/>
      <c r="Q848"/>
      <c r="R848"/>
      <c r="S848"/>
      <c r="T848"/>
      <c r="U848"/>
      <c r="V848"/>
      <c r="W848"/>
      <c r="X848"/>
      <c r="Y848"/>
      <c r="Z848"/>
      <c r="AA848"/>
      <c r="AB848"/>
      <c r="AC848"/>
      <c r="AD848"/>
      <c r="AE848"/>
      <c r="AF848"/>
      <c r="AG848"/>
    </row>
    <row r="849" spans="1:33" ht="72" customHeight="1" x14ac:dyDescent="0.25">
      <c r="A849" s="16"/>
      <c r="B849" s="16"/>
      <c r="C849" s="16"/>
      <c r="D849" s="16"/>
      <c r="E849" s="16"/>
      <c r="F849" s="16"/>
      <c r="G849" s="16"/>
      <c r="H849"/>
      <c r="I849"/>
      <c r="J849"/>
      <c r="K849"/>
      <c r="L849"/>
      <c r="M849"/>
      <c r="N849"/>
      <c r="O849"/>
      <c r="P849"/>
      <c r="Q849"/>
      <c r="R849"/>
      <c r="S849"/>
      <c r="T849"/>
      <c r="U849"/>
      <c r="V849"/>
      <c r="W849"/>
      <c r="X849"/>
      <c r="Y849"/>
      <c r="Z849"/>
      <c r="AA849"/>
      <c r="AB849"/>
      <c r="AC849"/>
      <c r="AD849"/>
      <c r="AE849"/>
      <c r="AF849"/>
      <c r="AG849"/>
    </row>
    <row r="850" spans="1:33" ht="72" customHeight="1" x14ac:dyDescent="0.25">
      <c r="A850" s="16"/>
      <c r="B850" s="16"/>
      <c r="C850" s="16"/>
      <c r="D850" s="16"/>
      <c r="E850" s="16"/>
      <c r="F850" s="16"/>
      <c r="G850" s="16"/>
      <c r="H850"/>
      <c r="I850"/>
      <c r="J850"/>
      <c r="K850"/>
      <c r="L850"/>
      <c r="M850"/>
      <c r="N850"/>
      <c r="O850"/>
      <c r="P850"/>
      <c r="Q850"/>
      <c r="R850"/>
      <c r="S850"/>
      <c r="T850"/>
      <c r="U850"/>
      <c r="V850"/>
      <c r="W850"/>
      <c r="X850"/>
      <c r="Y850"/>
      <c r="Z850"/>
      <c r="AA850"/>
      <c r="AB850"/>
      <c r="AC850"/>
      <c r="AD850"/>
      <c r="AE850"/>
      <c r="AF850"/>
      <c r="AG850"/>
    </row>
    <row r="851" spans="1:33" ht="72" customHeight="1" x14ac:dyDescent="0.25">
      <c r="A851" s="16"/>
      <c r="B851" s="16"/>
      <c r="C851" s="16"/>
      <c r="D851" s="16"/>
      <c r="E851" s="16"/>
      <c r="F851" s="16"/>
      <c r="G851" s="16"/>
      <c r="H851"/>
      <c r="I851"/>
      <c r="J851"/>
      <c r="K851"/>
      <c r="L851"/>
      <c r="M851"/>
      <c r="N851"/>
      <c r="O851"/>
      <c r="P851"/>
      <c r="Q851"/>
      <c r="R851"/>
      <c r="S851"/>
      <c r="T851"/>
      <c r="U851"/>
      <c r="V851"/>
      <c r="W851"/>
      <c r="X851"/>
      <c r="Y851"/>
      <c r="Z851"/>
      <c r="AA851"/>
      <c r="AB851"/>
      <c r="AC851"/>
      <c r="AD851"/>
      <c r="AE851"/>
      <c r="AF851"/>
      <c r="AG851"/>
    </row>
    <row r="852" spans="1:33" ht="72" customHeight="1" x14ac:dyDescent="0.25">
      <c r="A852" s="16"/>
      <c r="B852" s="16"/>
      <c r="C852" s="16"/>
      <c r="D852" s="16"/>
      <c r="E852" s="16"/>
      <c r="F852" s="16"/>
      <c r="G852" s="16"/>
      <c r="H852"/>
      <c r="I852"/>
      <c r="J852"/>
      <c r="K852"/>
      <c r="L852"/>
      <c r="M852"/>
      <c r="N852"/>
      <c r="O852"/>
      <c r="P852"/>
      <c r="Q852"/>
      <c r="R852"/>
      <c r="S852"/>
      <c r="T852"/>
      <c r="U852"/>
      <c r="V852"/>
      <c r="W852"/>
      <c r="X852"/>
      <c r="Y852"/>
      <c r="Z852"/>
      <c r="AA852"/>
      <c r="AB852"/>
      <c r="AC852"/>
      <c r="AD852"/>
      <c r="AE852"/>
      <c r="AF852"/>
      <c r="AG852"/>
    </row>
    <row r="853" spans="1:33" ht="72" customHeight="1" x14ac:dyDescent="0.25">
      <c r="A853" s="16"/>
      <c r="B853" s="16"/>
      <c r="C853" s="16"/>
      <c r="D853" s="16"/>
      <c r="E853" s="16"/>
      <c r="F853" s="16"/>
      <c r="G853" s="16"/>
      <c r="H853"/>
      <c r="I853"/>
      <c r="J853"/>
      <c r="K853"/>
      <c r="L853"/>
      <c r="M853"/>
      <c r="N853"/>
      <c r="O853"/>
      <c r="P853"/>
      <c r="Q853"/>
      <c r="R853"/>
      <c r="S853"/>
      <c r="T853"/>
      <c r="U853"/>
      <c r="V853"/>
      <c r="W853"/>
      <c r="X853"/>
      <c r="Y853"/>
      <c r="Z853"/>
      <c r="AA853"/>
      <c r="AB853"/>
      <c r="AC853"/>
      <c r="AD853"/>
      <c r="AE853"/>
      <c r="AF853"/>
      <c r="AG853"/>
    </row>
    <row r="854" spans="1:33" ht="72" customHeight="1" x14ac:dyDescent="0.25">
      <c r="A854" s="16"/>
      <c r="B854" s="16"/>
      <c r="C854" s="16"/>
      <c r="D854" s="16"/>
      <c r="E854" s="16"/>
      <c r="F854" s="16"/>
      <c r="G854" s="16"/>
      <c r="H854"/>
      <c r="I854"/>
      <c r="J854"/>
      <c r="K854"/>
      <c r="L854"/>
      <c r="M854"/>
      <c r="N854"/>
      <c r="O854"/>
      <c r="P854"/>
      <c r="Q854"/>
      <c r="R854"/>
      <c r="S854"/>
      <c r="T854"/>
      <c r="U854"/>
      <c r="V854"/>
      <c r="W854"/>
      <c r="X854"/>
      <c r="Y854"/>
      <c r="Z854"/>
      <c r="AA854"/>
      <c r="AB854"/>
      <c r="AC854"/>
      <c r="AD854"/>
      <c r="AE854"/>
      <c r="AF854"/>
      <c r="AG854"/>
    </row>
    <row r="855" spans="1:33" ht="72" customHeight="1" x14ac:dyDescent="0.25">
      <c r="A855" s="16"/>
      <c r="B855" s="16"/>
      <c r="C855" s="16"/>
      <c r="D855" s="16"/>
      <c r="E855" s="16"/>
      <c r="F855" s="16"/>
      <c r="G855" s="16"/>
      <c r="H855"/>
      <c r="I855"/>
      <c r="J855"/>
      <c r="K855"/>
      <c r="L855"/>
      <c r="M855"/>
      <c r="N855"/>
      <c r="O855"/>
      <c r="P855"/>
      <c r="Q855"/>
      <c r="R855"/>
      <c r="S855"/>
      <c r="T855"/>
      <c r="U855"/>
      <c r="V855"/>
      <c r="W855"/>
      <c r="X855"/>
      <c r="Y855"/>
      <c r="Z855"/>
      <c r="AA855"/>
      <c r="AB855"/>
      <c r="AC855"/>
      <c r="AD855"/>
      <c r="AE855"/>
      <c r="AF855"/>
      <c r="AG855"/>
    </row>
    <row r="856" spans="1:33" ht="72" customHeight="1" x14ac:dyDescent="0.25">
      <c r="A856" s="16"/>
      <c r="B856" s="16"/>
      <c r="C856" s="16"/>
      <c r="D856" s="16"/>
      <c r="E856" s="16"/>
      <c r="F856" s="16"/>
      <c r="G856" s="16"/>
      <c r="H856"/>
      <c r="I856"/>
      <c r="J856"/>
      <c r="K856"/>
      <c r="L856"/>
      <c r="M856"/>
      <c r="N856"/>
      <c r="O856"/>
      <c r="P856"/>
      <c r="Q856"/>
      <c r="R856"/>
      <c r="S856"/>
      <c r="T856"/>
      <c r="U856"/>
      <c r="V856"/>
      <c r="W856"/>
      <c r="X856"/>
      <c r="Y856"/>
      <c r="Z856"/>
      <c r="AA856"/>
      <c r="AB856"/>
      <c r="AC856"/>
      <c r="AD856"/>
      <c r="AE856"/>
      <c r="AF856"/>
      <c r="AG856"/>
    </row>
    <row r="857" spans="1:33" ht="72" customHeight="1" x14ac:dyDescent="0.25">
      <c r="A857" s="16"/>
      <c r="B857" s="16"/>
      <c r="C857" s="16"/>
      <c r="D857" s="16"/>
      <c r="E857" s="16"/>
      <c r="F857" s="16"/>
      <c r="G857" s="16"/>
      <c r="H857"/>
      <c r="I857"/>
      <c r="J857"/>
      <c r="K857"/>
      <c r="L857"/>
      <c r="M857"/>
      <c r="N857"/>
      <c r="O857"/>
      <c r="P857"/>
      <c r="Q857"/>
      <c r="R857"/>
      <c r="S857"/>
      <c r="T857"/>
      <c r="U857"/>
      <c r="V857"/>
      <c r="W857"/>
      <c r="X857"/>
      <c r="Y857"/>
      <c r="Z857"/>
      <c r="AA857"/>
      <c r="AB857"/>
      <c r="AC857"/>
      <c r="AD857"/>
      <c r="AE857"/>
      <c r="AF857"/>
      <c r="AG857"/>
    </row>
    <row r="858" spans="1:33" ht="72" customHeight="1" x14ac:dyDescent="0.25">
      <c r="A858" s="16"/>
      <c r="B858" s="16"/>
      <c r="C858" s="16"/>
      <c r="D858" s="16"/>
      <c r="E858" s="16"/>
      <c r="F858" s="16"/>
      <c r="G858" s="16"/>
      <c r="H858"/>
      <c r="I858"/>
      <c r="J858"/>
      <c r="K858"/>
      <c r="L858"/>
      <c r="M858"/>
      <c r="N858"/>
      <c r="O858"/>
      <c r="P858"/>
      <c r="Q858"/>
      <c r="R858"/>
      <c r="S858"/>
      <c r="T858"/>
      <c r="U858"/>
      <c r="V858"/>
      <c r="W858"/>
      <c r="X858"/>
      <c r="Y858"/>
      <c r="Z858"/>
      <c r="AA858"/>
      <c r="AB858"/>
      <c r="AC858"/>
      <c r="AD858"/>
      <c r="AE858"/>
      <c r="AF858"/>
      <c r="AG858"/>
    </row>
    <row r="859" spans="1:33" ht="72" customHeight="1" x14ac:dyDescent="0.25">
      <c r="A859" s="16"/>
      <c r="B859" s="16"/>
      <c r="C859" s="16"/>
      <c r="D859" s="16"/>
      <c r="E859" s="16"/>
      <c r="F859" s="16"/>
      <c r="G859" s="16"/>
      <c r="H859"/>
      <c r="I859"/>
      <c r="J859"/>
      <c r="K859"/>
      <c r="L859"/>
      <c r="M859"/>
      <c r="N859"/>
      <c r="O859"/>
      <c r="P859"/>
      <c r="Q859"/>
      <c r="R859"/>
      <c r="S859"/>
      <c r="T859"/>
      <c r="U859"/>
      <c r="V859"/>
      <c r="W859"/>
      <c r="X859"/>
      <c r="Y859"/>
      <c r="Z859"/>
      <c r="AA859"/>
      <c r="AB859"/>
      <c r="AC859"/>
      <c r="AD859"/>
      <c r="AE859"/>
      <c r="AF859"/>
      <c r="AG859"/>
    </row>
    <row r="860" spans="1:33" ht="72" customHeight="1" x14ac:dyDescent="0.25">
      <c r="A860" s="16"/>
      <c r="B860" s="16"/>
      <c r="C860" s="16"/>
      <c r="D860" s="16"/>
      <c r="E860" s="16"/>
      <c r="F860" s="16"/>
      <c r="G860" s="16"/>
      <c r="H860"/>
      <c r="I860"/>
      <c r="J860"/>
      <c r="K860"/>
      <c r="L860"/>
      <c r="M860"/>
      <c r="N860"/>
      <c r="O860"/>
      <c r="P860"/>
      <c r="Q860"/>
      <c r="R860"/>
      <c r="S860"/>
      <c r="T860"/>
      <c r="U860"/>
      <c r="V860"/>
      <c r="W860"/>
      <c r="X860"/>
      <c r="Y860"/>
      <c r="Z860"/>
      <c r="AA860"/>
      <c r="AB860"/>
      <c r="AC860"/>
      <c r="AD860"/>
      <c r="AE860"/>
      <c r="AF860"/>
      <c r="AG860"/>
    </row>
    <row r="861" spans="1:33" ht="72" customHeight="1" x14ac:dyDescent="0.25">
      <c r="A861" s="16"/>
      <c r="B861" s="16"/>
      <c r="C861" s="16"/>
      <c r="D861" s="16"/>
      <c r="E861" s="16"/>
      <c r="F861" s="16"/>
      <c r="G861" s="16"/>
      <c r="H861"/>
      <c r="I861"/>
      <c r="J861"/>
      <c r="K861"/>
      <c r="L861"/>
      <c r="M861"/>
      <c r="N861"/>
      <c r="O861"/>
      <c r="P861"/>
      <c r="Q861"/>
      <c r="R861"/>
      <c r="S861"/>
      <c r="T861"/>
      <c r="U861"/>
      <c r="V861"/>
      <c r="W861"/>
      <c r="X861"/>
      <c r="Y861"/>
      <c r="Z861"/>
      <c r="AA861"/>
      <c r="AB861"/>
      <c r="AC861"/>
      <c r="AD861"/>
      <c r="AE861"/>
      <c r="AF861"/>
      <c r="AG861"/>
    </row>
    <row r="862" spans="1:33" ht="72" customHeight="1" x14ac:dyDescent="0.25">
      <c r="A862" s="16"/>
      <c r="B862" s="16"/>
      <c r="C862" s="16"/>
      <c r="D862" s="16"/>
      <c r="E862" s="16"/>
      <c r="F862" s="16"/>
      <c r="G862" s="16"/>
      <c r="H862"/>
      <c r="I862"/>
      <c r="J862"/>
      <c r="K862"/>
      <c r="L862"/>
      <c r="M862"/>
      <c r="N862"/>
      <c r="O862"/>
      <c r="P862"/>
      <c r="Q862"/>
      <c r="R862"/>
      <c r="S862"/>
      <c r="T862"/>
      <c r="U862"/>
      <c r="V862"/>
      <c r="W862"/>
      <c r="X862"/>
      <c r="Y862"/>
      <c r="Z862"/>
      <c r="AA862"/>
      <c r="AB862"/>
      <c r="AC862"/>
      <c r="AD862"/>
      <c r="AE862"/>
      <c r="AF862"/>
      <c r="AG862"/>
    </row>
    <row r="863" spans="1:33" ht="72" customHeight="1" x14ac:dyDescent="0.25">
      <c r="A863" s="16"/>
      <c r="B863" s="16"/>
      <c r="C863" s="16"/>
      <c r="D863" s="16"/>
      <c r="E863" s="16"/>
      <c r="F863" s="16"/>
      <c r="G863" s="16"/>
      <c r="H863"/>
      <c r="I863"/>
      <c r="J863"/>
      <c r="K863"/>
      <c r="L863"/>
      <c r="M863"/>
      <c r="N863"/>
      <c r="O863"/>
      <c r="P863"/>
      <c r="Q863"/>
      <c r="R863"/>
      <c r="S863"/>
      <c r="T863"/>
      <c r="U863"/>
      <c r="V863"/>
      <c r="W863"/>
      <c r="X863"/>
      <c r="Y863"/>
      <c r="Z863"/>
      <c r="AA863"/>
      <c r="AB863"/>
      <c r="AC863"/>
      <c r="AD863"/>
      <c r="AE863"/>
      <c r="AF863"/>
      <c r="AG863"/>
    </row>
    <row r="864" spans="1:33" ht="72" customHeight="1" x14ac:dyDescent="0.25">
      <c r="A864" s="16"/>
      <c r="B864" s="16"/>
      <c r="C864" s="16"/>
      <c r="D864" s="16"/>
      <c r="E864" s="16"/>
      <c r="F864" s="16"/>
      <c r="G864" s="16"/>
      <c r="H864"/>
      <c r="I864"/>
      <c r="J864"/>
      <c r="K864"/>
      <c r="L864"/>
      <c r="M864"/>
      <c r="N864"/>
      <c r="O864"/>
      <c r="P864"/>
      <c r="Q864"/>
      <c r="R864"/>
      <c r="S864"/>
      <c r="T864"/>
      <c r="U864"/>
      <c r="V864"/>
      <c r="W864"/>
      <c r="X864"/>
      <c r="Y864"/>
      <c r="Z864"/>
      <c r="AA864"/>
      <c r="AB864"/>
      <c r="AC864"/>
      <c r="AD864"/>
      <c r="AE864"/>
      <c r="AF864"/>
      <c r="AG864"/>
    </row>
    <row r="865" spans="1:33" ht="72" customHeight="1" x14ac:dyDescent="0.25">
      <c r="A865" s="16"/>
      <c r="B865" s="16"/>
      <c r="C865" s="16"/>
      <c r="D865" s="16"/>
      <c r="E865" s="16"/>
      <c r="F865" s="16"/>
      <c r="G865" s="16"/>
      <c r="H865"/>
      <c r="I865"/>
      <c r="J865"/>
      <c r="K865"/>
      <c r="L865"/>
      <c r="M865"/>
      <c r="N865"/>
      <c r="O865"/>
      <c r="P865"/>
      <c r="Q865"/>
      <c r="R865"/>
      <c r="S865"/>
      <c r="T865"/>
      <c r="U865"/>
      <c r="V865"/>
      <c r="W865"/>
      <c r="X865"/>
      <c r="Y865"/>
      <c r="Z865"/>
      <c r="AA865"/>
      <c r="AB865"/>
      <c r="AC865"/>
      <c r="AD865"/>
      <c r="AE865"/>
      <c r="AF865"/>
      <c r="AG865"/>
    </row>
    <row r="866" spans="1:33" ht="72" customHeight="1" x14ac:dyDescent="0.25">
      <c r="A866" s="16"/>
      <c r="B866" s="16"/>
      <c r="C866" s="16"/>
      <c r="D866" s="16"/>
      <c r="E866" s="16"/>
      <c r="F866" s="16"/>
      <c r="G866" s="16"/>
      <c r="H866"/>
      <c r="I866"/>
      <c r="J866"/>
      <c r="K866"/>
      <c r="L866"/>
      <c r="M866"/>
      <c r="N866"/>
      <c r="O866"/>
      <c r="P866"/>
      <c r="Q866"/>
      <c r="R866"/>
      <c r="S866"/>
      <c r="T866"/>
      <c r="U866"/>
      <c r="V866"/>
      <c r="W866"/>
      <c r="X866"/>
      <c r="Y866"/>
      <c r="Z866"/>
      <c r="AA866"/>
      <c r="AB866"/>
      <c r="AC866"/>
      <c r="AD866"/>
      <c r="AE866"/>
      <c r="AF866"/>
      <c r="AG866"/>
    </row>
    <row r="867" spans="1:33" ht="72" customHeight="1" x14ac:dyDescent="0.25">
      <c r="A867" s="16"/>
      <c r="B867" s="16"/>
      <c r="C867" s="16"/>
      <c r="D867" s="16"/>
      <c r="E867" s="16"/>
      <c r="F867" s="16"/>
      <c r="G867" s="16"/>
      <c r="H867"/>
      <c r="I867"/>
      <c r="J867"/>
      <c r="K867"/>
      <c r="L867"/>
      <c r="M867"/>
      <c r="N867"/>
      <c r="O867"/>
      <c r="P867"/>
      <c r="Q867"/>
      <c r="R867"/>
      <c r="S867"/>
      <c r="T867"/>
      <c r="U867"/>
      <c r="V867"/>
      <c r="W867"/>
      <c r="X867"/>
      <c r="Y867"/>
      <c r="Z867"/>
      <c r="AA867"/>
      <c r="AB867"/>
      <c r="AC867"/>
      <c r="AD867"/>
      <c r="AE867"/>
      <c r="AF867"/>
      <c r="AG867"/>
    </row>
    <row r="868" spans="1:33" ht="72" customHeight="1" x14ac:dyDescent="0.25">
      <c r="A868" s="16"/>
      <c r="B868" s="16"/>
      <c r="C868" s="16"/>
      <c r="D868" s="16"/>
      <c r="E868" s="16"/>
      <c r="F868" s="16"/>
      <c r="G868" s="16"/>
      <c r="H868"/>
      <c r="I868"/>
      <c r="J868"/>
      <c r="K868"/>
      <c r="L868"/>
      <c r="M868"/>
      <c r="N868"/>
      <c r="O868"/>
      <c r="P868"/>
      <c r="Q868"/>
      <c r="R868"/>
      <c r="S868"/>
      <c r="T868"/>
      <c r="U868"/>
      <c r="V868"/>
      <c r="W868"/>
      <c r="X868"/>
      <c r="Y868"/>
      <c r="Z868"/>
      <c r="AA868"/>
      <c r="AB868"/>
      <c r="AC868"/>
      <c r="AD868"/>
      <c r="AE868"/>
      <c r="AF868"/>
      <c r="AG868"/>
    </row>
    <row r="869" spans="1:33" ht="72" customHeight="1" x14ac:dyDescent="0.25">
      <c r="A869" s="16"/>
      <c r="B869" s="16"/>
      <c r="C869" s="16"/>
      <c r="D869" s="16"/>
      <c r="E869" s="16"/>
      <c r="F869" s="16"/>
      <c r="G869" s="16"/>
      <c r="H869"/>
      <c r="I869"/>
      <c r="J869"/>
      <c r="K869"/>
      <c r="L869"/>
      <c r="M869"/>
      <c r="N869"/>
      <c r="O869"/>
      <c r="P869"/>
      <c r="Q869"/>
      <c r="R869"/>
      <c r="S869"/>
      <c r="T869"/>
      <c r="U869"/>
      <c r="V869"/>
      <c r="W869"/>
      <c r="X869"/>
      <c r="Y869"/>
      <c r="Z869"/>
      <c r="AA869"/>
      <c r="AB869"/>
      <c r="AC869"/>
      <c r="AD869"/>
      <c r="AE869"/>
      <c r="AF869"/>
      <c r="AG869"/>
    </row>
    <row r="870" spans="1:33" ht="72" customHeight="1" x14ac:dyDescent="0.25">
      <c r="A870" s="16"/>
      <c r="B870" s="16"/>
      <c r="C870" s="16"/>
      <c r="D870" s="16"/>
      <c r="E870" s="16"/>
      <c r="F870" s="16"/>
      <c r="G870" s="16"/>
      <c r="H870"/>
      <c r="I870"/>
      <c r="J870"/>
      <c r="K870"/>
      <c r="L870"/>
      <c r="M870"/>
      <c r="N870"/>
      <c r="O870"/>
      <c r="P870"/>
      <c r="Q870"/>
      <c r="R870"/>
      <c r="S870"/>
      <c r="T870"/>
      <c r="U870"/>
      <c r="V870"/>
      <c r="W870"/>
      <c r="X870"/>
      <c r="Y870"/>
      <c r="Z870"/>
      <c r="AA870"/>
      <c r="AB870"/>
      <c r="AC870"/>
      <c r="AD870"/>
      <c r="AE870"/>
      <c r="AF870"/>
      <c r="AG870"/>
    </row>
    <row r="871" spans="1:33" ht="72" customHeight="1" x14ac:dyDescent="0.25">
      <c r="A871" s="16"/>
      <c r="B871" s="16"/>
      <c r="C871" s="16"/>
      <c r="D871" s="16"/>
      <c r="E871" s="16"/>
      <c r="F871" s="16"/>
      <c r="G871" s="16"/>
      <c r="H871"/>
      <c r="I871"/>
      <c r="J871"/>
      <c r="K871"/>
      <c r="L871"/>
      <c r="M871"/>
      <c r="N871"/>
      <c r="O871"/>
      <c r="P871"/>
      <c r="Q871"/>
      <c r="R871"/>
      <c r="S871"/>
      <c r="T871"/>
      <c r="U871"/>
      <c r="V871"/>
      <c r="W871"/>
      <c r="X871"/>
      <c r="Y871"/>
      <c r="Z871"/>
      <c r="AA871"/>
      <c r="AB871"/>
      <c r="AC871"/>
      <c r="AD871"/>
      <c r="AE871"/>
      <c r="AF871"/>
      <c r="AG871"/>
    </row>
    <row r="872" spans="1:33" ht="72" customHeight="1" x14ac:dyDescent="0.25">
      <c r="A872" s="16"/>
      <c r="B872" s="16"/>
      <c r="C872" s="16"/>
      <c r="D872" s="16"/>
      <c r="E872" s="16"/>
      <c r="F872" s="16"/>
      <c r="G872" s="16"/>
      <c r="H872"/>
      <c r="I872"/>
      <c r="J872"/>
      <c r="K872"/>
      <c r="L872"/>
      <c r="M872"/>
      <c r="N872"/>
      <c r="O872"/>
      <c r="P872"/>
      <c r="Q872"/>
      <c r="R872"/>
      <c r="S872"/>
      <c r="T872"/>
      <c r="U872"/>
      <c r="V872"/>
      <c r="W872"/>
      <c r="X872"/>
      <c r="Y872"/>
      <c r="Z872"/>
      <c r="AA872"/>
      <c r="AB872"/>
      <c r="AC872"/>
      <c r="AD872"/>
      <c r="AE872"/>
      <c r="AF872"/>
      <c r="AG872"/>
    </row>
    <row r="873" spans="1:33" ht="72" customHeight="1" x14ac:dyDescent="0.25">
      <c r="A873" s="16"/>
      <c r="B873" s="16"/>
      <c r="C873" s="16"/>
      <c r="D873" s="16"/>
      <c r="E873" s="16"/>
      <c r="F873" s="16"/>
      <c r="G873" s="16"/>
      <c r="H873"/>
      <c r="I873"/>
      <c r="J873"/>
      <c r="K873"/>
      <c r="L873"/>
      <c r="M873"/>
      <c r="N873"/>
      <c r="O873"/>
      <c r="P873"/>
      <c r="Q873"/>
      <c r="R873"/>
      <c r="S873"/>
      <c r="T873"/>
      <c r="U873"/>
      <c r="V873"/>
      <c r="W873"/>
      <c r="X873"/>
      <c r="Y873"/>
      <c r="Z873"/>
      <c r="AA873"/>
      <c r="AB873"/>
      <c r="AC873"/>
      <c r="AD873"/>
      <c r="AE873"/>
      <c r="AF873"/>
      <c r="AG873"/>
    </row>
    <row r="874" spans="1:33" ht="72" customHeight="1" x14ac:dyDescent="0.25">
      <c r="A874" s="16"/>
      <c r="B874" s="16"/>
      <c r="C874" s="16"/>
      <c r="D874" s="16"/>
      <c r="E874" s="16"/>
      <c r="F874" s="16"/>
      <c r="G874" s="16"/>
      <c r="H874"/>
      <c r="I874"/>
      <c r="J874"/>
      <c r="K874"/>
      <c r="L874"/>
      <c r="M874"/>
      <c r="N874"/>
      <c r="O874"/>
      <c r="P874"/>
      <c r="Q874"/>
      <c r="R874"/>
      <c r="S874"/>
      <c r="T874"/>
      <c r="U874"/>
      <c r="V874"/>
      <c r="W874"/>
      <c r="X874"/>
      <c r="Y874"/>
      <c r="Z874"/>
      <c r="AA874"/>
      <c r="AB874"/>
      <c r="AC874"/>
      <c r="AD874"/>
      <c r="AE874"/>
      <c r="AF874"/>
      <c r="AG874"/>
    </row>
    <row r="875" spans="1:33" ht="72" customHeight="1" x14ac:dyDescent="0.25">
      <c r="A875" s="16"/>
      <c r="B875" s="16"/>
      <c r="C875" s="16"/>
      <c r="D875" s="16"/>
      <c r="E875" s="16"/>
      <c r="F875" s="16"/>
      <c r="G875" s="16"/>
      <c r="H875"/>
      <c r="I875"/>
      <c r="J875"/>
      <c r="K875"/>
      <c r="L875"/>
      <c r="M875"/>
      <c r="N875"/>
      <c r="O875"/>
      <c r="P875"/>
      <c r="Q875"/>
      <c r="R875"/>
      <c r="S875"/>
      <c r="T875"/>
      <c r="U875"/>
      <c r="V875"/>
      <c r="W875"/>
      <c r="X875"/>
      <c r="Y875"/>
      <c r="Z875"/>
      <c r="AA875"/>
      <c r="AB875"/>
      <c r="AC875"/>
      <c r="AD875"/>
      <c r="AE875"/>
      <c r="AF875"/>
      <c r="AG875"/>
    </row>
    <row r="876" spans="1:33" ht="72" customHeight="1" x14ac:dyDescent="0.25">
      <c r="A876" s="16"/>
      <c r="B876" s="16"/>
      <c r="C876" s="16"/>
      <c r="D876" s="16"/>
      <c r="E876" s="16"/>
      <c r="F876" s="16"/>
      <c r="G876" s="16"/>
      <c r="H876"/>
      <c r="I876"/>
      <c r="J876"/>
      <c r="K876"/>
      <c r="L876"/>
      <c r="M876"/>
      <c r="N876"/>
      <c r="O876"/>
      <c r="P876"/>
      <c r="Q876"/>
      <c r="R876"/>
      <c r="S876"/>
      <c r="T876"/>
      <c r="U876"/>
      <c r="V876"/>
      <c r="W876"/>
      <c r="X876"/>
      <c r="Y876"/>
      <c r="Z876"/>
      <c r="AA876"/>
      <c r="AB876"/>
      <c r="AC876"/>
      <c r="AD876"/>
      <c r="AE876"/>
      <c r="AF876"/>
      <c r="AG876"/>
    </row>
    <row r="877" spans="1:33" ht="72" customHeight="1" x14ac:dyDescent="0.25">
      <c r="A877" s="16"/>
      <c r="B877" s="16"/>
      <c r="C877" s="16"/>
      <c r="D877" s="16"/>
      <c r="E877" s="16"/>
      <c r="F877" s="16"/>
      <c r="G877" s="16"/>
      <c r="H877"/>
      <c r="I877"/>
      <c r="J877"/>
      <c r="K877"/>
      <c r="L877"/>
      <c r="M877"/>
      <c r="N877"/>
      <c r="O877"/>
      <c r="P877"/>
      <c r="Q877"/>
      <c r="R877"/>
      <c r="S877"/>
      <c r="T877"/>
      <c r="U877"/>
      <c r="V877"/>
      <c r="W877"/>
      <c r="X877"/>
      <c r="Y877"/>
      <c r="Z877"/>
      <c r="AA877"/>
      <c r="AB877"/>
      <c r="AC877"/>
      <c r="AD877"/>
      <c r="AE877"/>
      <c r="AF877"/>
      <c r="AG877"/>
    </row>
    <row r="878" spans="1:33" ht="72" customHeight="1" x14ac:dyDescent="0.25">
      <c r="A878" s="16"/>
      <c r="B878" s="16"/>
      <c r="C878" s="16"/>
      <c r="D878" s="16"/>
      <c r="E878" s="16"/>
      <c r="F878" s="16"/>
      <c r="G878" s="16"/>
      <c r="H878"/>
      <c r="I878"/>
      <c r="J878"/>
      <c r="K878"/>
      <c r="L878"/>
      <c r="M878"/>
      <c r="N878"/>
      <c r="O878"/>
      <c r="P878"/>
      <c r="Q878"/>
      <c r="R878"/>
      <c r="S878"/>
      <c r="T878"/>
      <c r="U878"/>
      <c r="V878"/>
      <c r="W878"/>
      <c r="X878"/>
      <c r="Y878"/>
      <c r="Z878"/>
      <c r="AA878"/>
      <c r="AB878"/>
      <c r="AC878"/>
      <c r="AD878"/>
      <c r="AE878"/>
      <c r="AF878"/>
      <c r="AG878"/>
    </row>
    <row r="879" spans="1:33" ht="72" customHeight="1" x14ac:dyDescent="0.25">
      <c r="A879" s="16"/>
      <c r="B879" s="16"/>
      <c r="C879" s="16"/>
      <c r="D879" s="16"/>
      <c r="E879" s="16"/>
      <c r="F879" s="16"/>
      <c r="G879" s="16"/>
      <c r="H879"/>
      <c r="I879"/>
      <c r="J879"/>
      <c r="K879"/>
      <c r="L879"/>
      <c r="M879"/>
      <c r="N879"/>
      <c r="O879"/>
      <c r="P879"/>
      <c r="Q879"/>
      <c r="R879"/>
      <c r="S879"/>
      <c r="T879"/>
      <c r="U879"/>
      <c r="V879"/>
      <c r="W879"/>
      <c r="X879"/>
      <c r="Y879"/>
      <c r="Z879"/>
      <c r="AA879"/>
      <c r="AB879"/>
      <c r="AC879"/>
      <c r="AD879"/>
      <c r="AE879"/>
      <c r="AF879"/>
      <c r="AG879"/>
    </row>
    <row r="880" spans="1:33" ht="72" customHeight="1" x14ac:dyDescent="0.25">
      <c r="A880" s="16"/>
      <c r="B880" s="16"/>
      <c r="C880" s="16"/>
      <c r="D880" s="16"/>
      <c r="E880" s="16"/>
      <c r="F880" s="16"/>
      <c r="G880" s="16"/>
      <c r="H880"/>
      <c r="I880"/>
      <c r="J880"/>
      <c r="K880"/>
      <c r="L880"/>
      <c r="M880"/>
      <c r="N880"/>
      <c r="O880"/>
      <c r="P880"/>
      <c r="Q880"/>
      <c r="R880"/>
      <c r="S880"/>
      <c r="T880"/>
      <c r="U880"/>
      <c r="V880"/>
      <c r="W880"/>
      <c r="X880"/>
      <c r="Y880"/>
      <c r="Z880"/>
      <c r="AA880"/>
      <c r="AB880"/>
      <c r="AC880"/>
      <c r="AD880"/>
      <c r="AE880"/>
      <c r="AF880"/>
      <c r="AG880"/>
    </row>
    <row r="881" spans="1:33" ht="72" customHeight="1" x14ac:dyDescent="0.25">
      <c r="A881" s="16"/>
      <c r="B881" s="16"/>
      <c r="C881" s="16"/>
      <c r="D881" s="16"/>
      <c r="E881" s="16"/>
      <c r="F881" s="16"/>
      <c r="G881" s="16"/>
      <c r="H881"/>
      <c r="I881"/>
      <c r="J881"/>
      <c r="K881"/>
      <c r="L881"/>
      <c r="M881"/>
      <c r="N881"/>
      <c r="O881"/>
      <c r="P881"/>
      <c r="Q881"/>
      <c r="R881"/>
      <c r="S881"/>
      <c r="T881"/>
      <c r="U881"/>
      <c r="V881"/>
      <c r="W881"/>
      <c r="X881"/>
      <c r="Y881"/>
      <c r="Z881"/>
      <c r="AA881"/>
      <c r="AB881"/>
      <c r="AC881"/>
      <c r="AD881"/>
      <c r="AE881"/>
      <c r="AF881"/>
      <c r="AG881"/>
    </row>
    <row r="882" spans="1:33" ht="72" customHeight="1" x14ac:dyDescent="0.25">
      <c r="A882" s="16"/>
      <c r="B882" s="16"/>
      <c r="C882" s="16"/>
      <c r="D882" s="16"/>
      <c r="E882" s="16"/>
      <c r="F882" s="16"/>
      <c r="G882" s="16"/>
      <c r="H882"/>
      <c r="I882"/>
      <c r="J882"/>
      <c r="K882"/>
      <c r="L882"/>
      <c r="M882"/>
      <c r="N882"/>
      <c r="O882"/>
      <c r="P882"/>
      <c r="Q882"/>
      <c r="R882"/>
      <c r="S882"/>
      <c r="T882"/>
      <c r="U882"/>
      <c r="V882"/>
      <c r="W882"/>
      <c r="X882"/>
      <c r="Y882"/>
      <c r="Z882"/>
      <c r="AA882"/>
      <c r="AB882"/>
      <c r="AC882"/>
      <c r="AD882"/>
      <c r="AE882"/>
      <c r="AF882"/>
      <c r="AG882"/>
    </row>
    <row r="883" spans="1:33" ht="72" customHeight="1" x14ac:dyDescent="0.25">
      <c r="A883" s="16"/>
      <c r="B883" s="16"/>
      <c r="C883" s="16"/>
      <c r="D883" s="16"/>
      <c r="E883" s="16"/>
      <c r="F883" s="16"/>
      <c r="G883" s="16"/>
      <c r="H883"/>
      <c r="I883"/>
      <c r="J883"/>
      <c r="K883"/>
      <c r="L883"/>
      <c r="M883"/>
      <c r="N883"/>
      <c r="O883"/>
      <c r="P883"/>
      <c r="Q883"/>
      <c r="R883"/>
      <c r="S883"/>
      <c r="T883"/>
      <c r="U883"/>
      <c r="V883"/>
      <c r="W883"/>
      <c r="X883"/>
      <c r="Y883"/>
      <c r="Z883"/>
      <c r="AA883"/>
      <c r="AB883"/>
      <c r="AC883"/>
      <c r="AD883"/>
      <c r="AE883"/>
      <c r="AF883"/>
      <c r="AG883"/>
    </row>
    <row r="884" spans="1:33" ht="72" customHeight="1" x14ac:dyDescent="0.25">
      <c r="A884" s="16"/>
      <c r="B884" s="16"/>
      <c r="C884" s="16"/>
      <c r="D884" s="16"/>
      <c r="E884" s="16"/>
      <c r="F884" s="16"/>
      <c r="G884" s="16"/>
      <c r="H884"/>
      <c r="I884"/>
      <c r="J884"/>
      <c r="K884"/>
      <c r="L884"/>
      <c r="M884"/>
      <c r="N884"/>
      <c r="O884"/>
      <c r="P884"/>
      <c r="Q884"/>
      <c r="R884"/>
      <c r="S884"/>
      <c r="T884"/>
      <c r="U884"/>
      <c r="V884"/>
      <c r="W884"/>
      <c r="X884"/>
      <c r="Y884"/>
      <c r="Z884"/>
      <c r="AA884"/>
      <c r="AB884"/>
      <c r="AC884"/>
      <c r="AD884"/>
      <c r="AE884"/>
      <c r="AF884"/>
      <c r="AG884"/>
    </row>
    <row r="885" spans="1:33" ht="72" customHeight="1" x14ac:dyDescent="0.25">
      <c r="A885" s="16"/>
      <c r="B885" s="16"/>
      <c r="C885" s="16"/>
      <c r="D885" s="16"/>
      <c r="E885" s="16"/>
      <c r="F885" s="16"/>
      <c r="G885" s="16"/>
      <c r="H885"/>
      <c r="I885"/>
      <c r="J885"/>
      <c r="K885"/>
      <c r="L885"/>
      <c r="M885"/>
      <c r="N885"/>
      <c r="O885"/>
      <c r="P885"/>
      <c r="Q885"/>
      <c r="R885"/>
      <c r="S885"/>
      <c r="T885"/>
      <c r="U885"/>
      <c r="V885"/>
      <c r="W885"/>
      <c r="X885"/>
      <c r="Y885"/>
      <c r="Z885"/>
      <c r="AA885"/>
      <c r="AB885"/>
      <c r="AC885"/>
      <c r="AD885"/>
      <c r="AE885"/>
      <c r="AF885"/>
      <c r="AG885"/>
    </row>
    <row r="886" spans="1:33" ht="72" customHeight="1" x14ac:dyDescent="0.25">
      <c r="A886" s="16"/>
      <c r="B886" s="16"/>
      <c r="C886" s="16"/>
      <c r="D886" s="16"/>
      <c r="E886" s="16"/>
      <c r="F886" s="16"/>
      <c r="G886" s="16"/>
      <c r="H886"/>
      <c r="I886"/>
      <c r="J886"/>
      <c r="K886"/>
      <c r="L886"/>
      <c r="M886"/>
      <c r="N886"/>
      <c r="O886"/>
      <c r="P886"/>
      <c r="Q886"/>
      <c r="R886"/>
      <c r="S886"/>
      <c r="T886"/>
      <c r="U886"/>
      <c r="V886"/>
      <c r="W886"/>
      <c r="X886"/>
      <c r="Y886"/>
      <c r="Z886"/>
      <c r="AA886"/>
      <c r="AB886"/>
      <c r="AC886"/>
      <c r="AD886"/>
      <c r="AE886"/>
      <c r="AF886"/>
      <c r="AG886"/>
    </row>
    <row r="887" spans="1:33" ht="72" customHeight="1" x14ac:dyDescent="0.25">
      <c r="A887" s="16"/>
      <c r="B887" s="16"/>
      <c r="C887" s="16"/>
      <c r="D887" s="16"/>
      <c r="E887" s="16"/>
      <c r="F887" s="16"/>
      <c r="G887" s="16"/>
      <c r="H887"/>
      <c r="I887"/>
      <c r="J887"/>
      <c r="K887"/>
      <c r="L887"/>
      <c r="M887"/>
      <c r="N887"/>
      <c r="O887"/>
      <c r="P887"/>
      <c r="Q887"/>
      <c r="R887"/>
      <c r="S887"/>
      <c r="T887"/>
      <c r="U887"/>
      <c r="V887"/>
      <c r="W887"/>
      <c r="X887"/>
      <c r="Y887"/>
      <c r="Z887"/>
      <c r="AA887"/>
      <c r="AB887"/>
      <c r="AC887"/>
      <c r="AD887"/>
      <c r="AE887"/>
      <c r="AF887"/>
      <c r="AG887"/>
    </row>
    <row r="888" spans="1:33" ht="72" customHeight="1" x14ac:dyDescent="0.25">
      <c r="A888" s="16"/>
      <c r="B888" s="16"/>
      <c r="C888" s="16"/>
      <c r="D888" s="16"/>
      <c r="E888" s="16"/>
      <c r="F888" s="16"/>
      <c r="G888" s="16"/>
      <c r="H888"/>
      <c r="I888"/>
      <c r="J888"/>
      <c r="K888"/>
      <c r="L888"/>
      <c r="M888"/>
      <c r="N888"/>
      <c r="O888"/>
      <c r="P888"/>
      <c r="Q888"/>
      <c r="R888"/>
      <c r="S888"/>
      <c r="T888"/>
      <c r="U888"/>
      <c r="V888"/>
      <c r="W888"/>
      <c r="X888"/>
      <c r="Y888"/>
      <c r="Z888"/>
      <c r="AA888"/>
      <c r="AB888"/>
      <c r="AC888"/>
      <c r="AD888"/>
      <c r="AE888"/>
      <c r="AF888"/>
      <c r="AG888"/>
    </row>
    <row r="889" spans="1:33" ht="72" customHeight="1" x14ac:dyDescent="0.25">
      <c r="A889" s="16"/>
      <c r="B889" s="16"/>
      <c r="C889" s="16"/>
      <c r="D889" s="16"/>
      <c r="E889" s="16"/>
      <c r="F889" s="16"/>
      <c r="G889" s="16"/>
      <c r="H889"/>
      <c r="I889"/>
      <c r="J889"/>
      <c r="K889"/>
      <c r="L889"/>
      <c r="M889"/>
      <c r="N889"/>
      <c r="O889"/>
      <c r="P889"/>
      <c r="Q889"/>
      <c r="R889"/>
      <c r="S889"/>
      <c r="T889"/>
      <c r="U889"/>
      <c r="V889"/>
      <c r="W889"/>
      <c r="X889"/>
      <c r="Y889"/>
      <c r="Z889"/>
      <c r="AA889"/>
      <c r="AB889"/>
      <c r="AC889"/>
      <c r="AD889"/>
      <c r="AE889"/>
      <c r="AF889"/>
      <c r="AG889"/>
    </row>
    <row r="890" spans="1:33" ht="72" customHeight="1" x14ac:dyDescent="0.25">
      <c r="A890" s="16"/>
      <c r="B890" s="16"/>
      <c r="C890" s="16"/>
      <c r="D890" s="16"/>
      <c r="E890" s="16"/>
      <c r="F890" s="16"/>
      <c r="G890" s="16"/>
      <c r="H890"/>
      <c r="I890"/>
      <c r="J890"/>
      <c r="K890"/>
      <c r="L890"/>
      <c r="M890"/>
      <c r="N890"/>
      <c r="O890"/>
      <c r="P890"/>
      <c r="Q890"/>
      <c r="R890"/>
      <c r="S890"/>
      <c r="T890"/>
      <c r="U890"/>
      <c r="V890"/>
      <c r="W890"/>
      <c r="X890"/>
      <c r="Y890"/>
      <c r="Z890"/>
      <c r="AA890"/>
      <c r="AB890"/>
      <c r="AC890"/>
      <c r="AD890"/>
      <c r="AE890"/>
      <c r="AF890"/>
      <c r="AG890"/>
    </row>
    <row r="891" spans="1:33" ht="72" customHeight="1" x14ac:dyDescent="0.25">
      <c r="A891" s="16"/>
      <c r="B891" s="16"/>
      <c r="C891" s="16"/>
      <c r="D891" s="16"/>
      <c r="E891" s="16"/>
      <c r="F891" s="16"/>
      <c r="G891" s="16"/>
      <c r="H891"/>
      <c r="I891"/>
      <c r="J891"/>
      <c r="K891"/>
      <c r="L891"/>
      <c r="M891"/>
      <c r="N891"/>
      <c r="O891"/>
      <c r="P891"/>
      <c r="Q891"/>
      <c r="R891"/>
      <c r="S891"/>
      <c r="T891"/>
      <c r="U891"/>
      <c r="V891"/>
      <c r="W891"/>
      <c r="X891"/>
      <c r="Y891"/>
      <c r="Z891"/>
      <c r="AA891"/>
      <c r="AB891"/>
      <c r="AC891"/>
      <c r="AD891"/>
      <c r="AE891"/>
      <c r="AF891"/>
      <c r="AG891"/>
    </row>
    <row r="892" spans="1:33" ht="72" customHeight="1" x14ac:dyDescent="0.25">
      <c r="A892" s="16"/>
      <c r="B892" s="16"/>
      <c r="C892" s="16"/>
      <c r="D892" s="16"/>
      <c r="E892" s="16"/>
      <c r="F892" s="16"/>
      <c r="G892" s="16"/>
      <c r="H892"/>
      <c r="I892"/>
      <c r="J892"/>
      <c r="K892"/>
      <c r="L892"/>
      <c r="M892"/>
      <c r="N892"/>
      <c r="O892"/>
      <c r="P892"/>
      <c r="Q892"/>
      <c r="R892"/>
      <c r="S892"/>
      <c r="T892"/>
      <c r="U892"/>
      <c r="V892"/>
      <c r="W892"/>
      <c r="X892"/>
      <c r="Y892"/>
      <c r="Z892"/>
      <c r="AA892"/>
      <c r="AB892"/>
      <c r="AC892"/>
      <c r="AD892"/>
      <c r="AE892"/>
      <c r="AF892"/>
      <c r="AG892"/>
    </row>
    <row r="893" spans="1:33" ht="72" customHeight="1" x14ac:dyDescent="0.25">
      <c r="A893" s="16"/>
      <c r="B893" s="16"/>
      <c r="C893" s="16"/>
      <c r="D893" s="16"/>
      <c r="E893" s="16"/>
      <c r="F893" s="16"/>
      <c r="G893" s="16"/>
      <c r="H893"/>
      <c r="I893"/>
      <c r="J893"/>
      <c r="K893"/>
      <c r="L893"/>
      <c r="M893"/>
      <c r="N893"/>
      <c r="O893"/>
      <c r="P893"/>
      <c r="Q893"/>
      <c r="R893"/>
      <c r="S893"/>
      <c r="T893"/>
      <c r="U893"/>
      <c r="V893"/>
      <c r="W893"/>
      <c r="X893"/>
      <c r="Y893"/>
      <c r="Z893"/>
      <c r="AA893"/>
      <c r="AB893"/>
      <c r="AC893"/>
      <c r="AD893"/>
      <c r="AE893"/>
      <c r="AF893"/>
      <c r="AG893"/>
    </row>
    <row r="894" spans="1:33" ht="72" customHeight="1" x14ac:dyDescent="0.25">
      <c r="A894" s="16"/>
      <c r="B894" s="16"/>
      <c r="C894" s="16"/>
      <c r="D894" s="16"/>
      <c r="E894" s="16"/>
      <c r="F894" s="16"/>
      <c r="G894" s="16"/>
      <c r="H894"/>
      <c r="I894"/>
      <c r="J894"/>
      <c r="K894"/>
      <c r="L894"/>
      <c r="M894"/>
      <c r="N894"/>
      <c r="O894"/>
      <c r="P894"/>
      <c r="Q894"/>
      <c r="R894"/>
      <c r="S894"/>
      <c r="T894"/>
      <c r="U894"/>
      <c r="V894"/>
      <c r="W894"/>
      <c r="X894"/>
      <c r="Y894"/>
      <c r="Z894"/>
      <c r="AA894"/>
      <c r="AB894"/>
      <c r="AC894"/>
      <c r="AD894"/>
      <c r="AE894"/>
      <c r="AF894"/>
      <c r="AG894"/>
    </row>
    <row r="895" spans="1:33" ht="72" customHeight="1" x14ac:dyDescent="0.25">
      <c r="A895" s="16"/>
      <c r="B895" s="16"/>
      <c r="C895" s="16"/>
      <c r="D895" s="16"/>
      <c r="E895" s="16"/>
      <c r="F895" s="16"/>
      <c r="G895" s="16"/>
      <c r="H895"/>
      <c r="I895"/>
      <c r="J895"/>
      <c r="K895"/>
      <c r="L895"/>
      <c r="M895"/>
      <c r="N895"/>
      <c r="O895"/>
      <c r="P895"/>
      <c r="Q895"/>
      <c r="R895"/>
      <c r="S895"/>
      <c r="T895"/>
      <c r="U895"/>
      <c r="V895"/>
      <c r="W895"/>
      <c r="X895"/>
      <c r="Y895"/>
      <c r="Z895"/>
      <c r="AA895"/>
      <c r="AB895"/>
      <c r="AC895"/>
      <c r="AD895"/>
      <c r="AE895"/>
      <c r="AF895"/>
      <c r="AG895"/>
    </row>
    <row r="896" spans="1:33" ht="72" customHeight="1" x14ac:dyDescent="0.25">
      <c r="A896" s="16"/>
      <c r="B896" s="16"/>
      <c r="C896" s="16"/>
      <c r="D896" s="16"/>
      <c r="E896" s="16"/>
      <c r="F896" s="16"/>
      <c r="G896" s="16"/>
      <c r="H896"/>
      <c r="I896"/>
      <c r="J896"/>
      <c r="K896"/>
      <c r="L896"/>
      <c r="M896"/>
      <c r="N896"/>
      <c r="O896"/>
      <c r="P896"/>
      <c r="Q896"/>
      <c r="R896"/>
      <c r="S896"/>
      <c r="T896"/>
      <c r="U896"/>
      <c r="V896"/>
      <c r="W896"/>
      <c r="X896"/>
      <c r="Y896"/>
      <c r="Z896"/>
      <c r="AA896"/>
      <c r="AB896"/>
      <c r="AC896"/>
      <c r="AD896"/>
      <c r="AE896"/>
      <c r="AF896"/>
      <c r="AG896"/>
    </row>
    <row r="897" spans="1:33" ht="72" customHeight="1" x14ac:dyDescent="0.25">
      <c r="A897" s="16"/>
      <c r="B897" s="16"/>
      <c r="C897" s="16"/>
      <c r="D897" s="16"/>
      <c r="E897" s="16"/>
      <c r="F897" s="16"/>
      <c r="G897" s="16"/>
      <c r="H897"/>
      <c r="I897"/>
      <c r="J897"/>
      <c r="K897"/>
      <c r="L897"/>
      <c r="M897"/>
      <c r="N897"/>
      <c r="O897"/>
      <c r="P897"/>
      <c r="Q897"/>
      <c r="R897"/>
      <c r="S897"/>
      <c r="T897"/>
      <c r="U897"/>
      <c r="V897"/>
      <c r="W897"/>
      <c r="X897"/>
      <c r="Y897"/>
      <c r="Z897"/>
      <c r="AA897"/>
      <c r="AB897"/>
      <c r="AC897"/>
      <c r="AD897"/>
      <c r="AE897"/>
      <c r="AF897"/>
      <c r="AG897"/>
    </row>
    <row r="898" spans="1:33" ht="72" customHeight="1" x14ac:dyDescent="0.25">
      <c r="A898" s="16"/>
      <c r="B898" s="16"/>
      <c r="C898" s="16"/>
      <c r="D898" s="16"/>
      <c r="E898" s="16"/>
      <c r="F898" s="16"/>
      <c r="G898" s="16"/>
      <c r="H898"/>
      <c r="I898"/>
      <c r="J898"/>
      <c r="K898"/>
      <c r="L898"/>
      <c r="M898"/>
      <c r="N898"/>
      <c r="O898"/>
      <c r="P898"/>
      <c r="Q898"/>
      <c r="R898"/>
      <c r="S898"/>
      <c r="T898"/>
      <c r="U898"/>
      <c r="V898"/>
      <c r="W898"/>
      <c r="X898"/>
      <c r="Y898"/>
      <c r="Z898"/>
      <c r="AA898"/>
      <c r="AB898"/>
      <c r="AC898"/>
      <c r="AD898"/>
      <c r="AE898"/>
      <c r="AF898"/>
      <c r="AG898"/>
    </row>
    <row r="899" spans="1:33" ht="72" customHeight="1" x14ac:dyDescent="0.25">
      <c r="A899" s="16"/>
      <c r="B899" s="16"/>
      <c r="C899" s="16"/>
      <c r="D899" s="16"/>
      <c r="E899" s="16"/>
      <c r="F899" s="16"/>
      <c r="G899" s="16"/>
      <c r="H899"/>
      <c r="I899"/>
      <c r="J899"/>
      <c r="K899"/>
      <c r="L899"/>
      <c r="M899"/>
      <c r="N899"/>
      <c r="O899"/>
      <c r="P899"/>
      <c r="Q899"/>
      <c r="R899"/>
      <c r="S899"/>
      <c r="T899"/>
      <c r="U899"/>
      <c r="V899"/>
      <c r="W899"/>
      <c r="X899"/>
      <c r="Y899"/>
      <c r="Z899"/>
      <c r="AA899"/>
      <c r="AB899"/>
      <c r="AC899"/>
      <c r="AD899"/>
      <c r="AE899"/>
      <c r="AF899"/>
      <c r="AG899"/>
    </row>
    <row r="900" spans="1:33" ht="72" customHeight="1" x14ac:dyDescent="0.25">
      <c r="A900" s="16"/>
      <c r="B900" s="16"/>
      <c r="C900" s="16"/>
      <c r="D900" s="16"/>
      <c r="E900" s="16"/>
      <c r="F900" s="16"/>
      <c r="G900" s="16"/>
      <c r="H900"/>
      <c r="I900"/>
      <c r="J900"/>
      <c r="K900"/>
      <c r="L900"/>
      <c r="M900"/>
      <c r="N900"/>
      <c r="O900"/>
      <c r="P900"/>
      <c r="Q900"/>
      <c r="R900"/>
      <c r="S900"/>
      <c r="T900"/>
      <c r="U900"/>
      <c r="V900"/>
      <c r="W900"/>
      <c r="X900"/>
      <c r="Y900"/>
      <c r="Z900"/>
      <c r="AA900"/>
      <c r="AB900"/>
      <c r="AC900"/>
      <c r="AD900"/>
      <c r="AE900"/>
      <c r="AF900"/>
      <c r="AG900"/>
    </row>
    <row r="901" spans="1:33" ht="72" customHeight="1" x14ac:dyDescent="0.25">
      <c r="A901" s="16"/>
      <c r="B901" s="16"/>
      <c r="C901" s="16"/>
      <c r="D901" s="16"/>
      <c r="E901" s="16"/>
      <c r="F901" s="16"/>
      <c r="G901" s="16"/>
      <c r="H901"/>
      <c r="I901"/>
      <c r="J901"/>
      <c r="K901"/>
      <c r="L901"/>
      <c r="M901"/>
      <c r="N901"/>
      <c r="O901"/>
      <c r="P901"/>
      <c r="Q901"/>
      <c r="R901"/>
      <c r="S901"/>
      <c r="T901"/>
      <c r="U901"/>
      <c r="V901"/>
      <c r="W901"/>
      <c r="X901"/>
      <c r="Y901"/>
      <c r="Z901"/>
      <c r="AA901"/>
      <c r="AB901"/>
      <c r="AC901"/>
      <c r="AD901"/>
      <c r="AE901"/>
      <c r="AF901"/>
      <c r="AG901"/>
    </row>
    <row r="902" spans="1:33" ht="72" customHeight="1" x14ac:dyDescent="0.25">
      <c r="A902" s="16"/>
      <c r="B902" s="16"/>
      <c r="C902" s="16"/>
      <c r="D902" s="16"/>
      <c r="E902" s="16"/>
      <c r="F902" s="16"/>
      <c r="G902" s="16"/>
      <c r="H902"/>
      <c r="I902"/>
      <c r="J902"/>
      <c r="K902"/>
      <c r="L902"/>
      <c r="M902"/>
      <c r="N902"/>
      <c r="O902"/>
      <c r="P902"/>
      <c r="Q902"/>
      <c r="R902"/>
      <c r="S902"/>
      <c r="T902"/>
      <c r="U902"/>
      <c r="V902"/>
      <c r="W902"/>
      <c r="X902"/>
      <c r="Y902"/>
      <c r="Z902"/>
      <c r="AA902"/>
      <c r="AB902"/>
      <c r="AC902"/>
      <c r="AD902"/>
      <c r="AE902"/>
      <c r="AF902"/>
      <c r="AG902"/>
    </row>
    <row r="903" spans="1:33" ht="72" customHeight="1" x14ac:dyDescent="0.25">
      <c r="A903" s="16"/>
      <c r="B903" s="16"/>
      <c r="C903" s="16"/>
      <c r="D903" s="16"/>
      <c r="E903" s="16"/>
      <c r="F903" s="16"/>
      <c r="G903" s="16"/>
      <c r="H903"/>
      <c r="I903"/>
      <c r="J903"/>
      <c r="K903"/>
      <c r="L903"/>
      <c r="M903"/>
      <c r="N903"/>
      <c r="O903"/>
      <c r="P903"/>
      <c r="Q903"/>
      <c r="R903"/>
      <c r="S903"/>
      <c r="T903"/>
      <c r="U903"/>
      <c r="V903"/>
      <c r="W903"/>
      <c r="X903"/>
      <c r="Y903"/>
      <c r="Z903"/>
      <c r="AA903"/>
      <c r="AB903"/>
      <c r="AC903"/>
      <c r="AD903"/>
      <c r="AE903"/>
      <c r="AF903"/>
      <c r="AG903"/>
    </row>
    <row r="904" spans="1:33" ht="72" customHeight="1" x14ac:dyDescent="0.25">
      <c r="A904" s="16"/>
      <c r="B904" s="16"/>
      <c r="C904" s="16"/>
      <c r="D904" s="16"/>
      <c r="E904" s="16"/>
      <c r="F904" s="16"/>
      <c r="G904" s="16"/>
      <c r="H904"/>
      <c r="I904"/>
      <c r="J904"/>
      <c r="K904"/>
      <c r="L904"/>
      <c r="M904"/>
      <c r="N904"/>
      <c r="O904"/>
      <c r="P904"/>
      <c r="Q904"/>
      <c r="R904"/>
      <c r="S904"/>
      <c r="T904"/>
      <c r="U904"/>
      <c r="V904"/>
      <c r="W904"/>
      <c r="X904"/>
      <c r="Y904"/>
      <c r="Z904"/>
      <c r="AA904"/>
      <c r="AB904"/>
      <c r="AC904"/>
      <c r="AD904"/>
      <c r="AE904"/>
      <c r="AF904"/>
      <c r="AG904"/>
    </row>
    <row r="905" spans="1:33" ht="72" customHeight="1" x14ac:dyDescent="0.25">
      <c r="A905" s="16"/>
      <c r="B905" s="16"/>
      <c r="C905" s="16"/>
      <c r="D905" s="16"/>
      <c r="E905" s="16"/>
      <c r="F905" s="16"/>
      <c r="G905" s="16"/>
      <c r="H905"/>
      <c r="I905"/>
      <c r="J905"/>
      <c r="K905"/>
      <c r="L905"/>
      <c r="M905"/>
      <c r="N905"/>
      <c r="O905"/>
      <c r="P905"/>
      <c r="Q905"/>
      <c r="R905"/>
      <c r="S905"/>
      <c r="T905"/>
      <c r="U905"/>
      <c r="V905"/>
      <c r="W905"/>
      <c r="X905"/>
      <c r="Y905"/>
      <c r="Z905"/>
      <c r="AA905"/>
      <c r="AB905"/>
      <c r="AC905"/>
      <c r="AD905"/>
      <c r="AE905"/>
      <c r="AF905"/>
      <c r="AG905"/>
    </row>
    <row r="906" spans="1:33" ht="72" customHeight="1" x14ac:dyDescent="0.25">
      <c r="A906" s="16"/>
      <c r="B906" s="16"/>
      <c r="C906" s="16"/>
      <c r="D906" s="16"/>
      <c r="E906" s="16"/>
      <c r="F906" s="16"/>
      <c r="G906" s="16"/>
      <c r="H906"/>
      <c r="I906"/>
      <c r="J906"/>
      <c r="K906"/>
      <c r="L906"/>
      <c r="M906"/>
      <c r="N906"/>
      <c r="O906"/>
      <c r="P906"/>
      <c r="Q906"/>
      <c r="R906"/>
      <c r="S906"/>
      <c r="T906"/>
      <c r="U906"/>
      <c r="V906"/>
      <c r="W906"/>
      <c r="X906"/>
      <c r="Y906"/>
      <c r="Z906"/>
      <c r="AA906"/>
      <c r="AB906"/>
      <c r="AC906"/>
      <c r="AD906"/>
      <c r="AE906"/>
      <c r="AF906"/>
      <c r="AG906"/>
    </row>
    <row r="907" spans="1:33" ht="72" customHeight="1" x14ac:dyDescent="0.25">
      <c r="A907" s="16"/>
      <c r="B907" s="16"/>
      <c r="C907" s="16"/>
      <c r="D907" s="16"/>
      <c r="E907" s="16"/>
      <c r="F907" s="16"/>
      <c r="G907" s="16"/>
      <c r="H907"/>
      <c r="I907"/>
      <c r="J907"/>
      <c r="K907"/>
      <c r="L907"/>
      <c r="M907"/>
      <c r="N907"/>
      <c r="O907"/>
      <c r="P907"/>
      <c r="Q907"/>
      <c r="R907"/>
      <c r="S907"/>
      <c r="T907"/>
      <c r="U907"/>
      <c r="V907"/>
      <c r="W907"/>
      <c r="X907"/>
      <c r="Y907"/>
      <c r="Z907"/>
      <c r="AA907"/>
      <c r="AB907"/>
      <c r="AC907"/>
      <c r="AD907"/>
      <c r="AE907"/>
      <c r="AF907"/>
      <c r="AG907"/>
    </row>
    <row r="908" spans="1:33" ht="72" customHeight="1" x14ac:dyDescent="0.25">
      <c r="A908" s="16"/>
      <c r="B908" s="16"/>
      <c r="C908" s="16"/>
      <c r="D908" s="16"/>
      <c r="E908" s="16"/>
      <c r="F908" s="16"/>
      <c r="G908" s="16"/>
      <c r="H908"/>
      <c r="I908"/>
      <c r="J908"/>
      <c r="K908"/>
      <c r="L908"/>
      <c r="M908"/>
      <c r="N908"/>
      <c r="O908"/>
      <c r="P908"/>
      <c r="Q908"/>
      <c r="R908"/>
      <c r="S908"/>
      <c r="T908"/>
      <c r="U908"/>
      <c r="V908"/>
      <c r="W908"/>
      <c r="X908"/>
      <c r="Y908"/>
      <c r="Z908"/>
      <c r="AA908"/>
      <c r="AB908"/>
      <c r="AC908"/>
      <c r="AD908"/>
      <c r="AE908"/>
      <c r="AF908"/>
      <c r="AG908"/>
    </row>
    <row r="909" spans="1:33" ht="72" customHeight="1" x14ac:dyDescent="0.25">
      <c r="A909" s="16"/>
      <c r="B909" s="16"/>
      <c r="C909" s="16"/>
      <c r="D909" s="16"/>
      <c r="E909" s="16"/>
      <c r="F909" s="16"/>
      <c r="G909" s="16"/>
      <c r="H909"/>
      <c r="I909"/>
      <c r="J909"/>
      <c r="K909"/>
      <c r="L909"/>
      <c r="M909"/>
      <c r="N909"/>
      <c r="O909"/>
      <c r="P909"/>
      <c r="Q909"/>
      <c r="R909"/>
      <c r="S909"/>
      <c r="T909"/>
      <c r="U909"/>
      <c r="V909"/>
      <c r="W909"/>
      <c r="X909"/>
      <c r="Y909"/>
      <c r="Z909"/>
      <c r="AA909"/>
      <c r="AB909"/>
      <c r="AC909"/>
      <c r="AD909"/>
      <c r="AE909"/>
      <c r="AF909"/>
      <c r="AG909"/>
    </row>
    <row r="910" spans="1:33" ht="72" customHeight="1" x14ac:dyDescent="0.25">
      <c r="A910" s="16"/>
      <c r="B910" s="16"/>
      <c r="C910" s="16"/>
      <c r="D910" s="16"/>
      <c r="E910" s="16"/>
      <c r="F910" s="16"/>
      <c r="G910" s="16"/>
      <c r="H910"/>
      <c r="I910"/>
      <c r="J910"/>
      <c r="K910"/>
      <c r="L910"/>
      <c r="M910"/>
      <c r="N910"/>
      <c r="O910"/>
      <c r="P910"/>
      <c r="Q910"/>
      <c r="R910"/>
      <c r="S910"/>
      <c r="T910"/>
      <c r="U910"/>
      <c r="V910"/>
      <c r="W910"/>
      <c r="X910"/>
      <c r="Y910"/>
      <c r="Z910"/>
      <c r="AA910"/>
      <c r="AB910"/>
      <c r="AC910"/>
      <c r="AD910"/>
      <c r="AE910"/>
      <c r="AF910"/>
      <c r="AG910"/>
    </row>
    <row r="911" spans="1:33" ht="72" customHeight="1" x14ac:dyDescent="0.25">
      <c r="A911" s="16"/>
      <c r="B911" s="16"/>
      <c r="C911" s="16"/>
      <c r="D911" s="16"/>
      <c r="E911" s="16"/>
      <c r="F911" s="16"/>
      <c r="G911" s="16"/>
      <c r="H911"/>
      <c r="I911"/>
      <c r="J911"/>
      <c r="K911"/>
      <c r="L911"/>
      <c r="M911"/>
      <c r="N911"/>
      <c r="O911"/>
      <c r="P911"/>
      <c r="Q911"/>
      <c r="R911"/>
      <c r="S911"/>
      <c r="T911"/>
      <c r="U911"/>
      <c r="V911"/>
      <c r="W911"/>
      <c r="X911"/>
      <c r="Y911"/>
      <c r="Z911"/>
      <c r="AA911"/>
      <c r="AB911"/>
      <c r="AC911"/>
      <c r="AD911"/>
      <c r="AE911"/>
      <c r="AF911"/>
      <c r="AG911"/>
    </row>
    <row r="912" spans="1:33" ht="72" customHeight="1" x14ac:dyDescent="0.25">
      <c r="A912" s="16"/>
      <c r="B912" s="16"/>
      <c r="C912" s="16"/>
      <c r="D912" s="16"/>
      <c r="E912" s="16"/>
      <c r="F912" s="16"/>
      <c r="G912" s="16"/>
      <c r="H912"/>
      <c r="I912"/>
      <c r="J912"/>
      <c r="K912"/>
      <c r="L912"/>
      <c r="M912"/>
      <c r="N912"/>
      <c r="O912"/>
      <c r="P912"/>
      <c r="Q912"/>
      <c r="R912"/>
      <c r="S912"/>
      <c r="T912"/>
      <c r="U912"/>
      <c r="V912"/>
      <c r="W912"/>
      <c r="X912"/>
      <c r="Y912"/>
      <c r="Z912"/>
      <c r="AA912"/>
      <c r="AB912"/>
      <c r="AC912"/>
      <c r="AD912"/>
      <c r="AE912"/>
      <c r="AF912"/>
      <c r="AG912"/>
    </row>
    <row r="913" spans="1:33" ht="72" customHeight="1" x14ac:dyDescent="0.25">
      <c r="A913" s="16"/>
      <c r="B913" s="16"/>
      <c r="C913" s="16"/>
      <c r="D913" s="16"/>
      <c r="E913" s="16"/>
      <c r="F913" s="16"/>
      <c r="G913" s="16"/>
      <c r="H913"/>
      <c r="I913"/>
      <c r="J913"/>
      <c r="K913"/>
      <c r="L913"/>
      <c r="M913"/>
      <c r="N913"/>
      <c r="O913"/>
      <c r="P913"/>
      <c r="Q913"/>
      <c r="R913"/>
      <c r="S913"/>
      <c r="T913"/>
      <c r="U913"/>
      <c r="V913"/>
      <c r="W913"/>
      <c r="X913"/>
      <c r="Y913"/>
      <c r="Z913"/>
      <c r="AA913"/>
      <c r="AB913"/>
      <c r="AC913"/>
      <c r="AD913"/>
      <c r="AE913"/>
      <c r="AF913"/>
      <c r="AG913"/>
    </row>
    <row r="914" spans="1:33" ht="72" customHeight="1" x14ac:dyDescent="0.25">
      <c r="A914" s="16"/>
      <c r="B914" s="16"/>
      <c r="C914" s="16"/>
      <c r="D914" s="16"/>
      <c r="E914" s="16"/>
      <c r="F914" s="16"/>
      <c r="G914" s="16"/>
      <c r="H914"/>
      <c r="I914"/>
      <c r="J914"/>
      <c r="K914"/>
      <c r="L914"/>
      <c r="M914"/>
      <c r="N914"/>
      <c r="O914"/>
      <c r="P914"/>
      <c r="Q914"/>
      <c r="R914"/>
      <c r="S914"/>
      <c r="T914"/>
      <c r="U914"/>
      <c r="V914"/>
      <c r="W914"/>
      <c r="X914"/>
      <c r="Y914"/>
      <c r="Z914"/>
      <c r="AA914"/>
      <c r="AB914"/>
      <c r="AC914"/>
      <c r="AD914"/>
      <c r="AE914"/>
      <c r="AF914"/>
      <c r="AG914"/>
    </row>
    <row r="915" spans="1:33" ht="72" customHeight="1" x14ac:dyDescent="0.25">
      <c r="A915" s="16"/>
      <c r="B915" s="16"/>
      <c r="C915" s="16"/>
      <c r="D915" s="16"/>
      <c r="E915" s="16"/>
      <c r="F915" s="16"/>
      <c r="G915" s="16"/>
      <c r="H915"/>
      <c r="I915"/>
      <c r="J915"/>
      <c r="K915"/>
      <c r="L915"/>
      <c r="M915"/>
      <c r="N915"/>
      <c r="O915"/>
      <c r="P915"/>
      <c r="Q915"/>
      <c r="R915"/>
      <c r="S915"/>
      <c r="T915"/>
      <c r="U915"/>
      <c r="V915"/>
      <c r="W915"/>
      <c r="X915"/>
      <c r="Y915"/>
      <c r="Z915"/>
      <c r="AA915"/>
      <c r="AB915"/>
      <c r="AC915"/>
      <c r="AD915"/>
      <c r="AE915"/>
      <c r="AF915"/>
      <c r="AG915"/>
    </row>
    <row r="916" spans="1:33" ht="72" customHeight="1" x14ac:dyDescent="0.25">
      <c r="A916" s="16"/>
      <c r="B916" s="16"/>
      <c r="C916" s="16"/>
      <c r="D916" s="16"/>
      <c r="E916" s="16"/>
      <c r="F916" s="16"/>
      <c r="G916" s="16"/>
      <c r="H916"/>
      <c r="I916"/>
      <c r="J916"/>
      <c r="K916"/>
      <c r="L916"/>
      <c r="M916"/>
      <c r="N916"/>
      <c r="O916"/>
      <c r="P916"/>
      <c r="Q916"/>
      <c r="R916"/>
      <c r="S916"/>
      <c r="T916"/>
      <c r="U916"/>
      <c r="V916"/>
      <c r="W916"/>
      <c r="X916"/>
      <c r="Y916"/>
      <c r="Z916"/>
      <c r="AA916"/>
      <c r="AB916"/>
      <c r="AC916"/>
      <c r="AD916"/>
      <c r="AE916"/>
      <c r="AF916"/>
      <c r="AG916"/>
    </row>
    <row r="917" spans="1:33" ht="72" customHeight="1" x14ac:dyDescent="0.25">
      <c r="A917" s="16"/>
      <c r="B917" s="16"/>
      <c r="C917" s="16"/>
      <c r="D917" s="16"/>
      <c r="E917" s="16"/>
      <c r="F917" s="16"/>
      <c r="G917" s="16"/>
      <c r="H917"/>
      <c r="I917"/>
      <c r="J917"/>
      <c r="K917"/>
      <c r="L917"/>
      <c r="M917"/>
      <c r="N917"/>
      <c r="O917"/>
      <c r="P917"/>
      <c r="Q917"/>
      <c r="R917"/>
      <c r="S917"/>
      <c r="T917"/>
      <c r="U917"/>
      <c r="V917"/>
      <c r="W917"/>
      <c r="X917"/>
      <c r="Y917"/>
      <c r="Z917"/>
      <c r="AA917"/>
      <c r="AB917"/>
      <c r="AC917"/>
      <c r="AD917"/>
      <c r="AE917"/>
      <c r="AF917"/>
      <c r="AG917"/>
    </row>
    <row r="918" spans="1:33" ht="72" customHeight="1" x14ac:dyDescent="0.25">
      <c r="A918" s="16"/>
      <c r="B918" s="16"/>
      <c r="C918" s="16"/>
      <c r="D918" s="16"/>
      <c r="E918" s="16"/>
      <c r="F918" s="16"/>
      <c r="G918" s="16"/>
      <c r="H918"/>
      <c r="I918"/>
      <c r="J918"/>
      <c r="K918"/>
      <c r="L918"/>
      <c r="M918"/>
      <c r="N918"/>
      <c r="O918"/>
      <c r="P918"/>
      <c r="Q918"/>
      <c r="R918"/>
      <c r="S918"/>
      <c r="T918"/>
      <c r="U918"/>
      <c r="V918"/>
      <c r="W918"/>
      <c r="X918"/>
      <c r="Y918"/>
      <c r="Z918"/>
      <c r="AA918"/>
      <c r="AB918"/>
      <c r="AC918"/>
      <c r="AD918"/>
      <c r="AE918"/>
      <c r="AF918"/>
      <c r="AG918"/>
    </row>
    <row r="919" spans="1:33" ht="72" customHeight="1" x14ac:dyDescent="0.25">
      <c r="A919" s="16"/>
      <c r="B919" s="16"/>
      <c r="C919" s="16"/>
      <c r="D919" s="16"/>
      <c r="E919" s="16"/>
      <c r="F919" s="16"/>
      <c r="G919" s="16"/>
      <c r="H919"/>
      <c r="I919"/>
      <c r="J919"/>
      <c r="K919"/>
      <c r="L919"/>
      <c r="M919"/>
      <c r="N919"/>
      <c r="O919"/>
      <c r="P919"/>
      <c r="Q919"/>
      <c r="R919"/>
      <c r="S919"/>
      <c r="T919"/>
      <c r="U919"/>
      <c r="V919"/>
      <c r="W919"/>
      <c r="X919"/>
      <c r="Y919"/>
      <c r="Z919"/>
      <c r="AA919"/>
      <c r="AB919"/>
      <c r="AC919"/>
      <c r="AD919"/>
      <c r="AE919"/>
      <c r="AF919"/>
      <c r="AG919"/>
    </row>
    <row r="920" spans="1:33" ht="72" customHeight="1" x14ac:dyDescent="0.25">
      <c r="A920" s="16"/>
      <c r="B920" s="16"/>
      <c r="C920" s="16"/>
      <c r="D920" s="16"/>
      <c r="E920" s="16"/>
      <c r="F920" s="16"/>
      <c r="G920" s="16"/>
      <c r="H920"/>
      <c r="I920"/>
      <c r="J920"/>
      <c r="K920"/>
      <c r="L920"/>
      <c r="M920"/>
      <c r="N920"/>
      <c r="O920"/>
      <c r="P920"/>
      <c r="Q920"/>
      <c r="R920"/>
      <c r="S920"/>
      <c r="T920"/>
      <c r="U920"/>
      <c r="V920"/>
      <c r="W920"/>
      <c r="X920"/>
      <c r="Y920"/>
      <c r="Z920"/>
      <c r="AA920"/>
      <c r="AB920"/>
      <c r="AC920"/>
      <c r="AD920"/>
      <c r="AE920"/>
      <c r="AF920"/>
      <c r="AG920"/>
    </row>
    <row r="921" spans="1:33" ht="72" customHeight="1" x14ac:dyDescent="0.25">
      <c r="A921" s="16"/>
      <c r="B921" s="16"/>
      <c r="C921" s="16"/>
      <c r="D921" s="16"/>
      <c r="E921" s="16"/>
      <c r="F921" s="16"/>
      <c r="G921" s="16"/>
      <c r="H921"/>
      <c r="I921"/>
      <c r="J921"/>
      <c r="K921"/>
      <c r="L921"/>
      <c r="M921"/>
      <c r="N921"/>
      <c r="O921"/>
      <c r="P921"/>
      <c r="Q921"/>
      <c r="R921"/>
      <c r="S921"/>
      <c r="T921"/>
      <c r="U921"/>
      <c r="V921"/>
      <c r="W921"/>
      <c r="X921"/>
      <c r="Y921"/>
      <c r="Z921"/>
      <c r="AA921"/>
      <c r="AB921"/>
      <c r="AC921"/>
      <c r="AD921"/>
      <c r="AE921"/>
      <c r="AF921"/>
      <c r="AG921"/>
    </row>
    <row r="922" spans="1:33" ht="72" customHeight="1" x14ac:dyDescent="0.25">
      <c r="A922" s="16"/>
      <c r="B922" s="16"/>
      <c r="C922" s="16"/>
      <c r="D922" s="16"/>
      <c r="E922" s="16"/>
      <c r="F922" s="16"/>
      <c r="G922" s="16"/>
      <c r="H922"/>
      <c r="I922"/>
      <c r="J922"/>
      <c r="K922"/>
      <c r="L922"/>
      <c r="M922"/>
      <c r="N922"/>
      <c r="O922"/>
      <c r="P922"/>
      <c r="Q922"/>
      <c r="R922"/>
      <c r="S922"/>
      <c r="T922"/>
      <c r="U922"/>
      <c r="V922"/>
      <c r="W922"/>
      <c r="X922"/>
      <c r="Y922"/>
      <c r="Z922"/>
      <c r="AA922"/>
      <c r="AB922"/>
      <c r="AC922"/>
      <c r="AD922"/>
      <c r="AE922"/>
      <c r="AF922"/>
      <c r="AG922"/>
    </row>
    <row r="923" spans="1:33" ht="72" customHeight="1" x14ac:dyDescent="0.25">
      <c r="A923" s="16"/>
      <c r="B923" s="16"/>
      <c r="C923" s="16"/>
      <c r="D923" s="16"/>
      <c r="E923" s="16"/>
      <c r="F923" s="16"/>
      <c r="G923" s="16"/>
      <c r="H923"/>
      <c r="I923"/>
      <c r="J923"/>
      <c r="K923"/>
      <c r="L923"/>
      <c r="M923"/>
      <c r="N923"/>
      <c r="O923"/>
      <c r="P923"/>
      <c r="Q923"/>
      <c r="R923"/>
      <c r="S923"/>
      <c r="T923"/>
      <c r="U923"/>
      <c r="V923"/>
      <c r="W923"/>
      <c r="X923"/>
      <c r="Y923"/>
      <c r="Z923"/>
      <c r="AA923"/>
      <c r="AB923"/>
      <c r="AC923"/>
      <c r="AD923"/>
      <c r="AE923"/>
      <c r="AF923"/>
      <c r="AG923"/>
    </row>
    <row r="924" spans="1:33" ht="72" customHeight="1" x14ac:dyDescent="0.25">
      <c r="A924" s="16"/>
      <c r="B924" s="16"/>
      <c r="C924" s="16"/>
      <c r="D924" s="16"/>
      <c r="E924" s="16"/>
      <c r="F924" s="16"/>
      <c r="G924" s="16"/>
      <c r="H924"/>
      <c r="I924"/>
      <c r="J924"/>
      <c r="K924"/>
      <c r="L924"/>
      <c r="M924"/>
      <c r="N924"/>
      <c r="O924"/>
      <c r="P924"/>
      <c r="Q924"/>
      <c r="R924"/>
      <c r="S924"/>
      <c r="T924"/>
      <c r="U924"/>
      <c r="V924"/>
      <c r="W924"/>
      <c r="X924"/>
      <c r="Y924"/>
      <c r="Z924"/>
      <c r="AA924"/>
      <c r="AB924"/>
      <c r="AC924"/>
      <c r="AD924"/>
      <c r="AE924"/>
      <c r="AF924"/>
      <c r="AG924"/>
    </row>
    <row r="925" spans="1:33" ht="72" customHeight="1" x14ac:dyDescent="0.25">
      <c r="A925" s="16"/>
      <c r="B925" s="16"/>
      <c r="C925" s="16"/>
      <c r="D925" s="16"/>
      <c r="E925" s="16"/>
      <c r="F925" s="16"/>
      <c r="G925" s="16"/>
      <c r="H925"/>
      <c r="I925"/>
      <c r="J925"/>
      <c r="K925"/>
      <c r="L925"/>
      <c r="M925"/>
      <c r="N925"/>
      <c r="O925"/>
      <c r="P925"/>
      <c r="Q925"/>
      <c r="R925"/>
      <c r="S925"/>
      <c r="T925"/>
      <c r="U925"/>
      <c r="V925"/>
      <c r="W925"/>
      <c r="X925"/>
      <c r="Y925"/>
      <c r="Z925"/>
      <c r="AA925"/>
      <c r="AB925"/>
      <c r="AC925"/>
      <c r="AD925"/>
      <c r="AE925"/>
      <c r="AF925"/>
      <c r="AG925"/>
    </row>
    <row r="926" spans="1:33" ht="72" customHeight="1" x14ac:dyDescent="0.25">
      <c r="A926" s="16"/>
      <c r="B926" s="16"/>
      <c r="C926" s="16"/>
      <c r="D926" s="16"/>
      <c r="E926" s="16"/>
      <c r="F926" s="16"/>
      <c r="G926" s="16"/>
      <c r="H926"/>
      <c r="I926"/>
      <c r="J926"/>
      <c r="K926"/>
      <c r="L926"/>
      <c r="M926"/>
      <c r="N926"/>
      <c r="O926"/>
      <c r="P926"/>
      <c r="Q926"/>
      <c r="R926"/>
      <c r="S926"/>
      <c r="T926"/>
      <c r="U926"/>
      <c r="V926"/>
      <c r="W926"/>
      <c r="X926"/>
      <c r="Y926"/>
      <c r="Z926"/>
      <c r="AA926"/>
      <c r="AB926"/>
      <c r="AC926"/>
      <c r="AD926"/>
      <c r="AE926"/>
      <c r="AF926"/>
      <c r="AG926"/>
    </row>
    <row r="927" spans="1:33" ht="72" customHeight="1" x14ac:dyDescent="0.25">
      <c r="A927" s="16"/>
      <c r="B927" s="16"/>
      <c r="C927" s="16"/>
      <c r="D927" s="16"/>
      <c r="E927" s="16"/>
      <c r="F927" s="16"/>
      <c r="G927" s="16"/>
      <c r="H927"/>
      <c r="I927"/>
      <c r="J927"/>
      <c r="K927"/>
      <c r="L927"/>
      <c r="M927"/>
      <c r="N927"/>
      <c r="O927"/>
      <c r="P927"/>
      <c r="Q927"/>
      <c r="R927"/>
      <c r="S927"/>
      <c r="T927"/>
      <c r="U927"/>
      <c r="V927"/>
      <c r="W927"/>
      <c r="X927"/>
      <c r="Y927"/>
      <c r="Z927"/>
      <c r="AA927"/>
      <c r="AB927"/>
      <c r="AC927"/>
      <c r="AD927"/>
      <c r="AE927"/>
      <c r="AF927"/>
      <c r="AG927"/>
    </row>
    <row r="928" spans="1:33" ht="72" customHeight="1" x14ac:dyDescent="0.25">
      <c r="A928" s="16"/>
      <c r="B928" s="16"/>
      <c r="C928" s="16"/>
      <c r="D928" s="16"/>
      <c r="E928" s="16"/>
      <c r="F928" s="16"/>
      <c r="G928" s="16"/>
      <c r="H928"/>
      <c r="I928"/>
      <c r="J928"/>
      <c r="K928"/>
      <c r="L928"/>
      <c r="M928"/>
      <c r="N928"/>
      <c r="O928"/>
      <c r="P928"/>
      <c r="Q928"/>
      <c r="R928"/>
      <c r="S928"/>
      <c r="T928"/>
      <c r="U928"/>
      <c r="V928"/>
      <c r="W928"/>
      <c r="X928"/>
      <c r="Y928"/>
      <c r="Z928"/>
      <c r="AA928"/>
      <c r="AB928"/>
      <c r="AC928"/>
      <c r="AD928"/>
      <c r="AE928"/>
      <c r="AF928"/>
      <c r="AG928"/>
    </row>
    <row r="929" spans="1:33" ht="72" customHeight="1" x14ac:dyDescent="0.25">
      <c r="A929" s="16"/>
      <c r="B929" s="16"/>
      <c r="C929" s="16"/>
      <c r="D929" s="16"/>
      <c r="E929" s="16"/>
      <c r="F929" s="16"/>
      <c r="G929" s="16"/>
      <c r="H929"/>
      <c r="I929"/>
      <c r="J929"/>
      <c r="K929"/>
      <c r="L929"/>
      <c r="M929"/>
      <c r="N929"/>
      <c r="O929"/>
      <c r="P929"/>
      <c r="Q929"/>
      <c r="R929"/>
      <c r="S929"/>
      <c r="T929"/>
      <c r="U929"/>
      <c r="V929"/>
      <c r="W929"/>
      <c r="X929"/>
      <c r="Y929"/>
      <c r="Z929"/>
      <c r="AA929"/>
      <c r="AB929"/>
      <c r="AC929"/>
      <c r="AD929"/>
      <c r="AE929"/>
      <c r="AF929"/>
      <c r="AG929"/>
    </row>
    <row r="930" spans="1:33" ht="72" customHeight="1" x14ac:dyDescent="0.25">
      <c r="A930" s="16"/>
      <c r="B930" s="16"/>
      <c r="C930" s="16"/>
      <c r="D930" s="16"/>
      <c r="E930" s="16"/>
      <c r="F930" s="16"/>
      <c r="G930" s="16"/>
      <c r="H930"/>
      <c r="I930"/>
      <c r="J930"/>
      <c r="K930"/>
      <c r="L930"/>
      <c r="M930"/>
      <c r="N930"/>
      <c r="O930"/>
      <c r="P930"/>
      <c r="Q930"/>
      <c r="R930"/>
      <c r="S930"/>
      <c r="T930"/>
      <c r="U930"/>
      <c r="V930"/>
      <c r="W930"/>
      <c r="X930"/>
      <c r="Y930"/>
      <c r="Z930"/>
      <c r="AA930"/>
      <c r="AB930"/>
      <c r="AC930"/>
      <c r="AD930"/>
      <c r="AE930"/>
      <c r="AF930"/>
      <c r="AG930"/>
    </row>
    <row r="931" spans="1:33" ht="72" customHeight="1" x14ac:dyDescent="0.25">
      <c r="A931" s="16"/>
      <c r="B931" s="16"/>
      <c r="C931" s="16"/>
      <c r="D931" s="16"/>
      <c r="E931" s="16"/>
      <c r="F931" s="16"/>
      <c r="G931" s="16"/>
      <c r="H931"/>
      <c r="I931"/>
      <c r="J931"/>
      <c r="K931"/>
      <c r="L931"/>
      <c r="M931"/>
      <c r="N931"/>
      <c r="O931"/>
      <c r="P931"/>
      <c r="Q931"/>
      <c r="R931"/>
      <c r="S931"/>
      <c r="T931"/>
      <c r="U931"/>
      <c r="V931"/>
      <c r="W931"/>
      <c r="X931"/>
      <c r="Y931"/>
      <c r="Z931"/>
      <c r="AA931"/>
      <c r="AB931"/>
      <c r="AC931"/>
      <c r="AD931"/>
      <c r="AE931"/>
      <c r="AF931"/>
      <c r="AG931"/>
    </row>
    <row r="932" spans="1:33" ht="72" customHeight="1" x14ac:dyDescent="0.25">
      <c r="A932" s="16"/>
      <c r="B932" s="16"/>
      <c r="C932" s="16"/>
      <c r="D932" s="16"/>
      <c r="E932" s="16"/>
      <c r="F932" s="16"/>
      <c r="G932" s="16"/>
      <c r="H932"/>
      <c r="I932"/>
      <c r="J932"/>
      <c r="K932"/>
      <c r="L932"/>
      <c r="M932"/>
      <c r="N932"/>
      <c r="O932"/>
      <c r="P932"/>
      <c r="Q932"/>
      <c r="R932"/>
      <c r="S932"/>
      <c r="T932"/>
      <c r="U932"/>
      <c r="V932"/>
      <c r="W932"/>
      <c r="X932"/>
      <c r="Y932"/>
      <c r="Z932"/>
      <c r="AA932"/>
      <c r="AB932"/>
      <c r="AC932"/>
      <c r="AD932"/>
      <c r="AE932"/>
      <c r="AF932"/>
      <c r="AG932"/>
    </row>
    <row r="933" spans="1:33" ht="72" customHeight="1" x14ac:dyDescent="0.25">
      <c r="A933" s="16"/>
      <c r="B933" s="16"/>
      <c r="C933" s="16"/>
      <c r="D933" s="16"/>
      <c r="E933" s="16"/>
      <c r="F933" s="16"/>
      <c r="G933" s="16"/>
      <c r="H933"/>
      <c r="I933"/>
      <c r="J933"/>
      <c r="K933"/>
      <c r="L933"/>
      <c r="M933"/>
      <c r="N933"/>
      <c r="O933"/>
      <c r="P933"/>
      <c r="Q933"/>
      <c r="R933"/>
      <c r="S933"/>
      <c r="T933"/>
      <c r="U933"/>
      <c r="V933"/>
      <c r="W933"/>
      <c r="X933"/>
      <c r="Y933"/>
      <c r="Z933"/>
      <c r="AA933"/>
      <c r="AB933"/>
      <c r="AC933"/>
      <c r="AD933"/>
      <c r="AE933"/>
      <c r="AF933"/>
      <c r="AG933"/>
    </row>
    <row r="934" spans="1:33" ht="72" customHeight="1" x14ac:dyDescent="0.25">
      <c r="A934" s="16"/>
      <c r="B934" s="16"/>
      <c r="C934" s="16"/>
      <c r="D934" s="16"/>
      <c r="E934" s="16"/>
      <c r="F934" s="16"/>
      <c r="G934" s="16"/>
      <c r="H934"/>
      <c r="I934"/>
      <c r="J934"/>
      <c r="K934"/>
      <c r="L934"/>
      <c r="M934"/>
      <c r="N934"/>
      <c r="O934"/>
      <c r="P934"/>
      <c r="Q934"/>
      <c r="R934"/>
      <c r="S934"/>
      <c r="T934"/>
      <c r="U934"/>
      <c r="V934"/>
      <c r="W934"/>
      <c r="X934"/>
      <c r="Y934"/>
      <c r="Z934"/>
      <c r="AA934"/>
      <c r="AB934"/>
      <c r="AC934"/>
      <c r="AD934"/>
      <c r="AE934"/>
      <c r="AF934"/>
      <c r="AG934"/>
    </row>
    <row r="935" spans="1:33" ht="72" customHeight="1" x14ac:dyDescent="0.25">
      <c r="A935" s="16"/>
      <c r="B935" s="16"/>
      <c r="C935" s="16"/>
      <c r="D935" s="16"/>
      <c r="E935" s="16"/>
      <c r="F935" s="16"/>
      <c r="G935" s="16"/>
      <c r="H935"/>
      <c r="I935"/>
      <c r="J935"/>
      <c r="K935"/>
      <c r="L935"/>
      <c r="M935"/>
      <c r="N935"/>
      <c r="O935"/>
      <c r="P935"/>
      <c r="Q935"/>
      <c r="R935"/>
      <c r="S935"/>
      <c r="T935"/>
      <c r="U935"/>
      <c r="V935"/>
      <c r="W935"/>
      <c r="X935"/>
      <c r="Y935"/>
      <c r="Z935"/>
      <c r="AA935"/>
      <c r="AB935"/>
      <c r="AC935"/>
      <c r="AD935"/>
      <c r="AE935"/>
      <c r="AF935"/>
      <c r="AG935"/>
    </row>
    <row r="936" spans="1:33" ht="72" customHeight="1" x14ac:dyDescent="0.25">
      <c r="A936" s="16"/>
      <c r="B936" s="16"/>
      <c r="C936" s="16"/>
      <c r="D936" s="16"/>
      <c r="E936" s="16"/>
      <c r="F936" s="16"/>
      <c r="G936" s="16"/>
      <c r="H936"/>
      <c r="I936"/>
      <c r="J936"/>
      <c r="K936"/>
      <c r="L936"/>
      <c r="M936"/>
      <c r="N936"/>
      <c r="O936"/>
      <c r="P936"/>
      <c r="Q936"/>
      <c r="R936"/>
      <c r="S936"/>
      <c r="T936"/>
      <c r="U936"/>
      <c r="V936"/>
      <c r="W936"/>
      <c r="X936"/>
      <c r="Y936"/>
      <c r="Z936"/>
      <c r="AA936"/>
      <c r="AB936"/>
      <c r="AC936"/>
      <c r="AD936"/>
      <c r="AE936"/>
      <c r="AF936"/>
      <c r="AG936"/>
    </row>
    <row r="937" spans="1:33" ht="72" customHeight="1" x14ac:dyDescent="0.25">
      <c r="A937" s="16"/>
      <c r="B937" s="16"/>
      <c r="C937" s="16"/>
      <c r="D937" s="16"/>
      <c r="E937" s="16"/>
      <c r="F937" s="16"/>
      <c r="G937" s="16"/>
      <c r="H937"/>
      <c r="I937"/>
      <c r="J937"/>
      <c r="K937"/>
      <c r="L937"/>
      <c r="M937"/>
      <c r="N937"/>
      <c r="O937"/>
      <c r="P937"/>
      <c r="Q937"/>
      <c r="R937"/>
      <c r="S937"/>
      <c r="T937"/>
      <c r="U937"/>
      <c r="V937"/>
      <c r="W937"/>
      <c r="X937"/>
      <c r="Y937"/>
      <c r="Z937"/>
      <c r="AA937"/>
      <c r="AB937"/>
      <c r="AC937"/>
      <c r="AD937"/>
      <c r="AE937"/>
      <c r="AF937"/>
      <c r="AG937"/>
    </row>
    <row r="938" spans="1:33" ht="72" customHeight="1" x14ac:dyDescent="0.25">
      <c r="A938" s="16"/>
      <c r="B938" s="16"/>
      <c r="C938" s="16"/>
      <c r="D938" s="16"/>
      <c r="E938" s="16"/>
      <c r="F938" s="16"/>
      <c r="G938" s="16"/>
      <c r="H938"/>
      <c r="I938"/>
      <c r="J938"/>
      <c r="K938"/>
      <c r="L938"/>
      <c r="M938"/>
      <c r="N938"/>
      <c r="O938"/>
      <c r="P938"/>
      <c r="Q938"/>
      <c r="R938"/>
      <c r="S938"/>
      <c r="T938"/>
      <c r="U938"/>
      <c r="V938"/>
      <c r="W938"/>
      <c r="X938"/>
      <c r="Y938"/>
      <c r="Z938"/>
      <c r="AA938"/>
      <c r="AB938"/>
      <c r="AC938"/>
      <c r="AD938"/>
      <c r="AE938"/>
      <c r="AF938"/>
      <c r="AG938"/>
    </row>
    <row r="939" spans="1:33" ht="72" customHeight="1" x14ac:dyDescent="0.25">
      <c r="A939" s="16"/>
      <c r="B939" s="16"/>
      <c r="C939" s="16"/>
      <c r="D939" s="16"/>
      <c r="E939" s="16"/>
      <c r="F939" s="16"/>
      <c r="G939" s="16"/>
      <c r="H939"/>
      <c r="I939"/>
      <c r="J939"/>
      <c r="K939"/>
      <c r="L939"/>
      <c r="M939"/>
      <c r="N939"/>
      <c r="O939"/>
      <c r="P939"/>
      <c r="Q939"/>
      <c r="R939"/>
      <c r="S939"/>
      <c r="T939"/>
      <c r="U939"/>
      <c r="V939"/>
      <c r="W939"/>
      <c r="X939"/>
      <c r="Y939"/>
      <c r="Z939"/>
      <c r="AA939"/>
      <c r="AB939"/>
      <c r="AC939"/>
      <c r="AD939"/>
      <c r="AE939"/>
      <c r="AF939"/>
      <c r="AG939"/>
    </row>
    <row r="940" spans="1:33" ht="72" customHeight="1" x14ac:dyDescent="0.25">
      <c r="A940" s="16"/>
      <c r="B940" s="16"/>
      <c r="C940" s="16"/>
      <c r="D940" s="16"/>
      <c r="E940" s="16"/>
      <c r="F940" s="16"/>
      <c r="G940" s="16"/>
      <c r="H940"/>
      <c r="I940"/>
      <c r="J940"/>
      <c r="K940"/>
      <c r="L940"/>
      <c r="M940"/>
      <c r="N940"/>
      <c r="O940"/>
      <c r="P940"/>
      <c r="Q940"/>
      <c r="R940"/>
      <c r="S940"/>
      <c r="T940"/>
      <c r="U940"/>
      <c r="V940"/>
      <c r="W940"/>
      <c r="X940"/>
      <c r="Y940"/>
      <c r="Z940"/>
      <c r="AA940"/>
      <c r="AB940"/>
      <c r="AC940"/>
      <c r="AD940"/>
      <c r="AE940"/>
      <c r="AF940"/>
      <c r="AG940"/>
    </row>
    <row r="941" spans="1:33" ht="72" customHeight="1" x14ac:dyDescent="0.25">
      <c r="A941" s="16"/>
      <c r="B941" s="16"/>
      <c r="C941" s="16"/>
      <c r="D941" s="16"/>
      <c r="E941" s="16"/>
      <c r="F941" s="16"/>
      <c r="G941" s="16"/>
      <c r="H941"/>
      <c r="I941"/>
      <c r="J941"/>
      <c r="K941"/>
      <c r="L941"/>
      <c r="M941"/>
      <c r="N941"/>
      <c r="O941"/>
      <c r="P941"/>
      <c r="Q941"/>
      <c r="R941"/>
      <c r="S941"/>
      <c r="T941"/>
      <c r="U941"/>
      <c r="V941"/>
      <c r="W941"/>
      <c r="X941"/>
      <c r="Y941"/>
      <c r="Z941"/>
      <c r="AA941"/>
      <c r="AB941"/>
      <c r="AC941"/>
      <c r="AD941"/>
      <c r="AE941"/>
      <c r="AF941"/>
      <c r="AG941"/>
    </row>
    <row r="942" spans="1:33" ht="72" customHeight="1" x14ac:dyDescent="0.25">
      <c r="A942" s="16"/>
      <c r="B942" s="16"/>
      <c r="C942" s="16"/>
      <c r="D942" s="16"/>
      <c r="E942" s="16"/>
      <c r="F942" s="16"/>
      <c r="G942" s="16"/>
      <c r="H942"/>
      <c r="I942"/>
      <c r="J942"/>
      <c r="K942"/>
      <c r="L942"/>
      <c r="M942"/>
      <c r="N942"/>
      <c r="O942"/>
      <c r="P942"/>
      <c r="Q942"/>
      <c r="R942"/>
      <c r="S942"/>
      <c r="T942"/>
      <c r="U942"/>
      <c r="V942"/>
      <c r="W942"/>
      <c r="X942"/>
      <c r="Y942"/>
      <c r="Z942"/>
      <c r="AA942"/>
      <c r="AB942"/>
      <c r="AC942"/>
      <c r="AD942"/>
      <c r="AE942"/>
      <c r="AF942"/>
      <c r="AG942"/>
    </row>
    <row r="943" spans="1:33" ht="72" customHeight="1" x14ac:dyDescent="0.25">
      <c r="A943" s="16"/>
      <c r="B943" s="16"/>
      <c r="C943" s="16"/>
      <c r="D943" s="16"/>
      <c r="E943" s="16"/>
      <c r="F943" s="16"/>
      <c r="G943" s="16"/>
      <c r="H943"/>
      <c r="I943"/>
      <c r="J943"/>
      <c r="K943"/>
      <c r="L943"/>
      <c r="M943"/>
      <c r="N943"/>
      <c r="O943"/>
      <c r="P943"/>
      <c r="Q943"/>
      <c r="R943"/>
      <c r="S943"/>
      <c r="T943"/>
      <c r="U943"/>
      <c r="V943"/>
      <c r="W943"/>
      <c r="X943"/>
      <c r="Y943"/>
      <c r="Z943"/>
      <c r="AA943"/>
      <c r="AB943"/>
      <c r="AC943"/>
      <c r="AD943"/>
      <c r="AE943"/>
      <c r="AF943"/>
      <c r="AG943"/>
    </row>
    <row r="944" spans="1:33" ht="72" customHeight="1" x14ac:dyDescent="0.25">
      <c r="A944" s="16"/>
      <c r="B944" s="16"/>
      <c r="C944" s="16"/>
      <c r="D944" s="16"/>
      <c r="E944" s="16"/>
      <c r="F944" s="16"/>
      <c r="G944" s="16"/>
      <c r="H944"/>
      <c r="I944"/>
      <c r="J944"/>
      <c r="K944"/>
      <c r="L944"/>
      <c r="M944"/>
      <c r="N944"/>
      <c r="O944"/>
      <c r="P944"/>
      <c r="Q944"/>
      <c r="R944"/>
      <c r="S944"/>
      <c r="T944"/>
      <c r="U944"/>
      <c r="V944"/>
      <c r="W944"/>
      <c r="X944"/>
      <c r="Y944"/>
      <c r="Z944"/>
      <c r="AA944"/>
      <c r="AB944"/>
      <c r="AC944"/>
      <c r="AD944"/>
      <c r="AE944"/>
      <c r="AF944"/>
      <c r="AG944"/>
    </row>
    <row r="945" spans="1:33" ht="72" customHeight="1" x14ac:dyDescent="0.25">
      <c r="A945" s="16"/>
      <c r="B945" s="16"/>
      <c r="C945" s="16"/>
      <c r="D945" s="16"/>
      <c r="E945" s="16"/>
      <c r="F945" s="16"/>
      <c r="G945" s="16"/>
      <c r="H945"/>
      <c r="I945"/>
      <c r="J945"/>
      <c r="K945"/>
      <c r="L945"/>
      <c r="M945"/>
      <c r="N945"/>
      <c r="O945"/>
      <c r="P945"/>
      <c r="Q945"/>
      <c r="R945"/>
      <c r="S945"/>
      <c r="T945"/>
      <c r="U945"/>
      <c r="V945"/>
      <c r="W945"/>
      <c r="X945"/>
      <c r="Y945"/>
      <c r="Z945"/>
      <c r="AA945"/>
      <c r="AB945"/>
      <c r="AC945"/>
      <c r="AD945"/>
      <c r="AE945"/>
      <c r="AF945"/>
      <c r="AG945"/>
    </row>
    <row r="946" spans="1:33" ht="72" customHeight="1" x14ac:dyDescent="0.25">
      <c r="A946" s="16"/>
      <c r="B946" s="16"/>
      <c r="C946" s="16"/>
      <c r="D946" s="16"/>
      <c r="E946" s="16"/>
      <c r="F946" s="16"/>
      <c r="G946" s="16"/>
      <c r="H946"/>
      <c r="I946"/>
      <c r="J946"/>
      <c r="K946"/>
      <c r="L946"/>
      <c r="M946"/>
      <c r="N946"/>
      <c r="O946"/>
      <c r="P946"/>
      <c r="Q946"/>
      <c r="R946"/>
      <c r="S946"/>
      <c r="T946"/>
      <c r="U946"/>
      <c r="V946"/>
      <c r="W946"/>
      <c r="X946"/>
      <c r="Y946"/>
      <c r="Z946"/>
      <c r="AA946"/>
      <c r="AB946"/>
      <c r="AC946"/>
      <c r="AD946"/>
      <c r="AE946"/>
      <c r="AF946"/>
      <c r="AG946"/>
    </row>
    <row r="947" spans="1:33" ht="72" customHeight="1" x14ac:dyDescent="0.25">
      <c r="A947" s="16"/>
      <c r="B947" s="16"/>
      <c r="C947" s="16"/>
      <c r="D947" s="16"/>
      <c r="E947" s="16"/>
      <c r="F947" s="16"/>
      <c r="G947" s="16"/>
      <c r="H947"/>
      <c r="I947"/>
      <c r="J947"/>
      <c r="K947"/>
      <c r="L947"/>
      <c r="M947"/>
      <c r="N947"/>
      <c r="O947"/>
      <c r="P947"/>
      <c r="Q947"/>
      <c r="R947"/>
      <c r="S947"/>
      <c r="T947"/>
      <c r="U947"/>
      <c r="V947"/>
      <c r="W947"/>
      <c r="X947"/>
      <c r="Y947"/>
      <c r="Z947"/>
      <c r="AA947"/>
      <c r="AB947"/>
      <c r="AC947"/>
      <c r="AD947"/>
      <c r="AE947"/>
      <c r="AF947"/>
      <c r="AG947"/>
    </row>
    <row r="948" spans="1:33" ht="72" customHeight="1" x14ac:dyDescent="0.25">
      <c r="A948" s="16"/>
      <c r="B948" s="16"/>
      <c r="C948" s="16"/>
      <c r="D948" s="16"/>
      <c r="E948" s="16"/>
      <c r="F948" s="16"/>
      <c r="G948" s="16"/>
      <c r="H948"/>
      <c r="I948"/>
      <c r="J948"/>
      <c r="K948"/>
      <c r="L948"/>
      <c r="M948"/>
      <c r="N948"/>
      <c r="O948"/>
      <c r="P948"/>
      <c r="Q948"/>
      <c r="R948"/>
      <c r="S948"/>
      <c r="T948"/>
      <c r="U948"/>
      <c r="V948"/>
      <c r="W948"/>
      <c r="X948"/>
      <c r="Y948"/>
      <c r="Z948"/>
      <c r="AA948"/>
      <c r="AB948"/>
      <c r="AC948"/>
      <c r="AD948"/>
      <c r="AE948"/>
      <c r="AF948"/>
      <c r="AG948"/>
    </row>
    <row r="949" spans="1:33" ht="72" customHeight="1" x14ac:dyDescent="0.25">
      <c r="A949" s="16"/>
      <c r="B949" s="16"/>
      <c r="C949" s="16"/>
      <c r="D949" s="16"/>
      <c r="E949" s="16"/>
      <c r="F949" s="16"/>
      <c r="G949" s="16"/>
      <c r="H949"/>
      <c r="I949"/>
      <c r="J949"/>
      <c r="K949"/>
      <c r="L949"/>
      <c r="M949"/>
      <c r="N949"/>
      <c r="O949"/>
      <c r="P949"/>
      <c r="Q949"/>
      <c r="R949"/>
      <c r="S949"/>
      <c r="T949"/>
      <c r="U949"/>
      <c r="V949"/>
      <c r="W949"/>
      <c r="X949"/>
      <c r="Y949"/>
      <c r="Z949"/>
      <c r="AA949"/>
      <c r="AB949"/>
      <c r="AC949"/>
      <c r="AD949"/>
      <c r="AE949"/>
      <c r="AF949"/>
      <c r="AG949"/>
    </row>
    <row r="950" spans="1:33" ht="72" customHeight="1" x14ac:dyDescent="0.25">
      <c r="A950" s="16"/>
      <c r="B950" s="16"/>
      <c r="C950" s="16"/>
      <c r="D950" s="16"/>
      <c r="E950" s="16"/>
      <c r="F950" s="16"/>
      <c r="G950" s="16"/>
      <c r="H950"/>
      <c r="I950"/>
      <c r="J950"/>
      <c r="K950"/>
      <c r="L950"/>
      <c r="M950"/>
      <c r="N950"/>
      <c r="O950"/>
      <c r="P950"/>
      <c r="Q950"/>
      <c r="R950"/>
      <c r="S950"/>
      <c r="T950"/>
      <c r="U950"/>
      <c r="V950"/>
      <c r="W950"/>
      <c r="X950"/>
      <c r="Y950"/>
      <c r="Z950"/>
      <c r="AA950"/>
      <c r="AB950"/>
      <c r="AC950"/>
      <c r="AD950"/>
      <c r="AE950"/>
      <c r="AF950"/>
      <c r="AG950"/>
    </row>
    <row r="951" spans="1:33" ht="72" customHeight="1" x14ac:dyDescent="0.25">
      <c r="A951" s="16"/>
      <c r="B951" s="16"/>
      <c r="C951" s="16"/>
      <c r="D951" s="16"/>
      <c r="E951" s="16"/>
      <c r="F951" s="16"/>
      <c r="G951" s="16"/>
      <c r="H951"/>
      <c r="I951"/>
      <c r="J951"/>
      <c r="K951"/>
      <c r="L951"/>
      <c r="M951"/>
      <c r="N951"/>
      <c r="O951"/>
      <c r="P951"/>
      <c r="Q951"/>
      <c r="R951"/>
      <c r="S951"/>
      <c r="T951"/>
      <c r="U951"/>
      <c r="V951"/>
      <c r="W951"/>
      <c r="X951"/>
      <c r="Y951"/>
      <c r="Z951"/>
      <c r="AA951"/>
      <c r="AB951"/>
      <c r="AC951"/>
      <c r="AD951"/>
      <c r="AE951"/>
      <c r="AF951"/>
      <c r="AG951"/>
    </row>
    <row r="952" spans="1:33" ht="72" customHeight="1" x14ac:dyDescent="0.25">
      <c r="A952" s="16"/>
      <c r="B952" s="16"/>
      <c r="C952" s="16"/>
      <c r="D952" s="16"/>
      <c r="E952" s="16"/>
      <c r="F952" s="16"/>
      <c r="G952" s="16"/>
      <c r="H952"/>
      <c r="I952"/>
      <c r="J952"/>
      <c r="K952"/>
      <c r="L952"/>
      <c r="M952"/>
      <c r="N952"/>
      <c r="O952"/>
      <c r="P952"/>
      <c r="Q952"/>
      <c r="R952"/>
      <c r="S952"/>
      <c r="T952"/>
      <c r="U952"/>
      <c r="V952"/>
      <c r="W952"/>
      <c r="X952"/>
      <c r="Y952"/>
      <c r="Z952"/>
      <c r="AA952"/>
      <c r="AB952"/>
      <c r="AC952"/>
      <c r="AD952"/>
      <c r="AE952"/>
      <c r="AF952"/>
      <c r="AG952"/>
    </row>
    <row r="953" spans="1:33" ht="72" customHeight="1" x14ac:dyDescent="0.25">
      <c r="A953" s="16"/>
      <c r="B953" s="16"/>
      <c r="C953" s="16"/>
      <c r="D953" s="16"/>
      <c r="E953" s="16"/>
      <c r="F953" s="16"/>
      <c r="G953" s="16"/>
      <c r="H953"/>
      <c r="I953"/>
      <c r="J953"/>
      <c r="K953"/>
      <c r="L953"/>
      <c r="M953"/>
      <c r="N953"/>
      <c r="O953"/>
      <c r="P953"/>
      <c r="Q953"/>
      <c r="R953"/>
      <c r="S953"/>
      <c r="T953"/>
      <c r="U953"/>
      <c r="V953"/>
      <c r="W953"/>
      <c r="X953"/>
      <c r="Y953"/>
      <c r="Z953"/>
      <c r="AA953"/>
      <c r="AB953"/>
      <c r="AC953"/>
      <c r="AD953"/>
      <c r="AE953"/>
      <c r="AF953"/>
      <c r="AG953"/>
    </row>
    <row r="954" spans="1:33" ht="72" customHeight="1" x14ac:dyDescent="0.25">
      <c r="A954" s="16"/>
      <c r="B954" s="16"/>
      <c r="C954" s="16"/>
      <c r="D954" s="16"/>
      <c r="E954" s="16"/>
      <c r="F954" s="16"/>
      <c r="G954" s="16"/>
      <c r="H954"/>
      <c r="I954"/>
      <c r="J954"/>
      <c r="K954"/>
      <c r="L954"/>
      <c r="M954"/>
      <c r="N954"/>
      <c r="O954"/>
      <c r="P954"/>
      <c r="Q954"/>
      <c r="R954"/>
      <c r="S954"/>
      <c r="T954"/>
      <c r="U954"/>
      <c r="V954"/>
      <c r="W954"/>
      <c r="X954"/>
      <c r="Y954"/>
      <c r="Z954"/>
      <c r="AA954"/>
      <c r="AB954"/>
      <c r="AC954"/>
      <c r="AD954"/>
      <c r="AE954"/>
      <c r="AF954"/>
      <c r="AG954"/>
    </row>
    <row r="955" spans="1:33" ht="72" customHeight="1" x14ac:dyDescent="0.25">
      <c r="A955" s="16"/>
      <c r="B955" s="16"/>
      <c r="C955" s="16"/>
      <c r="D955" s="16"/>
      <c r="E955" s="16"/>
      <c r="F955" s="16"/>
      <c r="G955" s="16"/>
      <c r="H955"/>
      <c r="I955"/>
      <c r="J955"/>
      <c r="K955"/>
      <c r="L955"/>
      <c r="M955"/>
      <c r="N955"/>
      <c r="O955"/>
      <c r="P955"/>
      <c r="Q955"/>
      <c r="R955"/>
      <c r="S955"/>
      <c r="T955"/>
      <c r="U955"/>
      <c r="V955"/>
      <c r="W955"/>
      <c r="X955"/>
      <c r="Y955"/>
      <c r="Z955"/>
      <c r="AA955"/>
      <c r="AB955"/>
      <c r="AC955"/>
      <c r="AD955"/>
      <c r="AE955"/>
      <c r="AF955"/>
      <c r="AG955"/>
    </row>
    <row r="956" spans="1:33" ht="72" customHeight="1" x14ac:dyDescent="0.25">
      <c r="A956" s="16"/>
      <c r="B956" s="16"/>
      <c r="C956" s="16"/>
      <c r="D956" s="16"/>
      <c r="E956" s="16"/>
      <c r="F956" s="16"/>
      <c r="G956" s="16"/>
      <c r="H956"/>
      <c r="I956"/>
      <c r="J956"/>
      <c r="K956"/>
      <c r="L956"/>
      <c r="M956"/>
      <c r="N956"/>
      <c r="O956"/>
      <c r="P956"/>
      <c r="Q956"/>
      <c r="R956"/>
      <c r="S956"/>
      <c r="T956"/>
      <c r="U956"/>
      <c r="V956"/>
      <c r="W956"/>
      <c r="X956"/>
      <c r="Y956"/>
      <c r="Z956"/>
      <c r="AA956"/>
      <c r="AB956"/>
      <c r="AC956"/>
      <c r="AD956"/>
      <c r="AE956"/>
      <c r="AF956"/>
      <c r="AG956"/>
    </row>
    <row r="957" spans="1:33" ht="72" customHeight="1" x14ac:dyDescent="0.25">
      <c r="A957" s="16"/>
      <c r="B957" s="16"/>
      <c r="C957" s="16"/>
      <c r="D957" s="16"/>
      <c r="E957" s="16"/>
      <c r="F957" s="16"/>
      <c r="G957" s="16"/>
      <c r="H957"/>
      <c r="I957"/>
      <c r="J957"/>
      <c r="K957"/>
      <c r="L957"/>
      <c r="M957"/>
      <c r="N957"/>
      <c r="O957"/>
      <c r="P957"/>
      <c r="Q957"/>
      <c r="R957"/>
      <c r="S957"/>
      <c r="T957"/>
      <c r="U957"/>
      <c r="V957"/>
      <c r="W957"/>
      <c r="X957"/>
      <c r="Y957"/>
      <c r="Z957"/>
      <c r="AA957"/>
      <c r="AB957"/>
      <c r="AC957"/>
      <c r="AD957"/>
      <c r="AE957"/>
      <c r="AF957"/>
      <c r="AG957"/>
    </row>
    <row r="958" spans="1:33" ht="72" customHeight="1" x14ac:dyDescent="0.25">
      <c r="A958" s="16"/>
      <c r="B958" s="16"/>
      <c r="C958" s="16"/>
      <c r="D958" s="16"/>
      <c r="E958" s="16"/>
      <c r="F958" s="16"/>
      <c r="G958" s="16"/>
      <c r="H958"/>
      <c r="I958"/>
      <c r="J958"/>
      <c r="K958"/>
      <c r="L958"/>
      <c r="M958"/>
      <c r="N958"/>
      <c r="O958"/>
      <c r="P958"/>
      <c r="Q958"/>
      <c r="R958"/>
      <c r="S958"/>
      <c r="T958"/>
      <c r="U958"/>
      <c r="V958"/>
      <c r="W958"/>
      <c r="X958"/>
      <c r="Y958"/>
      <c r="Z958"/>
      <c r="AA958"/>
      <c r="AB958"/>
      <c r="AC958"/>
      <c r="AD958"/>
      <c r="AE958"/>
      <c r="AF958"/>
      <c r="AG958"/>
    </row>
    <row r="959" spans="1:33" ht="72" customHeight="1" x14ac:dyDescent="0.25">
      <c r="A959" s="16"/>
      <c r="B959" s="16"/>
      <c r="C959" s="16"/>
      <c r="D959" s="16"/>
      <c r="E959" s="16"/>
      <c r="F959" s="16"/>
      <c r="G959" s="16"/>
      <c r="H959"/>
      <c r="I959"/>
      <c r="J959"/>
      <c r="K959"/>
      <c r="L959"/>
      <c r="M959"/>
      <c r="N959"/>
      <c r="O959"/>
      <c r="P959"/>
      <c r="Q959"/>
      <c r="R959"/>
      <c r="S959"/>
      <c r="T959"/>
      <c r="U959"/>
      <c r="V959"/>
      <c r="W959"/>
      <c r="X959"/>
      <c r="Y959"/>
      <c r="Z959"/>
      <c r="AA959"/>
      <c r="AB959"/>
      <c r="AC959"/>
      <c r="AD959"/>
      <c r="AE959"/>
      <c r="AF959"/>
      <c r="AG959"/>
    </row>
    <row r="960" spans="1:33" ht="72" customHeight="1" x14ac:dyDescent="0.25">
      <c r="A960" s="16"/>
      <c r="B960" s="16"/>
      <c r="C960" s="16"/>
      <c r="D960" s="16"/>
      <c r="E960" s="16"/>
      <c r="F960" s="16"/>
      <c r="G960" s="16"/>
      <c r="H960"/>
      <c r="I960"/>
      <c r="J960"/>
      <c r="K960"/>
      <c r="L960"/>
      <c r="M960"/>
      <c r="N960"/>
      <c r="O960"/>
      <c r="P960"/>
      <c r="Q960"/>
      <c r="R960"/>
      <c r="S960"/>
      <c r="T960"/>
      <c r="U960"/>
      <c r="V960"/>
      <c r="W960"/>
      <c r="X960"/>
      <c r="Y960"/>
      <c r="Z960"/>
      <c r="AA960"/>
      <c r="AB960"/>
      <c r="AC960"/>
      <c r="AD960"/>
      <c r="AE960"/>
      <c r="AF960"/>
      <c r="AG960"/>
    </row>
    <row r="961" spans="1:33" ht="72" customHeight="1" x14ac:dyDescent="0.25">
      <c r="A961" s="16"/>
      <c r="B961" s="16"/>
      <c r="C961" s="16"/>
      <c r="D961" s="16"/>
      <c r="E961" s="16"/>
      <c r="F961" s="16"/>
      <c r="G961" s="16"/>
      <c r="H961"/>
      <c r="I961"/>
      <c r="J961"/>
      <c r="K961"/>
      <c r="L961"/>
      <c r="M961"/>
      <c r="N961"/>
      <c r="O961"/>
      <c r="P961"/>
      <c r="Q961"/>
      <c r="R961"/>
      <c r="S961"/>
      <c r="T961"/>
      <c r="U961"/>
      <c r="V961"/>
      <c r="W961"/>
      <c r="X961"/>
      <c r="Y961"/>
      <c r="Z961"/>
      <c r="AA961"/>
      <c r="AB961"/>
      <c r="AC961"/>
      <c r="AD961"/>
      <c r="AE961"/>
      <c r="AF961"/>
      <c r="AG961"/>
    </row>
    <row r="962" spans="1:33" ht="72" customHeight="1" x14ac:dyDescent="0.25">
      <c r="A962" s="16"/>
      <c r="B962" s="16"/>
      <c r="C962" s="16"/>
      <c r="D962" s="16"/>
      <c r="E962" s="16"/>
      <c r="F962" s="16"/>
      <c r="G962" s="16"/>
      <c r="H962"/>
      <c r="I962"/>
      <c r="J962"/>
      <c r="K962"/>
      <c r="L962"/>
      <c r="M962"/>
      <c r="N962"/>
      <c r="O962"/>
      <c r="P962"/>
      <c r="Q962"/>
      <c r="R962"/>
      <c r="S962"/>
      <c r="T962"/>
      <c r="U962"/>
      <c r="V962"/>
      <c r="W962"/>
      <c r="X962"/>
      <c r="Y962"/>
      <c r="Z962"/>
      <c r="AA962"/>
      <c r="AB962"/>
      <c r="AC962"/>
      <c r="AD962"/>
      <c r="AE962"/>
      <c r="AF962"/>
      <c r="AG962"/>
    </row>
    <row r="963" spans="1:33" ht="72" customHeight="1" x14ac:dyDescent="0.25">
      <c r="A963" s="16"/>
      <c r="B963" s="16"/>
      <c r="C963" s="16"/>
      <c r="D963" s="16"/>
      <c r="E963" s="16"/>
      <c r="F963" s="16"/>
      <c r="G963" s="16"/>
      <c r="H963"/>
      <c r="I963"/>
      <c r="J963"/>
      <c r="K963"/>
      <c r="L963"/>
      <c r="M963"/>
      <c r="N963"/>
      <c r="O963"/>
      <c r="P963"/>
      <c r="Q963"/>
      <c r="R963"/>
      <c r="S963"/>
      <c r="T963"/>
      <c r="U963"/>
      <c r="V963"/>
      <c r="W963"/>
      <c r="X963"/>
      <c r="Y963"/>
      <c r="Z963"/>
      <c r="AA963"/>
      <c r="AB963"/>
      <c r="AC963"/>
      <c r="AD963"/>
      <c r="AE963"/>
      <c r="AF963"/>
      <c r="AG963"/>
    </row>
    <row r="964" spans="1:33" ht="72" customHeight="1" x14ac:dyDescent="0.25">
      <c r="A964" s="16"/>
      <c r="B964" s="16"/>
      <c r="C964" s="16"/>
      <c r="D964" s="16"/>
      <c r="E964" s="16"/>
      <c r="F964" s="16"/>
      <c r="G964" s="16"/>
      <c r="H964"/>
      <c r="I964"/>
      <c r="J964"/>
      <c r="K964"/>
      <c r="L964"/>
      <c r="M964"/>
      <c r="N964"/>
      <c r="O964"/>
      <c r="P964"/>
      <c r="Q964"/>
      <c r="R964"/>
      <c r="S964"/>
      <c r="T964"/>
      <c r="U964"/>
      <c r="V964"/>
      <c r="W964"/>
      <c r="X964"/>
      <c r="Y964"/>
      <c r="Z964"/>
      <c r="AA964"/>
      <c r="AB964"/>
      <c r="AC964"/>
      <c r="AD964"/>
      <c r="AE964"/>
      <c r="AF964"/>
      <c r="AG964"/>
    </row>
    <row r="965" spans="1:33" ht="72" customHeight="1" x14ac:dyDescent="0.25">
      <c r="A965" s="16"/>
      <c r="B965" s="16"/>
      <c r="C965" s="16"/>
      <c r="D965" s="16"/>
      <c r="E965" s="16"/>
      <c r="F965" s="16"/>
      <c r="G965" s="16"/>
      <c r="H965"/>
      <c r="I965"/>
      <c r="J965"/>
      <c r="K965"/>
      <c r="L965"/>
      <c r="M965"/>
      <c r="N965"/>
      <c r="O965"/>
      <c r="P965"/>
      <c r="Q965"/>
      <c r="R965"/>
      <c r="S965"/>
      <c r="T965"/>
      <c r="U965"/>
      <c r="V965"/>
      <c r="W965"/>
      <c r="X965"/>
      <c r="Y965"/>
      <c r="Z965"/>
      <c r="AA965"/>
      <c r="AB965"/>
      <c r="AC965"/>
      <c r="AD965"/>
      <c r="AE965"/>
      <c r="AF965"/>
      <c r="AG965"/>
    </row>
    <row r="966" spans="1:33" ht="72" customHeight="1" x14ac:dyDescent="0.25">
      <c r="A966" s="16"/>
      <c r="B966" s="16"/>
      <c r="C966" s="16"/>
      <c r="D966" s="16"/>
      <c r="E966" s="16"/>
      <c r="F966" s="16"/>
      <c r="G966" s="16"/>
      <c r="H966"/>
      <c r="I966"/>
      <c r="J966"/>
      <c r="K966"/>
      <c r="L966"/>
      <c r="M966"/>
      <c r="N966"/>
      <c r="O966"/>
      <c r="P966"/>
      <c r="Q966"/>
      <c r="R966"/>
      <c r="S966"/>
      <c r="T966"/>
      <c r="U966"/>
      <c r="V966"/>
      <c r="W966"/>
      <c r="X966"/>
      <c r="Y966"/>
      <c r="Z966"/>
      <c r="AA966"/>
      <c r="AB966"/>
      <c r="AC966"/>
      <c r="AD966"/>
      <c r="AE966"/>
      <c r="AF966"/>
      <c r="AG966"/>
    </row>
    <row r="967" spans="1:33" ht="72" customHeight="1" x14ac:dyDescent="0.25">
      <c r="A967" s="16"/>
      <c r="B967" s="16"/>
      <c r="C967" s="16"/>
      <c r="D967" s="16"/>
      <c r="E967" s="16"/>
      <c r="F967" s="16"/>
      <c r="G967" s="16"/>
      <c r="H967"/>
      <c r="I967"/>
      <c r="J967"/>
      <c r="K967"/>
      <c r="L967"/>
      <c r="M967"/>
      <c r="N967"/>
      <c r="O967"/>
      <c r="P967"/>
      <c r="Q967"/>
      <c r="R967"/>
      <c r="S967"/>
      <c r="T967"/>
      <c r="U967"/>
      <c r="V967"/>
      <c r="W967"/>
      <c r="X967"/>
      <c r="Y967"/>
      <c r="Z967"/>
      <c r="AA967"/>
      <c r="AB967"/>
      <c r="AC967"/>
      <c r="AD967"/>
      <c r="AE967"/>
      <c r="AF967"/>
      <c r="AG967"/>
    </row>
    <row r="968" spans="1:33" ht="72" customHeight="1" x14ac:dyDescent="0.25">
      <c r="A968" s="16"/>
      <c r="B968" s="16"/>
      <c r="C968" s="16"/>
      <c r="D968" s="16"/>
      <c r="E968" s="16"/>
      <c r="F968" s="16"/>
      <c r="G968" s="16"/>
      <c r="H968"/>
      <c r="I968"/>
      <c r="J968"/>
      <c r="K968"/>
      <c r="L968"/>
      <c r="M968"/>
      <c r="N968"/>
      <c r="O968"/>
      <c r="P968"/>
      <c r="Q968"/>
      <c r="R968"/>
      <c r="S968"/>
      <c r="T968"/>
      <c r="U968"/>
      <c r="V968"/>
      <c r="W968"/>
      <c r="X968"/>
      <c r="Y968"/>
      <c r="Z968"/>
      <c r="AA968"/>
      <c r="AB968"/>
      <c r="AC968"/>
      <c r="AD968"/>
      <c r="AE968"/>
      <c r="AF968"/>
      <c r="AG968"/>
    </row>
    <row r="969" spans="1:33" ht="72" customHeight="1" x14ac:dyDescent="0.25">
      <c r="A969" s="16"/>
      <c r="B969" s="16"/>
      <c r="C969" s="16"/>
      <c r="D969" s="16"/>
      <c r="E969" s="16"/>
      <c r="F969" s="16"/>
      <c r="G969" s="16"/>
      <c r="H969"/>
      <c r="I969"/>
      <c r="J969"/>
      <c r="K969"/>
      <c r="L969"/>
      <c r="M969"/>
      <c r="N969"/>
      <c r="O969"/>
      <c r="P969"/>
      <c r="Q969"/>
      <c r="R969"/>
      <c r="S969"/>
      <c r="T969"/>
      <c r="U969"/>
      <c r="V969"/>
      <c r="W969"/>
      <c r="X969"/>
      <c r="Y969"/>
      <c r="Z969"/>
      <c r="AA969"/>
      <c r="AB969"/>
      <c r="AC969"/>
      <c r="AD969"/>
      <c r="AE969"/>
      <c r="AF969"/>
      <c r="AG969"/>
    </row>
    <row r="970" spans="1:33" ht="72" customHeight="1" x14ac:dyDescent="0.25">
      <c r="A970" s="16"/>
      <c r="B970" s="16"/>
      <c r="C970" s="16"/>
      <c r="D970" s="16"/>
      <c r="E970" s="16"/>
      <c r="F970" s="16"/>
      <c r="G970" s="16"/>
      <c r="H970"/>
      <c r="I970"/>
      <c r="J970"/>
      <c r="K970"/>
      <c r="L970"/>
      <c r="M970"/>
      <c r="N970"/>
      <c r="O970"/>
      <c r="P970"/>
      <c r="Q970"/>
      <c r="R970"/>
      <c r="S970"/>
      <c r="T970"/>
      <c r="U970"/>
      <c r="V970"/>
      <c r="W970"/>
      <c r="X970"/>
      <c r="Y970"/>
      <c r="Z970"/>
      <c r="AA970"/>
      <c r="AB970"/>
      <c r="AC970"/>
      <c r="AD970"/>
      <c r="AE970"/>
      <c r="AF970"/>
      <c r="AG970"/>
    </row>
    <row r="971" spans="1:33" ht="72" customHeight="1" x14ac:dyDescent="0.25">
      <c r="A971" s="16"/>
      <c r="B971" s="16"/>
      <c r="C971" s="16"/>
      <c r="D971" s="16"/>
      <c r="E971" s="16"/>
      <c r="F971" s="16"/>
      <c r="G971" s="16"/>
      <c r="H971"/>
      <c r="I971"/>
      <c r="J971"/>
      <c r="K971"/>
      <c r="L971"/>
      <c r="M971"/>
      <c r="N971"/>
      <c r="O971"/>
      <c r="P971"/>
      <c r="Q971"/>
      <c r="R971"/>
      <c r="S971"/>
      <c r="T971"/>
      <c r="U971"/>
      <c r="V971"/>
      <c r="W971"/>
      <c r="X971"/>
      <c r="Y971"/>
      <c r="Z971"/>
      <c r="AA971"/>
      <c r="AB971"/>
      <c r="AC971"/>
      <c r="AD971"/>
      <c r="AE971"/>
      <c r="AF971"/>
      <c r="AG971"/>
    </row>
    <row r="972" spans="1:33" ht="72" customHeight="1" x14ac:dyDescent="0.25">
      <c r="A972" s="16"/>
      <c r="B972" s="16"/>
      <c r="C972" s="16"/>
      <c r="D972" s="16"/>
      <c r="E972" s="16"/>
      <c r="F972" s="16"/>
      <c r="G972" s="16"/>
      <c r="H972"/>
      <c r="I972"/>
      <c r="J972"/>
      <c r="K972"/>
      <c r="L972"/>
      <c r="M972"/>
      <c r="N972"/>
      <c r="O972"/>
      <c r="P972"/>
      <c r="Q972"/>
      <c r="R972"/>
      <c r="S972"/>
      <c r="T972"/>
      <c r="U972"/>
      <c r="V972"/>
      <c r="W972"/>
      <c r="X972"/>
      <c r="Y972"/>
      <c r="Z972"/>
      <c r="AA972"/>
      <c r="AB972"/>
      <c r="AC972"/>
      <c r="AD972"/>
      <c r="AE972"/>
      <c r="AF972"/>
      <c r="AG972"/>
    </row>
    <row r="973" spans="1:33" ht="72" customHeight="1" x14ac:dyDescent="0.25">
      <c r="A973" s="16"/>
      <c r="B973" s="16"/>
      <c r="C973" s="16"/>
      <c r="D973" s="16"/>
      <c r="E973" s="16"/>
      <c r="F973" s="16"/>
      <c r="G973" s="16"/>
      <c r="H973"/>
      <c r="I973"/>
      <c r="J973"/>
      <c r="K973"/>
      <c r="L973"/>
      <c r="M973"/>
      <c r="N973"/>
      <c r="O973"/>
      <c r="P973"/>
      <c r="Q973"/>
      <c r="R973"/>
      <c r="S973"/>
      <c r="T973"/>
      <c r="U973"/>
      <c r="V973"/>
      <c r="W973"/>
      <c r="X973"/>
      <c r="Y973"/>
      <c r="Z973"/>
      <c r="AA973"/>
      <c r="AB973"/>
      <c r="AC973"/>
      <c r="AD973"/>
      <c r="AE973"/>
      <c r="AF973"/>
      <c r="AG973"/>
    </row>
    <row r="974" spans="1:33" ht="72" customHeight="1" x14ac:dyDescent="0.25">
      <c r="A974" s="16"/>
      <c r="B974" s="16"/>
      <c r="C974" s="16"/>
      <c r="D974" s="16"/>
      <c r="E974" s="16"/>
      <c r="F974" s="16"/>
      <c r="G974" s="16"/>
      <c r="H974"/>
      <c r="I974"/>
      <c r="J974"/>
      <c r="K974"/>
      <c r="L974"/>
      <c r="M974"/>
      <c r="N974"/>
      <c r="O974"/>
      <c r="P974"/>
      <c r="Q974"/>
      <c r="R974"/>
      <c r="S974"/>
      <c r="T974"/>
      <c r="U974"/>
      <c r="V974"/>
      <c r="W974"/>
      <c r="X974"/>
      <c r="Y974"/>
      <c r="Z974"/>
      <c r="AA974"/>
      <c r="AB974"/>
      <c r="AC974"/>
      <c r="AD974"/>
      <c r="AE974"/>
      <c r="AF974"/>
      <c r="AG974"/>
    </row>
    <row r="975" spans="1:33" ht="72" customHeight="1" x14ac:dyDescent="0.25">
      <c r="A975" s="16"/>
      <c r="B975" s="16"/>
      <c r="C975" s="16"/>
      <c r="D975" s="16"/>
      <c r="E975" s="16"/>
      <c r="F975" s="16"/>
      <c r="G975" s="16"/>
      <c r="H975"/>
      <c r="I975"/>
      <c r="J975"/>
      <c r="K975"/>
      <c r="L975"/>
      <c r="M975"/>
      <c r="N975"/>
      <c r="O975"/>
      <c r="P975"/>
      <c r="Q975"/>
      <c r="R975"/>
      <c r="S975"/>
      <c r="T975"/>
      <c r="U975"/>
      <c r="V975"/>
      <c r="W975"/>
      <c r="X975"/>
      <c r="Y975"/>
      <c r="Z975"/>
      <c r="AA975"/>
      <c r="AB975"/>
      <c r="AC975"/>
      <c r="AD975"/>
      <c r="AE975"/>
      <c r="AF975"/>
      <c r="AG975"/>
    </row>
    <row r="976" spans="1:33" ht="72" customHeight="1" x14ac:dyDescent="0.25">
      <c r="A976" s="16"/>
      <c r="B976" s="16"/>
      <c r="C976" s="16"/>
      <c r="D976" s="16"/>
      <c r="E976" s="16"/>
      <c r="F976" s="16"/>
      <c r="G976" s="16"/>
      <c r="H976"/>
      <c r="I976"/>
      <c r="J976"/>
      <c r="K976"/>
      <c r="L976"/>
      <c r="M976"/>
      <c r="N976"/>
      <c r="O976"/>
      <c r="P976"/>
      <c r="Q976"/>
      <c r="R976"/>
      <c r="S976"/>
      <c r="T976"/>
      <c r="U976"/>
      <c r="V976"/>
      <c r="W976"/>
      <c r="X976"/>
      <c r="Y976"/>
      <c r="Z976"/>
      <c r="AA976"/>
      <c r="AB976"/>
      <c r="AC976"/>
      <c r="AD976"/>
      <c r="AE976"/>
      <c r="AF976"/>
      <c r="AG976"/>
    </row>
    <row r="977" spans="1:33" ht="72" customHeight="1" x14ac:dyDescent="0.25">
      <c r="A977" s="16"/>
      <c r="B977" s="16"/>
      <c r="C977" s="16"/>
      <c r="D977" s="16"/>
      <c r="E977" s="16"/>
      <c r="F977" s="16"/>
      <c r="G977" s="16"/>
      <c r="H977"/>
      <c r="I977"/>
      <c r="J977"/>
      <c r="K977"/>
      <c r="L977"/>
      <c r="M977"/>
      <c r="N977"/>
      <c r="O977"/>
      <c r="P977"/>
      <c r="Q977"/>
      <c r="R977"/>
      <c r="S977"/>
      <c r="T977"/>
      <c r="U977"/>
      <c r="V977"/>
      <c r="W977"/>
      <c r="X977"/>
      <c r="Y977"/>
      <c r="Z977"/>
      <c r="AA977"/>
      <c r="AB977"/>
      <c r="AC977"/>
      <c r="AD977"/>
      <c r="AE977"/>
      <c r="AF977"/>
      <c r="AG977"/>
    </row>
    <row r="978" spans="1:33" ht="72" customHeight="1" x14ac:dyDescent="0.25">
      <c r="A978" s="16"/>
      <c r="B978" s="16"/>
      <c r="C978" s="16"/>
      <c r="D978" s="16"/>
      <c r="E978" s="16"/>
      <c r="F978" s="16"/>
      <c r="G978" s="16"/>
      <c r="H978"/>
      <c r="I978"/>
      <c r="J978"/>
      <c r="K978"/>
      <c r="L978"/>
      <c r="M978"/>
      <c r="N978"/>
      <c r="O978"/>
      <c r="P978"/>
      <c r="Q978"/>
      <c r="R978"/>
      <c r="S978"/>
      <c r="T978"/>
      <c r="U978"/>
      <c r="V978"/>
      <c r="W978"/>
      <c r="X978"/>
      <c r="Y978"/>
      <c r="Z978"/>
      <c r="AA978"/>
      <c r="AB978"/>
      <c r="AC978"/>
      <c r="AD978"/>
      <c r="AE978"/>
      <c r="AF978"/>
      <c r="AG978"/>
    </row>
    <row r="979" spans="1:33" ht="72" customHeight="1" x14ac:dyDescent="0.25">
      <c r="A979" s="16"/>
      <c r="B979" s="16"/>
      <c r="C979" s="16"/>
      <c r="D979" s="16"/>
      <c r="E979" s="16"/>
      <c r="F979" s="16"/>
      <c r="G979" s="16"/>
      <c r="H979"/>
      <c r="I979"/>
      <c r="J979"/>
      <c r="K979"/>
      <c r="L979"/>
      <c r="M979"/>
      <c r="N979"/>
      <c r="O979"/>
      <c r="P979"/>
      <c r="Q979"/>
      <c r="R979"/>
      <c r="S979"/>
      <c r="T979"/>
      <c r="U979"/>
      <c r="V979"/>
      <c r="W979"/>
      <c r="X979"/>
      <c r="Y979"/>
      <c r="Z979"/>
      <c r="AA979"/>
      <c r="AB979"/>
      <c r="AC979"/>
      <c r="AD979"/>
      <c r="AE979"/>
      <c r="AF979"/>
      <c r="AG979"/>
    </row>
    <row r="980" spans="1:33" ht="72" customHeight="1" x14ac:dyDescent="0.25">
      <c r="A980" s="16"/>
      <c r="B980" s="16"/>
      <c r="C980" s="16"/>
      <c r="D980" s="16"/>
      <c r="E980" s="16"/>
      <c r="F980" s="16"/>
      <c r="G980" s="16"/>
      <c r="H980"/>
      <c r="I980"/>
      <c r="J980"/>
      <c r="K980"/>
      <c r="L980"/>
      <c r="M980"/>
      <c r="N980"/>
      <c r="O980"/>
      <c r="P980"/>
      <c r="Q980"/>
      <c r="R980"/>
      <c r="S980"/>
      <c r="T980"/>
      <c r="U980"/>
      <c r="V980"/>
      <c r="W980"/>
      <c r="X980"/>
      <c r="Y980"/>
      <c r="Z980"/>
      <c r="AA980"/>
      <c r="AB980"/>
      <c r="AC980"/>
      <c r="AD980"/>
      <c r="AE980"/>
      <c r="AF980"/>
      <c r="AG980"/>
    </row>
    <row r="981" spans="1:33" ht="72" customHeight="1" x14ac:dyDescent="0.25">
      <c r="A981" s="16"/>
      <c r="B981" s="16"/>
      <c r="C981" s="16"/>
      <c r="D981" s="16"/>
      <c r="E981" s="16"/>
      <c r="F981" s="16"/>
      <c r="G981" s="16"/>
      <c r="H981"/>
      <c r="I981"/>
      <c r="J981"/>
      <c r="K981"/>
      <c r="L981"/>
      <c r="M981"/>
      <c r="N981"/>
      <c r="O981"/>
      <c r="P981"/>
      <c r="Q981"/>
      <c r="R981"/>
      <c r="S981"/>
      <c r="T981"/>
      <c r="U981"/>
      <c r="V981"/>
      <c r="W981"/>
      <c r="X981"/>
      <c r="Y981"/>
      <c r="Z981"/>
      <c r="AA981"/>
      <c r="AB981"/>
      <c r="AC981"/>
      <c r="AD981"/>
      <c r="AE981"/>
      <c r="AF981"/>
      <c r="AG981"/>
    </row>
    <row r="982" spans="1:33" ht="72" customHeight="1" x14ac:dyDescent="0.25">
      <c r="A982" s="16"/>
      <c r="B982" s="16"/>
      <c r="C982" s="16"/>
      <c r="D982" s="16"/>
      <c r="E982" s="16"/>
      <c r="F982" s="16"/>
      <c r="G982" s="16"/>
      <c r="H982"/>
      <c r="I982"/>
      <c r="J982"/>
      <c r="K982"/>
      <c r="L982"/>
      <c r="M982"/>
      <c r="N982"/>
      <c r="O982"/>
      <c r="P982"/>
      <c r="Q982"/>
      <c r="R982"/>
      <c r="S982"/>
      <c r="T982"/>
      <c r="U982"/>
      <c r="V982"/>
      <c r="W982"/>
      <c r="X982"/>
      <c r="Y982"/>
      <c r="Z982"/>
      <c r="AA982"/>
      <c r="AB982"/>
      <c r="AC982"/>
      <c r="AD982"/>
      <c r="AE982"/>
      <c r="AF982"/>
      <c r="AG982"/>
    </row>
    <row r="983" spans="1:33" ht="72" customHeight="1" x14ac:dyDescent="0.25">
      <c r="A983" s="16"/>
      <c r="B983" s="16"/>
      <c r="C983" s="16"/>
      <c r="D983" s="16"/>
      <c r="E983" s="16"/>
      <c r="F983" s="16"/>
      <c r="G983" s="16"/>
      <c r="H983"/>
      <c r="I983"/>
      <c r="J983"/>
      <c r="K983"/>
      <c r="L983"/>
      <c r="M983"/>
      <c r="N983"/>
      <c r="O983"/>
      <c r="P983"/>
      <c r="Q983"/>
      <c r="R983"/>
      <c r="S983"/>
      <c r="T983"/>
      <c r="U983"/>
      <c r="V983"/>
      <c r="W983"/>
      <c r="X983"/>
      <c r="Y983"/>
      <c r="Z983"/>
      <c r="AA983"/>
      <c r="AB983"/>
      <c r="AC983"/>
      <c r="AD983"/>
      <c r="AE983"/>
      <c r="AF983"/>
      <c r="AG983"/>
    </row>
    <row r="984" spans="1:33" ht="72" customHeight="1" x14ac:dyDescent="0.25">
      <c r="A984" s="16"/>
      <c r="B984" s="16"/>
      <c r="C984" s="16"/>
      <c r="D984" s="16"/>
      <c r="E984" s="16"/>
      <c r="F984" s="16"/>
      <c r="G984" s="16"/>
      <c r="H984"/>
      <c r="I984"/>
      <c r="J984"/>
      <c r="K984"/>
      <c r="L984"/>
      <c r="M984"/>
      <c r="N984"/>
      <c r="O984"/>
      <c r="P984"/>
      <c r="Q984"/>
      <c r="R984"/>
      <c r="S984"/>
      <c r="T984"/>
      <c r="U984"/>
      <c r="V984"/>
      <c r="W984"/>
      <c r="X984"/>
      <c r="Y984"/>
      <c r="Z984"/>
      <c r="AA984"/>
      <c r="AB984"/>
      <c r="AC984"/>
      <c r="AD984"/>
      <c r="AE984"/>
      <c r="AF984"/>
      <c r="AG984"/>
    </row>
    <row r="985" spans="1:33" ht="72" customHeight="1" x14ac:dyDescent="0.25">
      <c r="A985" s="16"/>
      <c r="B985" s="16"/>
      <c r="C985" s="16"/>
      <c r="D985" s="16"/>
      <c r="E985" s="16"/>
      <c r="F985" s="16"/>
      <c r="G985" s="16"/>
      <c r="H985"/>
      <c r="I985"/>
      <c r="J985"/>
      <c r="K985"/>
      <c r="L985"/>
      <c r="M985"/>
      <c r="N985"/>
      <c r="O985"/>
      <c r="P985"/>
      <c r="Q985"/>
      <c r="R985"/>
      <c r="S985"/>
      <c r="T985"/>
      <c r="U985"/>
      <c r="V985"/>
      <c r="W985"/>
      <c r="X985"/>
      <c r="Y985"/>
      <c r="Z985"/>
      <c r="AA985"/>
      <c r="AB985"/>
      <c r="AC985"/>
      <c r="AD985"/>
      <c r="AE985"/>
      <c r="AF985"/>
      <c r="AG985"/>
    </row>
    <row r="986" spans="1:33" ht="72" customHeight="1" x14ac:dyDescent="0.25">
      <c r="A986" s="16"/>
      <c r="B986" s="16"/>
      <c r="C986" s="16"/>
      <c r="D986" s="16"/>
      <c r="E986" s="16"/>
      <c r="F986" s="16"/>
      <c r="G986" s="16"/>
      <c r="H986"/>
      <c r="I986"/>
      <c r="J986"/>
      <c r="K986"/>
      <c r="L986"/>
      <c r="M986"/>
      <c r="N986"/>
      <c r="O986"/>
      <c r="P986"/>
      <c r="Q986"/>
      <c r="R986"/>
      <c r="S986"/>
      <c r="T986"/>
      <c r="U986"/>
      <c r="V986"/>
      <c r="W986"/>
      <c r="X986"/>
      <c r="Y986"/>
      <c r="Z986"/>
      <c r="AA986"/>
      <c r="AB986"/>
      <c r="AC986"/>
      <c r="AD986"/>
      <c r="AE986"/>
      <c r="AF986"/>
      <c r="AG986"/>
    </row>
    <row r="987" spans="1:33" ht="72" customHeight="1" x14ac:dyDescent="0.25">
      <c r="A987" s="16"/>
      <c r="B987" s="16"/>
      <c r="C987" s="16"/>
      <c r="D987" s="16"/>
      <c r="E987" s="16"/>
      <c r="F987" s="16"/>
      <c r="G987" s="16"/>
      <c r="H987"/>
      <c r="I987"/>
      <c r="J987"/>
      <c r="K987"/>
      <c r="L987"/>
      <c r="M987"/>
      <c r="N987"/>
      <c r="O987"/>
      <c r="P987"/>
      <c r="Q987"/>
      <c r="R987"/>
      <c r="S987"/>
      <c r="T987"/>
      <c r="U987"/>
      <c r="V987"/>
      <c r="W987"/>
      <c r="X987"/>
      <c r="Y987"/>
      <c r="Z987"/>
      <c r="AA987"/>
      <c r="AB987"/>
      <c r="AC987"/>
      <c r="AD987"/>
      <c r="AE987"/>
      <c r="AF987"/>
      <c r="AG987"/>
    </row>
    <row r="988" spans="1:33" ht="72" customHeight="1" x14ac:dyDescent="0.25">
      <c r="A988" s="16"/>
      <c r="B988" s="16"/>
      <c r="C988" s="16"/>
      <c r="D988" s="16"/>
      <c r="E988" s="16"/>
      <c r="F988" s="16"/>
      <c r="G988" s="16"/>
      <c r="H988"/>
      <c r="I988"/>
      <c r="J988"/>
      <c r="K988"/>
      <c r="L988"/>
      <c r="M988"/>
      <c r="N988"/>
      <c r="O988"/>
      <c r="P988"/>
      <c r="Q988"/>
      <c r="R988"/>
      <c r="S988"/>
      <c r="T988"/>
      <c r="U988"/>
      <c r="V988"/>
      <c r="W988"/>
      <c r="X988"/>
      <c r="Y988"/>
      <c r="Z988"/>
      <c r="AA988"/>
      <c r="AB988"/>
      <c r="AC988"/>
      <c r="AD988"/>
      <c r="AE988"/>
      <c r="AF988"/>
      <c r="AG988"/>
    </row>
    <row r="989" spans="1:33" ht="72" customHeight="1" x14ac:dyDescent="0.25">
      <c r="A989" s="16"/>
      <c r="B989" s="16"/>
      <c r="C989" s="16"/>
      <c r="D989" s="16"/>
      <c r="E989" s="16"/>
      <c r="F989" s="16"/>
      <c r="G989" s="16"/>
      <c r="H989"/>
      <c r="I989"/>
      <c r="J989"/>
      <c r="K989"/>
      <c r="L989"/>
      <c r="M989"/>
      <c r="N989"/>
      <c r="O989"/>
      <c r="P989"/>
      <c r="Q989"/>
      <c r="R989"/>
      <c r="S989"/>
      <c r="T989"/>
      <c r="U989"/>
      <c r="V989"/>
      <c r="W989"/>
      <c r="X989"/>
      <c r="Y989"/>
      <c r="Z989"/>
      <c r="AA989"/>
      <c r="AB989"/>
      <c r="AC989"/>
      <c r="AD989"/>
      <c r="AE989"/>
      <c r="AF989"/>
      <c r="AG989"/>
    </row>
    <row r="990" spans="1:33" ht="72" customHeight="1" x14ac:dyDescent="0.25">
      <c r="A990" s="16"/>
      <c r="B990" s="16"/>
      <c r="C990" s="16"/>
      <c r="D990" s="16"/>
      <c r="E990" s="16"/>
      <c r="F990" s="16"/>
      <c r="G990" s="16"/>
      <c r="H990"/>
      <c r="I990"/>
      <c r="J990"/>
      <c r="K990"/>
      <c r="L990"/>
      <c r="M990"/>
      <c r="N990"/>
      <c r="O990"/>
      <c r="P990"/>
      <c r="Q990"/>
      <c r="R990"/>
      <c r="S990"/>
      <c r="T990"/>
      <c r="U990"/>
      <c r="V990"/>
      <c r="W990"/>
      <c r="X990"/>
      <c r="Y990"/>
      <c r="Z990"/>
      <c r="AA990"/>
      <c r="AB990"/>
      <c r="AC990"/>
      <c r="AD990"/>
      <c r="AE990"/>
      <c r="AF990"/>
      <c r="AG990"/>
    </row>
    <row r="991" spans="1:33" ht="72" customHeight="1" x14ac:dyDescent="0.25">
      <c r="A991" s="16"/>
      <c r="B991" s="16"/>
      <c r="C991" s="16"/>
      <c r="D991" s="16"/>
      <c r="E991" s="16"/>
      <c r="F991" s="16"/>
      <c r="G991" s="16"/>
      <c r="H991"/>
      <c r="I991"/>
      <c r="J991"/>
      <c r="K991"/>
      <c r="L991"/>
      <c r="M991"/>
      <c r="N991"/>
      <c r="O991"/>
      <c r="P991"/>
      <c r="Q991"/>
      <c r="R991"/>
      <c r="S991"/>
      <c r="T991"/>
      <c r="U991"/>
      <c r="V991"/>
      <c r="W991"/>
      <c r="X991"/>
      <c r="Y991"/>
      <c r="Z991"/>
      <c r="AA991"/>
      <c r="AB991"/>
      <c r="AC991"/>
      <c r="AD991"/>
      <c r="AE991"/>
      <c r="AF991"/>
      <c r="AG991"/>
    </row>
    <row r="992" spans="1:33" ht="72" customHeight="1" x14ac:dyDescent="0.25">
      <c r="A992" s="16"/>
      <c r="B992" s="16"/>
      <c r="C992" s="16"/>
      <c r="D992" s="16"/>
      <c r="E992" s="16"/>
      <c r="F992" s="16"/>
      <c r="G992" s="16"/>
      <c r="H992"/>
      <c r="I992"/>
      <c r="J992"/>
      <c r="K992"/>
      <c r="L992"/>
      <c r="M992"/>
      <c r="N992"/>
      <c r="O992"/>
      <c r="P992"/>
      <c r="Q992"/>
      <c r="R992"/>
      <c r="S992"/>
      <c r="T992"/>
      <c r="U992"/>
      <c r="V992"/>
      <c r="W992"/>
      <c r="X992"/>
      <c r="Y992"/>
      <c r="Z992"/>
      <c r="AA992"/>
      <c r="AB992"/>
      <c r="AC992"/>
      <c r="AD992"/>
      <c r="AE992"/>
      <c r="AF992"/>
      <c r="AG992"/>
    </row>
    <row r="993" spans="1:33" ht="72" customHeight="1" x14ac:dyDescent="0.25">
      <c r="A993" s="16"/>
      <c r="B993" s="16"/>
      <c r="C993" s="16"/>
      <c r="D993" s="16"/>
      <c r="E993" s="16"/>
      <c r="F993" s="16"/>
      <c r="G993" s="16"/>
      <c r="H993"/>
      <c r="I993"/>
      <c r="J993"/>
      <c r="K993"/>
      <c r="L993"/>
      <c r="M993"/>
      <c r="N993"/>
      <c r="O993"/>
      <c r="P993"/>
      <c r="Q993"/>
      <c r="R993"/>
      <c r="S993"/>
      <c r="T993"/>
      <c r="U993"/>
      <c r="V993"/>
      <c r="W993"/>
      <c r="X993"/>
      <c r="Y993"/>
      <c r="Z993"/>
      <c r="AA993"/>
      <c r="AB993"/>
      <c r="AC993"/>
      <c r="AD993"/>
      <c r="AE993"/>
      <c r="AF993"/>
      <c r="AG993"/>
    </row>
    <row r="994" spans="1:33" ht="72" customHeight="1" x14ac:dyDescent="0.25">
      <c r="A994" s="16"/>
      <c r="B994" s="16"/>
      <c r="C994" s="16"/>
      <c r="D994" s="16"/>
      <c r="E994" s="16"/>
      <c r="F994" s="16"/>
      <c r="G994" s="16"/>
      <c r="H994"/>
      <c r="I994"/>
      <c r="J994"/>
      <c r="K994"/>
      <c r="L994"/>
      <c r="M994"/>
      <c r="N994"/>
      <c r="O994"/>
      <c r="P994"/>
      <c r="Q994"/>
      <c r="R994"/>
      <c r="S994"/>
      <c r="T994"/>
      <c r="U994"/>
      <c r="V994"/>
      <c r="W994"/>
      <c r="X994"/>
      <c r="Y994"/>
      <c r="Z994"/>
      <c r="AA994"/>
      <c r="AB994"/>
      <c r="AC994"/>
      <c r="AD994"/>
      <c r="AE994"/>
      <c r="AF994"/>
      <c r="AG994"/>
    </row>
    <row r="995" spans="1:33" ht="72" customHeight="1" x14ac:dyDescent="0.25">
      <c r="A995" s="16"/>
      <c r="B995" s="16"/>
      <c r="C995" s="16"/>
      <c r="D995" s="16"/>
      <c r="E995" s="16"/>
      <c r="F995" s="16"/>
      <c r="G995" s="16"/>
      <c r="H995"/>
      <c r="I995"/>
      <c r="J995"/>
      <c r="K995"/>
      <c r="L995"/>
      <c r="M995"/>
      <c r="N995"/>
      <c r="O995"/>
      <c r="P995"/>
      <c r="Q995"/>
      <c r="R995"/>
      <c r="S995"/>
      <c r="T995"/>
      <c r="U995"/>
      <c r="V995"/>
      <c r="W995"/>
      <c r="X995"/>
      <c r="Y995"/>
      <c r="Z995"/>
      <c r="AA995"/>
      <c r="AB995"/>
      <c r="AC995"/>
      <c r="AD995"/>
      <c r="AE995"/>
      <c r="AF995"/>
      <c r="AG995"/>
    </row>
    <row r="996" spans="1:33" ht="72" customHeight="1" x14ac:dyDescent="0.25">
      <c r="A996" s="16"/>
      <c r="B996" s="16"/>
      <c r="C996" s="16"/>
      <c r="D996" s="16"/>
      <c r="E996" s="16"/>
      <c r="F996" s="16"/>
      <c r="G996" s="16"/>
      <c r="H996"/>
      <c r="I996"/>
      <c r="J996"/>
      <c r="K996"/>
      <c r="L996"/>
      <c r="M996"/>
      <c r="N996"/>
      <c r="O996"/>
      <c r="P996"/>
      <c r="Q996"/>
      <c r="R996"/>
      <c r="S996"/>
      <c r="T996"/>
      <c r="U996"/>
      <c r="V996"/>
      <c r="W996"/>
      <c r="X996"/>
      <c r="Y996"/>
      <c r="Z996"/>
      <c r="AA996"/>
      <c r="AB996"/>
      <c r="AC996"/>
      <c r="AD996"/>
      <c r="AE996"/>
      <c r="AF996"/>
      <c r="AG996"/>
    </row>
    <row r="997" spans="1:33" ht="72" customHeight="1" x14ac:dyDescent="0.25">
      <c r="A997" s="16"/>
      <c r="B997" s="16"/>
      <c r="C997" s="16"/>
      <c r="D997" s="16"/>
      <c r="E997" s="16"/>
      <c r="F997" s="16"/>
      <c r="G997" s="16"/>
      <c r="H997"/>
      <c r="I997"/>
      <c r="J997"/>
      <c r="K997"/>
      <c r="L997"/>
      <c r="M997"/>
      <c r="N997"/>
      <c r="O997"/>
      <c r="P997"/>
      <c r="Q997"/>
      <c r="R997"/>
      <c r="S997"/>
      <c r="T997"/>
      <c r="U997"/>
      <c r="V997"/>
      <c r="W997"/>
      <c r="X997"/>
      <c r="Y997"/>
      <c r="Z997"/>
      <c r="AA997"/>
      <c r="AB997"/>
      <c r="AC997"/>
      <c r="AD997"/>
      <c r="AE997"/>
      <c r="AF997"/>
      <c r="AG997"/>
    </row>
    <row r="998" spans="1:33" ht="72" customHeight="1" x14ac:dyDescent="0.25">
      <c r="A998" s="16"/>
      <c r="B998" s="16"/>
      <c r="C998" s="16"/>
      <c r="D998" s="16"/>
      <c r="E998" s="16"/>
      <c r="F998" s="16"/>
      <c r="G998" s="16"/>
      <c r="H998"/>
      <c r="I998"/>
      <c r="J998"/>
      <c r="K998"/>
      <c r="L998"/>
      <c r="M998"/>
      <c r="N998"/>
      <c r="O998"/>
      <c r="P998"/>
      <c r="Q998"/>
      <c r="R998"/>
      <c r="S998"/>
      <c r="T998"/>
      <c r="U998"/>
      <c r="V998"/>
      <c r="W998"/>
      <c r="X998"/>
      <c r="Y998"/>
      <c r="Z998"/>
      <c r="AA998"/>
      <c r="AB998"/>
      <c r="AC998"/>
      <c r="AD998"/>
      <c r="AE998"/>
      <c r="AF998"/>
      <c r="AG998"/>
    </row>
    <row r="999" spans="1:33" ht="72" customHeight="1" thickBot="1" x14ac:dyDescent="0.3">
      <c r="A999" s="16"/>
      <c r="B999" s="16"/>
      <c r="C999" s="16"/>
      <c r="D999" s="16"/>
      <c r="E999" s="16"/>
      <c r="F999" s="16"/>
      <c r="G999" s="16"/>
      <c r="H999"/>
      <c r="I999"/>
      <c r="J999"/>
      <c r="K999"/>
      <c r="L999"/>
      <c r="M999"/>
      <c r="N999"/>
      <c r="O999"/>
      <c r="P999"/>
      <c r="Q999"/>
      <c r="R999"/>
      <c r="S999"/>
      <c r="T999"/>
      <c r="U999"/>
      <c r="V999"/>
      <c r="W999"/>
      <c r="X999"/>
      <c r="Y999"/>
      <c r="Z999"/>
      <c r="AA999"/>
      <c r="AB999"/>
      <c r="AC999"/>
      <c r="AD999"/>
      <c r="AE999"/>
      <c r="AF999"/>
      <c r="AG999"/>
    </row>
    <row r="1000" spans="1:33" ht="72" customHeight="1" x14ac:dyDescent="0.2"/>
  </sheetData>
  <mergeCells count="5">
    <mergeCell ref="A3:AB3"/>
    <mergeCell ref="R4:T4"/>
    <mergeCell ref="Z4:AA4"/>
    <mergeCell ref="I4:M4"/>
    <mergeCell ref="A4:G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'Data Validation'!$A$2:$A$13</xm:f>
          </x14:formula1>
          <xm:sqref>Q1:Q3 Q5 Q602:Q1048576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AC10000"/>
  <sheetViews>
    <sheetView showGridLines="0" topLeftCell="A14" zoomScaleNormal="100" workbookViewId="0">
      <selection activeCell="A31" sqref="A31"/>
    </sheetView>
  </sheetViews>
  <sheetFormatPr defaultRowHeight="15" x14ac:dyDescent="0.25"/>
  <cols>
    <col min="1" max="1" width="13.7109375" style="93" customWidth="1"/>
    <col min="2" max="2" width="19.5703125" style="16" customWidth="1"/>
    <col min="3" max="3" width="9" style="16" bestFit="1" customWidth="1"/>
    <col min="4" max="4" width="17.7109375" style="89" customWidth="1"/>
    <col min="5" max="5" width="14.85546875" style="16" customWidth="1"/>
    <col min="6" max="7" width="15.7109375" style="89" customWidth="1"/>
    <col min="8" max="9" width="35.7109375" style="89" customWidth="1"/>
    <col min="10" max="10" width="35.7109375" style="24" customWidth="1"/>
    <col min="11" max="11" width="35.7109375" customWidth="1"/>
    <col min="12" max="12" width="14.5703125" style="24" bestFit="1" customWidth="1"/>
    <col min="13" max="15" width="14.5703125" bestFit="1" customWidth="1"/>
    <col min="16" max="16" width="22.140625" bestFit="1" customWidth="1"/>
    <col min="17" max="17" width="35.7109375" bestFit="1" customWidth="1"/>
    <col min="18" max="18" width="22.140625" bestFit="1" customWidth="1"/>
    <col min="19" max="19" width="35.7109375" bestFit="1" customWidth="1"/>
    <col min="20" max="20" width="14.5703125" bestFit="1" customWidth="1"/>
    <col min="21" max="21" width="22.140625" bestFit="1" customWidth="1"/>
    <col min="22" max="22" width="35.7109375" bestFit="1" customWidth="1"/>
    <col min="23" max="23" width="14.5703125" bestFit="1" customWidth="1"/>
    <col min="24" max="24" width="22.140625" bestFit="1" customWidth="1"/>
    <col min="25" max="25" width="35.7109375" bestFit="1" customWidth="1"/>
    <col min="26" max="26" width="22.140625" bestFit="1" customWidth="1"/>
    <col min="27" max="27" width="35.7109375" bestFit="1" customWidth="1"/>
  </cols>
  <sheetData>
    <row r="1" spans="1:9" x14ac:dyDescent="0.25">
      <c r="A1" s="16"/>
    </row>
    <row r="2" spans="1:9" x14ac:dyDescent="0.25">
      <c r="A2" s="16"/>
    </row>
    <row r="3" spans="1:9" x14ac:dyDescent="0.25">
      <c r="A3" s="88" t="s">
        <v>354</v>
      </c>
      <c r="B3" s="88" t="s">
        <v>218</v>
      </c>
      <c r="D3" s="16"/>
      <c r="F3" s="16"/>
      <c r="G3" s="16"/>
      <c r="H3" s="24"/>
      <c r="I3" s="24"/>
    </row>
    <row r="4" spans="1:9" x14ac:dyDescent="0.25">
      <c r="A4" s="88" t="s">
        <v>33</v>
      </c>
      <c r="B4" s="16" t="s">
        <v>476</v>
      </c>
      <c r="C4" s="16" t="s">
        <v>96</v>
      </c>
      <c r="D4" s="16" t="s">
        <v>104</v>
      </c>
      <c r="E4" s="16" t="s">
        <v>112</v>
      </c>
      <c r="F4" s="16" t="s">
        <v>732</v>
      </c>
      <c r="G4" s="16" t="s">
        <v>108</v>
      </c>
      <c r="H4" s="89" t="s">
        <v>95</v>
      </c>
      <c r="I4" s="89" t="s">
        <v>34</v>
      </c>
    </row>
    <row r="5" spans="1:9" x14ac:dyDescent="0.25">
      <c r="A5" s="140">
        <v>42644</v>
      </c>
      <c r="B5" s="86"/>
      <c r="C5" s="86"/>
      <c r="D5" s="86">
        <v>1</v>
      </c>
      <c r="E5" s="87"/>
      <c r="F5" s="86"/>
      <c r="G5" s="86"/>
      <c r="H5" s="87"/>
      <c r="I5" s="87">
        <v>1</v>
      </c>
    </row>
    <row r="6" spans="1:9" x14ac:dyDescent="0.25">
      <c r="A6" s="140">
        <v>42648</v>
      </c>
      <c r="B6" s="86"/>
      <c r="C6" s="86"/>
      <c r="D6" s="86"/>
      <c r="E6" s="87"/>
      <c r="F6" s="86"/>
      <c r="G6" s="86"/>
      <c r="H6" s="87">
        <v>2</v>
      </c>
      <c r="I6" s="87">
        <v>2</v>
      </c>
    </row>
    <row r="7" spans="1:9" x14ac:dyDescent="0.25">
      <c r="A7" s="140">
        <v>42651</v>
      </c>
      <c r="B7" s="86"/>
      <c r="C7" s="86"/>
      <c r="D7" s="86"/>
      <c r="E7" s="87"/>
      <c r="F7" s="86"/>
      <c r="G7" s="86"/>
      <c r="H7" s="87">
        <v>1</v>
      </c>
      <c r="I7" s="87">
        <v>1</v>
      </c>
    </row>
    <row r="8" spans="1:9" x14ac:dyDescent="0.25">
      <c r="A8" s="140">
        <v>42654</v>
      </c>
      <c r="B8" s="86"/>
      <c r="C8" s="86"/>
      <c r="D8" s="86"/>
      <c r="E8" s="87"/>
      <c r="F8" s="86"/>
      <c r="G8" s="86"/>
      <c r="H8" s="87">
        <v>3</v>
      </c>
      <c r="I8" s="87">
        <v>3</v>
      </c>
    </row>
    <row r="9" spans="1:9" x14ac:dyDescent="0.25">
      <c r="A9" s="140">
        <v>42655</v>
      </c>
      <c r="B9" s="86"/>
      <c r="C9" s="86"/>
      <c r="D9" s="86"/>
      <c r="E9" s="87">
        <v>11</v>
      </c>
      <c r="F9" s="86"/>
      <c r="G9" s="86"/>
      <c r="H9" s="87"/>
      <c r="I9" s="87">
        <v>11</v>
      </c>
    </row>
    <row r="10" spans="1:9" x14ac:dyDescent="0.25">
      <c r="A10" s="140">
        <v>42656</v>
      </c>
      <c r="B10" s="86"/>
      <c r="C10" s="86"/>
      <c r="D10" s="86">
        <v>5</v>
      </c>
      <c r="E10" s="87"/>
      <c r="F10" s="86"/>
      <c r="G10" s="86">
        <v>5</v>
      </c>
      <c r="H10" s="87">
        <v>2</v>
      </c>
      <c r="I10" s="87">
        <v>12</v>
      </c>
    </row>
    <row r="11" spans="1:9" x14ac:dyDescent="0.25">
      <c r="A11" s="140">
        <v>42657</v>
      </c>
      <c r="B11" s="86"/>
      <c r="C11" s="86"/>
      <c r="D11" s="86"/>
      <c r="E11" s="87"/>
      <c r="F11" s="86"/>
      <c r="G11" s="86">
        <v>1</v>
      </c>
      <c r="H11" s="87">
        <v>3</v>
      </c>
      <c r="I11" s="87">
        <v>4</v>
      </c>
    </row>
    <row r="12" spans="1:9" x14ac:dyDescent="0.25">
      <c r="A12" s="140">
        <v>42658</v>
      </c>
      <c r="B12" s="86"/>
      <c r="C12" s="86"/>
      <c r="D12" s="86">
        <v>24</v>
      </c>
      <c r="E12" s="87">
        <v>2</v>
      </c>
      <c r="F12" s="86"/>
      <c r="G12" s="86">
        <v>19</v>
      </c>
      <c r="H12" s="87">
        <v>1</v>
      </c>
      <c r="I12" s="87">
        <v>46</v>
      </c>
    </row>
    <row r="13" spans="1:9" x14ac:dyDescent="0.25">
      <c r="A13" s="140">
        <v>42660</v>
      </c>
      <c r="B13" s="86"/>
      <c r="C13" s="86"/>
      <c r="D13" s="86"/>
      <c r="E13" s="87">
        <v>11</v>
      </c>
      <c r="F13" s="86"/>
      <c r="G13" s="86"/>
      <c r="H13" s="87">
        <v>3</v>
      </c>
      <c r="I13" s="87">
        <v>14</v>
      </c>
    </row>
    <row r="14" spans="1:9" x14ac:dyDescent="0.25">
      <c r="A14" s="140">
        <v>42661</v>
      </c>
      <c r="B14" s="86"/>
      <c r="C14" s="86"/>
      <c r="D14" s="86"/>
      <c r="E14" s="87">
        <v>1</v>
      </c>
      <c r="F14" s="86"/>
      <c r="G14" s="86">
        <v>4</v>
      </c>
      <c r="H14" s="87">
        <v>10</v>
      </c>
      <c r="I14" s="87">
        <v>15</v>
      </c>
    </row>
    <row r="15" spans="1:9" x14ac:dyDescent="0.25">
      <c r="A15" s="140">
        <v>42662</v>
      </c>
      <c r="B15" s="86"/>
      <c r="C15" s="86"/>
      <c r="D15" s="86"/>
      <c r="E15" s="87">
        <v>30</v>
      </c>
      <c r="F15" s="86">
        <v>15</v>
      </c>
      <c r="G15" s="86"/>
      <c r="H15" s="87">
        <v>24</v>
      </c>
      <c r="I15" s="87">
        <v>69</v>
      </c>
    </row>
    <row r="16" spans="1:9" x14ac:dyDescent="0.25">
      <c r="A16" s="140">
        <v>42663</v>
      </c>
      <c r="B16" s="86"/>
      <c r="C16" s="86"/>
      <c r="D16" s="86"/>
      <c r="E16" s="87">
        <v>44</v>
      </c>
      <c r="F16" s="86"/>
      <c r="G16" s="86">
        <v>17</v>
      </c>
      <c r="H16" s="87">
        <v>18</v>
      </c>
      <c r="I16" s="87">
        <v>79</v>
      </c>
    </row>
    <row r="17" spans="1:29" x14ac:dyDescent="0.25">
      <c r="A17" s="140">
        <v>42664</v>
      </c>
      <c r="B17" s="86"/>
      <c r="C17" s="86"/>
      <c r="D17" s="86">
        <v>3</v>
      </c>
      <c r="E17" s="87">
        <v>21</v>
      </c>
      <c r="F17" s="86"/>
      <c r="G17" s="86"/>
      <c r="H17" s="87">
        <v>18</v>
      </c>
      <c r="I17" s="87">
        <v>42</v>
      </c>
    </row>
    <row r="18" spans="1:29" x14ac:dyDescent="0.25">
      <c r="A18" s="140">
        <v>42665</v>
      </c>
      <c r="B18" s="86"/>
      <c r="C18" s="86"/>
      <c r="D18" s="86"/>
      <c r="E18" s="87">
        <v>1</v>
      </c>
      <c r="F18" s="86"/>
      <c r="G18" s="86"/>
      <c r="H18" s="87">
        <v>7</v>
      </c>
      <c r="I18" s="87">
        <v>8</v>
      </c>
    </row>
    <row r="19" spans="1:29" x14ac:dyDescent="0.25">
      <c r="A19" s="140">
        <v>42666</v>
      </c>
      <c r="B19" s="86"/>
      <c r="C19" s="86"/>
      <c r="D19" s="86"/>
      <c r="E19" s="87"/>
      <c r="F19" s="86"/>
      <c r="G19" s="86"/>
      <c r="H19" s="87">
        <v>1</v>
      </c>
      <c r="I19" s="87">
        <v>1</v>
      </c>
      <c r="J19" s="92"/>
      <c r="K19" s="25"/>
    </row>
    <row r="20" spans="1:29" x14ac:dyDescent="0.25">
      <c r="A20" s="140">
        <v>42667</v>
      </c>
      <c r="B20" s="86"/>
      <c r="C20" s="86"/>
      <c r="D20" s="86">
        <v>3</v>
      </c>
      <c r="E20" s="87">
        <v>60</v>
      </c>
      <c r="F20" s="86"/>
      <c r="G20" s="86">
        <v>7</v>
      </c>
      <c r="H20" s="87"/>
      <c r="I20" s="87">
        <v>70</v>
      </c>
      <c r="L20"/>
    </row>
    <row r="21" spans="1:29" x14ac:dyDescent="0.25">
      <c r="A21" s="140">
        <v>42668</v>
      </c>
      <c r="B21" s="86"/>
      <c r="C21" s="86"/>
      <c r="D21" s="86">
        <v>12</v>
      </c>
      <c r="E21" s="87">
        <v>95</v>
      </c>
      <c r="F21" s="86"/>
      <c r="G21" s="86">
        <v>49</v>
      </c>
      <c r="H21" s="87">
        <v>7</v>
      </c>
      <c r="I21" s="87">
        <v>163</v>
      </c>
      <c r="L21"/>
    </row>
    <row r="22" spans="1:29" x14ac:dyDescent="0.25">
      <c r="A22" s="140">
        <v>42669</v>
      </c>
      <c r="B22" s="86">
        <v>19</v>
      </c>
      <c r="C22" s="86"/>
      <c r="D22" s="86">
        <v>181</v>
      </c>
      <c r="E22" s="87">
        <v>135</v>
      </c>
      <c r="F22" s="86"/>
      <c r="G22" s="86">
        <v>41</v>
      </c>
      <c r="H22" s="87">
        <v>7</v>
      </c>
      <c r="I22" s="87">
        <v>383</v>
      </c>
      <c r="L22"/>
    </row>
    <row r="23" spans="1:29" x14ac:dyDescent="0.25">
      <c r="A23" s="140">
        <v>42670</v>
      </c>
      <c r="B23" s="86"/>
      <c r="C23" s="86">
        <v>18</v>
      </c>
      <c r="D23" s="86">
        <v>74</v>
      </c>
      <c r="E23" s="87">
        <v>91</v>
      </c>
      <c r="F23" s="86"/>
      <c r="G23" s="86">
        <v>27</v>
      </c>
      <c r="H23" s="87"/>
      <c r="I23" s="87">
        <v>210</v>
      </c>
      <c r="L23"/>
    </row>
    <row r="24" spans="1:29" x14ac:dyDescent="0.25">
      <c r="A24" s="140">
        <v>42671</v>
      </c>
      <c r="B24" s="86"/>
      <c r="C24" s="86">
        <v>51</v>
      </c>
      <c r="D24" s="86">
        <v>113</v>
      </c>
      <c r="E24" s="87">
        <v>52</v>
      </c>
      <c r="F24" s="86"/>
      <c r="G24" s="86">
        <v>13</v>
      </c>
      <c r="H24" s="87">
        <v>2</v>
      </c>
      <c r="I24" s="87">
        <v>231</v>
      </c>
      <c r="L24"/>
    </row>
    <row r="25" spans="1:29" x14ac:dyDescent="0.25">
      <c r="A25" s="91" t="s">
        <v>34</v>
      </c>
      <c r="B25" s="90">
        <v>19</v>
      </c>
      <c r="C25" s="90">
        <v>69</v>
      </c>
      <c r="D25" s="90">
        <v>416</v>
      </c>
      <c r="E25" s="96">
        <v>554</v>
      </c>
      <c r="F25" s="90">
        <v>15</v>
      </c>
      <c r="G25" s="90">
        <v>183</v>
      </c>
      <c r="H25" s="96">
        <v>109</v>
      </c>
      <c r="I25" s="96">
        <v>1365</v>
      </c>
      <c r="L25"/>
    </row>
    <row r="26" spans="1:29" x14ac:dyDescent="0.25">
      <c r="A26" s="16"/>
      <c r="D26" s="16"/>
      <c r="F26" s="16"/>
      <c r="G26" s="16"/>
      <c r="H26" s="24"/>
      <c r="I26" s="24"/>
      <c r="L26"/>
    </row>
    <row r="27" spans="1:29" x14ac:dyDescent="0.25">
      <c r="A27" s="16"/>
      <c r="D27" s="16"/>
      <c r="F27" s="16"/>
      <c r="G27" s="16"/>
      <c r="H27" s="24"/>
      <c r="I27" s="24"/>
      <c r="L27"/>
    </row>
    <row r="28" spans="1:29" x14ac:dyDescent="0.25">
      <c r="A28" s="16"/>
      <c r="D28" s="16"/>
      <c r="F28" s="16"/>
      <c r="G28" s="16"/>
      <c r="H28" s="24"/>
      <c r="I28" s="24"/>
      <c r="L28"/>
    </row>
    <row r="29" spans="1:29" x14ac:dyDescent="0.25">
      <c r="A29" s="16"/>
      <c r="D29" s="16"/>
      <c r="F29" s="16"/>
      <c r="G29" s="16"/>
      <c r="H29" s="24"/>
      <c r="I29" s="24"/>
      <c r="L29"/>
    </row>
    <row r="30" spans="1:29" x14ac:dyDescent="0.25">
      <c r="A30" s="16"/>
      <c r="D30" s="16"/>
      <c r="F30" s="16"/>
      <c r="G30" s="16"/>
      <c r="H30" s="24"/>
      <c r="I30" s="24"/>
      <c r="L30"/>
    </row>
    <row r="31" spans="1:29" x14ac:dyDescent="0.25">
      <c r="A31" s="146" t="s">
        <v>0</v>
      </c>
      <c r="B31" s="144" t="s">
        <v>50</v>
      </c>
      <c r="C31" s="144" t="s">
        <v>1</v>
      </c>
      <c r="D31" s="144" t="s">
        <v>3</v>
      </c>
      <c r="E31" s="144" t="s">
        <v>9</v>
      </c>
      <c r="F31" s="144" t="s">
        <v>231</v>
      </c>
      <c r="G31" s="144" t="s">
        <v>91</v>
      </c>
      <c r="H31" s="145" t="s">
        <v>94</v>
      </c>
      <c r="I31" s="145" t="s">
        <v>102</v>
      </c>
      <c r="J31" s="145" t="s">
        <v>116</v>
      </c>
      <c r="K31" s="139" t="s">
        <v>8</v>
      </c>
      <c r="L31" s="1"/>
      <c r="M31" s="1"/>
      <c r="N31" s="1"/>
      <c r="O31" s="1"/>
      <c r="P31" s="1"/>
      <c r="Q31" s="1"/>
      <c r="R31" s="1"/>
      <c r="S31" s="1"/>
      <c r="T31" s="1"/>
      <c r="U31" s="1"/>
      <c r="V31" s="1"/>
      <c r="W31" s="1"/>
      <c r="X31" s="1"/>
      <c r="Y31" s="1"/>
      <c r="Z31" s="1"/>
      <c r="AA31" s="1"/>
      <c r="AB31" s="1"/>
      <c r="AC31" s="1"/>
    </row>
    <row r="32" spans="1:29" ht="30" x14ac:dyDescent="0.25">
      <c r="A32" s="147">
        <v>9756046</v>
      </c>
      <c r="B32" s="17">
        <v>8</v>
      </c>
      <c r="C32" s="17" t="s">
        <v>270</v>
      </c>
      <c r="D32" s="32">
        <v>42662</v>
      </c>
      <c r="E32" s="32">
        <v>42662</v>
      </c>
      <c r="F32" s="17" t="s">
        <v>732</v>
      </c>
      <c r="G32" s="17" t="s">
        <v>223</v>
      </c>
      <c r="H32" s="23" t="s">
        <v>324</v>
      </c>
      <c r="I32" s="23" t="s">
        <v>622</v>
      </c>
      <c r="J32" s="23" t="s">
        <v>39</v>
      </c>
      <c r="K32" s="148" t="s">
        <v>39</v>
      </c>
      <c r="L32" s="1"/>
      <c r="M32" s="1"/>
      <c r="N32" s="1"/>
      <c r="O32" s="1"/>
      <c r="P32" s="1"/>
      <c r="Q32" s="1"/>
      <c r="R32" s="1"/>
      <c r="S32" s="1"/>
      <c r="T32" s="1"/>
      <c r="U32" s="1"/>
      <c r="V32" s="1"/>
      <c r="W32" s="1"/>
      <c r="X32" s="1"/>
      <c r="Y32" s="1"/>
      <c r="Z32" s="1"/>
      <c r="AA32" s="1"/>
      <c r="AB32" s="1"/>
      <c r="AC32" s="1"/>
    </row>
    <row r="33" spans="1:29" ht="30" x14ac:dyDescent="0.25">
      <c r="A33" s="149">
        <v>9755804</v>
      </c>
      <c r="B33" s="141">
        <v>7</v>
      </c>
      <c r="C33" s="141" t="s">
        <v>248</v>
      </c>
      <c r="D33" s="142">
        <v>42662</v>
      </c>
      <c r="E33" s="142">
        <v>42662</v>
      </c>
      <c r="F33" s="141" t="s">
        <v>732</v>
      </c>
      <c r="G33" s="141" t="s">
        <v>223</v>
      </c>
      <c r="H33" s="143" t="s">
        <v>324</v>
      </c>
      <c r="I33" s="143" t="s">
        <v>621</v>
      </c>
      <c r="J33" s="143" t="s">
        <v>39</v>
      </c>
      <c r="K33" s="138" t="s">
        <v>39</v>
      </c>
      <c r="L33" s="1"/>
      <c r="M33" s="1"/>
      <c r="N33" s="1"/>
      <c r="O33" s="1"/>
      <c r="P33" s="1"/>
      <c r="Q33" s="1"/>
      <c r="R33" s="1"/>
      <c r="S33" s="1"/>
      <c r="T33" s="1"/>
      <c r="U33" s="1"/>
      <c r="V33" s="1"/>
      <c r="W33" s="1"/>
      <c r="X33" s="1"/>
      <c r="Y33" s="1"/>
      <c r="Z33" s="1"/>
      <c r="AA33" s="1"/>
      <c r="AB33" s="1"/>
      <c r="AC33" s="1"/>
    </row>
    <row r="34" spans="1:29" x14ac:dyDescent="0.25">
      <c r="A34" s="16"/>
      <c r="D34" s="16"/>
      <c r="F34" s="16"/>
      <c r="G34" s="16"/>
      <c r="H34" s="24"/>
      <c r="I34" s="24"/>
      <c r="L34"/>
    </row>
    <row r="35" spans="1:29" x14ac:dyDescent="0.25">
      <c r="A35" s="16"/>
      <c r="D35" s="16"/>
      <c r="F35" s="16"/>
      <c r="G35" s="16"/>
      <c r="H35" s="24"/>
      <c r="I35" s="24"/>
      <c r="L35"/>
    </row>
    <row r="36" spans="1:29" x14ac:dyDescent="0.25">
      <c r="A36" s="16"/>
      <c r="D36" s="16"/>
      <c r="F36" s="16"/>
      <c r="G36" s="16"/>
      <c r="H36" s="24"/>
      <c r="I36" s="24"/>
      <c r="L36"/>
    </row>
    <row r="37" spans="1:29" x14ac:dyDescent="0.25">
      <c r="A37" s="16"/>
      <c r="D37" s="16"/>
      <c r="F37" s="16"/>
      <c r="G37" s="16"/>
      <c r="H37" s="24"/>
      <c r="I37" s="24"/>
      <c r="L37"/>
    </row>
    <row r="38" spans="1:29" x14ac:dyDescent="0.25">
      <c r="A38" s="16"/>
      <c r="D38" s="16"/>
      <c r="F38" s="16"/>
      <c r="G38" s="16"/>
      <c r="H38" s="24"/>
      <c r="I38" s="24"/>
      <c r="L38"/>
    </row>
    <row r="39" spans="1:29" x14ac:dyDescent="0.25">
      <c r="A39" s="16"/>
      <c r="D39" s="16"/>
      <c r="F39" s="16"/>
      <c r="G39" s="16"/>
      <c r="H39" s="24"/>
      <c r="I39" s="24"/>
      <c r="L39"/>
    </row>
    <row r="40" spans="1:29" x14ac:dyDescent="0.25">
      <c r="A40" s="16"/>
      <c r="D40" s="16"/>
      <c r="F40" s="16"/>
      <c r="G40" s="16"/>
      <c r="H40" s="24"/>
      <c r="I40" s="24"/>
      <c r="L40"/>
    </row>
    <row r="41" spans="1:29" x14ac:dyDescent="0.25">
      <c r="A41" s="16"/>
      <c r="D41" s="16"/>
      <c r="F41" s="16"/>
      <c r="G41" s="16"/>
      <c r="H41" s="24"/>
      <c r="I41" s="24"/>
      <c r="L41"/>
    </row>
    <row r="42" spans="1:29" x14ac:dyDescent="0.25">
      <c r="A42" s="16"/>
      <c r="D42" s="16"/>
      <c r="F42" s="16"/>
      <c r="G42" s="16"/>
      <c r="H42" s="24"/>
      <c r="I42" s="24"/>
      <c r="L42"/>
    </row>
    <row r="43" spans="1:29" x14ac:dyDescent="0.25">
      <c r="A43" s="16"/>
      <c r="D43" s="16"/>
      <c r="F43" s="16"/>
      <c r="G43" s="16"/>
      <c r="H43" s="24"/>
      <c r="I43" s="24"/>
      <c r="L43"/>
    </row>
    <row r="44" spans="1:29" x14ac:dyDescent="0.25">
      <c r="A44" s="16"/>
      <c r="D44" s="16"/>
      <c r="F44" s="16"/>
      <c r="G44" s="16"/>
      <c r="H44" s="24"/>
      <c r="I44" s="24"/>
      <c r="L44"/>
    </row>
    <row r="45" spans="1:29" x14ac:dyDescent="0.25">
      <c r="A45" s="16"/>
      <c r="D45" s="16"/>
      <c r="F45" s="16"/>
      <c r="G45" s="16"/>
      <c r="H45" s="24"/>
      <c r="I45" s="24"/>
      <c r="L45"/>
    </row>
    <row r="46" spans="1:29" x14ac:dyDescent="0.25">
      <c r="A46" s="16"/>
      <c r="D46" s="16"/>
      <c r="F46" s="16"/>
      <c r="G46" s="16"/>
      <c r="H46" s="24"/>
      <c r="I46" s="24"/>
      <c r="L46"/>
    </row>
    <row r="47" spans="1:29" x14ac:dyDescent="0.25">
      <c r="A47" s="16"/>
      <c r="D47" s="16"/>
      <c r="F47" s="16"/>
      <c r="G47" s="16"/>
      <c r="H47" s="24"/>
      <c r="I47" s="24"/>
      <c r="L47"/>
    </row>
    <row r="48" spans="1:29" x14ac:dyDescent="0.25">
      <c r="A48" s="16"/>
      <c r="D48" s="16"/>
      <c r="F48" s="16"/>
      <c r="G48" s="16"/>
      <c r="H48" s="24"/>
      <c r="I48" s="24"/>
      <c r="L48"/>
    </row>
    <row r="49" spans="1:12" x14ac:dyDescent="0.25">
      <c r="A49" s="16"/>
      <c r="D49" s="16"/>
      <c r="F49" s="16"/>
      <c r="G49" s="16"/>
      <c r="H49" s="24"/>
      <c r="I49" s="24"/>
      <c r="L49"/>
    </row>
    <row r="50" spans="1:12" x14ac:dyDescent="0.25">
      <c r="A50" s="16"/>
      <c r="D50" s="16"/>
      <c r="F50" s="16"/>
      <c r="G50" s="16"/>
      <c r="H50" s="24"/>
      <c r="I50" s="24"/>
      <c r="L50"/>
    </row>
    <row r="51" spans="1:12" x14ac:dyDescent="0.25">
      <c r="A51" s="16"/>
      <c r="D51" s="16"/>
      <c r="F51" s="16"/>
      <c r="G51" s="16"/>
      <c r="H51" s="24"/>
      <c r="I51" s="24"/>
      <c r="L51"/>
    </row>
    <row r="52" spans="1:12" x14ac:dyDescent="0.25">
      <c r="A52" s="16"/>
      <c r="D52" s="16"/>
      <c r="F52" s="16"/>
      <c r="G52" s="16"/>
      <c r="H52" s="24"/>
      <c r="I52" s="24"/>
      <c r="L52"/>
    </row>
    <row r="53" spans="1:12" x14ac:dyDescent="0.25">
      <c r="A53" s="16"/>
      <c r="D53" s="16"/>
      <c r="F53" s="16"/>
      <c r="G53" s="16"/>
      <c r="H53" s="24"/>
      <c r="I53" s="24"/>
      <c r="L53"/>
    </row>
    <row r="54" spans="1:12" x14ac:dyDescent="0.25">
      <c r="A54" s="16"/>
      <c r="D54" s="16"/>
      <c r="F54" s="16"/>
      <c r="G54" s="16"/>
      <c r="H54" s="24"/>
      <c r="I54" s="24"/>
      <c r="L54"/>
    </row>
    <row r="55" spans="1:12" x14ac:dyDescent="0.25">
      <c r="A55" s="16"/>
      <c r="D55" s="16"/>
      <c r="F55" s="16"/>
      <c r="G55" s="16"/>
      <c r="H55" s="24"/>
      <c r="I55" s="24"/>
      <c r="L55"/>
    </row>
    <row r="56" spans="1:12" x14ac:dyDescent="0.25">
      <c r="A56" s="16"/>
      <c r="D56" s="16"/>
      <c r="F56" s="16"/>
      <c r="G56" s="16"/>
      <c r="H56" s="24"/>
      <c r="I56" s="24"/>
      <c r="L56"/>
    </row>
    <row r="57" spans="1:12" x14ac:dyDescent="0.25">
      <c r="A57" s="16"/>
      <c r="D57" s="16"/>
      <c r="F57" s="16"/>
      <c r="G57" s="16"/>
      <c r="H57" s="24"/>
      <c r="I57" s="24"/>
      <c r="L57"/>
    </row>
    <row r="58" spans="1:12" x14ac:dyDescent="0.25">
      <c r="A58" s="16"/>
      <c r="D58" s="16"/>
      <c r="F58" s="16"/>
      <c r="G58" s="16"/>
      <c r="H58" s="24"/>
      <c r="I58" s="24"/>
      <c r="L58"/>
    </row>
    <row r="59" spans="1:12" x14ac:dyDescent="0.25">
      <c r="A59" s="16"/>
      <c r="D59" s="16"/>
      <c r="F59" s="16"/>
      <c r="G59" s="16"/>
      <c r="H59" s="24"/>
      <c r="I59" s="24"/>
      <c r="L59"/>
    </row>
    <row r="60" spans="1:12" x14ac:dyDescent="0.25">
      <c r="A60" s="16"/>
      <c r="D60" s="16"/>
      <c r="F60" s="16"/>
      <c r="G60" s="16"/>
      <c r="H60" s="24"/>
      <c r="I60" s="24"/>
      <c r="L60"/>
    </row>
    <row r="61" spans="1:12" x14ac:dyDescent="0.25">
      <c r="A61" s="16"/>
      <c r="D61" s="16"/>
      <c r="F61" s="16"/>
      <c r="G61" s="16"/>
      <c r="H61" s="24"/>
      <c r="I61" s="24"/>
      <c r="L61"/>
    </row>
    <row r="62" spans="1:12" x14ac:dyDescent="0.25">
      <c r="A62" s="16"/>
      <c r="D62" s="16"/>
      <c r="F62" s="16"/>
      <c r="G62" s="16"/>
      <c r="H62" s="24"/>
      <c r="I62" s="24"/>
      <c r="L62"/>
    </row>
    <row r="63" spans="1:12" x14ac:dyDescent="0.25">
      <c r="A63" s="16"/>
      <c r="D63" s="16"/>
      <c r="F63" s="16"/>
      <c r="G63" s="16"/>
      <c r="H63" s="24"/>
      <c r="I63" s="24"/>
      <c r="L63"/>
    </row>
    <row r="64" spans="1:12" x14ac:dyDescent="0.25">
      <c r="A64" s="16"/>
      <c r="D64" s="16"/>
      <c r="F64" s="16"/>
      <c r="G64" s="16"/>
      <c r="H64" s="24"/>
      <c r="I64" s="24"/>
      <c r="L64"/>
    </row>
    <row r="65" spans="1:12" x14ac:dyDescent="0.25">
      <c r="A65" s="16"/>
      <c r="D65" s="16"/>
      <c r="F65" s="16"/>
      <c r="G65" s="16"/>
      <c r="H65" s="24"/>
      <c r="I65" s="24"/>
      <c r="L65"/>
    </row>
    <row r="66" spans="1:12" x14ac:dyDescent="0.25">
      <c r="A66" s="16"/>
      <c r="D66" s="16"/>
      <c r="F66" s="16"/>
      <c r="G66" s="16"/>
      <c r="H66" s="24"/>
      <c r="I66" s="24"/>
      <c r="L66"/>
    </row>
    <row r="67" spans="1:12" x14ac:dyDescent="0.25">
      <c r="A67" s="16"/>
      <c r="D67" s="16"/>
      <c r="F67" s="16"/>
      <c r="G67" s="16"/>
      <c r="H67" s="24"/>
      <c r="I67" s="24"/>
      <c r="L67"/>
    </row>
    <row r="68" spans="1:12" x14ac:dyDescent="0.25">
      <c r="A68" s="16"/>
      <c r="D68" s="16"/>
      <c r="F68" s="16"/>
      <c r="G68" s="16"/>
      <c r="H68" s="24"/>
      <c r="I68" s="24"/>
      <c r="L68"/>
    </row>
    <row r="69" spans="1:12" x14ac:dyDescent="0.25">
      <c r="A69" s="16"/>
      <c r="D69" s="16"/>
      <c r="F69" s="16"/>
      <c r="G69" s="16"/>
      <c r="H69" s="24"/>
      <c r="I69" s="24"/>
      <c r="L69"/>
    </row>
    <row r="70" spans="1:12" x14ac:dyDescent="0.25">
      <c r="A70" s="16"/>
      <c r="D70" s="16"/>
      <c r="F70" s="16"/>
      <c r="G70" s="16"/>
      <c r="H70" s="24"/>
      <c r="I70" s="24"/>
      <c r="L70"/>
    </row>
    <row r="71" spans="1:12" x14ac:dyDescent="0.25">
      <c r="A71" s="16"/>
      <c r="D71" s="16"/>
      <c r="F71" s="16"/>
      <c r="G71" s="16"/>
      <c r="H71" s="24"/>
      <c r="I71" s="24"/>
      <c r="L71"/>
    </row>
    <row r="72" spans="1:12" x14ac:dyDescent="0.25">
      <c r="A72" s="16"/>
      <c r="D72" s="16"/>
      <c r="F72" s="16"/>
      <c r="G72" s="16"/>
      <c r="H72" s="24"/>
      <c r="I72" s="24"/>
      <c r="L72"/>
    </row>
    <row r="73" spans="1:12" x14ac:dyDescent="0.25">
      <c r="A73" s="16"/>
      <c r="D73" s="16"/>
      <c r="F73" s="16"/>
      <c r="G73" s="16"/>
      <c r="H73" s="24"/>
      <c r="I73" s="24"/>
      <c r="L73"/>
    </row>
    <row r="74" spans="1:12" x14ac:dyDescent="0.25">
      <c r="A74" s="16"/>
      <c r="D74" s="16"/>
      <c r="F74" s="16"/>
      <c r="G74" s="16"/>
      <c r="H74" s="24"/>
      <c r="I74" s="24"/>
      <c r="L74"/>
    </row>
    <row r="75" spans="1:12" x14ac:dyDescent="0.25">
      <c r="A75" s="16"/>
      <c r="D75" s="16"/>
      <c r="F75" s="16"/>
      <c r="G75" s="16"/>
      <c r="H75" s="24"/>
      <c r="I75" s="24"/>
      <c r="L75"/>
    </row>
    <row r="76" spans="1:12" x14ac:dyDescent="0.25">
      <c r="A76" s="16"/>
      <c r="D76" s="16"/>
      <c r="F76" s="16"/>
      <c r="G76" s="16"/>
      <c r="H76" s="24"/>
      <c r="I76" s="24"/>
      <c r="L76"/>
    </row>
    <row r="77" spans="1:12" x14ac:dyDescent="0.25">
      <c r="A77" s="16"/>
      <c r="D77" s="16"/>
      <c r="F77" s="16"/>
      <c r="G77" s="16"/>
      <c r="H77" s="24"/>
      <c r="I77" s="24"/>
      <c r="L77"/>
    </row>
    <row r="78" spans="1:12" x14ac:dyDescent="0.25">
      <c r="A78" s="16"/>
      <c r="D78" s="16"/>
      <c r="F78" s="16"/>
      <c r="G78" s="16"/>
      <c r="H78" s="24"/>
      <c r="I78" s="24"/>
      <c r="L78"/>
    </row>
    <row r="79" spans="1:12" x14ac:dyDescent="0.25">
      <c r="A79" s="16"/>
      <c r="D79" s="16"/>
      <c r="F79" s="16"/>
      <c r="G79" s="16"/>
      <c r="H79" s="24"/>
      <c r="I79" s="24"/>
      <c r="L79"/>
    </row>
    <row r="80" spans="1:12" x14ac:dyDescent="0.25">
      <c r="A80" s="16"/>
      <c r="D80" s="16"/>
      <c r="F80" s="16"/>
      <c r="G80" s="16"/>
      <c r="H80" s="24"/>
      <c r="I80" s="24"/>
      <c r="L80"/>
    </row>
    <row r="81" spans="1:12" x14ac:dyDescent="0.25">
      <c r="A81" s="16"/>
      <c r="D81" s="16"/>
      <c r="F81" s="16"/>
      <c r="G81" s="16"/>
      <c r="H81" s="24"/>
      <c r="I81" s="24"/>
      <c r="L81"/>
    </row>
    <row r="82" spans="1:12" x14ac:dyDescent="0.25">
      <c r="A82" s="16"/>
      <c r="D82" s="16"/>
      <c r="F82" s="16"/>
      <c r="G82" s="16"/>
      <c r="H82" s="24"/>
      <c r="I82" s="24"/>
      <c r="L82"/>
    </row>
    <row r="83" spans="1:12" x14ac:dyDescent="0.25">
      <c r="A83" s="16"/>
      <c r="D83" s="16"/>
      <c r="F83" s="16"/>
      <c r="G83" s="16"/>
      <c r="H83" s="24"/>
      <c r="I83" s="24"/>
      <c r="L83"/>
    </row>
    <row r="84" spans="1:12" x14ac:dyDescent="0.25">
      <c r="A84" s="16"/>
      <c r="D84" s="16"/>
      <c r="F84" s="16"/>
      <c r="G84" s="16"/>
      <c r="H84" s="24"/>
      <c r="I84" s="24"/>
      <c r="L84"/>
    </row>
    <row r="85" spans="1:12" x14ac:dyDescent="0.25">
      <c r="A85" s="16"/>
      <c r="D85" s="16"/>
      <c r="F85" s="16"/>
      <c r="G85" s="16"/>
      <c r="H85" s="24"/>
      <c r="I85" s="24"/>
      <c r="L85"/>
    </row>
    <row r="86" spans="1:12" x14ac:dyDescent="0.25">
      <c r="A86" s="16"/>
      <c r="D86" s="16"/>
      <c r="F86" s="16"/>
      <c r="G86" s="16"/>
      <c r="H86" s="24"/>
      <c r="I86" s="24"/>
      <c r="L86"/>
    </row>
    <row r="87" spans="1:12" x14ac:dyDescent="0.25">
      <c r="A87" s="16"/>
      <c r="D87" s="16"/>
      <c r="F87" s="16"/>
      <c r="G87" s="16"/>
      <c r="H87" s="24"/>
      <c r="I87" s="24"/>
      <c r="L87"/>
    </row>
    <row r="88" spans="1:12" x14ac:dyDescent="0.25">
      <c r="A88" s="16"/>
      <c r="D88" s="16"/>
      <c r="F88" s="16"/>
      <c r="G88" s="16"/>
      <c r="H88" s="24"/>
      <c r="I88" s="24"/>
      <c r="L88"/>
    </row>
    <row r="89" spans="1:12" x14ac:dyDescent="0.25">
      <c r="A89" s="16"/>
      <c r="D89" s="16"/>
      <c r="F89" s="16"/>
      <c r="G89" s="16"/>
      <c r="H89" s="24"/>
      <c r="I89" s="24"/>
      <c r="L89"/>
    </row>
    <row r="90" spans="1:12" x14ac:dyDescent="0.25">
      <c r="A90" s="16"/>
      <c r="D90" s="16"/>
      <c r="F90" s="16"/>
      <c r="G90" s="16"/>
      <c r="H90" s="24"/>
      <c r="I90" s="24"/>
      <c r="L90"/>
    </row>
    <row r="91" spans="1:12" x14ac:dyDescent="0.25">
      <c r="A91" s="16"/>
      <c r="D91" s="16"/>
      <c r="F91" s="16"/>
      <c r="G91" s="16"/>
      <c r="H91" s="24"/>
      <c r="I91" s="24"/>
      <c r="L91"/>
    </row>
    <row r="92" spans="1:12" x14ac:dyDescent="0.25">
      <c r="A92" s="16"/>
      <c r="D92" s="16"/>
      <c r="F92" s="16"/>
      <c r="G92" s="16"/>
      <c r="H92" s="24"/>
      <c r="I92" s="24"/>
      <c r="L92"/>
    </row>
    <row r="93" spans="1:12" x14ac:dyDescent="0.25">
      <c r="A93" s="16"/>
      <c r="D93" s="16"/>
      <c r="F93" s="16"/>
      <c r="G93" s="16"/>
      <c r="H93" s="24"/>
      <c r="I93" s="24"/>
      <c r="L93"/>
    </row>
    <row r="94" spans="1:12" x14ac:dyDescent="0.25">
      <c r="A94" s="16"/>
      <c r="D94" s="16"/>
      <c r="F94" s="16"/>
      <c r="G94" s="16"/>
      <c r="H94" s="24"/>
      <c r="I94" s="24"/>
      <c r="L94"/>
    </row>
    <row r="95" spans="1:12" x14ac:dyDescent="0.25">
      <c r="A95" s="16"/>
      <c r="D95" s="16"/>
      <c r="F95" s="16"/>
      <c r="G95" s="16"/>
      <c r="H95" s="24"/>
      <c r="I95" s="24"/>
      <c r="L95"/>
    </row>
    <row r="96" spans="1:12" x14ac:dyDescent="0.25">
      <c r="A96" s="16"/>
      <c r="D96" s="16"/>
      <c r="F96" s="16"/>
      <c r="G96" s="16"/>
      <c r="H96" s="24"/>
      <c r="I96" s="24"/>
      <c r="L96"/>
    </row>
    <row r="97" spans="1:12" x14ac:dyDescent="0.25">
      <c r="A97" s="16"/>
      <c r="D97" s="16"/>
      <c r="F97" s="16"/>
      <c r="G97" s="16"/>
      <c r="H97" s="24"/>
      <c r="I97" s="24"/>
      <c r="L97"/>
    </row>
    <row r="98" spans="1:12" x14ac:dyDescent="0.25">
      <c r="A98" s="16"/>
      <c r="D98" s="16"/>
      <c r="F98" s="16"/>
      <c r="G98" s="16"/>
      <c r="H98" s="24"/>
      <c r="I98" s="24"/>
      <c r="L98"/>
    </row>
    <row r="99" spans="1:12" x14ac:dyDescent="0.25">
      <c r="A99" s="16"/>
      <c r="D99" s="16"/>
      <c r="F99" s="16"/>
      <c r="G99" s="16"/>
      <c r="H99" s="24"/>
      <c r="I99" s="24"/>
      <c r="L99"/>
    </row>
    <row r="100" spans="1:12" x14ac:dyDescent="0.25">
      <c r="A100" s="16"/>
      <c r="D100" s="16"/>
      <c r="F100" s="16"/>
      <c r="G100" s="16"/>
      <c r="H100" s="24"/>
      <c r="I100" s="24"/>
      <c r="L100"/>
    </row>
    <row r="101" spans="1:12" x14ac:dyDescent="0.25">
      <c r="A101" s="16"/>
      <c r="D101" s="16"/>
      <c r="F101" s="16"/>
      <c r="G101" s="16"/>
      <c r="H101" s="24"/>
      <c r="I101" s="24"/>
      <c r="L101"/>
    </row>
    <row r="102" spans="1:12" x14ac:dyDescent="0.25">
      <c r="A102" s="16"/>
      <c r="D102" s="16"/>
      <c r="F102" s="16"/>
      <c r="G102" s="16"/>
      <c r="H102" s="24"/>
      <c r="I102" s="24"/>
      <c r="L102"/>
    </row>
    <row r="103" spans="1:12" x14ac:dyDescent="0.25">
      <c r="A103" s="16"/>
      <c r="D103" s="16"/>
      <c r="F103" s="16"/>
      <c r="G103" s="16"/>
      <c r="H103" s="24"/>
      <c r="I103" s="24"/>
      <c r="L103"/>
    </row>
    <row r="104" spans="1:12" x14ac:dyDescent="0.25">
      <c r="A104" s="16"/>
      <c r="D104" s="16"/>
      <c r="F104" s="16"/>
      <c r="G104" s="16"/>
      <c r="H104" s="24"/>
      <c r="I104" s="24"/>
      <c r="L104"/>
    </row>
    <row r="105" spans="1:12" x14ac:dyDescent="0.25">
      <c r="A105" s="16"/>
      <c r="D105" s="16"/>
      <c r="F105" s="16"/>
      <c r="G105" s="16"/>
      <c r="H105" s="24"/>
      <c r="I105" s="24"/>
      <c r="L105"/>
    </row>
    <row r="106" spans="1:12" x14ac:dyDescent="0.25">
      <c r="A106" s="16"/>
      <c r="D106" s="16"/>
      <c r="F106" s="16"/>
      <c r="G106" s="16"/>
      <c r="H106" s="24"/>
      <c r="I106" s="24"/>
      <c r="L106"/>
    </row>
    <row r="107" spans="1:12" x14ac:dyDescent="0.25">
      <c r="A107" s="16"/>
      <c r="D107" s="16"/>
      <c r="F107" s="16"/>
      <c r="G107" s="16"/>
      <c r="H107" s="24"/>
      <c r="I107" s="24"/>
      <c r="L107"/>
    </row>
    <row r="108" spans="1:12" x14ac:dyDescent="0.25">
      <c r="A108" s="16"/>
      <c r="D108" s="16"/>
      <c r="F108" s="16"/>
      <c r="G108" s="16"/>
      <c r="H108" s="24"/>
      <c r="I108" s="24"/>
      <c r="L108"/>
    </row>
    <row r="109" spans="1:12" x14ac:dyDescent="0.25">
      <c r="A109" s="16"/>
      <c r="D109" s="16"/>
      <c r="F109" s="16"/>
      <c r="G109" s="16"/>
      <c r="H109" s="24"/>
      <c r="I109" s="24"/>
      <c r="L109"/>
    </row>
    <row r="110" spans="1:12" x14ac:dyDescent="0.25">
      <c r="A110" s="16"/>
      <c r="D110" s="16"/>
      <c r="F110" s="16"/>
      <c r="G110" s="16"/>
      <c r="H110" s="24"/>
      <c r="I110" s="24"/>
      <c r="L110"/>
    </row>
    <row r="111" spans="1:12" x14ac:dyDescent="0.25">
      <c r="A111" s="16"/>
      <c r="D111" s="16"/>
      <c r="F111" s="16"/>
      <c r="G111" s="16"/>
      <c r="H111" s="24"/>
      <c r="I111" s="24"/>
      <c r="L111"/>
    </row>
    <row r="112" spans="1:12" x14ac:dyDescent="0.25">
      <c r="A112" s="16"/>
      <c r="D112" s="16"/>
      <c r="F112" s="16"/>
      <c r="G112" s="16"/>
      <c r="H112" s="24"/>
      <c r="I112" s="24"/>
      <c r="L112"/>
    </row>
    <row r="113" spans="1:12" x14ac:dyDescent="0.25">
      <c r="A113" s="16"/>
      <c r="D113" s="16"/>
      <c r="F113" s="16"/>
      <c r="G113" s="16"/>
      <c r="H113" s="24"/>
      <c r="I113" s="24"/>
      <c r="L113"/>
    </row>
    <row r="114" spans="1:12" x14ac:dyDescent="0.25">
      <c r="A114" s="16"/>
      <c r="D114" s="16"/>
      <c r="F114" s="16"/>
      <c r="G114" s="16"/>
      <c r="H114" s="24"/>
      <c r="I114" s="24"/>
      <c r="L114"/>
    </row>
    <row r="115" spans="1:12" x14ac:dyDescent="0.25">
      <c r="A115" s="16"/>
      <c r="D115" s="16"/>
      <c r="F115" s="16"/>
      <c r="G115" s="16"/>
      <c r="H115" s="24"/>
      <c r="I115" s="24"/>
      <c r="L115"/>
    </row>
    <row r="116" spans="1:12" x14ac:dyDescent="0.25">
      <c r="A116" s="16"/>
      <c r="D116" s="16"/>
      <c r="F116" s="16"/>
      <c r="G116" s="16"/>
      <c r="H116" s="24"/>
      <c r="I116" s="24"/>
      <c r="L116"/>
    </row>
    <row r="117" spans="1:12" x14ac:dyDescent="0.25">
      <c r="A117" s="16"/>
      <c r="D117" s="16"/>
      <c r="F117" s="16"/>
      <c r="G117" s="16"/>
      <c r="H117" s="24"/>
      <c r="I117" s="24"/>
      <c r="L117"/>
    </row>
    <row r="118" spans="1:12" x14ac:dyDescent="0.25">
      <c r="A118" s="16"/>
      <c r="D118" s="16"/>
      <c r="F118" s="16"/>
      <c r="G118" s="16"/>
      <c r="H118" s="24"/>
      <c r="I118" s="24"/>
      <c r="L118"/>
    </row>
    <row r="119" spans="1:12" x14ac:dyDescent="0.25">
      <c r="A119" s="16"/>
      <c r="D119" s="16"/>
      <c r="F119" s="16"/>
      <c r="G119" s="16"/>
      <c r="H119" s="24"/>
      <c r="I119" s="24"/>
      <c r="L119"/>
    </row>
    <row r="120" spans="1:12" x14ac:dyDescent="0.25">
      <c r="A120" s="16"/>
      <c r="D120" s="16"/>
      <c r="F120" s="16"/>
      <c r="G120" s="16"/>
      <c r="H120" s="24"/>
      <c r="I120" s="24"/>
      <c r="L120"/>
    </row>
    <row r="121" spans="1:12" x14ac:dyDescent="0.25">
      <c r="A121" s="16"/>
      <c r="D121" s="16"/>
      <c r="F121" s="16"/>
      <c r="G121" s="16"/>
      <c r="H121" s="24"/>
      <c r="I121" s="24"/>
      <c r="L121"/>
    </row>
    <row r="122" spans="1:12" x14ac:dyDescent="0.25">
      <c r="A122" s="16"/>
      <c r="D122" s="16"/>
      <c r="F122" s="16"/>
      <c r="G122" s="16"/>
      <c r="H122" s="24"/>
      <c r="I122" s="24"/>
      <c r="L122"/>
    </row>
    <row r="123" spans="1:12" x14ac:dyDescent="0.25">
      <c r="A123" s="16"/>
      <c r="D123" s="16"/>
      <c r="F123" s="16"/>
      <c r="G123" s="16"/>
      <c r="H123" s="24"/>
      <c r="I123" s="24"/>
      <c r="L123"/>
    </row>
    <row r="124" spans="1:12" x14ac:dyDescent="0.25">
      <c r="A124" s="16"/>
      <c r="D124" s="16"/>
      <c r="F124" s="16"/>
      <c r="G124" s="16"/>
      <c r="H124" s="24"/>
      <c r="I124" s="24"/>
      <c r="L124"/>
    </row>
    <row r="125" spans="1:12" x14ac:dyDescent="0.25">
      <c r="A125" s="16"/>
      <c r="D125" s="16"/>
      <c r="F125" s="16"/>
      <c r="G125" s="16"/>
      <c r="H125" s="24"/>
      <c r="I125" s="24"/>
      <c r="L125"/>
    </row>
    <row r="126" spans="1:12" x14ac:dyDescent="0.25">
      <c r="A126" s="16"/>
      <c r="D126" s="16"/>
      <c r="F126" s="16"/>
      <c r="G126" s="16"/>
      <c r="H126" s="24"/>
      <c r="I126" s="24"/>
      <c r="L126"/>
    </row>
    <row r="127" spans="1:12" x14ac:dyDescent="0.25">
      <c r="A127" s="16"/>
      <c r="D127" s="16"/>
      <c r="F127" s="16"/>
      <c r="G127" s="16"/>
      <c r="H127" s="24"/>
      <c r="I127" s="24"/>
      <c r="L127"/>
    </row>
    <row r="128" spans="1:12" x14ac:dyDescent="0.25">
      <c r="A128" s="16"/>
      <c r="D128" s="16"/>
      <c r="F128" s="16"/>
      <c r="G128" s="16"/>
      <c r="H128" s="24"/>
      <c r="I128" s="24"/>
      <c r="L128"/>
    </row>
    <row r="129" spans="1:12" x14ac:dyDescent="0.25">
      <c r="A129" s="16"/>
      <c r="D129" s="16"/>
      <c r="F129" s="16"/>
      <c r="G129" s="16"/>
      <c r="H129" s="24"/>
      <c r="I129" s="24"/>
      <c r="L129"/>
    </row>
    <row r="130" spans="1:12" x14ac:dyDescent="0.25">
      <c r="A130" s="16"/>
      <c r="D130" s="16"/>
      <c r="F130" s="16"/>
      <c r="G130" s="16"/>
      <c r="H130" s="24"/>
      <c r="I130" s="24"/>
      <c r="L130"/>
    </row>
    <row r="131" spans="1:12" x14ac:dyDescent="0.25">
      <c r="A131" s="16"/>
      <c r="D131" s="16"/>
      <c r="F131" s="16"/>
      <c r="G131" s="16"/>
      <c r="H131" s="24"/>
      <c r="I131" s="24"/>
      <c r="L131"/>
    </row>
    <row r="132" spans="1:12" x14ac:dyDescent="0.25">
      <c r="A132" s="16"/>
      <c r="D132" s="16"/>
      <c r="F132" s="16"/>
      <c r="G132" s="16"/>
      <c r="H132" s="24"/>
      <c r="I132" s="24"/>
      <c r="L132"/>
    </row>
    <row r="133" spans="1:12" x14ac:dyDescent="0.25">
      <c r="A133" s="16"/>
      <c r="D133" s="16"/>
      <c r="F133" s="16"/>
      <c r="G133" s="16"/>
      <c r="H133" s="24"/>
      <c r="I133" s="24"/>
      <c r="L133"/>
    </row>
    <row r="134" spans="1:12" x14ac:dyDescent="0.25">
      <c r="A134" s="16"/>
      <c r="D134" s="16"/>
      <c r="F134" s="16"/>
      <c r="G134" s="16"/>
      <c r="H134" s="24"/>
      <c r="I134" s="24"/>
      <c r="L134"/>
    </row>
    <row r="135" spans="1:12" x14ac:dyDescent="0.25">
      <c r="A135" s="16"/>
      <c r="D135" s="16"/>
      <c r="F135" s="16"/>
      <c r="G135" s="16"/>
      <c r="H135" s="24"/>
      <c r="I135" s="24"/>
      <c r="L135"/>
    </row>
    <row r="136" spans="1:12" x14ac:dyDescent="0.25">
      <c r="A136" s="16"/>
      <c r="D136" s="16"/>
      <c r="F136" s="16"/>
      <c r="G136" s="16"/>
      <c r="H136" s="24"/>
      <c r="I136" s="24"/>
      <c r="L136"/>
    </row>
    <row r="137" spans="1:12" x14ac:dyDescent="0.25">
      <c r="A137" s="16"/>
      <c r="D137" s="16"/>
      <c r="F137" s="16"/>
      <c r="G137" s="16"/>
      <c r="H137" s="24"/>
      <c r="I137" s="24"/>
      <c r="L137"/>
    </row>
    <row r="138" spans="1:12" x14ac:dyDescent="0.25">
      <c r="A138" s="16"/>
      <c r="D138" s="16"/>
      <c r="F138" s="16"/>
      <c r="G138" s="16"/>
      <c r="H138" s="24"/>
      <c r="I138" s="24"/>
      <c r="L138"/>
    </row>
    <row r="139" spans="1:12" x14ac:dyDescent="0.25">
      <c r="A139" s="16"/>
      <c r="D139" s="16"/>
      <c r="F139" s="16"/>
      <c r="G139" s="16"/>
      <c r="H139" s="24"/>
      <c r="I139" s="24"/>
      <c r="L139"/>
    </row>
    <row r="140" spans="1:12" x14ac:dyDescent="0.25">
      <c r="A140" s="16"/>
      <c r="D140" s="16"/>
      <c r="F140" s="16"/>
      <c r="G140" s="16"/>
      <c r="H140" s="24"/>
      <c r="I140" s="24"/>
      <c r="L140"/>
    </row>
    <row r="141" spans="1:12" x14ac:dyDescent="0.25">
      <c r="A141" s="16"/>
      <c r="D141" s="16"/>
      <c r="F141" s="16"/>
      <c r="G141" s="16"/>
      <c r="H141" s="24"/>
      <c r="I141" s="24"/>
      <c r="L141"/>
    </row>
    <row r="142" spans="1:12" x14ac:dyDescent="0.25">
      <c r="A142" s="16"/>
      <c r="D142" s="16"/>
      <c r="F142" s="16"/>
      <c r="G142" s="16"/>
      <c r="H142" s="24"/>
      <c r="I142" s="24"/>
      <c r="L142"/>
    </row>
    <row r="143" spans="1:12" x14ac:dyDescent="0.25">
      <c r="A143" s="16"/>
      <c r="D143" s="16"/>
      <c r="F143" s="16"/>
      <c r="G143" s="16"/>
      <c r="H143" s="24"/>
      <c r="I143" s="24"/>
      <c r="L143"/>
    </row>
    <row r="144" spans="1:12" x14ac:dyDescent="0.25">
      <c r="A144" s="16"/>
      <c r="D144" s="16"/>
      <c r="F144" s="16"/>
      <c r="G144" s="16"/>
      <c r="H144" s="24"/>
      <c r="I144" s="24"/>
      <c r="L144"/>
    </row>
    <row r="145" spans="1:12" x14ac:dyDescent="0.25">
      <c r="A145" s="16"/>
      <c r="D145" s="16"/>
      <c r="F145" s="16"/>
      <c r="G145" s="16"/>
      <c r="H145" s="24"/>
      <c r="I145" s="24"/>
      <c r="L145"/>
    </row>
    <row r="146" spans="1:12" x14ac:dyDescent="0.25">
      <c r="A146" s="16"/>
      <c r="D146" s="16"/>
      <c r="F146" s="16"/>
      <c r="G146" s="16"/>
      <c r="H146" s="24"/>
      <c r="I146" s="24"/>
      <c r="L146"/>
    </row>
    <row r="147" spans="1:12" x14ac:dyDescent="0.25">
      <c r="A147" s="16"/>
      <c r="D147" s="16"/>
      <c r="F147" s="16"/>
      <c r="G147" s="16"/>
      <c r="H147" s="24"/>
      <c r="I147" s="24"/>
      <c r="L147"/>
    </row>
    <row r="148" spans="1:12" x14ac:dyDescent="0.25">
      <c r="A148" s="16"/>
      <c r="D148" s="16"/>
      <c r="F148" s="16"/>
      <c r="G148" s="16"/>
      <c r="H148" s="24"/>
      <c r="I148" s="24"/>
      <c r="L148"/>
    </row>
    <row r="149" spans="1:12" x14ac:dyDescent="0.25">
      <c r="A149" s="16"/>
      <c r="D149" s="16"/>
      <c r="F149" s="16"/>
      <c r="G149" s="16"/>
      <c r="H149" s="24"/>
      <c r="I149" s="24"/>
      <c r="L149"/>
    </row>
    <row r="150" spans="1:12" x14ac:dyDescent="0.25">
      <c r="A150" s="16"/>
      <c r="D150" s="16"/>
      <c r="F150" s="16"/>
      <c r="G150" s="16"/>
      <c r="H150" s="24"/>
      <c r="I150" s="24"/>
      <c r="L150"/>
    </row>
    <row r="151" spans="1:12" x14ac:dyDescent="0.25">
      <c r="A151" s="16"/>
      <c r="D151" s="16"/>
      <c r="F151" s="16"/>
      <c r="G151" s="16"/>
      <c r="H151" s="24"/>
      <c r="I151" s="24"/>
      <c r="L151"/>
    </row>
    <row r="152" spans="1:12" x14ac:dyDescent="0.25">
      <c r="A152" s="16"/>
      <c r="D152" s="16"/>
      <c r="F152" s="16"/>
      <c r="G152" s="16"/>
      <c r="H152" s="24"/>
      <c r="I152" s="24"/>
      <c r="L152"/>
    </row>
    <row r="153" spans="1:12" x14ac:dyDescent="0.25">
      <c r="A153" s="16"/>
      <c r="D153" s="16"/>
      <c r="F153" s="16"/>
      <c r="G153" s="16"/>
      <c r="H153" s="24"/>
      <c r="I153" s="24"/>
      <c r="L153"/>
    </row>
    <row r="154" spans="1:12" x14ac:dyDescent="0.25">
      <c r="A154" s="16"/>
      <c r="D154" s="16"/>
      <c r="F154" s="16"/>
      <c r="G154" s="16"/>
      <c r="H154" s="24"/>
      <c r="I154" s="24"/>
      <c r="L154"/>
    </row>
    <row r="155" spans="1:12" x14ac:dyDescent="0.25">
      <c r="A155" s="16"/>
      <c r="D155" s="16"/>
      <c r="F155" s="16"/>
      <c r="G155" s="16"/>
      <c r="H155" s="24"/>
      <c r="I155" s="24"/>
      <c r="L155"/>
    </row>
    <row r="156" spans="1:12" x14ac:dyDescent="0.25">
      <c r="A156" s="16"/>
      <c r="D156" s="16"/>
      <c r="F156" s="16"/>
      <c r="G156" s="16"/>
      <c r="H156" s="24"/>
      <c r="I156" s="24"/>
      <c r="L156"/>
    </row>
    <row r="157" spans="1:12" x14ac:dyDescent="0.25">
      <c r="A157" s="16"/>
      <c r="D157" s="16"/>
      <c r="F157" s="16"/>
      <c r="G157" s="16"/>
      <c r="H157" s="24"/>
      <c r="I157" s="24"/>
      <c r="L157"/>
    </row>
    <row r="158" spans="1:12" x14ac:dyDescent="0.25">
      <c r="A158" s="16"/>
      <c r="D158" s="16"/>
      <c r="F158" s="16"/>
      <c r="G158" s="16"/>
      <c r="H158" s="24"/>
      <c r="I158" s="24"/>
      <c r="L158"/>
    </row>
    <row r="159" spans="1:12" x14ac:dyDescent="0.25">
      <c r="A159" s="16"/>
      <c r="D159" s="16"/>
      <c r="F159" s="16"/>
      <c r="G159" s="16"/>
      <c r="H159" s="24"/>
      <c r="I159" s="24"/>
      <c r="L159"/>
    </row>
    <row r="160" spans="1:12" x14ac:dyDescent="0.25">
      <c r="A160" s="16"/>
      <c r="D160" s="16"/>
      <c r="F160" s="16"/>
      <c r="G160" s="16"/>
      <c r="H160" s="24"/>
      <c r="I160" s="24"/>
      <c r="L160"/>
    </row>
    <row r="161" spans="1:12" x14ac:dyDescent="0.25">
      <c r="A161" s="16"/>
      <c r="D161" s="16"/>
      <c r="F161" s="16"/>
      <c r="G161" s="16"/>
      <c r="H161" s="24"/>
      <c r="I161" s="24"/>
      <c r="L161"/>
    </row>
    <row r="162" spans="1:12" x14ac:dyDescent="0.25">
      <c r="A162" s="16"/>
      <c r="D162" s="16"/>
      <c r="F162" s="16"/>
      <c r="G162" s="16"/>
      <c r="H162" s="24"/>
      <c r="I162" s="24"/>
      <c r="L162"/>
    </row>
    <row r="163" spans="1:12" x14ac:dyDescent="0.25">
      <c r="A163" s="16"/>
      <c r="D163" s="16"/>
      <c r="F163" s="16"/>
      <c r="G163" s="16"/>
      <c r="H163" s="24"/>
      <c r="I163" s="24"/>
      <c r="L163"/>
    </row>
    <row r="164" spans="1:12" x14ac:dyDescent="0.25">
      <c r="A164" s="16"/>
      <c r="D164" s="16"/>
      <c r="F164" s="16"/>
      <c r="G164" s="16"/>
      <c r="H164" s="24"/>
      <c r="I164" s="24"/>
      <c r="L164"/>
    </row>
    <row r="165" spans="1:12" x14ac:dyDescent="0.25">
      <c r="A165" s="16"/>
      <c r="D165" s="16"/>
      <c r="F165" s="16"/>
      <c r="G165" s="16"/>
      <c r="H165" s="24"/>
      <c r="I165" s="24"/>
      <c r="L165"/>
    </row>
    <row r="166" spans="1:12" x14ac:dyDescent="0.25">
      <c r="A166" s="16"/>
      <c r="D166" s="16"/>
      <c r="F166" s="16"/>
      <c r="G166" s="16"/>
      <c r="H166" s="24"/>
      <c r="I166" s="24"/>
      <c r="L166"/>
    </row>
    <row r="167" spans="1:12" x14ac:dyDescent="0.25">
      <c r="A167" s="16"/>
      <c r="D167" s="16"/>
      <c r="F167" s="16"/>
      <c r="G167" s="16"/>
      <c r="H167" s="24"/>
      <c r="I167" s="24"/>
      <c r="L167"/>
    </row>
    <row r="168" spans="1:12" x14ac:dyDescent="0.25">
      <c r="A168" s="16"/>
      <c r="D168" s="16"/>
      <c r="F168" s="16"/>
      <c r="G168" s="16"/>
      <c r="H168" s="24"/>
      <c r="I168" s="24"/>
      <c r="L168"/>
    </row>
    <row r="169" spans="1:12" x14ac:dyDescent="0.25">
      <c r="A169" s="16"/>
      <c r="D169" s="16"/>
      <c r="F169" s="16"/>
      <c r="G169" s="16"/>
      <c r="H169" s="24"/>
      <c r="I169" s="24"/>
      <c r="L169"/>
    </row>
    <row r="170" spans="1:12" x14ac:dyDescent="0.25">
      <c r="A170" s="16"/>
      <c r="D170" s="16"/>
      <c r="F170" s="16"/>
      <c r="G170" s="16"/>
      <c r="H170" s="24"/>
      <c r="I170" s="24"/>
      <c r="L170"/>
    </row>
    <row r="171" spans="1:12" x14ac:dyDescent="0.25">
      <c r="A171" s="16"/>
      <c r="D171" s="16"/>
      <c r="F171" s="16"/>
      <c r="G171" s="16"/>
      <c r="H171" s="24"/>
      <c r="I171" s="24"/>
      <c r="L171"/>
    </row>
    <row r="172" spans="1:12" x14ac:dyDescent="0.25">
      <c r="A172" s="16"/>
      <c r="D172" s="16"/>
      <c r="F172" s="16"/>
      <c r="G172" s="16"/>
      <c r="H172" s="24"/>
      <c r="I172" s="24"/>
      <c r="L172"/>
    </row>
    <row r="173" spans="1:12" x14ac:dyDescent="0.25">
      <c r="A173" s="16"/>
      <c r="D173" s="16"/>
      <c r="F173" s="16"/>
      <c r="G173" s="16"/>
      <c r="H173" s="24"/>
      <c r="I173" s="24"/>
      <c r="L173"/>
    </row>
    <row r="174" spans="1:12" x14ac:dyDescent="0.25">
      <c r="A174" s="16"/>
      <c r="D174" s="16"/>
      <c r="F174" s="16"/>
      <c r="G174" s="16"/>
      <c r="H174" s="24"/>
      <c r="I174" s="24"/>
      <c r="L174"/>
    </row>
    <row r="175" spans="1:12" x14ac:dyDescent="0.25">
      <c r="A175" s="16"/>
      <c r="D175" s="16"/>
      <c r="F175" s="16"/>
      <c r="G175" s="16"/>
      <c r="H175" s="24"/>
      <c r="I175" s="24"/>
      <c r="L175"/>
    </row>
    <row r="176" spans="1:12" x14ac:dyDescent="0.25">
      <c r="A176" s="16"/>
      <c r="D176" s="16"/>
      <c r="F176" s="16"/>
      <c r="G176" s="16"/>
      <c r="H176" s="24"/>
      <c r="I176" s="24"/>
      <c r="L176"/>
    </row>
    <row r="177" spans="1:12" x14ac:dyDescent="0.25">
      <c r="A177" s="16"/>
      <c r="D177" s="16"/>
      <c r="F177" s="16"/>
      <c r="G177" s="16"/>
      <c r="H177" s="24"/>
      <c r="I177" s="24"/>
      <c r="L177"/>
    </row>
    <row r="178" spans="1:12" x14ac:dyDescent="0.25">
      <c r="A178" s="16"/>
      <c r="D178" s="16"/>
      <c r="F178" s="16"/>
      <c r="G178" s="16"/>
      <c r="H178" s="24"/>
      <c r="I178" s="24"/>
      <c r="L178"/>
    </row>
    <row r="179" spans="1:12" x14ac:dyDescent="0.25">
      <c r="A179" s="16"/>
      <c r="D179" s="16"/>
      <c r="F179" s="16"/>
      <c r="G179" s="16"/>
      <c r="H179" s="24"/>
      <c r="I179" s="24"/>
      <c r="L179"/>
    </row>
    <row r="180" spans="1:12" x14ac:dyDescent="0.25">
      <c r="A180" s="16"/>
      <c r="D180" s="16"/>
      <c r="F180" s="16"/>
      <c r="G180" s="16"/>
      <c r="H180" s="24"/>
      <c r="I180" s="24"/>
      <c r="L180"/>
    </row>
    <row r="181" spans="1:12" x14ac:dyDescent="0.25">
      <c r="A181" s="16"/>
      <c r="D181" s="16"/>
      <c r="F181" s="16"/>
      <c r="G181" s="16"/>
      <c r="H181" s="24"/>
      <c r="I181" s="24"/>
      <c r="L181"/>
    </row>
    <row r="182" spans="1:12" x14ac:dyDescent="0.25">
      <c r="A182" s="16"/>
      <c r="D182" s="16"/>
      <c r="F182" s="16"/>
      <c r="G182" s="16"/>
      <c r="H182" s="24"/>
      <c r="I182" s="24"/>
      <c r="L182"/>
    </row>
    <row r="183" spans="1:12" x14ac:dyDescent="0.25">
      <c r="A183" s="16"/>
      <c r="D183" s="16"/>
      <c r="F183" s="16"/>
      <c r="G183" s="16"/>
      <c r="H183" s="24"/>
      <c r="I183" s="24"/>
      <c r="L183"/>
    </row>
    <row r="184" spans="1:12" x14ac:dyDescent="0.25">
      <c r="A184" s="16"/>
      <c r="D184" s="16"/>
      <c r="F184" s="16"/>
      <c r="G184" s="16"/>
      <c r="H184" s="24"/>
      <c r="I184" s="24"/>
      <c r="L184"/>
    </row>
    <row r="185" spans="1:12" x14ac:dyDescent="0.25">
      <c r="A185" s="16"/>
      <c r="D185" s="16"/>
      <c r="F185" s="16"/>
      <c r="G185" s="16"/>
      <c r="H185" s="24"/>
      <c r="I185" s="24"/>
      <c r="L185"/>
    </row>
    <row r="186" spans="1:12" x14ac:dyDescent="0.25">
      <c r="A186" s="16"/>
      <c r="D186" s="16"/>
      <c r="F186" s="16"/>
      <c r="G186" s="16"/>
      <c r="H186" s="24"/>
      <c r="I186" s="24"/>
      <c r="L186"/>
    </row>
    <row r="187" spans="1:12" x14ac:dyDescent="0.25">
      <c r="A187" s="16"/>
      <c r="D187" s="16"/>
      <c r="F187" s="16"/>
      <c r="G187" s="16"/>
      <c r="H187" s="24"/>
      <c r="I187" s="24"/>
      <c r="L187"/>
    </row>
    <row r="188" spans="1:12" x14ac:dyDescent="0.25">
      <c r="A188" s="16"/>
      <c r="D188" s="16"/>
      <c r="F188" s="16"/>
      <c r="G188" s="16"/>
      <c r="H188" s="24"/>
      <c r="I188" s="24"/>
      <c r="L188"/>
    </row>
    <row r="189" spans="1:12" x14ac:dyDescent="0.25">
      <c r="A189" s="16"/>
      <c r="D189" s="16"/>
      <c r="F189" s="16"/>
      <c r="G189" s="16"/>
      <c r="H189" s="24"/>
      <c r="I189" s="24"/>
      <c r="L189"/>
    </row>
    <row r="190" spans="1:12" x14ac:dyDescent="0.25">
      <c r="A190" s="16"/>
      <c r="D190" s="16"/>
      <c r="F190" s="16"/>
      <c r="G190" s="16"/>
      <c r="H190" s="24"/>
      <c r="I190" s="24"/>
      <c r="L190"/>
    </row>
    <row r="191" spans="1:12" x14ac:dyDescent="0.25">
      <c r="A191" s="16"/>
      <c r="D191" s="16"/>
      <c r="F191" s="16"/>
      <c r="G191" s="16"/>
      <c r="H191" s="24"/>
      <c r="I191" s="24"/>
      <c r="L191"/>
    </row>
    <row r="192" spans="1:12" x14ac:dyDescent="0.25">
      <c r="A192" s="16"/>
      <c r="D192" s="16"/>
      <c r="F192" s="16"/>
      <c r="G192" s="16"/>
      <c r="H192" s="24"/>
      <c r="I192" s="24"/>
      <c r="L192"/>
    </row>
    <row r="193" spans="1:12" x14ac:dyDescent="0.25">
      <c r="A193" s="16"/>
      <c r="D193" s="16"/>
      <c r="F193" s="16"/>
      <c r="G193" s="16"/>
      <c r="H193" s="24"/>
      <c r="I193" s="24"/>
      <c r="L193"/>
    </row>
    <row r="194" spans="1:12" x14ac:dyDescent="0.25">
      <c r="A194" s="16"/>
      <c r="D194" s="16"/>
      <c r="F194" s="16"/>
      <c r="G194" s="16"/>
      <c r="H194" s="24"/>
      <c r="I194" s="24"/>
      <c r="L194"/>
    </row>
    <row r="195" spans="1:12" x14ac:dyDescent="0.25">
      <c r="A195" s="16"/>
      <c r="D195" s="16"/>
      <c r="F195" s="16"/>
      <c r="G195" s="16"/>
      <c r="H195" s="24"/>
      <c r="I195" s="24"/>
      <c r="L195"/>
    </row>
    <row r="196" spans="1:12" x14ac:dyDescent="0.25">
      <c r="A196" s="16"/>
      <c r="D196" s="16"/>
      <c r="F196" s="16"/>
      <c r="G196" s="16"/>
      <c r="H196" s="24"/>
      <c r="I196" s="24"/>
      <c r="L196"/>
    </row>
    <row r="197" spans="1:12" x14ac:dyDescent="0.25">
      <c r="A197" s="16"/>
      <c r="D197" s="16"/>
      <c r="F197" s="16"/>
      <c r="G197" s="16"/>
      <c r="H197" s="24"/>
      <c r="I197" s="24"/>
      <c r="L197"/>
    </row>
    <row r="198" spans="1:12" x14ac:dyDescent="0.25">
      <c r="A198" s="16"/>
      <c r="D198" s="16"/>
      <c r="F198" s="16"/>
      <c r="G198" s="16"/>
      <c r="H198" s="24"/>
      <c r="I198" s="24"/>
      <c r="L198"/>
    </row>
    <row r="199" spans="1:12" x14ac:dyDescent="0.25">
      <c r="A199" s="16"/>
      <c r="D199" s="16"/>
      <c r="F199" s="16"/>
      <c r="G199" s="16"/>
      <c r="H199" s="24"/>
      <c r="I199" s="24"/>
      <c r="L199"/>
    </row>
    <row r="200" spans="1:12" x14ac:dyDescent="0.25">
      <c r="A200" s="16"/>
      <c r="D200" s="16"/>
      <c r="F200" s="16"/>
      <c r="G200" s="16"/>
      <c r="H200" s="24"/>
      <c r="I200" s="24"/>
      <c r="L200"/>
    </row>
    <row r="201" spans="1:12" x14ac:dyDescent="0.25">
      <c r="A201" s="16"/>
      <c r="D201" s="16"/>
      <c r="F201" s="16"/>
      <c r="G201" s="16"/>
      <c r="H201" s="24"/>
      <c r="I201" s="24"/>
      <c r="L201"/>
    </row>
    <row r="202" spans="1:12" x14ac:dyDescent="0.25">
      <c r="A202" s="16"/>
      <c r="D202" s="16"/>
      <c r="F202" s="16"/>
      <c r="G202" s="16"/>
      <c r="H202" s="24"/>
      <c r="I202" s="24"/>
      <c r="L202"/>
    </row>
    <row r="203" spans="1:12" x14ac:dyDescent="0.25">
      <c r="A203" s="16"/>
      <c r="D203" s="16"/>
      <c r="F203" s="16"/>
      <c r="G203" s="16"/>
      <c r="H203" s="24"/>
      <c r="I203" s="24"/>
      <c r="L203"/>
    </row>
    <row r="204" spans="1:12" x14ac:dyDescent="0.25">
      <c r="A204" s="16"/>
      <c r="D204" s="16"/>
      <c r="F204" s="16"/>
      <c r="G204" s="16"/>
      <c r="H204" s="24"/>
      <c r="I204" s="24"/>
      <c r="L204"/>
    </row>
    <row r="205" spans="1:12" x14ac:dyDescent="0.25">
      <c r="A205" s="16"/>
      <c r="D205" s="16"/>
      <c r="F205" s="16"/>
      <c r="G205" s="16"/>
      <c r="H205" s="24"/>
      <c r="I205" s="24"/>
      <c r="L205"/>
    </row>
    <row r="206" spans="1:12" x14ac:dyDescent="0.25">
      <c r="A206" s="16"/>
      <c r="D206" s="16"/>
      <c r="F206" s="16"/>
      <c r="G206" s="16"/>
      <c r="H206" s="24"/>
      <c r="I206" s="24"/>
      <c r="L206"/>
    </row>
    <row r="207" spans="1:12" x14ac:dyDescent="0.25">
      <c r="A207" s="16"/>
      <c r="D207" s="16"/>
      <c r="F207" s="16"/>
      <c r="G207" s="16"/>
      <c r="H207" s="24"/>
      <c r="I207" s="24"/>
      <c r="L207"/>
    </row>
    <row r="208" spans="1:12" x14ac:dyDescent="0.25">
      <c r="A208" s="16"/>
      <c r="D208" s="16"/>
      <c r="F208" s="16"/>
      <c r="G208" s="16"/>
      <c r="H208" s="24"/>
      <c r="I208" s="24"/>
      <c r="L208"/>
    </row>
    <row r="209" spans="1:12" x14ac:dyDescent="0.25">
      <c r="A209" s="16"/>
      <c r="D209" s="16"/>
      <c r="F209" s="16"/>
      <c r="G209" s="16"/>
      <c r="H209" s="24"/>
      <c r="I209" s="24"/>
      <c r="L209"/>
    </row>
    <row r="210" spans="1:12" x14ac:dyDescent="0.25">
      <c r="A210" s="16"/>
      <c r="D210" s="16"/>
      <c r="F210" s="16"/>
      <c r="G210" s="16"/>
      <c r="H210" s="24"/>
      <c r="I210" s="24"/>
      <c r="L210"/>
    </row>
    <row r="211" spans="1:12" x14ac:dyDescent="0.25">
      <c r="A211" s="16"/>
      <c r="D211" s="16"/>
      <c r="F211" s="16"/>
      <c r="G211" s="16"/>
      <c r="H211" s="24"/>
      <c r="I211" s="24"/>
      <c r="L211"/>
    </row>
    <row r="212" spans="1:12" x14ac:dyDescent="0.25">
      <c r="A212" s="16"/>
      <c r="D212" s="16"/>
      <c r="F212" s="16"/>
      <c r="G212" s="16"/>
      <c r="H212" s="24"/>
      <c r="I212" s="24"/>
      <c r="L212"/>
    </row>
    <row r="213" spans="1:12" x14ac:dyDescent="0.25">
      <c r="A213" s="16"/>
      <c r="D213" s="16"/>
      <c r="F213" s="16"/>
      <c r="G213" s="16"/>
      <c r="H213" s="24"/>
      <c r="I213" s="24"/>
      <c r="L213"/>
    </row>
    <row r="214" spans="1:12" x14ac:dyDescent="0.25">
      <c r="A214" s="16"/>
      <c r="D214" s="16"/>
      <c r="F214" s="16"/>
      <c r="G214" s="16"/>
      <c r="H214" s="24"/>
      <c r="I214" s="24"/>
      <c r="L214"/>
    </row>
    <row r="215" spans="1:12" x14ac:dyDescent="0.25">
      <c r="A215" s="16"/>
      <c r="D215" s="16"/>
      <c r="F215" s="16"/>
      <c r="G215" s="16"/>
      <c r="H215" s="24"/>
      <c r="I215" s="24"/>
      <c r="L215"/>
    </row>
    <row r="216" spans="1:12" x14ac:dyDescent="0.25">
      <c r="A216" s="16"/>
      <c r="D216" s="16"/>
      <c r="F216" s="16"/>
      <c r="G216" s="16"/>
      <c r="H216" s="24"/>
      <c r="I216" s="24"/>
      <c r="L216"/>
    </row>
    <row r="217" spans="1:12" x14ac:dyDescent="0.25">
      <c r="A217" s="16"/>
      <c r="D217" s="16"/>
      <c r="F217" s="16"/>
      <c r="G217" s="16"/>
      <c r="H217" s="24"/>
      <c r="I217" s="24"/>
      <c r="L217"/>
    </row>
    <row r="218" spans="1:12" x14ac:dyDescent="0.25">
      <c r="A218" s="16"/>
      <c r="D218" s="16"/>
      <c r="F218" s="16"/>
      <c r="G218" s="16"/>
      <c r="H218" s="24"/>
      <c r="I218" s="24"/>
      <c r="L218"/>
    </row>
    <row r="219" spans="1:12" x14ac:dyDescent="0.25">
      <c r="A219" s="16"/>
      <c r="D219" s="16"/>
      <c r="F219" s="16"/>
      <c r="G219" s="16"/>
      <c r="H219" s="24"/>
      <c r="I219" s="24"/>
      <c r="L219"/>
    </row>
    <row r="220" spans="1:12" x14ac:dyDescent="0.25">
      <c r="A220" s="16"/>
      <c r="D220" s="16"/>
      <c r="F220" s="16"/>
      <c r="G220" s="16"/>
      <c r="H220" s="24"/>
      <c r="I220" s="24"/>
      <c r="L220"/>
    </row>
    <row r="221" spans="1:12" x14ac:dyDescent="0.25">
      <c r="A221" s="16"/>
      <c r="D221" s="16"/>
      <c r="F221" s="16"/>
      <c r="G221" s="16"/>
      <c r="H221" s="24"/>
      <c r="I221" s="24"/>
      <c r="L221"/>
    </row>
    <row r="222" spans="1:12" x14ac:dyDescent="0.25">
      <c r="A222" s="16"/>
      <c r="D222" s="16"/>
      <c r="F222" s="16"/>
      <c r="G222" s="16"/>
      <c r="H222" s="24"/>
      <c r="I222" s="24"/>
      <c r="L222"/>
    </row>
    <row r="223" spans="1:12" x14ac:dyDescent="0.25">
      <c r="A223" s="16"/>
      <c r="D223" s="16"/>
      <c r="F223" s="16"/>
      <c r="G223" s="16"/>
      <c r="H223" s="24"/>
      <c r="I223" s="24"/>
      <c r="L223"/>
    </row>
    <row r="224" spans="1:12" x14ac:dyDescent="0.25">
      <c r="A224" s="16"/>
      <c r="D224" s="16"/>
      <c r="F224" s="16"/>
      <c r="G224" s="16"/>
      <c r="H224" s="24"/>
      <c r="I224" s="24"/>
      <c r="L224"/>
    </row>
    <row r="225" spans="1:12" x14ac:dyDescent="0.25">
      <c r="A225" s="16"/>
      <c r="D225" s="16"/>
      <c r="F225" s="16"/>
      <c r="G225" s="16"/>
      <c r="H225" s="24"/>
      <c r="I225" s="24"/>
      <c r="L225"/>
    </row>
    <row r="226" spans="1:12" x14ac:dyDescent="0.25">
      <c r="A226" s="16"/>
      <c r="D226" s="16"/>
      <c r="F226" s="16"/>
      <c r="G226" s="16"/>
      <c r="H226" s="24"/>
      <c r="I226" s="24"/>
      <c r="L226"/>
    </row>
    <row r="227" spans="1:12" x14ac:dyDescent="0.25">
      <c r="A227" s="16"/>
      <c r="D227" s="16"/>
      <c r="F227" s="16"/>
      <c r="G227" s="16"/>
      <c r="H227" s="24"/>
      <c r="I227" s="24"/>
      <c r="L227"/>
    </row>
    <row r="228" spans="1:12" x14ac:dyDescent="0.25">
      <c r="A228" s="16"/>
      <c r="D228" s="16"/>
      <c r="F228" s="16"/>
      <c r="G228" s="16"/>
      <c r="H228" s="24"/>
      <c r="I228" s="24"/>
      <c r="L228"/>
    </row>
    <row r="229" spans="1:12" x14ac:dyDescent="0.25">
      <c r="A229" s="16"/>
      <c r="D229" s="16"/>
      <c r="F229" s="16"/>
      <c r="G229" s="16"/>
      <c r="H229" s="24"/>
      <c r="I229" s="24"/>
      <c r="L229"/>
    </row>
    <row r="230" spans="1:12" x14ac:dyDescent="0.25">
      <c r="A230" s="16"/>
      <c r="D230" s="16"/>
      <c r="F230" s="16"/>
      <c r="G230" s="16"/>
      <c r="H230" s="24"/>
      <c r="I230" s="24"/>
      <c r="L230"/>
    </row>
    <row r="231" spans="1:12" x14ac:dyDescent="0.25">
      <c r="A231" s="16"/>
      <c r="D231" s="16"/>
      <c r="F231" s="16"/>
      <c r="G231" s="16"/>
      <c r="H231" s="24"/>
      <c r="I231" s="24"/>
      <c r="L231"/>
    </row>
    <row r="232" spans="1:12" x14ac:dyDescent="0.25">
      <c r="A232" s="16"/>
      <c r="D232" s="16"/>
      <c r="F232" s="16"/>
      <c r="G232" s="16"/>
      <c r="H232" s="24"/>
      <c r="I232" s="24"/>
      <c r="L232"/>
    </row>
    <row r="233" spans="1:12" x14ac:dyDescent="0.25">
      <c r="A233" s="16"/>
      <c r="D233" s="16"/>
      <c r="F233" s="16"/>
      <c r="G233" s="16"/>
      <c r="H233" s="24"/>
      <c r="I233" s="24"/>
      <c r="L233"/>
    </row>
    <row r="234" spans="1:12" x14ac:dyDescent="0.25">
      <c r="A234" s="16"/>
      <c r="D234" s="16"/>
      <c r="F234" s="16"/>
      <c r="G234" s="16"/>
      <c r="H234" s="24"/>
      <c r="I234" s="24"/>
      <c r="L234"/>
    </row>
    <row r="235" spans="1:12" x14ac:dyDescent="0.25">
      <c r="A235" s="16"/>
      <c r="D235" s="16"/>
      <c r="F235" s="16"/>
      <c r="G235" s="16"/>
      <c r="H235" s="24"/>
      <c r="I235" s="24"/>
      <c r="L235"/>
    </row>
    <row r="236" spans="1:12" x14ac:dyDescent="0.25">
      <c r="A236" s="16"/>
      <c r="D236" s="16"/>
      <c r="F236" s="16"/>
      <c r="G236" s="16"/>
      <c r="H236" s="24"/>
      <c r="I236" s="24"/>
      <c r="L236"/>
    </row>
    <row r="237" spans="1:12" x14ac:dyDescent="0.25">
      <c r="A237" s="16"/>
      <c r="D237" s="16"/>
      <c r="F237" s="16"/>
      <c r="G237" s="16"/>
      <c r="H237" s="24"/>
      <c r="I237" s="24"/>
      <c r="L237"/>
    </row>
    <row r="238" spans="1:12" x14ac:dyDescent="0.25">
      <c r="A238" s="16"/>
      <c r="D238" s="16"/>
      <c r="F238" s="16"/>
      <c r="G238" s="16"/>
      <c r="H238" s="24"/>
      <c r="I238" s="24"/>
      <c r="L238"/>
    </row>
    <row r="239" spans="1:12" x14ac:dyDescent="0.25">
      <c r="A239" s="16"/>
      <c r="D239" s="16"/>
      <c r="F239" s="16"/>
      <c r="G239" s="16"/>
      <c r="H239" s="24"/>
      <c r="I239" s="24"/>
      <c r="L239"/>
    </row>
    <row r="240" spans="1:12" x14ac:dyDescent="0.25">
      <c r="A240" s="16"/>
      <c r="D240" s="16"/>
      <c r="F240" s="16"/>
      <c r="G240" s="16"/>
      <c r="H240" s="24"/>
      <c r="I240" s="24"/>
      <c r="L240"/>
    </row>
    <row r="241" spans="1:12" x14ac:dyDescent="0.25">
      <c r="A241" s="16"/>
      <c r="D241" s="16"/>
      <c r="F241" s="16"/>
      <c r="G241" s="16"/>
      <c r="H241" s="24"/>
      <c r="I241" s="24"/>
      <c r="L241"/>
    </row>
    <row r="242" spans="1:12" x14ac:dyDescent="0.25">
      <c r="A242" s="16"/>
      <c r="D242" s="16"/>
      <c r="F242" s="16"/>
      <c r="G242" s="16"/>
      <c r="H242" s="24"/>
      <c r="I242" s="24"/>
      <c r="L242"/>
    </row>
    <row r="243" spans="1:12" x14ac:dyDescent="0.25">
      <c r="A243" s="16"/>
      <c r="D243" s="16"/>
      <c r="F243" s="16"/>
      <c r="G243" s="16"/>
      <c r="H243" s="24"/>
      <c r="I243" s="24"/>
      <c r="L243"/>
    </row>
    <row r="244" spans="1:12" x14ac:dyDescent="0.25">
      <c r="A244" s="16"/>
      <c r="D244" s="16"/>
      <c r="F244" s="16"/>
      <c r="G244" s="16"/>
      <c r="H244" s="24"/>
      <c r="I244" s="24"/>
      <c r="L244"/>
    </row>
    <row r="245" spans="1:12" x14ac:dyDescent="0.25">
      <c r="A245" s="16"/>
      <c r="D245" s="16"/>
      <c r="F245" s="16"/>
      <c r="G245" s="16"/>
      <c r="H245" s="24"/>
      <c r="I245" s="24"/>
      <c r="L245"/>
    </row>
    <row r="246" spans="1:12" x14ac:dyDescent="0.25">
      <c r="A246" s="16"/>
      <c r="D246" s="16"/>
      <c r="F246" s="16"/>
      <c r="G246" s="16"/>
      <c r="H246" s="24"/>
      <c r="I246" s="24"/>
      <c r="L246"/>
    </row>
    <row r="247" spans="1:12" x14ac:dyDescent="0.25">
      <c r="A247" s="16"/>
      <c r="D247" s="16"/>
      <c r="F247" s="16"/>
      <c r="G247" s="16"/>
      <c r="H247" s="24"/>
      <c r="I247" s="24"/>
      <c r="L247"/>
    </row>
    <row r="248" spans="1:12" x14ac:dyDescent="0.25">
      <c r="A248" s="16"/>
      <c r="D248" s="16"/>
      <c r="F248" s="16"/>
      <c r="G248" s="16"/>
      <c r="H248" s="24"/>
      <c r="I248" s="24"/>
      <c r="L248"/>
    </row>
    <row r="249" spans="1:12" x14ac:dyDescent="0.25">
      <c r="A249" s="16"/>
      <c r="D249" s="16"/>
      <c r="F249" s="16"/>
      <c r="G249" s="16"/>
      <c r="H249" s="24"/>
      <c r="I249" s="24"/>
      <c r="L249"/>
    </row>
    <row r="250" spans="1:12" x14ac:dyDescent="0.25">
      <c r="A250" s="16"/>
      <c r="D250" s="16"/>
      <c r="F250" s="16"/>
      <c r="G250" s="16"/>
      <c r="H250" s="24"/>
      <c r="I250" s="24"/>
      <c r="L250"/>
    </row>
    <row r="251" spans="1:12" x14ac:dyDescent="0.25">
      <c r="A251" s="16"/>
      <c r="D251" s="16"/>
      <c r="F251" s="16"/>
      <c r="G251" s="16"/>
      <c r="H251" s="24"/>
      <c r="I251" s="24"/>
      <c r="L251"/>
    </row>
    <row r="252" spans="1:12" x14ac:dyDescent="0.25">
      <c r="A252" s="16"/>
      <c r="D252" s="16"/>
      <c r="F252" s="16"/>
      <c r="G252" s="16"/>
      <c r="H252" s="24"/>
      <c r="I252" s="24"/>
      <c r="L252"/>
    </row>
    <row r="253" spans="1:12" x14ac:dyDescent="0.25">
      <c r="A253" s="16"/>
      <c r="D253" s="16"/>
      <c r="F253" s="16"/>
      <c r="G253" s="16"/>
      <c r="H253" s="24"/>
      <c r="I253" s="24"/>
      <c r="L253"/>
    </row>
    <row r="254" spans="1:12" x14ac:dyDescent="0.25">
      <c r="A254" s="16"/>
      <c r="D254" s="16"/>
      <c r="F254" s="16"/>
      <c r="G254" s="16"/>
      <c r="H254" s="24"/>
      <c r="I254" s="24"/>
      <c r="L254"/>
    </row>
    <row r="255" spans="1:12" x14ac:dyDescent="0.25">
      <c r="A255" s="16"/>
      <c r="D255" s="16"/>
      <c r="F255" s="16"/>
      <c r="G255" s="16"/>
      <c r="H255" s="24"/>
      <c r="I255" s="24"/>
      <c r="L255"/>
    </row>
    <row r="256" spans="1:12" x14ac:dyDescent="0.25">
      <c r="A256" s="16"/>
      <c r="D256" s="16"/>
      <c r="F256" s="16"/>
      <c r="G256" s="16"/>
      <c r="H256" s="24"/>
      <c r="I256" s="24"/>
      <c r="L256"/>
    </row>
    <row r="257" spans="1:12" x14ac:dyDescent="0.25">
      <c r="A257" s="16"/>
      <c r="D257" s="16"/>
      <c r="F257" s="16"/>
      <c r="G257" s="16"/>
      <c r="H257" s="24"/>
      <c r="I257" s="24"/>
      <c r="L257"/>
    </row>
    <row r="258" spans="1:12" x14ac:dyDescent="0.25">
      <c r="A258" s="16"/>
      <c r="D258" s="16"/>
      <c r="F258" s="16"/>
      <c r="G258" s="16"/>
      <c r="H258" s="24"/>
      <c r="I258" s="24"/>
      <c r="L258"/>
    </row>
    <row r="259" spans="1:12" x14ac:dyDescent="0.25">
      <c r="A259" s="16"/>
      <c r="D259" s="16"/>
      <c r="F259" s="16"/>
      <c r="G259" s="16"/>
      <c r="H259" s="24"/>
      <c r="I259" s="24"/>
      <c r="L259"/>
    </row>
    <row r="260" spans="1:12" x14ac:dyDescent="0.25">
      <c r="A260" s="16"/>
      <c r="D260" s="16"/>
      <c r="F260" s="16"/>
      <c r="G260" s="16"/>
      <c r="H260" s="24"/>
      <c r="I260" s="24"/>
      <c r="L260"/>
    </row>
    <row r="261" spans="1:12" x14ac:dyDescent="0.25">
      <c r="A261" s="16"/>
      <c r="D261" s="16"/>
      <c r="F261" s="16"/>
      <c r="G261" s="16"/>
      <c r="H261" s="24"/>
      <c r="I261" s="24"/>
      <c r="L261"/>
    </row>
    <row r="262" spans="1:12" x14ac:dyDescent="0.25">
      <c r="A262" s="16"/>
      <c r="D262" s="16"/>
      <c r="F262" s="16"/>
      <c r="G262" s="16"/>
      <c r="H262" s="24"/>
      <c r="I262" s="24"/>
      <c r="L262"/>
    </row>
    <row r="263" spans="1:12" x14ac:dyDescent="0.25">
      <c r="A263" s="16"/>
      <c r="D263" s="16"/>
      <c r="F263" s="16"/>
      <c r="G263" s="16"/>
      <c r="H263" s="24"/>
      <c r="I263" s="24"/>
      <c r="L263"/>
    </row>
    <row r="264" spans="1:12" x14ac:dyDescent="0.25">
      <c r="A264" s="16"/>
      <c r="D264" s="16"/>
      <c r="F264" s="16"/>
      <c r="G264" s="16"/>
      <c r="H264" s="24"/>
      <c r="I264" s="24"/>
      <c r="L264"/>
    </row>
    <row r="265" spans="1:12" x14ac:dyDescent="0.25">
      <c r="A265" s="16"/>
      <c r="D265" s="16"/>
      <c r="F265" s="16"/>
      <c r="G265" s="16"/>
      <c r="H265" s="24"/>
      <c r="I265" s="24"/>
      <c r="L265"/>
    </row>
    <row r="266" spans="1:12" x14ac:dyDescent="0.25">
      <c r="A266" s="16"/>
      <c r="D266" s="16"/>
      <c r="F266" s="16"/>
      <c r="G266" s="16"/>
      <c r="H266" s="24"/>
      <c r="I266" s="24"/>
      <c r="L266"/>
    </row>
    <row r="267" spans="1:12" x14ac:dyDescent="0.25">
      <c r="A267" s="16"/>
      <c r="D267" s="16"/>
      <c r="F267" s="16"/>
      <c r="G267" s="16"/>
      <c r="H267" s="24"/>
      <c r="I267" s="24"/>
      <c r="L267"/>
    </row>
    <row r="268" spans="1:12" x14ac:dyDescent="0.25">
      <c r="A268" s="16"/>
      <c r="D268" s="16"/>
      <c r="F268" s="16"/>
      <c r="G268" s="16"/>
      <c r="H268" s="24"/>
      <c r="I268" s="24"/>
      <c r="L268"/>
    </row>
    <row r="269" spans="1:12" x14ac:dyDescent="0.25">
      <c r="A269" s="16"/>
      <c r="D269" s="16"/>
      <c r="F269" s="16"/>
      <c r="G269" s="16"/>
      <c r="H269" s="24"/>
      <c r="I269" s="24"/>
      <c r="L269"/>
    </row>
    <row r="270" spans="1:12" x14ac:dyDescent="0.25">
      <c r="A270" s="16"/>
      <c r="D270" s="16"/>
      <c r="F270" s="16"/>
      <c r="G270" s="16"/>
      <c r="H270" s="24"/>
      <c r="I270" s="24"/>
      <c r="L270"/>
    </row>
    <row r="271" spans="1:12" x14ac:dyDescent="0.25">
      <c r="A271" s="16"/>
      <c r="D271" s="16"/>
      <c r="F271" s="16"/>
      <c r="G271" s="16"/>
      <c r="H271" s="24"/>
      <c r="I271" s="24"/>
      <c r="L271"/>
    </row>
    <row r="272" spans="1:12" x14ac:dyDescent="0.25">
      <c r="A272" s="16"/>
      <c r="D272" s="16"/>
      <c r="F272" s="16"/>
      <c r="G272" s="16"/>
      <c r="H272" s="24"/>
      <c r="I272" s="24"/>
      <c r="L272"/>
    </row>
    <row r="273" spans="1:12" x14ac:dyDescent="0.25">
      <c r="A273" s="16"/>
      <c r="D273" s="16"/>
      <c r="F273" s="16"/>
      <c r="G273" s="16"/>
      <c r="H273" s="24"/>
      <c r="I273" s="24"/>
      <c r="L273"/>
    </row>
    <row r="274" spans="1:12" x14ac:dyDescent="0.25">
      <c r="A274" s="16"/>
      <c r="D274" s="16"/>
      <c r="F274" s="16"/>
      <c r="G274" s="16"/>
      <c r="H274" s="24"/>
      <c r="I274" s="24"/>
      <c r="L274"/>
    </row>
    <row r="275" spans="1:12" x14ac:dyDescent="0.25">
      <c r="A275" s="16"/>
      <c r="D275" s="16"/>
      <c r="F275" s="16"/>
      <c r="G275" s="16"/>
      <c r="H275" s="24"/>
      <c r="I275" s="24"/>
      <c r="L275"/>
    </row>
    <row r="276" spans="1:12" x14ac:dyDescent="0.25">
      <c r="A276" s="16"/>
      <c r="D276" s="16"/>
      <c r="F276" s="16"/>
      <c r="G276" s="16"/>
      <c r="H276" s="24"/>
      <c r="I276" s="24"/>
      <c r="L276"/>
    </row>
    <row r="277" spans="1:12" x14ac:dyDescent="0.25">
      <c r="A277" s="16"/>
      <c r="D277" s="16"/>
      <c r="F277" s="16"/>
      <c r="G277" s="16"/>
      <c r="H277" s="24"/>
      <c r="I277" s="24"/>
      <c r="L277"/>
    </row>
    <row r="278" spans="1:12" x14ac:dyDescent="0.25">
      <c r="A278" s="16"/>
      <c r="D278" s="16"/>
      <c r="F278" s="16"/>
      <c r="G278" s="16"/>
      <c r="H278" s="24"/>
      <c r="I278" s="24"/>
      <c r="L278"/>
    </row>
    <row r="279" spans="1:12" x14ac:dyDescent="0.25">
      <c r="A279" s="16"/>
      <c r="D279" s="16"/>
      <c r="F279" s="16"/>
      <c r="G279" s="16"/>
      <c r="H279" s="24"/>
      <c r="I279" s="24"/>
      <c r="L279"/>
    </row>
    <row r="280" spans="1:12" x14ac:dyDescent="0.25">
      <c r="A280" s="16"/>
      <c r="D280" s="16"/>
      <c r="F280" s="16"/>
      <c r="G280" s="16"/>
      <c r="H280" s="24"/>
      <c r="I280" s="24"/>
      <c r="L280"/>
    </row>
    <row r="281" spans="1:12" x14ac:dyDescent="0.25">
      <c r="A281" s="16"/>
      <c r="D281" s="16"/>
      <c r="F281" s="16"/>
      <c r="G281" s="16"/>
      <c r="H281" s="24"/>
      <c r="I281" s="24"/>
      <c r="L281"/>
    </row>
    <row r="282" spans="1:12" x14ac:dyDescent="0.25">
      <c r="A282" s="16"/>
      <c r="D282" s="16"/>
      <c r="F282" s="16"/>
      <c r="G282" s="16"/>
      <c r="H282" s="24"/>
      <c r="I282" s="24"/>
      <c r="L282"/>
    </row>
    <row r="283" spans="1:12" x14ac:dyDescent="0.25">
      <c r="A283" s="16"/>
      <c r="D283" s="16"/>
      <c r="F283" s="16"/>
      <c r="G283" s="16"/>
      <c r="H283" s="24"/>
      <c r="I283" s="24"/>
      <c r="L283"/>
    </row>
    <row r="284" spans="1:12" x14ac:dyDescent="0.25">
      <c r="A284" s="16"/>
      <c r="D284" s="16"/>
      <c r="F284" s="16"/>
      <c r="G284" s="16"/>
      <c r="H284" s="24"/>
      <c r="I284" s="24"/>
      <c r="L284"/>
    </row>
    <row r="285" spans="1:12" x14ac:dyDescent="0.25">
      <c r="A285" s="16"/>
      <c r="D285" s="16"/>
      <c r="F285" s="16"/>
      <c r="G285" s="16"/>
      <c r="H285" s="24"/>
      <c r="I285" s="24"/>
      <c r="L285"/>
    </row>
    <row r="286" spans="1:12" x14ac:dyDescent="0.25">
      <c r="A286" s="16"/>
      <c r="D286" s="16"/>
      <c r="F286" s="16"/>
      <c r="G286" s="16"/>
      <c r="H286" s="24"/>
      <c r="I286" s="24"/>
      <c r="L286"/>
    </row>
    <row r="287" spans="1:12" x14ac:dyDescent="0.25">
      <c r="A287" s="16"/>
      <c r="D287" s="16"/>
      <c r="F287" s="16"/>
      <c r="G287" s="16"/>
      <c r="H287" s="24"/>
      <c r="I287" s="24"/>
      <c r="L287"/>
    </row>
    <row r="288" spans="1:12" x14ac:dyDescent="0.25">
      <c r="A288" s="16"/>
      <c r="D288" s="16"/>
      <c r="F288" s="16"/>
      <c r="G288" s="16"/>
      <c r="H288" s="24"/>
      <c r="I288" s="24"/>
      <c r="L288"/>
    </row>
    <row r="289" spans="1:12" x14ac:dyDescent="0.25">
      <c r="A289" s="16"/>
      <c r="D289" s="16"/>
      <c r="F289" s="16"/>
      <c r="G289" s="16"/>
      <c r="H289" s="24"/>
      <c r="I289" s="24"/>
      <c r="L289"/>
    </row>
    <row r="290" spans="1:12" x14ac:dyDescent="0.25">
      <c r="A290" s="16"/>
      <c r="D290" s="16"/>
      <c r="F290" s="16"/>
      <c r="G290" s="16"/>
      <c r="H290" s="24"/>
      <c r="I290" s="24"/>
      <c r="L290"/>
    </row>
    <row r="291" spans="1:12" x14ac:dyDescent="0.25">
      <c r="A291" s="16"/>
      <c r="D291" s="16"/>
      <c r="F291" s="16"/>
      <c r="G291" s="16"/>
      <c r="H291" s="24"/>
      <c r="I291" s="24"/>
      <c r="L291"/>
    </row>
    <row r="292" spans="1:12" x14ac:dyDescent="0.25">
      <c r="A292" s="16"/>
      <c r="D292" s="16"/>
      <c r="F292" s="16"/>
      <c r="G292" s="16"/>
      <c r="H292" s="24"/>
      <c r="I292" s="24"/>
      <c r="L292"/>
    </row>
    <row r="293" spans="1:12" x14ac:dyDescent="0.25">
      <c r="A293" s="16"/>
      <c r="D293" s="16"/>
      <c r="F293" s="16"/>
      <c r="G293" s="16"/>
      <c r="H293" s="24"/>
      <c r="I293" s="24"/>
      <c r="L293"/>
    </row>
    <row r="294" spans="1:12" x14ac:dyDescent="0.25">
      <c r="A294" s="16"/>
      <c r="D294" s="16"/>
      <c r="F294" s="16"/>
      <c r="G294" s="16"/>
      <c r="H294" s="24"/>
      <c r="I294" s="24"/>
      <c r="L294"/>
    </row>
    <row r="295" spans="1:12" x14ac:dyDescent="0.25">
      <c r="A295" s="16"/>
      <c r="D295" s="16"/>
      <c r="F295" s="16"/>
      <c r="G295" s="16"/>
      <c r="H295" s="24"/>
      <c r="I295" s="24"/>
      <c r="L295"/>
    </row>
    <row r="296" spans="1:12" x14ac:dyDescent="0.25">
      <c r="A296" s="16"/>
      <c r="D296" s="16"/>
      <c r="F296" s="16"/>
      <c r="G296" s="16"/>
      <c r="H296" s="24"/>
      <c r="I296" s="24"/>
      <c r="L296"/>
    </row>
    <row r="297" spans="1:12" x14ac:dyDescent="0.25">
      <c r="A297" s="16"/>
      <c r="D297" s="16"/>
      <c r="F297" s="16"/>
      <c r="G297" s="16"/>
      <c r="H297" s="24"/>
      <c r="I297" s="24"/>
      <c r="L297"/>
    </row>
    <row r="298" spans="1:12" x14ac:dyDescent="0.25">
      <c r="A298" s="16"/>
      <c r="D298" s="16"/>
      <c r="F298" s="16"/>
      <c r="G298" s="16"/>
      <c r="H298" s="24"/>
      <c r="I298" s="24"/>
      <c r="L298"/>
    </row>
    <row r="299" spans="1:12" x14ac:dyDescent="0.25">
      <c r="A299" s="16"/>
      <c r="D299" s="16"/>
      <c r="F299" s="16"/>
      <c r="G299" s="16"/>
      <c r="H299" s="24"/>
      <c r="I299" s="24"/>
      <c r="L299"/>
    </row>
    <row r="300" spans="1:12" x14ac:dyDescent="0.25">
      <c r="A300" s="16"/>
      <c r="D300" s="16"/>
      <c r="F300" s="16"/>
      <c r="G300" s="16"/>
      <c r="H300" s="24"/>
      <c r="I300" s="24"/>
      <c r="L300"/>
    </row>
    <row r="301" spans="1:12" x14ac:dyDescent="0.25">
      <c r="A301" s="16"/>
      <c r="D301" s="16"/>
      <c r="F301" s="16"/>
      <c r="G301" s="16"/>
      <c r="H301" s="24"/>
      <c r="I301" s="24"/>
      <c r="L301"/>
    </row>
    <row r="302" spans="1:12" x14ac:dyDescent="0.25">
      <c r="A302" s="16"/>
      <c r="D302" s="16"/>
      <c r="F302" s="16"/>
      <c r="G302" s="16"/>
      <c r="H302" s="24"/>
      <c r="I302" s="24"/>
      <c r="L302"/>
    </row>
    <row r="303" spans="1:12" x14ac:dyDescent="0.25">
      <c r="A303" s="16"/>
      <c r="D303" s="16"/>
      <c r="F303" s="16"/>
      <c r="G303" s="16"/>
      <c r="H303" s="24"/>
      <c r="I303" s="24"/>
      <c r="L303"/>
    </row>
    <row r="304" spans="1:12" x14ac:dyDescent="0.25">
      <c r="A304" s="16"/>
      <c r="D304" s="16"/>
      <c r="F304" s="16"/>
      <c r="G304" s="16"/>
      <c r="H304" s="24"/>
      <c r="I304" s="24"/>
      <c r="L304"/>
    </row>
    <row r="305" spans="1:12" x14ac:dyDescent="0.25">
      <c r="A305" s="16"/>
      <c r="D305" s="16"/>
      <c r="F305" s="16"/>
      <c r="G305" s="16"/>
      <c r="H305" s="24"/>
      <c r="I305" s="24"/>
      <c r="L305"/>
    </row>
    <row r="306" spans="1:12" x14ac:dyDescent="0.25">
      <c r="A306" s="16"/>
      <c r="D306" s="16"/>
      <c r="F306" s="16"/>
      <c r="G306" s="16"/>
      <c r="H306" s="24"/>
      <c r="I306" s="24"/>
      <c r="L306"/>
    </row>
    <row r="307" spans="1:12" x14ac:dyDescent="0.25">
      <c r="A307" s="16"/>
      <c r="D307" s="16"/>
      <c r="F307" s="16"/>
      <c r="G307" s="16"/>
      <c r="H307" s="24"/>
      <c r="I307" s="24"/>
      <c r="L307"/>
    </row>
    <row r="308" spans="1:12" x14ac:dyDescent="0.25">
      <c r="A308" s="16"/>
      <c r="D308" s="16"/>
      <c r="F308" s="16"/>
      <c r="G308" s="16"/>
      <c r="H308" s="24"/>
      <c r="I308" s="24"/>
      <c r="L308"/>
    </row>
    <row r="309" spans="1:12" x14ac:dyDescent="0.25">
      <c r="A309" s="16"/>
      <c r="D309" s="16"/>
      <c r="F309" s="16"/>
      <c r="G309" s="16"/>
      <c r="H309" s="24"/>
      <c r="I309" s="24"/>
      <c r="L309"/>
    </row>
    <row r="310" spans="1:12" x14ac:dyDescent="0.25">
      <c r="A310" s="16"/>
      <c r="D310" s="16"/>
      <c r="F310" s="16"/>
      <c r="G310" s="16"/>
      <c r="H310" s="24"/>
      <c r="I310" s="24"/>
      <c r="L310"/>
    </row>
    <row r="311" spans="1:12" x14ac:dyDescent="0.25">
      <c r="A311" s="16"/>
      <c r="D311" s="16"/>
      <c r="F311" s="16"/>
      <c r="G311" s="16"/>
      <c r="H311" s="24"/>
      <c r="I311" s="24"/>
      <c r="L311"/>
    </row>
    <row r="312" spans="1:12" x14ac:dyDescent="0.25">
      <c r="A312" s="16"/>
      <c r="D312" s="16"/>
      <c r="F312" s="16"/>
      <c r="G312" s="16"/>
      <c r="H312" s="24"/>
      <c r="I312" s="24"/>
      <c r="L312"/>
    </row>
    <row r="313" spans="1:12" x14ac:dyDescent="0.25">
      <c r="A313" s="16"/>
      <c r="D313" s="16"/>
      <c r="F313" s="16"/>
      <c r="G313" s="16"/>
      <c r="H313" s="24"/>
      <c r="I313" s="24"/>
      <c r="L313"/>
    </row>
    <row r="314" spans="1:12" x14ac:dyDescent="0.25">
      <c r="A314" s="16"/>
      <c r="D314" s="16"/>
      <c r="F314" s="16"/>
      <c r="G314" s="16"/>
      <c r="H314" s="24"/>
      <c r="I314" s="24"/>
      <c r="L314"/>
    </row>
    <row r="315" spans="1:12" x14ac:dyDescent="0.25">
      <c r="A315" s="16"/>
      <c r="D315" s="16"/>
      <c r="F315" s="16"/>
      <c r="G315" s="16"/>
      <c r="H315" s="24"/>
      <c r="I315" s="24"/>
      <c r="L315"/>
    </row>
    <row r="316" spans="1:12" x14ac:dyDescent="0.25">
      <c r="A316" s="16"/>
      <c r="D316" s="16"/>
      <c r="F316" s="16"/>
      <c r="G316" s="16"/>
      <c r="H316" s="24"/>
      <c r="I316" s="24"/>
      <c r="L316"/>
    </row>
    <row r="317" spans="1:12" x14ac:dyDescent="0.25">
      <c r="A317" s="16"/>
      <c r="D317" s="16"/>
      <c r="F317" s="16"/>
      <c r="G317" s="16"/>
      <c r="H317" s="24"/>
      <c r="I317" s="24"/>
      <c r="L317"/>
    </row>
    <row r="318" spans="1:12" x14ac:dyDescent="0.25">
      <c r="A318" s="16"/>
      <c r="D318" s="16"/>
      <c r="F318" s="16"/>
      <c r="G318" s="16"/>
      <c r="H318" s="24"/>
      <c r="I318" s="24"/>
      <c r="L318"/>
    </row>
    <row r="319" spans="1:12" x14ac:dyDescent="0.25">
      <c r="A319" s="16"/>
      <c r="D319" s="16"/>
      <c r="F319" s="16"/>
      <c r="G319" s="16"/>
      <c r="H319" s="24"/>
      <c r="I319" s="24"/>
      <c r="L319"/>
    </row>
    <row r="320" spans="1:12" x14ac:dyDescent="0.25">
      <c r="A320" s="16"/>
      <c r="D320" s="16"/>
      <c r="F320" s="16"/>
      <c r="G320" s="16"/>
      <c r="H320" s="24"/>
      <c r="I320" s="24"/>
      <c r="L320"/>
    </row>
    <row r="321" spans="1:12" x14ac:dyDescent="0.25">
      <c r="A321" s="16"/>
      <c r="D321" s="16"/>
      <c r="F321" s="16"/>
      <c r="G321" s="16"/>
      <c r="H321" s="24"/>
      <c r="I321" s="24"/>
      <c r="L321"/>
    </row>
    <row r="322" spans="1:12" x14ac:dyDescent="0.25">
      <c r="A322" s="16"/>
      <c r="D322" s="16"/>
      <c r="F322" s="16"/>
      <c r="G322" s="16"/>
      <c r="H322" s="24"/>
      <c r="I322" s="24"/>
      <c r="L322"/>
    </row>
    <row r="323" spans="1:12" x14ac:dyDescent="0.25">
      <c r="A323" s="16"/>
      <c r="D323" s="16"/>
      <c r="F323" s="16"/>
      <c r="G323" s="16"/>
      <c r="H323" s="24"/>
      <c r="I323" s="24"/>
      <c r="L323"/>
    </row>
    <row r="324" spans="1:12" x14ac:dyDescent="0.25">
      <c r="A324" s="16"/>
      <c r="D324" s="16"/>
      <c r="F324" s="16"/>
      <c r="G324" s="16"/>
      <c r="H324" s="24"/>
      <c r="I324" s="24"/>
      <c r="L324"/>
    </row>
    <row r="325" spans="1:12" x14ac:dyDescent="0.25">
      <c r="A325" s="16"/>
      <c r="D325" s="16"/>
      <c r="F325" s="16"/>
      <c r="G325" s="16"/>
      <c r="H325" s="24"/>
      <c r="I325" s="24"/>
      <c r="L325"/>
    </row>
    <row r="326" spans="1:12" x14ac:dyDescent="0.25">
      <c r="A326" s="16"/>
      <c r="D326" s="16"/>
      <c r="F326" s="16"/>
      <c r="G326" s="16"/>
      <c r="H326" s="24"/>
      <c r="I326" s="24"/>
      <c r="L326"/>
    </row>
    <row r="327" spans="1:12" x14ac:dyDescent="0.25">
      <c r="A327" s="16"/>
      <c r="D327" s="16"/>
      <c r="F327" s="16"/>
      <c r="G327" s="16"/>
      <c r="H327" s="24"/>
      <c r="I327" s="24"/>
      <c r="L327"/>
    </row>
    <row r="328" spans="1:12" x14ac:dyDescent="0.25">
      <c r="A328" s="16"/>
      <c r="D328" s="16"/>
      <c r="F328" s="16"/>
      <c r="G328" s="16"/>
      <c r="H328" s="24"/>
      <c r="I328" s="24"/>
      <c r="L328"/>
    </row>
    <row r="329" spans="1:12" x14ac:dyDescent="0.25">
      <c r="A329" s="16"/>
      <c r="D329" s="16"/>
      <c r="F329" s="16"/>
      <c r="G329" s="16"/>
      <c r="H329" s="24"/>
      <c r="I329" s="24"/>
      <c r="L329"/>
    </row>
    <row r="330" spans="1:12" x14ac:dyDescent="0.25">
      <c r="A330" s="16"/>
      <c r="D330" s="16"/>
      <c r="F330" s="16"/>
      <c r="G330" s="16"/>
      <c r="H330" s="24"/>
      <c r="I330" s="24"/>
      <c r="L330"/>
    </row>
    <row r="331" spans="1:12" x14ac:dyDescent="0.25">
      <c r="A331" s="16"/>
      <c r="D331" s="16"/>
      <c r="F331" s="16"/>
      <c r="G331" s="16"/>
      <c r="H331" s="24"/>
      <c r="I331" s="24"/>
      <c r="L331"/>
    </row>
    <row r="332" spans="1:12" x14ac:dyDescent="0.25">
      <c r="A332" s="16"/>
      <c r="D332" s="16"/>
      <c r="F332" s="16"/>
      <c r="G332" s="16"/>
      <c r="H332" s="24"/>
      <c r="I332" s="24"/>
      <c r="L332"/>
    </row>
    <row r="333" spans="1:12" x14ac:dyDescent="0.25">
      <c r="A333" s="16"/>
      <c r="D333" s="16"/>
      <c r="F333" s="16"/>
      <c r="G333" s="16"/>
      <c r="H333" s="24"/>
      <c r="I333" s="24"/>
      <c r="L333"/>
    </row>
    <row r="334" spans="1:12" x14ac:dyDescent="0.25">
      <c r="A334" s="16"/>
      <c r="D334" s="16"/>
      <c r="F334" s="16"/>
      <c r="G334" s="16"/>
      <c r="H334" s="24"/>
      <c r="I334" s="24"/>
      <c r="L334"/>
    </row>
    <row r="335" spans="1:12" x14ac:dyDescent="0.25">
      <c r="A335" s="16"/>
      <c r="D335" s="16"/>
      <c r="F335" s="16"/>
      <c r="G335" s="16"/>
      <c r="H335" s="24"/>
      <c r="I335" s="24"/>
      <c r="L335"/>
    </row>
    <row r="336" spans="1:12" x14ac:dyDescent="0.25">
      <c r="A336" s="16"/>
      <c r="D336" s="16"/>
      <c r="F336" s="16"/>
      <c r="G336" s="16"/>
      <c r="H336" s="24"/>
      <c r="I336" s="24"/>
      <c r="L336"/>
    </row>
    <row r="337" spans="1:12" x14ac:dyDescent="0.25">
      <c r="A337" s="16"/>
      <c r="D337" s="16"/>
      <c r="F337" s="16"/>
      <c r="G337" s="16"/>
      <c r="H337" s="24"/>
      <c r="I337" s="24"/>
      <c r="L337"/>
    </row>
    <row r="338" spans="1:12" x14ac:dyDescent="0.25">
      <c r="A338" s="16"/>
      <c r="D338" s="16"/>
      <c r="F338" s="16"/>
      <c r="G338" s="16"/>
      <c r="H338" s="24"/>
      <c r="I338" s="24"/>
      <c r="L338"/>
    </row>
    <row r="339" spans="1:12" x14ac:dyDescent="0.25">
      <c r="A339" s="16"/>
      <c r="D339" s="16"/>
      <c r="F339" s="16"/>
      <c r="G339" s="16"/>
      <c r="H339" s="24"/>
      <c r="I339" s="24"/>
      <c r="L339"/>
    </row>
    <row r="340" spans="1:12" x14ac:dyDescent="0.25">
      <c r="A340" s="16"/>
      <c r="D340" s="16"/>
      <c r="F340" s="16"/>
      <c r="G340" s="16"/>
      <c r="H340" s="24"/>
      <c r="I340" s="24"/>
      <c r="L340"/>
    </row>
    <row r="341" spans="1:12" x14ac:dyDescent="0.25">
      <c r="A341" s="16"/>
      <c r="D341" s="16"/>
      <c r="F341" s="16"/>
      <c r="G341" s="16"/>
      <c r="H341" s="24"/>
      <c r="I341" s="24"/>
      <c r="L341"/>
    </row>
    <row r="342" spans="1:12" x14ac:dyDescent="0.25">
      <c r="A342" s="16"/>
      <c r="D342" s="16"/>
      <c r="F342" s="16"/>
      <c r="G342" s="16"/>
      <c r="H342" s="24"/>
      <c r="I342" s="24"/>
      <c r="L342"/>
    </row>
    <row r="343" spans="1:12" x14ac:dyDescent="0.25">
      <c r="A343" s="16"/>
      <c r="D343" s="16"/>
      <c r="F343" s="16"/>
      <c r="G343" s="16"/>
      <c r="H343" s="24"/>
      <c r="I343" s="24"/>
      <c r="L343"/>
    </row>
    <row r="344" spans="1:12" x14ac:dyDescent="0.25">
      <c r="A344" s="16"/>
      <c r="D344" s="16"/>
      <c r="F344" s="16"/>
      <c r="G344" s="16"/>
      <c r="H344" s="24"/>
      <c r="I344" s="24"/>
      <c r="L344"/>
    </row>
    <row r="345" spans="1:12" x14ac:dyDescent="0.25">
      <c r="A345" s="16"/>
      <c r="D345" s="16"/>
      <c r="F345" s="16"/>
      <c r="G345" s="16"/>
      <c r="H345" s="24"/>
      <c r="I345" s="24"/>
      <c r="L345"/>
    </row>
    <row r="346" spans="1:12" x14ac:dyDescent="0.25">
      <c r="A346" s="16"/>
      <c r="D346" s="16"/>
      <c r="F346" s="16"/>
      <c r="G346" s="16"/>
      <c r="H346" s="24"/>
      <c r="I346" s="24"/>
      <c r="L346"/>
    </row>
    <row r="347" spans="1:12" x14ac:dyDescent="0.25">
      <c r="A347" s="16"/>
      <c r="D347" s="16"/>
      <c r="F347" s="16"/>
      <c r="G347" s="16"/>
      <c r="H347" s="24"/>
      <c r="I347" s="24"/>
      <c r="L347"/>
    </row>
    <row r="348" spans="1:12" x14ac:dyDescent="0.25">
      <c r="A348" s="16"/>
      <c r="D348" s="16"/>
      <c r="F348" s="16"/>
      <c r="G348" s="16"/>
      <c r="H348" s="24"/>
      <c r="I348" s="24"/>
      <c r="L348"/>
    </row>
    <row r="349" spans="1:12" x14ac:dyDescent="0.25">
      <c r="A349" s="16"/>
      <c r="D349" s="16"/>
      <c r="F349" s="16"/>
      <c r="G349" s="16"/>
      <c r="H349" s="24"/>
      <c r="I349" s="24"/>
      <c r="L349"/>
    </row>
    <row r="350" spans="1:12" x14ac:dyDescent="0.25">
      <c r="A350" s="16"/>
      <c r="D350" s="16"/>
      <c r="F350" s="16"/>
      <c r="G350" s="16"/>
      <c r="H350" s="24"/>
      <c r="I350" s="24"/>
      <c r="L350"/>
    </row>
    <row r="351" spans="1:12" x14ac:dyDescent="0.25">
      <c r="A351" s="16"/>
      <c r="D351" s="16"/>
      <c r="F351" s="16"/>
      <c r="G351" s="16"/>
      <c r="H351" s="24"/>
      <c r="I351" s="24"/>
      <c r="L351"/>
    </row>
    <row r="352" spans="1:12" x14ac:dyDescent="0.25">
      <c r="A352" s="16"/>
      <c r="D352" s="16"/>
      <c r="F352" s="16"/>
      <c r="G352" s="16"/>
      <c r="H352" s="24"/>
      <c r="I352" s="24"/>
      <c r="L352"/>
    </row>
    <row r="353" spans="1:12" x14ac:dyDescent="0.25">
      <c r="A353" s="16"/>
      <c r="D353" s="16"/>
      <c r="F353" s="16"/>
      <c r="G353" s="16"/>
      <c r="H353" s="24"/>
      <c r="I353" s="24"/>
      <c r="L353"/>
    </row>
    <row r="354" spans="1:12" x14ac:dyDescent="0.25">
      <c r="A354" s="16"/>
      <c r="D354" s="16"/>
      <c r="F354" s="16"/>
      <c r="G354" s="16"/>
      <c r="H354" s="24"/>
      <c r="I354" s="24"/>
      <c r="L354"/>
    </row>
    <row r="355" spans="1:12" x14ac:dyDescent="0.25">
      <c r="A355" s="16"/>
      <c r="D355" s="16"/>
      <c r="F355" s="16"/>
      <c r="G355" s="16"/>
      <c r="H355" s="24"/>
      <c r="I355" s="24"/>
      <c r="L355"/>
    </row>
    <row r="356" spans="1:12" x14ac:dyDescent="0.25">
      <c r="A356" s="16"/>
      <c r="D356" s="16"/>
      <c r="F356" s="16"/>
      <c r="G356" s="16"/>
      <c r="H356" s="24"/>
      <c r="I356" s="24"/>
      <c r="L356"/>
    </row>
    <row r="357" spans="1:12" x14ac:dyDescent="0.25">
      <c r="A357" s="16"/>
      <c r="D357" s="16"/>
      <c r="F357" s="16"/>
      <c r="G357" s="16"/>
      <c r="H357" s="24"/>
      <c r="I357" s="24"/>
      <c r="L357"/>
    </row>
    <row r="358" spans="1:12" x14ac:dyDescent="0.25">
      <c r="A358" s="16"/>
      <c r="D358" s="16"/>
      <c r="F358" s="16"/>
      <c r="G358" s="16"/>
      <c r="H358" s="24"/>
      <c r="I358" s="24"/>
      <c r="L358"/>
    </row>
    <row r="359" spans="1:12" x14ac:dyDescent="0.25">
      <c r="A359" s="16"/>
      <c r="D359" s="16"/>
      <c r="F359" s="16"/>
      <c r="G359" s="16"/>
      <c r="H359" s="24"/>
      <c r="I359" s="24"/>
      <c r="L359"/>
    </row>
    <row r="360" spans="1:12" x14ac:dyDescent="0.25">
      <c r="A360" s="16"/>
      <c r="D360" s="16"/>
      <c r="F360" s="16"/>
      <c r="G360" s="16"/>
      <c r="H360" s="24"/>
      <c r="I360" s="24"/>
      <c r="L360"/>
    </row>
    <row r="361" spans="1:12" x14ac:dyDescent="0.25">
      <c r="A361" s="16"/>
      <c r="D361" s="16"/>
      <c r="F361" s="16"/>
      <c r="G361" s="16"/>
      <c r="H361" s="24"/>
      <c r="I361" s="24"/>
      <c r="L361"/>
    </row>
    <row r="362" spans="1:12" x14ac:dyDescent="0.25">
      <c r="A362" s="16"/>
      <c r="D362" s="16"/>
      <c r="F362" s="16"/>
      <c r="G362" s="16"/>
      <c r="H362" s="24"/>
      <c r="I362" s="24"/>
      <c r="L362"/>
    </row>
    <row r="363" spans="1:12" x14ac:dyDescent="0.25">
      <c r="A363" s="16"/>
      <c r="D363" s="16"/>
      <c r="F363" s="16"/>
      <c r="G363" s="16"/>
      <c r="H363" s="24"/>
      <c r="I363" s="24"/>
      <c r="L363"/>
    </row>
    <row r="364" spans="1:12" x14ac:dyDescent="0.25">
      <c r="A364" s="16"/>
      <c r="D364" s="16"/>
      <c r="F364" s="16"/>
      <c r="G364" s="16"/>
      <c r="H364" s="24"/>
      <c r="I364" s="24"/>
      <c r="L364"/>
    </row>
    <row r="365" spans="1:12" x14ac:dyDescent="0.25">
      <c r="A365" s="16"/>
      <c r="D365" s="16"/>
      <c r="F365" s="16"/>
      <c r="G365" s="16"/>
      <c r="H365" s="24"/>
      <c r="I365" s="24"/>
      <c r="L365"/>
    </row>
    <row r="366" spans="1:12" x14ac:dyDescent="0.25">
      <c r="A366" s="16"/>
      <c r="D366" s="16"/>
      <c r="F366" s="16"/>
      <c r="G366" s="16"/>
      <c r="H366" s="24"/>
      <c r="I366" s="24"/>
      <c r="L366"/>
    </row>
    <row r="367" spans="1:12" x14ac:dyDescent="0.25">
      <c r="A367" s="16"/>
      <c r="D367" s="16"/>
      <c r="F367" s="16"/>
      <c r="G367" s="16"/>
      <c r="H367" s="24"/>
      <c r="I367" s="24"/>
      <c r="L367"/>
    </row>
    <row r="368" spans="1:12" x14ac:dyDescent="0.25">
      <c r="A368" s="16"/>
      <c r="D368" s="16"/>
      <c r="F368" s="16"/>
      <c r="G368" s="16"/>
      <c r="H368" s="24"/>
      <c r="I368" s="24"/>
      <c r="L368"/>
    </row>
    <row r="369" spans="1:12" x14ac:dyDescent="0.25">
      <c r="A369" s="16"/>
      <c r="D369" s="16"/>
      <c r="F369" s="16"/>
      <c r="G369" s="16"/>
      <c r="H369" s="24"/>
      <c r="I369" s="24"/>
      <c r="L369"/>
    </row>
    <row r="370" spans="1:12" x14ac:dyDescent="0.25">
      <c r="A370" s="16"/>
      <c r="D370" s="16"/>
      <c r="F370" s="16"/>
      <c r="G370" s="16"/>
      <c r="H370" s="24"/>
      <c r="I370" s="24"/>
      <c r="L370"/>
    </row>
    <row r="371" spans="1:12" x14ac:dyDescent="0.25">
      <c r="A371" s="16"/>
      <c r="D371" s="16"/>
      <c r="F371" s="16"/>
      <c r="G371" s="16"/>
      <c r="H371" s="24"/>
      <c r="I371" s="24"/>
      <c r="L371"/>
    </row>
    <row r="372" spans="1:12" x14ac:dyDescent="0.25">
      <c r="A372" s="16"/>
      <c r="D372" s="16"/>
      <c r="F372" s="16"/>
      <c r="G372" s="16"/>
      <c r="H372" s="24"/>
      <c r="I372" s="24"/>
      <c r="L372"/>
    </row>
    <row r="373" spans="1:12" x14ac:dyDescent="0.25">
      <c r="A373" s="16"/>
      <c r="D373" s="16"/>
      <c r="F373" s="16"/>
      <c r="G373" s="16"/>
      <c r="H373" s="24"/>
      <c r="I373" s="24"/>
      <c r="L373"/>
    </row>
    <row r="374" spans="1:12" x14ac:dyDescent="0.25">
      <c r="A374" s="16"/>
      <c r="D374" s="16"/>
      <c r="F374" s="16"/>
      <c r="G374" s="16"/>
      <c r="H374" s="24"/>
      <c r="I374" s="24"/>
      <c r="L374"/>
    </row>
    <row r="375" spans="1:12" x14ac:dyDescent="0.25">
      <c r="A375" s="16"/>
      <c r="D375" s="16"/>
      <c r="F375" s="16"/>
      <c r="G375" s="16"/>
      <c r="H375" s="24"/>
      <c r="I375" s="24"/>
      <c r="L375"/>
    </row>
    <row r="376" spans="1:12" x14ac:dyDescent="0.25">
      <c r="A376" s="16"/>
      <c r="D376" s="16"/>
      <c r="F376" s="16"/>
      <c r="G376" s="16"/>
      <c r="H376" s="24"/>
      <c r="I376" s="24"/>
      <c r="L376"/>
    </row>
    <row r="377" spans="1:12" x14ac:dyDescent="0.25">
      <c r="A377" s="16"/>
      <c r="D377" s="16"/>
      <c r="F377" s="16"/>
      <c r="G377" s="16"/>
      <c r="H377" s="24"/>
      <c r="I377" s="24"/>
      <c r="L377"/>
    </row>
    <row r="378" spans="1:12" x14ac:dyDescent="0.25">
      <c r="A378" s="16"/>
      <c r="D378" s="16"/>
      <c r="F378" s="16"/>
      <c r="G378" s="16"/>
      <c r="H378" s="24"/>
      <c r="I378" s="24"/>
      <c r="L378"/>
    </row>
    <row r="379" spans="1:12" x14ac:dyDescent="0.25">
      <c r="A379" s="16"/>
      <c r="D379" s="16"/>
      <c r="F379" s="16"/>
      <c r="G379" s="16"/>
      <c r="H379" s="24"/>
      <c r="I379" s="24"/>
      <c r="L379"/>
    </row>
    <row r="380" spans="1:12" x14ac:dyDescent="0.25">
      <c r="A380" s="16"/>
      <c r="D380" s="16"/>
      <c r="F380" s="16"/>
      <c r="G380" s="16"/>
      <c r="H380" s="24"/>
      <c r="I380" s="24"/>
      <c r="L380"/>
    </row>
    <row r="381" spans="1:12" x14ac:dyDescent="0.25">
      <c r="A381" s="16"/>
      <c r="D381" s="16"/>
      <c r="F381" s="16"/>
      <c r="G381" s="16"/>
      <c r="H381" s="24"/>
      <c r="I381" s="24"/>
      <c r="L381"/>
    </row>
    <row r="382" spans="1:12" x14ac:dyDescent="0.25">
      <c r="A382" s="16"/>
      <c r="D382" s="16"/>
      <c r="F382" s="16"/>
      <c r="G382" s="16"/>
      <c r="H382" s="24"/>
      <c r="I382" s="24"/>
      <c r="L382"/>
    </row>
    <row r="383" spans="1:12" x14ac:dyDescent="0.25">
      <c r="A383" s="16"/>
      <c r="D383" s="16"/>
      <c r="F383" s="16"/>
      <c r="G383" s="16"/>
      <c r="H383" s="24"/>
      <c r="I383" s="24"/>
      <c r="L383"/>
    </row>
    <row r="384" spans="1:12" x14ac:dyDescent="0.25">
      <c r="A384" s="16"/>
      <c r="D384" s="16"/>
      <c r="F384" s="16"/>
      <c r="G384" s="16"/>
      <c r="H384" s="24"/>
      <c r="I384" s="24"/>
      <c r="L384"/>
    </row>
    <row r="385" spans="1:12" x14ac:dyDescent="0.25">
      <c r="A385" s="16"/>
      <c r="D385" s="16"/>
      <c r="F385" s="16"/>
      <c r="G385" s="16"/>
      <c r="H385" s="24"/>
      <c r="I385" s="24"/>
      <c r="L385"/>
    </row>
    <row r="386" spans="1:12" x14ac:dyDescent="0.25">
      <c r="A386" s="16"/>
      <c r="D386" s="16"/>
      <c r="F386" s="16"/>
      <c r="G386" s="16"/>
      <c r="H386" s="24"/>
      <c r="I386" s="24"/>
      <c r="L386"/>
    </row>
    <row r="387" spans="1:12" x14ac:dyDescent="0.25">
      <c r="A387" s="16"/>
      <c r="D387" s="16"/>
      <c r="F387" s="16"/>
      <c r="G387" s="16"/>
      <c r="H387" s="24"/>
      <c r="I387" s="24"/>
      <c r="L387"/>
    </row>
    <row r="388" spans="1:12" x14ac:dyDescent="0.25">
      <c r="A388" s="16"/>
      <c r="D388" s="16"/>
      <c r="F388" s="16"/>
      <c r="G388" s="16"/>
      <c r="H388" s="24"/>
      <c r="I388" s="24"/>
      <c r="L388"/>
    </row>
    <row r="389" spans="1:12" x14ac:dyDescent="0.25">
      <c r="A389" s="16"/>
      <c r="D389" s="16"/>
      <c r="F389" s="16"/>
      <c r="G389" s="16"/>
      <c r="H389" s="24"/>
      <c r="I389" s="24"/>
      <c r="L389"/>
    </row>
    <row r="390" spans="1:12" x14ac:dyDescent="0.25">
      <c r="A390" s="16"/>
      <c r="D390" s="16"/>
      <c r="F390" s="16"/>
      <c r="G390" s="16"/>
      <c r="H390" s="24"/>
      <c r="I390" s="24"/>
      <c r="L390"/>
    </row>
    <row r="391" spans="1:12" x14ac:dyDescent="0.25">
      <c r="A391" s="16"/>
      <c r="D391" s="16"/>
      <c r="F391" s="16"/>
      <c r="G391" s="16"/>
      <c r="H391" s="24"/>
      <c r="I391" s="24"/>
      <c r="L391"/>
    </row>
    <row r="392" spans="1:12" x14ac:dyDescent="0.25">
      <c r="A392" s="16"/>
      <c r="D392" s="16"/>
      <c r="F392" s="16"/>
      <c r="G392" s="16"/>
      <c r="H392" s="24"/>
      <c r="I392" s="24"/>
      <c r="L392"/>
    </row>
    <row r="393" spans="1:12" x14ac:dyDescent="0.25">
      <c r="A393" s="16"/>
      <c r="D393" s="16"/>
      <c r="F393" s="16"/>
      <c r="G393" s="16"/>
      <c r="H393" s="24"/>
      <c r="I393" s="24"/>
      <c r="L393"/>
    </row>
    <row r="394" spans="1:12" x14ac:dyDescent="0.25">
      <c r="A394" s="16"/>
      <c r="D394" s="16"/>
      <c r="F394" s="16"/>
      <c r="G394" s="16"/>
      <c r="H394" s="24"/>
      <c r="I394" s="24"/>
      <c r="L394"/>
    </row>
    <row r="395" spans="1:12" x14ac:dyDescent="0.25">
      <c r="A395" s="16"/>
      <c r="D395" s="16"/>
      <c r="F395" s="16"/>
      <c r="G395" s="16"/>
      <c r="H395" s="24"/>
      <c r="I395" s="24"/>
      <c r="L395"/>
    </row>
    <row r="396" spans="1:12" x14ac:dyDescent="0.25">
      <c r="A396" s="16"/>
      <c r="D396" s="16"/>
      <c r="F396" s="16"/>
      <c r="G396" s="16"/>
      <c r="H396" s="24"/>
      <c r="I396" s="24"/>
      <c r="L396"/>
    </row>
    <row r="397" spans="1:12" x14ac:dyDescent="0.25">
      <c r="A397" s="16"/>
      <c r="D397" s="16"/>
      <c r="F397" s="16"/>
      <c r="G397" s="16"/>
      <c r="H397" s="24"/>
      <c r="I397" s="24"/>
      <c r="L397"/>
    </row>
    <row r="398" spans="1:12" x14ac:dyDescent="0.25">
      <c r="A398" s="16"/>
      <c r="D398" s="16"/>
      <c r="F398" s="16"/>
      <c r="G398" s="16"/>
      <c r="H398" s="24"/>
      <c r="I398" s="24"/>
      <c r="L398"/>
    </row>
    <row r="399" spans="1:12" x14ac:dyDescent="0.25">
      <c r="A399" s="16"/>
      <c r="D399" s="16"/>
      <c r="F399" s="16"/>
      <c r="G399" s="16"/>
      <c r="H399" s="24"/>
      <c r="I399" s="24"/>
      <c r="L399"/>
    </row>
    <row r="400" spans="1:12" x14ac:dyDescent="0.25">
      <c r="A400" s="16"/>
      <c r="D400" s="16"/>
      <c r="F400" s="16"/>
      <c r="G400" s="16"/>
      <c r="H400" s="24"/>
      <c r="I400" s="24"/>
      <c r="L400"/>
    </row>
    <row r="401" spans="1:12" x14ac:dyDescent="0.25">
      <c r="A401" s="16"/>
      <c r="D401" s="16"/>
      <c r="F401" s="16"/>
      <c r="G401" s="16"/>
      <c r="H401" s="24"/>
      <c r="I401" s="24"/>
      <c r="L401"/>
    </row>
    <row r="402" spans="1:12" x14ac:dyDescent="0.25">
      <c r="A402" s="16"/>
      <c r="D402" s="16"/>
      <c r="F402" s="16"/>
      <c r="G402" s="16"/>
      <c r="H402" s="24"/>
      <c r="I402" s="24"/>
      <c r="L402"/>
    </row>
    <row r="403" spans="1:12" x14ac:dyDescent="0.25">
      <c r="A403" s="16"/>
      <c r="D403" s="16"/>
      <c r="F403" s="16"/>
      <c r="G403" s="16"/>
      <c r="H403" s="24"/>
      <c r="I403" s="24"/>
      <c r="L403"/>
    </row>
    <row r="404" spans="1:12" x14ac:dyDescent="0.25">
      <c r="A404" s="16"/>
      <c r="D404" s="16"/>
      <c r="F404" s="16"/>
      <c r="G404" s="16"/>
      <c r="H404" s="24"/>
      <c r="I404" s="24"/>
      <c r="L404"/>
    </row>
    <row r="405" spans="1:12" x14ac:dyDescent="0.25">
      <c r="A405" s="16"/>
      <c r="D405" s="16"/>
      <c r="F405" s="16"/>
      <c r="G405" s="16"/>
      <c r="H405" s="24"/>
      <c r="I405" s="24"/>
      <c r="L405"/>
    </row>
    <row r="406" spans="1:12" x14ac:dyDescent="0.25">
      <c r="A406" s="16"/>
      <c r="D406" s="16"/>
      <c r="F406" s="16"/>
      <c r="G406" s="16"/>
      <c r="H406" s="24"/>
      <c r="I406" s="24"/>
      <c r="L406"/>
    </row>
    <row r="407" spans="1:12" x14ac:dyDescent="0.25">
      <c r="A407" s="16"/>
      <c r="D407" s="16"/>
      <c r="F407" s="16"/>
      <c r="G407" s="16"/>
      <c r="H407" s="24"/>
      <c r="I407" s="24"/>
      <c r="L407"/>
    </row>
    <row r="408" spans="1:12" x14ac:dyDescent="0.25">
      <c r="A408" s="16"/>
      <c r="D408" s="16"/>
      <c r="F408" s="16"/>
      <c r="G408" s="16"/>
      <c r="H408" s="24"/>
      <c r="I408" s="24"/>
      <c r="L408"/>
    </row>
    <row r="409" spans="1:12" x14ac:dyDescent="0.25">
      <c r="A409" s="16"/>
      <c r="D409" s="16"/>
      <c r="F409" s="16"/>
      <c r="G409" s="16"/>
      <c r="H409" s="24"/>
      <c r="I409" s="24"/>
      <c r="L409"/>
    </row>
    <row r="410" spans="1:12" x14ac:dyDescent="0.25">
      <c r="A410" s="16"/>
      <c r="D410" s="16"/>
      <c r="F410" s="16"/>
      <c r="G410" s="16"/>
      <c r="H410" s="24"/>
      <c r="I410" s="24"/>
      <c r="L410"/>
    </row>
    <row r="411" spans="1:12" x14ac:dyDescent="0.25">
      <c r="A411" s="16"/>
      <c r="D411" s="16"/>
      <c r="F411" s="16"/>
      <c r="G411" s="16"/>
      <c r="H411" s="24"/>
      <c r="I411" s="24"/>
      <c r="L411"/>
    </row>
    <row r="412" spans="1:12" x14ac:dyDescent="0.25">
      <c r="A412" s="16"/>
      <c r="D412" s="16"/>
      <c r="F412" s="16"/>
      <c r="G412" s="16"/>
      <c r="H412" s="24"/>
      <c r="I412" s="24"/>
      <c r="L412"/>
    </row>
    <row r="413" spans="1:12" x14ac:dyDescent="0.25">
      <c r="A413" s="16"/>
      <c r="D413" s="16"/>
      <c r="F413" s="16"/>
      <c r="G413" s="16"/>
      <c r="H413" s="24"/>
      <c r="I413" s="24"/>
      <c r="L413"/>
    </row>
    <row r="414" spans="1:12" x14ac:dyDescent="0.25">
      <c r="A414" s="16"/>
      <c r="D414" s="16"/>
      <c r="F414" s="16"/>
      <c r="G414" s="16"/>
      <c r="H414" s="24"/>
      <c r="I414" s="24"/>
      <c r="L414"/>
    </row>
    <row r="415" spans="1:12" x14ac:dyDescent="0.25">
      <c r="A415" s="16"/>
      <c r="D415" s="16"/>
      <c r="F415" s="16"/>
      <c r="G415" s="16"/>
      <c r="H415" s="24"/>
      <c r="I415" s="24"/>
      <c r="L415"/>
    </row>
    <row r="416" spans="1:12" x14ac:dyDescent="0.25">
      <c r="A416" s="16"/>
      <c r="D416" s="16"/>
      <c r="F416" s="16"/>
      <c r="G416" s="16"/>
      <c r="H416" s="24"/>
      <c r="I416" s="24"/>
      <c r="L416"/>
    </row>
    <row r="417" spans="1:12" x14ac:dyDescent="0.25">
      <c r="A417" s="16"/>
      <c r="D417" s="16"/>
      <c r="F417" s="16"/>
      <c r="G417" s="16"/>
      <c r="H417" s="24"/>
      <c r="I417" s="24"/>
      <c r="L417"/>
    </row>
    <row r="418" spans="1:12" x14ac:dyDescent="0.25">
      <c r="A418" s="16"/>
      <c r="D418" s="16"/>
      <c r="F418" s="16"/>
      <c r="G418" s="16"/>
      <c r="H418" s="24"/>
      <c r="I418" s="24"/>
      <c r="L418"/>
    </row>
    <row r="419" spans="1:12" x14ac:dyDescent="0.25">
      <c r="A419" s="16"/>
      <c r="D419" s="16"/>
      <c r="F419" s="16"/>
      <c r="G419" s="16"/>
      <c r="H419" s="24"/>
      <c r="I419" s="24"/>
      <c r="L419"/>
    </row>
    <row r="420" spans="1:12" x14ac:dyDescent="0.25">
      <c r="A420" s="16"/>
      <c r="D420" s="16"/>
      <c r="F420" s="16"/>
      <c r="G420" s="16"/>
      <c r="H420" s="24"/>
      <c r="I420" s="24"/>
      <c r="L420"/>
    </row>
    <row r="421" spans="1:12" x14ac:dyDescent="0.25">
      <c r="A421" s="16"/>
      <c r="D421" s="16"/>
      <c r="F421" s="16"/>
      <c r="G421" s="16"/>
      <c r="H421" s="24"/>
      <c r="I421" s="24"/>
      <c r="L421"/>
    </row>
    <row r="422" spans="1:12" x14ac:dyDescent="0.25">
      <c r="A422" s="16"/>
      <c r="D422" s="16"/>
      <c r="F422" s="16"/>
      <c r="G422" s="16"/>
      <c r="H422" s="24"/>
      <c r="I422" s="24"/>
      <c r="L422"/>
    </row>
    <row r="423" spans="1:12" x14ac:dyDescent="0.25">
      <c r="A423" s="16"/>
      <c r="D423" s="16"/>
      <c r="F423" s="16"/>
      <c r="G423" s="16"/>
      <c r="H423" s="24"/>
      <c r="I423" s="24"/>
      <c r="L423"/>
    </row>
    <row r="424" spans="1:12" x14ac:dyDescent="0.25">
      <c r="A424" s="16"/>
      <c r="D424" s="16"/>
      <c r="F424" s="16"/>
      <c r="G424" s="16"/>
      <c r="H424" s="24"/>
      <c r="I424" s="24"/>
      <c r="L424"/>
    </row>
    <row r="425" spans="1:12" x14ac:dyDescent="0.25">
      <c r="A425" s="16"/>
      <c r="D425" s="16"/>
      <c r="F425" s="16"/>
      <c r="G425" s="16"/>
      <c r="H425" s="24"/>
      <c r="I425" s="24"/>
      <c r="L425"/>
    </row>
    <row r="426" spans="1:12" x14ac:dyDescent="0.25">
      <c r="A426" s="16"/>
      <c r="D426" s="16"/>
      <c r="F426" s="16"/>
      <c r="G426" s="16"/>
      <c r="H426" s="24"/>
      <c r="I426" s="24"/>
      <c r="L426"/>
    </row>
    <row r="427" spans="1:12" x14ac:dyDescent="0.25">
      <c r="A427" s="16"/>
      <c r="D427" s="16"/>
      <c r="F427" s="16"/>
      <c r="G427" s="16"/>
      <c r="H427" s="24"/>
      <c r="I427" s="24"/>
      <c r="L427"/>
    </row>
    <row r="428" spans="1:12" x14ac:dyDescent="0.25">
      <c r="A428" s="16"/>
      <c r="D428" s="16"/>
      <c r="F428" s="16"/>
      <c r="G428" s="16"/>
      <c r="H428" s="24"/>
      <c r="I428" s="24"/>
      <c r="L428"/>
    </row>
    <row r="429" spans="1:12" x14ac:dyDescent="0.25">
      <c r="A429" s="16"/>
      <c r="D429" s="16"/>
      <c r="F429" s="16"/>
      <c r="G429" s="16"/>
      <c r="H429" s="24"/>
      <c r="I429" s="24"/>
      <c r="L429"/>
    </row>
    <row r="430" spans="1:12" x14ac:dyDescent="0.25">
      <c r="A430" s="16"/>
      <c r="D430" s="16"/>
      <c r="F430" s="16"/>
      <c r="G430" s="16"/>
      <c r="H430" s="24"/>
      <c r="I430" s="24"/>
      <c r="L430"/>
    </row>
    <row r="431" spans="1:12" x14ac:dyDescent="0.25">
      <c r="A431" s="16"/>
      <c r="D431" s="16"/>
      <c r="F431" s="16"/>
      <c r="G431" s="16"/>
      <c r="H431" s="24"/>
      <c r="I431" s="24"/>
      <c r="L431"/>
    </row>
    <row r="432" spans="1:12" x14ac:dyDescent="0.25">
      <c r="A432" s="16"/>
      <c r="D432" s="16"/>
      <c r="F432" s="16"/>
      <c r="G432" s="16"/>
      <c r="H432" s="24"/>
      <c r="I432" s="24"/>
      <c r="L432"/>
    </row>
    <row r="433" spans="1:12" x14ac:dyDescent="0.25">
      <c r="A433" s="16"/>
      <c r="D433" s="16"/>
      <c r="F433" s="16"/>
      <c r="G433" s="16"/>
      <c r="H433" s="24"/>
      <c r="I433" s="24"/>
      <c r="L433"/>
    </row>
    <row r="434" spans="1:12" x14ac:dyDescent="0.25">
      <c r="A434" s="16"/>
      <c r="D434" s="16"/>
      <c r="F434" s="16"/>
      <c r="G434" s="16"/>
      <c r="H434" s="24"/>
      <c r="I434" s="24"/>
      <c r="L434"/>
    </row>
    <row r="435" spans="1:12" x14ac:dyDescent="0.25">
      <c r="A435" s="16"/>
      <c r="D435" s="16"/>
      <c r="F435" s="16"/>
      <c r="G435" s="16"/>
      <c r="H435" s="24"/>
      <c r="I435" s="24"/>
      <c r="L435"/>
    </row>
    <row r="436" spans="1:12" x14ac:dyDescent="0.25">
      <c r="A436" s="16"/>
      <c r="D436" s="16"/>
      <c r="F436" s="16"/>
      <c r="G436" s="16"/>
      <c r="H436" s="24"/>
      <c r="I436" s="24"/>
      <c r="L436"/>
    </row>
    <row r="437" spans="1:12" x14ac:dyDescent="0.25">
      <c r="A437" s="16"/>
      <c r="D437" s="16"/>
      <c r="F437" s="16"/>
      <c r="G437" s="16"/>
      <c r="H437" s="24"/>
      <c r="I437" s="24"/>
      <c r="L437"/>
    </row>
    <row r="438" spans="1:12" x14ac:dyDescent="0.25">
      <c r="A438" s="16"/>
      <c r="D438" s="16"/>
      <c r="F438" s="16"/>
      <c r="G438" s="16"/>
      <c r="H438" s="24"/>
      <c r="I438" s="24"/>
      <c r="L438"/>
    </row>
    <row r="439" spans="1:12" x14ac:dyDescent="0.25">
      <c r="A439" s="16"/>
      <c r="D439" s="16"/>
      <c r="F439" s="16"/>
      <c r="G439" s="16"/>
      <c r="H439" s="24"/>
      <c r="I439" s="24"/>
      <c r="L439"/>
    </row>
    <row r="440" spans="1:12" x14ac:dyDescent="0.25">
      <c r="A440" s="16"/>
      <c r="D440" s="16"/>
      <c r="F440" s="16"/>
      <c r="G440" s="16"/>
      <c r="H440" s="24"/>
      <c r="I440" s="24"/>
      <c r="L440"/>
    </row>
    <row r="441" spans="1:12" x14ac:dyDescent="0.25">
      <c r="A441" s="16"/>
      <c r="D441" s="16"/>
      <c r="F441" s="16"/>
      <c r="G441" s="16"/>
      <c r="H441" s="24"/>
      <c r="I441" s="24"/>
      <c r="L441"/>
    </row>
    <row r="442" spans="1:12" x14ac:dyDescent="0.25">
      <c r="A442" s="16"/>
      <c r="D442" s="16"/>
      <c r="F442" s="16"/>
      <c r="G442" s="16"/>
      <c r="H442" s="24"/>
      <c r="I442" s="24"/>
      <c r="L442"/>
    </row>
    <row r="443" spans="1:12" x14ac:dyDescent="0.25">
      <c r="A443" s="16"/>
      <c r="D443" s="16"/>
      <c r="F443" s="16"/>
      <c r="G443" s="16"/>
      <c r="H443" s="24"/>
      <c r="I443" s="24"/>
      <c r="L443"/>
    </row>
    <row r="444" spans="1:12" x14ac:dyDescent="0.25">
      <c r="A444" s="16"/>
      <c r="D444" s="16"/>
      <c r="F444" s="16"/>
      <c r="G444" s="16"/>
      <c r="H444" s="24"/>
      <c r="I444" s="24"/>
      <c r="L444"/>
    </row>
    <row r="445" spans="1:12" x14ac:dyDescent="0.25">
      <c r="A445" s="16"/>
      <c r="D445" s="16"/>
      <c r="F445" s="16"/>
      <c r="G445" s="16"/>
      <c r="H445" s="24"/>
      <c r="I445" s="24"/>
      <c r="L445"/>
    </row>
    <row r="446" spans="1:12" x14ac:dyDescent="0.25">
      <c r="A446" s="16"/>
      <c r="D446" s="16"/>
      <c r="F446" s="16"/>
      <c r="G446" s="16"/>
      <c r="H446" s="24"/>
      <c r="I446" s="24"/>
      <c r="L446"/>
    </row>
    <row r="447" spans="1:12" x14ac:dyDescent="0.25">
      <c r="A447" s="16"/>
      <c r="D447" s="16"/>
      <c r="F447" s="16"/>
      <c r="G447" s="16"/>
      <c r="H447" s="24"/>
      <c r="I447" s="24"/>
      <c r="L447"/>
    </row>
    <row r="448" spans="1:12" x14ac:dyDescent="0.25">
      <c r="A448" s="16"/>
      <c r="D448" s="16"/>
      <c r="F448" s="16"/>
      <c r="G448" s="16"/>
      <c r="H448" s="24"/>
      <c r="I448" s="24"/>
      <c r="L448"/>
    </row>
    <row r="449" spans="1:12" x14ac:dyDescent="0.25">
      <c r="A449" s="16"/>
      <c r="D449" s="16"/>
      <c r="F449" s="16"/>
      <c r="G449" s="16"/>
      <c r="H449" s="24"/>
      <c r="I449" s="24"/>
      <c r="L449"/>
    </row>
    <row r="450" spans="1:12" x14ac:dyDescent="0.25">
      <c r="A450" s="16"/>
      <c r="D450" s="16"/>
      <c r="F450" s="16"/>
      <c r="G450" s="16"/>
      <c r="H450" s="24"/>
      <c r="I450" s="24"/>
      <c r="L450"/>
    </row>
    <row r="451" spans="1:12" x14ac:dyDescent="0.25">
      <c r="A451" s="16"/>
      <c r="D451" s="16"/>
      <c r="F451" s="16"/>
      <c r="G451" s="16"/>
      <c r="H451" s="24"/>
      <c r="I451" s="24"/>
      <c r="L451"/>
    </row>
    <row r="452" spans="1:12" x14ac:dyDescent="0.25">
      <c r="A452" s="16"/>
      <c r="D452" s="16"/>
      <c r="F452" s="16"/>
      <c r="G452" s="16"/>
      <c r="H452" s="24"/>
      <c r="I452" s="24"/>
      <c r="L452"/>
    </row>
    <row r="453" spans="1:12" x14ac:dyDescent="0.25">
      <c r="A453" s="16"/>
      <c r="D453" s="16"/>
      <c r="F453" s="16"/>
      <c r="G453" s="16"/>
      <c r="H453" s="24"/>
      <c r="I453" s="24"/>
      <c r="L453"/>
    </row>
    <row r="454" spans="1:12" x14ac:dyDescent="0.25">
      <c r="A454" s="16"/>
      <c r="D454" s="16"/>
      <c r="F454" s="16"/>
      <c r="G454" s="16"/>
      <c r="H454" s="24"/>
      <c r="I454" s="24"/>
      <c r="L454"/>
    </row>
    <row r="455" spans="1:12" x14ac:dyDescent="0.25">
      <c r="A455" s="16"/>
      <c r="D455" s="16"/>
      <c r="F455" s="16"/>
      <c r="G455" s="16"/>
      <c r="H455" s="24"/>
      <c r="I455" s="24"/>
      <c r="L455"/>
    </row>
    <row r="456" spans="1:12" x14ac:dyDescent="0.25">
      <c r="A456" s="16"/>
      <c r="D456" s="16"/>
      <c r="F456" s="16"/>
      <c r="G456" s="16"/>
      <c r="H456" s="24"/>
      <c r="I456" s="24"/>
      <c r="L456"/>
    </row>
    <row r="457" spans="1:12" x14ac:dyDescent="0.25">
      <c r="A457" s="16"/>
      <c r="D457" s="16"/>
      <c r="F457" s="16"/>
      <c r="G457" s="16"/>
      <c r="H457" s="24"/>
      <c r="I457" s="24"/>
      <c r="L457"/>
    </row>
    <row r="458" spans="1:12" x14ac:dyDescent="0.25">
      <c r="A458" s="16"/>
      <c r="D458" s="16"/>
      <c r="F458" s="16"/>
      <c r="G458" s="16"/>
      <c r="H458" s="24"/>
      <c r="I458" s="24"/>
      <c r="L458"/>
    </row>
    <row r="459" spans="1:12" x14ac:dyDescent="0.25">
      <c r="A459" s="16"/>
      <c r="D459" s="16"/>
      <c r="F459" s="16"/>
      <c r="G459" s="16"/>
      <c r="H459" s="24"/>
      <c r="I459" s="24"/>
      <c r="L459"/>
    </row>
    <row r="460" spans="1:12" x14ac:dyDescent="0.25">
      <c r="A460" s="16"/>
      <c r="D460" s="16"/>
      <c r="F460" s="16"/>
      <c r="G460" s="16"/>
      <c r="H460" s="24"/>
      <c r="I460" s="24"/>
      <c r="L460"/>
    </row>
    <row r="461" spans="1:12" x14ac:dyDescent="0.25">
      <c r="A461" s="16"/>
      <c r="D461" s="16"/>
      <c r="F461" s="16"/>
      <c r="G461" s="16"/>
      <c r="H461" s="24"/>
      <c r="I461" s="24"/>
      <c r="L461"/>
    </row>
    <row r="462" spans="1:12" x14ac:dyDescent="0.25">
      <c r="A462" s="16"/>
      <c r="D462" s="16"/>
      <c r="F462" s="16"/>
      <c r="G462" s="16"/>
      <c r="H462" s="24"/>
      <c r="I462" s="24"/>
      <c r="L462"/>
    </row>
    <row r="463" spans="1:12" x14ac:dyDescent="0.25">
      <c r="A463" s="16"/>
      <c r="D463" s="16"/>
      <c r="F463" s="16"/>
      <c r="G463" s="16"/>
      <c r="H463" s="24"/>
      <c r="I463" s="24"/>
      <c r="L463"/>
    </row>
    <row r="464" spans="1:12" x14ac:dyDescent="0.25">
      <c r="A464" s="16"/>
      <c r="D464" s="16"/>
      <c r="F464" s="16"/>
      <c r="G464" s="16"/>
      <c r="H464" s="24"/>
      <c r="I464" s="24"/>
      <c r="L464"/>
    </row>
    <row r="465" spans="1:12" x14ac:dyDescent="0.25">
      <c r="A465" s="16"/>
      <c r="D465" s="16"/>
      <c r="F465" s="16"/>
      <c r="G465" s="16"/>
      <c r="H465" s="24"/>
      <c r="I465" s="24"/>
      <c r="L465"/>
    </row>
    <row r="466" spans="1:12" x14ac:dyDescent="0.25">
      <c r="A466" s="16"/>
      <c r="D466" s="16"/>
      <c r="F466" s="16"/>
      <c r="G466" s="16"/>
      <c r="H466" s="24"/>
      <c r="I466" s="24"/>
      <c r="L466"/>
    </row>
    <row r="467" spans="1:12" x14ac:dyDescent="0.25">
      <c r="A467" s="16"/>
      <c r="D467" s="16"/>
      <c r="F467" s="16"/>
      <c r="G467" s="16"/>
      <c r="H467" s="24"/>
      <c r="I467" s="24"/>
      <c r="L467"/>
    </row>
    <row r="468" spans="1:12" x14ac:dyDescent="0.25">
      <c r="A468" s="16"/>
      <c r="D468" s="16"/>
      <c r="F468" s="16"/>
      <c r="G468" s="16"/>
      <c r="H468" s="24"/>
      <c r="I468" s="24"/>
      <c r="L468"/>
    </row>
    <row r="469" spans="1:12" x14ac:dyDescent="0.25">
      <c r="A469" s="16"/>
      <c r="D469" s="16"/>
      <c r="F469" s="16"/>
      <c r="G469" s="16"/>
      <c r="H469" s="24"/>
      <c r="I469" s="24"/>
      <c r="L469"/>
    </row>
    <row r="470" spans="1:12" x14ac:dyDescent="0.25">
      <c r="A470" s="16"/>
      <c r="D470" s="16"/>
      <c r="F470" s="16"/>
      <c r="G470" s="16"/>
      <c r="H470" s="24"/>
      <c r="I470" s="24"/>
      <c r="L470"/>
    </row>
    <row r="471" spans="1:12" x14ac:dyDescent="0.25">
      <c r="A471" s="16"/>
      <c r="D471" s="16"/>
      <c r="F471" s="16"/>
      <c r="G471" s="16"/>
      <c r="H471" s="24"/>
      <c r="I471" s="24"/>
      <c r="L471"/>
    </row>
    <row r="472" spans="1:12" x14ac:dyDescent="0.25">
      <c r="A472" s="16"/>
      <c r="D472" s="16"/>
      <c r="F472" s="16"/>
      <c r="G472" s="16"/>
      <c r="H472" s="24"/>
      <c r="I472" s="24"/>
      <c r="L472"/>
    </row>
    <row r="473" spans="1:12" x14ac:dyDescent="0.25">
      <c r="A473" s="16"/>
      <c r="D473" s="16"/>
      <c r="F473" s="16"/>
      <c r="G473" s="16"/>
      <c r="H473" s="24"/>
      <c r="I473" s="24"/>
      <c r="L473"/>
    </row>
    <row r="474" spans="1:12" x14ac:dyDescent="0.25">
      <c r="A474" s="16"/>
      <c r="D474" s="16"/>
      <c r="F474" s="16"/>
      <c r="G474" s="16"/>
      <c r="H474" s="24"/>
      <c r="I474" s="24"/>
      <c r="L474"/>
    </row>
    <row r="475" spans="1:12" x14ac:dyDescent="0.25">
      <c r="A475" s="16"/>
      <c r="D475" s="16"/>
      <c r="F475" s="16"/>
      <c r="G475" s="16"/>
      <c r="H475" s="24"/>
      <c r="I475" s="24"/>
      <c r="L475"/>
    </row>
    <row r="476" spans="1:12" x14ac:dyDescent="0.25">
      <c r="A476" s="16"/>
      <c r="D476" s="16"/>
      <c r="F476" s="16"/>
      <c r="G476" s="16"/>
      <c r="H476" s="24"/>
      <c r="I476" s="24"/>
      <c r="L476"/>
    </row>
    <row r="477" spans="1:12" x14ac:dyDescent="0.25">
      <c r="A477" s="16"/>
      <c r="D477" s="16"/>
      <c r="F477" s="16"/>
      <c r="G477" s="16"/>
      <c r="H477" s="24"/>
      <c r="I477" s="24"/>
      <c r="L477"/>
    </row>
    <row r="478" spans="1:12" x14ac:dyDescent="0.25">
      <c r="A478" s="16"/>
      <c r="D478" s="16"/>
      <c r="F478" s="16"/>
      <c r="G478" s="16"/>
      <c r="H478" s="24"/>
      <c r="I478" s="24"/>
      <c r="L478"/>
    </row>
    <row r="479" spans="1:12" x14ac:dyDescent="0.25">
      <c r="A479" s="16"/>
      <c r="D479" s="16"/>
      <c r="F479" s="16"/>
      <c r="G479" s="16"/>
      <c r="H479" s="24"/>
      <c r="I479" s="24"/>
      <c r="L479"/>
    </row>
    <row r="480" spans="1:12" x14ac:dyDescent="0.25">
      <c r="A480" s="16"/>
      <c r="D480" s="16"/>
      <c r="F480" s="16"/>
      <c r="G480" s="16"/>
      <c r="H480" s="24"/>
      <c r="I480" s="24"/>
      <c r="L480"/>
    </row>
    <row r="481" spans="1:12" x14ac:dyDescent="0.25">
      <c r="A481" s="16"/>
      <c r="D481" s="16"/>
      <c r="F481" s="16"/>
      <c r="G481" s="16"/>
      <c r="H481" s="24"/>
      <c r="I481" s="24"/>
      <c r="L481"/>
    </row>
    <row r="482" spans="1:12" x14ac:dyDescent="0.25">
      <c r="A482" s="16"/>
      <c r="D482" s="16"/>
      <c r="F482" s="16"/>
      <c r="G482" s="16"/>
      <c r="H482" s="24"/>
      <c r="I482" s="24"/>
      <c r="L482"/>
    </row>
    <row r="483" spans="1:12" x14ac:dyDescent="0.25">
      <c r="A483" s="16"/>
      <c r="D483" s="16"/>
      <c r="F483" s="16"/>
      <c r="G483" s="16"/>
      <c r="H483" s="24"/>
      <c r="I483" s="24"/>
      <c r="L483"/>
    </row>
    <row r="484" spans="1:12" x14ac:dyDescent="0.25">
      <c r="A484" s="16"/>
      <c r="D484" s="16"/>
      <c r="F484" s="16"/>
      <c r="G484" s="16"/>
      <c r="H484" s="24"/>
      <c r="I484" s="24"/>
      <c r="L484"/>
    </row>
    <row r="485" spans="1:12" x14ac:dyDescent="0.25">
      <c r="A485" s="16"/>
      <c r="D485" s="16"/>
      <c r="F485" s="16"/>
      <c r="G485" s="16"/>
      <c r="H485" s="24"/>
      <c r="I485" s="24"/>
      <c r="L485"/>
    </row>
    <row r="486" spans="1:12" x14ac:dyDescent="0.25">
      <c r="A486" s="16"/>
      <c r="D486" s="16"/>
      <c r="F486" s="16"/>
      <c r="G486" s="16"/>
      <c r="H486" s="24"/>
      <c r="I486" s="24"/>
      <c r="L486"/>
    </row>
    <row r="487" spans="1:12" x14ac:dyDescent="0.25">
      <c r="A487" s="16"/>
      <c r="D487" s="16"/>
      <c r="F487" s="16"/>
      <c r="G487" s="16"/>
      <c r="H487" s="24"/>
      <c r="I487" s="24"/>
      <c r="L487"/>
    </row>
    <row r="488" spans="1:12" x14ac:dyDescent="0.25">
      <c r="A488" s="16"/>
      <c r="D488" s="16"/>
      <c r="F488" s="16"/>
      <c r="G488" s="16"/>
      <c r="H488" s="24"/>
      <c r="I488" s="24"/>
      <c r="L488"/>
    </row>
    <row r="489" spans="1:12" x14ac:dyDescent="0.25">
      <c r="A489" s="16"/>
      <c r="D489" s="16"/>
      <c r="F489" s="16"/>
      <c r="G489" s="16"/>
      <c r="H489" s="24"/>
      <c r="I489" s="24"/>
      <c r="L489"/>
    </row>
    <row r="490" spans="1:12" x14ac:dyDescent="0.25">
      <c r="A490" s="16"/>
      <c r="D490" s="16"/>
      <c r="F490" s="16"/>
      <c r="G490" s="16"/>
      <c r="H490" s="24"/>
      <c r="I490" s="24"/>
      <c r="L490"/>
    </row>
    <row r="491" spans="1:12" x14ac:dyDescent="0.25">
      <c r="A491" s="16"/>
      <c r="D491" s="16"/>
      <c r="F491" s="16"/>
      <c r="G491" s="16"/>
      <c r="H491" s="24"/>
      <c r="I491" s="24"/>
      <c r="L491"/>
    </row>
    <row r="492" spans="1:12" x14ac:dyDescent="0.25">
      <c r="A492" s="16"/>
      <c r="D492" s="16"/>
      <c r="F492" s="16"/>
      <c r="G492" s="16"/>
      <c r="H492" s="24"/>
      <c r="I492" s="24"/>
      <c r="L492"/>
    </row>
    <row r="493" spans="1:12" x14ac:dyDescent="0.25">
      <c r="A493" s="16"/>
      <c r="D493" s="16"/>
      <c r="F493" s="16"/>
      <c r="G493" s="16"/>
      <c r="H493" s="24"/>
      <c r="I493" s="24"/>
      <c r="L493"/>
    </row>
    <row r="494" spans="1:12" x14ac:dyDescent="0.25">
      <c r="A494" s="16"/>
      <c r="D494" s="16"/>
      <c r="F494" s="16"/>
      <c r="G494" s="16"/>
      <c r="H494" s="24"/>
      <c r="I494" s="24"/>
      <c r="L494"/>
    </row>
    <row r="495" spans="1:12" x14ac:dyDescent="0.25">
      <c r="A495" s="16"/>
      <c r="D495" s="16"/>
      <c r="F495" s="16"/>
      <c r="G495" s="16"/>
      <c r="H495" s="24"/>
      <c r="I495" s="24"/>
      <c r="L495"/>
    </row>
    <row r="496" spans="1:12" x14ac:dyDescent="0.25">
      <c r="A496" s="16"/>
      <c r="D496" s="16"/>
      <c r="F496" s="16"/>
      <c r="G496" s="16"/>
      <c r="H496" s="24"/>
      <c r="I496" s="24"/>
      <c r="L496"/>
    </row>
    <row r="497" spans="1:12" x14ac:dyDescent="0.25">
      <c r="A497" s="16"/>
      <c r="D497" s="16"/>
      <c r="F497" s="16"/>
      <c r="G497" s="16"/>
      <c r="H497" s="24"/>
      <c r="I497" s="24"/>
      <c r="L497"/>
    </row>
    <row r="498" spans="1:12" x14ac:dyDescent="0.25">
      <c r="A498" s="16"/>
      <c r="D498" s="16"/>
      <c r="F498" s="16"/>
      <c r="G498" s="16"/>
      <c r="H498" s="24"/>
      <c r="I498" s="24"/>
      <c r="L498"/>
    </row>
    <row r="499" spans="1:12" x14ac:dyDescent="0.25">
      <c r="A499" s="16"/>
      <c r="D499" s="16"/>
      <c r="F499" s="16"/>
      <c r="G499" s="16"/>
      <c r="H499" s="24"/>
      <c r="I499" s="24"/>
      <c r="L499"/>
    </row>
    <row r="500" spans="1:12" x14ac:dyDescent="0.25">
      <c r="A500" s="16"/>
      <c r="D500" s="16"/>
      <c r="F500" s="16"/>
      <c r="G500" s="16"/>
      <c r="H500" s="24"/>
      <c r="I500" s="24"/>
      <c r="L500"/>
    </row>
    <row r="501" spans="1:12" x14ac:dyDescent="0.25">
      <c r="A501" s="16"/>
      <c r="D501" s="16"/>
      <c r="F501" s="16"/>
      <c r="G501" s="16"/>
      <c r="H501" s="24"/>
      <c r="I501" s="24"/>
      <c r="L501"/>
    </row>
    <row r="502" spans="1:12" x14ac:dyDescent="0.25">
      <c r="A502" s="16"/>
      <c r="D502" s="16"/>
      <c r="F502" s="16"/>
      <c r="G502" s="16"/>
      <c r="H502" s="24"/>
      <c r="I502" s="24"/>
      <c r="L502"/>
    </row>
    <row r="503" spans="1:12" x14ac:dyDescent="0.25">
      <c r="A503" s="16"/>
      <c r="D503" s="16"/>
      <c r="F503" s="16"/>
      <c r="G503" s="16"/>
      <c r="H503" s="24"/>
      <c r="I503" s="24"/>
      <c r="L503"/>
    </row>
    <row r="504" spans="1:12" x14ac:dyDescent="0.25">
      <c r="A504" s="16"/>
      <c r="D504" s="16"/>
      <c r="F504" s="16"/>
      <c r="G504" s="16"/>
      <c r="H504" s="24"/>
      <c r="I504" s="24"/>
      <c r="L504"/>
    </row>
    <row r="505" spans="1:12" x14ac:dyDescent="0.25">
      <c r="A505" s="16"/>
      <c r="D505" s="16"/>
      <c r="F505" s="16"/>
      <c r="G505" s="16"/>
      <c r="H505" s="24"/>
      <c r="I505" s="24"/>
      <c r="L505"/>
    </row>
    <row r="506" spans="1:12" x14ac:dyDescent="0.25">
      <c r="A506" s="16"/>
      <c r="D506" s="16"/>
      <c r="F506" s="16"/>
      <c r="G506" s="16"/>
      <c r="H506" s="24"/>
      <c r="I506" s="24"/>
      <c r="L506"/>
    </row>
    <row r="507" spans="1:12" x14ac:dyDescent="0.25">
      <c r="A507" s="16"/>
      <c r="D507" s="16"/>
      <c r="F507" s="16"/>
      <c r="G507" s="16"/>
      <c r="H507" s="24"/>
      <c r="I507" s="24"/>
      <c r="L507"/>
    </row>
    <row r="508" spans="1:12" x14ac:dyDescent="0.25">
      <c r="A508" s="16"/>
      <c r="D508" s="16"/>
      <c r="F508" s="16"/>
      <c r="G508" s="16"/>
      <c r="H508" s="24"/>
      <c r="I508" s="24"/>
      <c r="L508"/>
    </row>
    <row r="509" spans="1:12" x14ac:dyDescent="0.25">
      <c r="A509" s="16"/>
      <c r="D509" s="16"/>
      <c r="F509" s="16"/>
      <c r="G509" s="16"/>
      <c r="H509" s="24"/>
      <c r="I509" s="24"/>
      <c r="L509"/>
    </row>
    <row r="510" spans="1:12" x14ac:dyDescent="0.25">
      <c r="A510" s="16"/>
      <c r="D510" s="16"/>
      <c r="F510" s="16"/>
      <c r="G510" s="16"/>
      <c r="H510" s="24"/>
      <c r="I510" s="24"/>
      <c r="L510"/>
    </row>
    <row r="511" spans="1:12" x14ac:dyDescent="0.25">
      <c r="A511" s="16"/>
      <c r="D511" s="16"/>
      <c r="F511" s="16"/>
      <c r="G511" s="16"/>
      <c r="H511" s="24"/>
      <c r="I511" s="24"/>
      <c r="L511"/>
    </row>
    <row r="512" spans="1:12" x14ac:dyDescent="0.25">
      <c r="A512" s="16"/>
      <c r="D512" s="16"/>
      <c r="F512" s="16"/>
      <c r="G512" s="16"/>
      <c r="H512" s="24"/>
      <c r="I512" s="24"/>
      <c r="L512"/>
    </row>
    <row r="513" spans="1:12" x14ac:dyDescent="0.25">
      <c r="A513" s="16"/>
      <c r="D513" s="16"/>
      <c r="F513" s="16"/>
      <c r="G513" s="16"/>
      <c r="H513" s="24"/>
      <c r="I513" s="24"/>
      <c r="L513"/>
    </row>
    <row r="514" spans="1:12" x14ac:dyDescent="0.25">
      <c r="A514" s="16"/>
      <c r="D514" s="16"/>
      <c r="F514" s="16"/>
      <c r="G514" s="16"/>
      <c r="H514" s="24"/>
      <c r="I514" s="24"/>
      <c r="L514"/>
    </row>
    <row r="515" spans="1:12" x14ac:dyDescent="0.25">
      <c r="A515" s="16"/>
      <c r="D515" s="16"/>
      <c r="F515" s="16"/>
      <c r="G515" s="16"/>
      <c r="H515" s="24"/>
      <c r="I515" s="24"/>
      <c r="L515"/>
    </row>
    <row r="516" spans="1:12" x14ac:dyDescent="0.25">
      <c r="A516" s="16"/>
      <c r="D516" s="16"/>
      <c r="F516" s="16"/>
      <c r="G516" s="16"/>
      <c r="H516" s="24"/>
      <c r="I516" s="24"/>
      <c r="L516"/>
    </row>
    <row r="517" spans="1:12" x14ac:dyDescent="0.25">
      <c r="A517" s="16"/>
      <c r="D517" s="16"/>
      <c r="F517" s="16"/>
      <c r="G517" s="16"/>
      <c r="H517" s="24"/>
      <c r="I517" s="24"/>
      <c r="L517"/>
    </row>
    <row r="518" spans="1:12" x14ac:dyDescent="0.25">
      <c r="A518" s="16"/>
      <c r="D518" s="16"/>
      <c r="F518" s="16"/>
      <c r="G518" s="16"/>
      <c r="H518" s="24"/>
      <c r="I518" s="24"/>
      <c r="L518"/>
    </row>
    <row r="519" spans="1:12" x14ac:dyDescent="0.25">
      <c r="A519" s="16"/>
      <c r="D519" s="16"/>
      <c r="F519" s="16"/>
      <c r="G519" s="16"/>
      <c r="H519" s="24"/>
      <c r="I519" s="24"/>
      <c r="L519"/>
    </row>
    <row r="520" spans="1:12" x14ac:dyDescent="0.25">
      <c r="A520" s="16"/>
      <c r="D520" s="16"/>
      <c r="F520" s="16"/>
      <c r="G520" s="16"/>
      <c r="H520" s="24"/>
      <c r="I520" s="24"/>
      <c r="L520"/>
    </row>
    <row r="521" spans="1:12" x14ac:dyDescent="0.25">
      <c r="A521" s="16"/>
      <c r="D521" s="16"/>
      <c r="F521" s="16"/>
      <c r="G521" s="16"/>
      <c r="H521" s="24"/>
      <c r="I521" s="24"/>
      <c r="L521"/>
    </row>
    <row r="522" spans="1:12" x14ac:dyDescent="0.25">
      <c r="A522" s="16"/>
      <c r="D522" s="16"/>
      <c r="F522" s="16"/>
      <c r="G522" s="16"/>
      <c r="H522" s="24"/>
      <c r="I522" s="24"/>
      <c r="L522"/>
    </row>
    <row r="523" spans="1:12" x14ac:dyDescent="0.25">
      <c r="A523" s="16"/>
      <c r="D523" s="16"/>
      <c r="F523" s="16"/>
      <c r="G523" s="16"/>
      <c r="H523" s="24"/>
      <c r="I523" s="24"/>
      <c r="L523"/>
    </row>
    <row r="524" spans="1:12" x14ac:dyDescent="0.25">
      <c r="A524" s="16"/>
      <c r="D524" s="16"/>
      <c r="F524" s="16"/>
      <c r="G524" s="16"/>
      <c r="H524" s="24"/>
      <c r="I524" s="24"/>
      <c r="L524"/>
    </row>
    <row r="525" spans="1:12" x14ac:dyDescent="0.25">
      <c r="A525" s="16"/>
      <c r="D525" s="16"/>
      <c r="F525" s="16"/>
      <c r="G525" s="16"/>
      <c r="H525" s="24"/>
      <c r="I525" s="24"/>
      <c r="L525"/>
    </row>
    <row r="526" spans="1:12" x14ac:dyDescent="0.25">
      <c r="A526" s="16"/>
      <c r="D526" s="16"/>
      <c r="F526" s="16"/>
      <c r="G526" s="16"/>
      <c r="H526" s="24"/>
      <c r="I526" s="24"/>
      <c r="L526"/>
    </row>
    <row r="527" spans="1:12" x14ac:dyDescent="0.25">
      <c r="A527" s="16"/>
      <c r="D527" s="16"/>
      <c r="F527" s="16"/>
      <c r="G527" s="16"/>
      <c r="H527" s="24"/>
      <c r="I527" s="24"/>
      <c r="L527"/>
    </row>
    <row r="528" spans="1:12" x14ac:dyDescent="0.25">
      <c r="A528" s="16"/>
      <c r="D528" s="16"/>
      <c r="F528" s="16"/>
      <c r="G528" s="16"/>
      <c r="H528" s="24"/>
      <c r="I528" s="24"/>
      <c r="L528"/>
    </row>
    <row r="529" spans="1:12" x14ac:dyDescent="0.25">
      <c r="A529" s="16"/>
      <c r="D529" s="16"/>
      <c r="F529" s="16"/>
      <c r="G529" s="16"/>
      <c r="H529" s="24"/>
      <c r="I529" s="24"/>
      <c r="L529"/>
    </row>
    <row r="530" spans="1:12" x14ac:dyDescent="0.25">
      <c r="A530" s="16"/>
      <c r="D530" s="16"/>
      <c r="F530" s="16"/>
      <c r="G530" s="16"/>
      <c r="H530" s="24"/>
      <c r="I530" s="24"/>
      <c r="L530"/>
    </row>
    <row r="531" spans="1:12" x14ac:dyDescent="0.25">
      <c r="A531" s="16"/>
      <c r="D531" s="16"/>
      <c r="F531" s="16"/>
      <c r="G531" s="16"/>
      <c r="H531" s="24"/>
      <c r="I531" s="24"/>
      <c r="L531"/>
    </row>
    <row r="532" spans="1:12" x14ac:dyDescent="0.25">
      <c r="A532" s="16"/>
      <c r="D532" s="16"/>
      <c r="F532" s="16"/>
      <c r="G532" s="16"/>
      <c r="H532" s="24"/>
      <c r="I532" s="24"/>
      <c r="L532"/>
    </row>
    <row r="533" spans="1:12" x14ac:dyDescent="0.25">
      <c r="A533" s="16"/>
      <c r="D533" s="16"/>
      <c r="F533" s="16"/>
      <c r="G533" s="16"/>
      <c r="H533" s="24"/>
      <c r="I533" s="24"/>
      <c r="L533"/>
    </row>
    <row r="534" spans="1:12" x14ac:dyDescent="0.25">
      <c r="A534" s="16"/>
      <c r="D534" s="16"/>
      <c r="F534" s="16"/>
      <c r="G534" s="16"/>
      <c r="H534" s="24"/>
      <c r="I534" s="24"/>
      <c r="L534"/>
    </row>
    <row r="535" spans="1:12" x14ac:dyDescent="0.25">
      <c r="A535" s="16"/>
      <c r="D535" s="16"/>
      <c r="F535" s="16"/>
      <c r="G535" s="16"/>
      <c r="H535" s="24"/>
      <c r="I535" s="24"/>
      <c r="L535"/>
    </row>
    <row r="536" spans="1:12" x14ac:dyDescent="0.25">
      <c r="A536" s="16"/>
      <c r="D536" s="16"/>
      <c r="F536" s="16"/>
      <c r="G536" s="16"/>
      <c r="H536" s="24"/>
      <c r="I536" s="24"/>
      <c r="L536"/>
    </row>
    <row r="537" spans="1:12" x14ac:dyDescent="0.25">
      <c r="A537" s="16"/>
      <c r="D537" s="16"/>
      <c r="F537" s="16"/>
      <c r="G537" s="16"/>
      <c r="H537" s="24"/>
      <c r="I537" s="24"/>
      <c r="L537"/>
    </row>
    <row r="538" spans="1:12" x14ac:dyDescent="0.25">
      <c r="A538" s="16"/>
      <c r="D538" s="16"/>
      <c r="F538" s="16"/>
      <c r="G538" s="16"/>
      <c r="H538" s="24"/>
      <c r="I538" s="24"/>
      <c r="L538"/>
    </row>
    <row r="539" spans="1:12" x14ac:dyDescent="0.25">
      <c r="A539" s="16"/>
      <c r="D539" s="16"/>
      <c r="F539" s="16"/>
      <c r="G539" s="16"/>
      <c r="H539" s="24"/>
      <c r="I539" s="24"/>
      <c r="L539"/>
    </row>
    <row r="540" spans="1:12" x14ac:dyDescent="0.25">
      <c r="A540" s="16"/>
      <c r="D540" s="16"/>
      <c r="F540" s="16"/>
      <c r="G540" s="16"/>
      <c r="H540" s="24"/>
      <c r="I540" s="24"/>
      <c r="L540"/>
    </row>
    <row r="541" spans="1:12" x14ac:dyDescent="0.25">
      <c r="A541" s="16"/>
      <c r="D541" s="16"/>
      <c r="F541" s="16"/>
      <c r="G541" s="16"/>
      <c r="H541" s="24"/>
      <c r="I541" s="24"/>
      <c r="L541"/>
    </row>
    <row r="542" spans="1:12" x14ac:dyDescent="0.25">
      <c r="A542" s="16"/>
      <c r="D542" s="16"/>
      <c r="F542" s="16"/>
      <c r="G542" s="16"/>
      <c r="H542" s="24"/>
      <c r="I542" s="24"/>
      <c r="L542"/>
    </row>
    <row r="543" spans="1:12" x14ac:dyDescent="0.25">
      <c r="A543" s="16"/>
      <c r="D543" s="16"/>
      <c r="F543" s="16"/>
      <c r="G543" s="16"/>
      <c r="H543" s="24"/>
      <c r="I543" s="24"/>
      <c r="L543"/>
    </row>
    <row r="544" spans="1:12" x14ac:dyDescent="0.25">
      <c r="A544" s="16"/>
      <c r="D544" s="16"/>
      <c r="F544" s="16"/>
      <c r="G544" s="16"/>
      <c r="H544" s="24"/>
      <c r="I544" s="24"/>
      <c r="L544"/>
    </row>
    <row r="545" spans="1:12" x14ac:dyDescent="0.25">
      <c r="A545" s="16"/>
      <c r="D545" s="16"/>
      <c r="F545" s="16"/>
      <c r="G545" s="16"/>
      <c r="H545" s="24"/>
      <c r="I545" s="24"/>
      <c r="L545"/>
    </row>
    <row r="546" spans="1:12" x14ac:dyDescent="0.25">
      <c r="A546" s="16"/>
      <c r="D546" s="16"/>
      <c r="F546" s="16"/>
      <c r="G546" s="16"/>
      <c r="H546" s="24"/>
      <c r="I546" s="24"/>
      <c r="L546"/>
    </row>
    <row r="547" spans="1:12" x14ac:dyDescent="0.25">
      <c r="A547" s="16"/>
      <c r="D547" s="16"/>
      <c r="F547" s="16"/>
      <c r="G547" s="16"/>
      <c r="H547" s="24"/>
      <c r="I547" s="24"/>
      <c r="L547"/>
    </row>
    <row r="548" spans="1:12" x14ac:dyDescent="0.25">
      <c r="A548" s="16"/>
      <c r="D548" s="16"/>
      <c r="F548" s="16"/>
      <c r="G548" s="16"/>
      <c r="H548" s="24"/>
      <c r="I548" s="24"/>
      <c r="L548"/>
    </row>
    <row r="549" spans="1:12" x14ac:dyDescent="0.25">
      <c r="A549" s="16"/>
      <c r="D549" s="16"/>
      <c r="F549" s="16"/>
      <c r="G549" s="16"/>
      <c r="H549" s="24"/>
      <c r="I549" s="24"/>
      <c r="L549"/>
    </row>
    <row r="550" spans="1:12" x14ac:dyDescent="0.25">
      <c r="A550" s="16"/>
      <c r="D550" s="16"/>
      <c r="F550" s="16"/>
      <c r="G550" s="16"/>
      <c r="H550" s="24"/>
      <c r="I550" s="24"/>
      <c r="L550"/>
    </row>
    <row r="551" spans="1:12" x14ac:dyDescent="0.25">
      <c r="A551" s="16"/>
      <c r="D551" s="16"/>
      <c r="F551" s="16"/>
      <c r="G551" s="16"/>
      <c r="H551" s="24"/>
      <c r="I551" s="24"/>
      <c r="L551"/>
    </row>
    <row r="552" spans="1:12" x14ac:dyDescent="0.25">
      <c r="A552" s="16"/>
      <c r="D552" s="16"/>
      <c r="F552" s="16"/>
      <c r="G552" s="16"/>
      <c r="H552" s="24"/>
      <c r="I552" s="24"/>
      <c r="L552"/>
    </row>
    <row r="553" spans="1:12" x14ac:dyDescent="0.25">
      <c r="A553" s="16"/>
      <c r="D553" s="16"/>
      <c r="F553" s="16"/>
      <c r="G553" s="16"/>
      <c r="H553" s="24"/>
      <c r="I553" s="24"/>
      <c r="L553"/>
    </row>
    <row r="554" spans="1:12" x14ac:dyDescent="0.25">
      <c r="A554" s="16"/>
      <c r="D554" s="16"/>
      <c r="F554" s="16"/>
      <c r="G554" s="16"/>
      <c r="H554" s="24"/>
      <c r="I554" s="24"/>
      <c r="L554"/>
    </row>
    <row r="555" spans="1:12" x14ac:dyDescent="0.25">
      <c r="A555" s="16"/>
      <c r="D555" s="16"/>
      <c r="F555" s="16"/>
      <c r="G555" s="16"/>
      <c r="H555" s="24"/>
      <c r="I555" s="24"/>
      <c r="L555"/>
    </row>
    <row r="556" spans="1:12" x14ac:dyDescent="0.25">
      <c r="A556" s="16"/>
      <c r="D556" s="16"/>
      <c r="F556" s="16"/>
      <c r="G556" s="16"/>
      <c r="H556" s="24"/>
      <c r="I556" s="24"/>
      <c r="L556"/>
    </row>
    <row r="557" spans="1:12" x14ac:dyDescent="0.25">
      <c r="A557" s="16"/>
      <c r="D557" s="16"/>
      <c r="F557" s="16"/>
      <c r="G557" s="16"/>
      <c r="H557" s="24"/>
      <c r="I557" s="24"/>
      <c r="L557"/>
    </row>
    <row r="558" spans="1:12" x14ac:dyDescent="0.25">
      <c r="A558" s="16"/>
      <c r="D558" s="16"/>
      <c r="F558" s="16"/>
      <c r="G558" s="16"/>
      <c r="H558" s="24"/>
      <c r="I558" s="24"/>
      <c r="L558"/>
    </row>
    <row r="559" spans="1:12" x14ac:dyDescent="0.25">
      <c r="A559" s="16"/>
      <c r="D559" s="16"/>
      <c r="F559" s="16"/>
      <c r="G559" s="16"/>
      <c r="H559" s="24"/>
      <c r="I559" s="24"/>
      <c r="L559"/>
    </row>
    <row r="560" spans="1:12" x14ac:dyDescent="0.25">
      <c r="A560" s="16"/>
      <c r="D560" s="16"/>
      <c r="F560" s="16"/>
      <c r="G560" s="16"/>
      <c r="H560" s="24"/>
      <c r="I560" s="24"/>
      <c r="L560"/>
    </row>
    <row r="561" spans="1:12" x14ac:dyDescent="0.25">
      <c r="A561" s="16"/>
      <c r="D561" s="16"/>
      <c r="F561" s="16"/>
      <c r="G561" s="16"/>
      <c r="H561" s="24"/>
      <c r="I561" s="24"/>
      <c r="L561"/>
    </row>
    <row r="562" spans="1:12" x14ac:dyDescent="0.25">
      <c r="A562" s="16"/>
      <c r="D562" s="16"/>
      <c r="F562" s="16"/>
      <c r="G562" s="16"/>
      <c r="H562" s="24"/>
      <c r="I562" s="24"/>
      <c r="L562"/>
    </row>
    <row r="563" spans="1:12" x14ac:dyDescent="0.25">
      <c r="A563" s="16"/>
      <c r="D563" s="16"/>
      <c r="F563" s="16"/>
      <c r="G563" s="16"/>
      <c r="H563" s="24"/>
      <c r="I563" s="24"/>
      <c r="L563"/>
    </row>
    <row r="564" spans="1:12" x14ac:dyDescent="0.25">
      <c r="A564" s="16"/>
      <c r="D564" s="16"/>
      <c r="F564" s="16"/>
      <c r="G564" s="16"/>
      <c r="H564" s="24"/>
      <c r="I564" s="24"/>
      <c r="L564"/>
    </row>
    <row r="565" spans="1:12" x14ac:dyDescent="0.25">
      <c r="A565" s="16"/>
      <c r="D565" s="16"/>
      <c r="F565" s="16"/>
      <c r="G565" s="16"/>
      <c r="H565" s="24"/>
      <c r="I565" s="24"/>
      <c r="L565"/>
    </row>
    <row r="566" spans="1:12" x14ac:dyDescent="0.25">
      <c r="A566" s="16"/>
      <c r="D566" s="16"/>
      <c r="F566" s="16"/>
      <c r="G566" s="16"/>
      <c r="H566" s="24"/>
      <c r="I566" s="24"/>
      <c r="L566"/>
    </row>
    <row r="567" spans="1:12" x14ac:dyDescent="0.25">
      <c r="A567" s="16"/>
      <c r="D567" s="16"/>
      <c r="F567" s="16"/>
      <c r="G567" s="16"/>
      <c r="H567" s="24"/>
      <c r="I567" s="24"/>
      <c r="L567"/>
    </row>
    <row r="568" spans="1:12" x14ac:dyDescent="0.25">
      <c r="A568" s="16"/>
      <c r="D568" s="16"/>
      <c r="F568" s="16"/>
      <c r="G568" s="16"/>
      <c r="H568" s="24"/>
      <c r="I568" s="24"/>
      <c r="L568"/>
    </row>
    <row r="569" spans="1:12" x14ac:dyDescent="0.25">
      <c r="A569" s="16"/>
      <c r="D569" s="16"/>
      <c r="F569" s="16"/>
      <c r="G569" s="16"/>
      <c r="H569" s="24"/>
      <c r="I569" s="24"/>
      <c r="L569"/>
    </row>
    <row r="570" spans="1:12" x14ac:dyDescent="0.25">
      <c r="A570" s="16"/>
      <c r="D570" s="16"/>
      <c r="F570" s="16"/>
      <c r="G570" s="16"/>
      <c r="H570" s="24"/>
      <c r="I570" s="24"/>
      <c r="L570"/>
    </row>
    <row r="571" spans="1:12" x14ac:dyDescent="0.25">
      <c r="A571" s="16"/>
      <c r="D571" s="16"/>
      <c r="F571" s="16"/>
      <c r="G571" s="16"/>
      <c r="H571" s="24"/>
      <c r="I571" s="24"/>
      <c r="L571"/>
    </row>
    <row r="572" spans="1:12" x14ac:dyDescent="0.25">
      <c r="A572" s="16"/>
      <c r="D572" s="16"/>
      <c r="F572" s="16"/>
      <c r="G572" s="16"/>
      <c r="H572" s="24"/>
      <c r="I572" s="24"/>
      <c r="L572"/>
    </row>
    <row r="573" spans="1:12" x14ac:dyDescent="0.25">
      <c r="A573" s="16"/>
      <c r="D573" s="16"/>
      <c r="F573" s="16"/>
      <c r="G573" s="16"/>
      <c r="H573" s="24"/>
      <c r="I573" s="24"/>
      <c r="L573"/>
    </row>
    <row r="574" spans="1:12" x14ac:dyDescent="0.25">
      <c r="A574" s="16"/>
      <c r="D574" s="16"/>
      <c r="F574" s="16"/>
      <c r="G574" s="16"/>
      <c r="H574" s="24"/>
      <c r="I574" s="24"/>
      <c r="L574"/>
    </row>
    <row r="575" spans="1:12" x14ac:dyDescent="0.25">
      <c r="A575" s="16"/>
      <c r="D575" s="16"/>
      <c r="F575" s="16"/>
      <c r="G575" s="16"/>
      <c r="H575" s="24"/>
      <c r="I575" s="24"/>
      <c r="L575"/>
    </row>
    <row r="576" spans="1:12" x14ac:dyDescent="0.25">
      <c r="A576" s="16"/>
      <c r="D576" s="16"/>
      <c r="F576" s="16"/>
      <c r="G576" s="16"/>
      <c r="H576" s="24"/>
      <c r="I576" s="24"/>
      <c r="L576"/>
    </row>
    <row r="577" spans="1:12" x14ac:dyDescent="0.25">
      <c r="A577" s="16"/>
      <c r="D577" s="16"/>
      <c r="F577" s="16"/>
      <c r="G577" s="16"/>
      <c r="H577" s="24"/>
      <c r="I577" s="24"/>
      <c r="L577"/>
    </row>
    <row r="578" spans="1:12" x14ac:dyDescent="0.25">
      <c r="A578" s="16"/>
      <c r="D578" s="16"/>
      <c r="F578" s="16"/>
      <c r="G578" s="16"/>
      <c r="H578" s="24"/>
      <c r="I578" s="24"/>
      <c r="L578"/>
    </row>
    <row r="579" spans="1:12" x14ac:dyDescent="0.25">
      <c r="A579" s="16"/>
      <c r="D579" s="16"/>
      <c r="F579" s="16"/>
      <c r="G579" s="16"/>
      <c r="H579" s="24"/>
      <c r="I579" s="24"/>
      <c r="L579"/>
    </row>
    <row r="580" spans="1:12" x14ac:dyDescent="0.25">
      <c r="A580" s="16"/>
      <c r="D580" s="16"/>
      <c r="F580" s="16"/>
      <c r="G580" s="16"/>
      <c r="H580" s="24"/>
      <c r="I580" s="24"/>
      <c r="L580"/>
    </row>
    <row r="581" spans="1:12" x14ac:dyDescent="0.25">
      <c r="A581" s="16"/>
      <c r="D581" s="16"/>
      <c r="F581" s="16"/>
      <c r="G581" s="16"/>
      <c r="H581" s="24"/>
      <c r="I581" s="24"/>
      <c r="L581"/>
    </row>
    <row r="582" spans="1:12" x14ac:dyDescent="0.25">
      <c r="A582" s="16"/>
      <c r="D582" s="16"/>
      <c r="F582" s="16"/>
      <c r="G582" s="16"/>
      <c r="H582" s="24"/>
      <c r="I582" s="24"/>
      <c r="L582"/>
    </row>
    <row r="583" spans="1:12" x14ac:dyDescent="0.25">
      <c r="A583" s="16"/>
      <c r="D583" s="16"/>
      <c r="F583" s="16"/>
      <c r="G583" s="16"/>
      <c r="H583" s="24"/>
      <c r="I583" s="24"/>
      <c r="L583"/>
    </row>
    <row r="584" spans="1:12" x14ac:dyDescent="0.25">
      <c r="A584" s="16"/>
      <c r="D584" s="16"/>
      <c r="F584" s="16"/>
      <c r="G584" s="16"/>
      <c r="H584" s="24"/>
      <c r="I584" s="24"/>
      <c r="L584"/>
    </row>
    <row r="585" spans="1:12" x14ac:dyDescent="0.25">
      <c r="A585" s="16"/>
      <c r="D585" s="16"/>
      <c r="F585" s="16"/>
      <c r="G585" s="16"/>
      <c r="H585" s="24"/>
      <c r="I585" s="24"/>
      <c r="L585"/>
    </row>
    <row r="586" spans="1:12" x14ac:dyDescent="0.25">
      <c r="A586" s="16"/>
      <c r="D586" s="16"/>
      <c r="F586" s="16"/>
      <c r="G586" s="16"/>
      <c r="H586" s="24"/>
      <c r="I586" s="24"/>
      <c r="L586"/>
    </row>
    <row r="587" spans="1:12" x14ac:dyDescent="0.25">
      <c r="A587" s="16"/>
      <c r="D587" s="16"/>
      <c r="F587" s="16"/>
      <c r="G587" s="16"/>
      <c r="H587" s="24"/>
      <c r="I587" s="24"/>
      <c r="L587"/>
    </row>
    <row r="588" spans="1:12" x14ac:dyDescent="0.25">
      <c r="A588" s="16"/>
      <c r="D588" s="16"/>
      <c r="F588" s="16"/>
      <c r="G588" s="16"/>
      <c r="H588" s="24"/>
      <c r="I588" s="24"/>
      <c r="L588"/>
    </row>
    <row r="589" spans="1:12" x14ac:dyDescent="0.25">
      <c r="A589" s="16"/>
      <c r="D589" s="16"/>
      <c r="F589" s="16"/>
      <c r="G589" s="16"/>
      <c r="H589" s="24"/>
      <c r="I589" s="24"/>
      <c r="L589"/>
    </row>
    <row r="590" spans="1:12" x14ac:dyDescent="0.25">
      <c r="A590" s="16"/>
      <c r="D590" s="16"/>
      <c r="F590" s="16"/>
      <c r="G590" s="16"/>
      <c r="H590" s="24"/>
      <c r="I590" s="24"/>
      <c r="L590"/>
    </row>
    <row r="591" spans="1:12" x14ac:dyDescent="0.25">
      <c r="A591" s="16"/>
      <c r="D591" s="16"/>
      <c r="F591" s="16"/>
      <c r="G591" s="16"/>
      <c r="H591" s="24"/>
      <c r="I591" s="24"/>
      <c r="L591"/>
    </row>
    <row r="592" spans="1:12" x14ac:dyDescent="0.25">
      <c r="A592" s="16"/>
      <c r="D592" s="16"/>
      <c r="F592" s="16"/>
      <c r="G592" s="16"/>
      <c r="H592" s="24"/>
      <c r="I592" s="24"/>
      <c r="L592"/>
    </row>
    <row r="593" spans="1:12" x14ac:dyDescent="0.25">
      <c r="A593" s="16"/>
      <c r="D593" s="16"/>
      <c r="F593" s="16"/>
      <c r="G593" s="16"/>
      <c r="H593" s="24"/>
      <c r="I593" s="24"/>
      <c r="L593"/>
    </row>
    <row r="594" spans="1:12" x14ac:dyDescent="0.25">
      <c r="A594" s="16"/>
      <c r="D594" s="16"/>
      <c r="F594" s="16"/>
      <c r="G594" s="16"/>
      <c r="H594" s="24"/>
      <c r="I594" s="24"/>
      <c r="L594"/>
    </row>
    <row r="595" spans="1:12" x14ac:dyDescent="0.25">
      <c r="A595" s="16"/>
      <c r="D595" s="16"/>
      <c r="F595" s="16"/>
      <c r="G595" s="16"/>
      <c r="H595" s="24"/>
      <c r="I595" s="24"/>
      <c r="L595"/>
    </row>
    <row r="596" spans="1:12" x14ac:dyDescent="0.25">
      <c r="A596" s="16"/>
      <c r="D596" s="16"/>
      <c r="F596" s="16"/>
      <c r="G596" s="16"/>
      <c r="H596" s="24"/>
      <c r="I596" s="24"/>
      <c r="L596"/>
    </row>
    <row r="597" spans="1:12" x14ac:dyDescent="0.25">
      <c r="A597" s="16"/>
      <c r="D597" s="16"/>
      <c r="F597" s="16"/>
      <c r="G597" s="16"/>
      <c r="H597" s="24"/>
      <c r="I597" s="24"/>
      <c r="L597"/>
    </row>
    <row r="598" spans="1:12" x14ac:dyDescent="0.25">
      <c r="A598" s="16"/>
      <c r="D598" s="16"/>
      <c r="F598" s="16"/>
      <c r="G598" s="16"/>
      <c r="H598" s="24"/>
      <c r="I598" s="24"/>
      <c r="L598"/>
    </row>
    <row r="599" spans="1:12" x14ac:dyDescent="0.25">
      <c r="A599" s="16"/>
      <c r="D599" s="16"/>
      <c r="F599" s="16"/>
      <c r="G599" s="16"/>
      <c r="H599" s="24"/>
      <c r="I599" s="24"/>
      <c r="L599"/>
    </row>
    <row r="600" spans="1:12" x14ac:dyDescent="0.25">
      <c r="A600" s="16"/>
      <c r="D600" s="16"/>
      <c r="F600" s="16"/>
      <c r="G600" s="16"/>
      <c r="H600" s="24"/>
      <c r="I600" s="24"/>
      <c r="L600"/>
    </row>
    <row r="601" spans="1:12" x14ac:dyDescent="0.25">
      <c r="A601" s="16"/>
      <c r="D601" s="16"/>
      <c r="F601" s="16"/>
      <c r="G601" s="16"/>
      <c r="H601" s="24"/>
      <c r="I601" s="24"/>
      <c r="L601"/>
    </row>
    <row r="602" spans="1:12" x14ac:dyDescent="0.25">
      <c r="A602" s="16"/>
      <c r="D602" s="16"/>
      <c r="F602" s="16"/>
      <c r="G602" s="16"/>
      <c r="H602" s="24"/>
      <c r="I602" s="24"/>
      <c r="L602"/>
    </row>
    <row r="603" spans="1:12" x14ac:dyDescent="0.25">
      <c r="A603" s="16"/>
      <c r="D603" s="16"/>
      <c r="F603" s="16"/>
      <c r="G603" s="16"/>
      <c r="H603" s="24"/>
      <c r="I603" s="24"/>
      <c r="L603"/>
    </row>
    <row r="604" spans="1:12" x14ac:dyDescent="0.25">
      <c r="A604" s="16"/>
      <c r="D604" s="16"/>
      <c r="F604" s="16"/>
      <c r="G604" s="16"/>
      <c r="H604" s="24"/>
      <c r="I604" s="24"/>
      <c r="L604"/>
    </row>
    <row r="605" spans="1:12" x14ac:dyDescent="0.25">
      <c r="A605" s="16"/>
      <c r="D605" s="16"/>
      <c r="F605" s="16"/>
      <c r="G605" s="16"/>
      <c r="H605" s="24"/>
      <c r="I605" s="24"/>
      <c r="L605"/>
    </row>
    <row r="606" spans="1:12" x14ac:dyDescent="0.25">
      <c r="A606" s="16"/>
      <c r="D606" s="16"/>
      <c r="F606" s="16"/>
      <c r="G606" s="16"/>
      <c r="H606" s="24"/>
      <c r="I606" s="24"/>
      <c r="L606"/>
    </row>
    <row r="607" spans="1:12" x14ac:dyDescent="0.25">
      <c r="A607" s="16"/>
      <c r="D607" s="16"/>
      <c r="F607" s="16"/>
      <c r="G607" s="16"/>
      <c r="H607" s="24"/>
      <c r="I607" s="24"/>
      <c r="L607"/>
    </row>
    <row r="608" spans="1:12" x14ac:dyDescent="0.25">
      <c r="A608" s="16"/>
      <c r="D608" s="16"/>
      <c r="F608" s="16"/>
      <c r="G608" s="16"/>
      <c r="H608" s="24"/>
      <c r="I608" s="24"/>
      <c r="L608"/>
    </row>
    <row r="609" spans="1:12" x14ac:dyDescent="0.25">
      <c r="A609" s="16"/>
      <c r="D609" s="16"/>
      <c r="F609" s="16"/>
      <c r="G609" s="16"/>
      <c r="H609" s="24"/>
      <c r="I609" s="24"/>
      <c r="L609"/>
    </row>
    <row r="610" spans="1:12" x14ac:dyDescent="0.25">
      <c r="A610" s="16"/>
      <c r="D610" s="16"/>
      <c r="F610" s="16"/>
      <c r="G610" s="16"/>
      <c r="H610" s="24"/>
      <c r="I610" s="24"/>
      <c r="L610"/>
    </row>
    <row r="611" spans="1:12" x14ac:dyDescent="0.25">
      <c r="A611" s="16"/>
      <c r="D611" s="16"/>
      <c r="F611" s="16"/>
      <c r="G611" s="16"/>
      <c r="H611" s="24"/>
      <c r="I611" s="24"/>
      <c r="L611"/>
    </row>
    <row r="612" spans="1:12" x14ac:dyDescent="0.25">
      <c r="A612" s="16"/>
      <c r="D612" s="16"/>
      <c r="F612" s="16"/>
      <c r="G612" s="16"/>
      <c r="H612" s="24"/>
      <c r="I612" s="24"/>
      <c r="L612"/>
    </row>
    <row r="613" spans="1:12" x14ac:dyDescent="0.25">
      <c r="A613" s="16"/>
      <c r="D613" s="16"/>
      <c r="F613" s="16"/>
      <c r="G613" s="16"/>
      <c r="H613" s="24"/>
      <c r="I613" s="24"/>
      <c r="L613"/>
    </row>
    <row r="614" spans="1:12" x14ac:dyDescent="0.25">
      <c r="A614" s="16"/>
      <c r="D614" s="16"/>
      <c r="F614" s="16"/>
      <c r="G614" s="16"/>
      <c r="H614" s="24"/>
      <c r="I614" s="24"/>
      <c r="L614"/>
    </row>
    <row r="615" spans="1:12" x14ac:dyDescent="0.25">
      <c r="A615" s="16"/>
      <c r="D615" s="16"/>
      <c r="F615" s="16"/>
      <c r="G615" s="16"/>
      <c r="H615" s="24"/>
      <c r="I615" s="24"/>
      <c r="L615"/>
    </row>
    <row r="616" spans="1:12" x14ac:dyDescent="0.25">
      <c r="A616" s="16"/>
      <c r="D616" s="16"/>
      <c r="F616" s="16"/>
      <c r="G616" s="16"/>
      <c r="H616" s="24"/>
      <c r="I616" s="24"/>
      <c r="L616"/>
    </row>
    <row r="617" spans="1:12" x14ac:dyDescent="0.25">
      <c r="A617" s="16"/>
      <c r="D617" s="16"/>
      <c r="F617" s="16"/>
      <c r="G617" s="16"/>
      <c r="H617" s="24"/>
      <c r="I617" s="24"/>
      <c r="L617"/>
    </row>
    <row r="618" spans="1:12" x14ac:dyDescent="0.25">
      <c r="A618" s="16"/>
      <c r="D618" s="16"/>
      <c r="F618" s="16"/>
      <c r="G618" s="16"/>
      <c r="H618" s="24"/>
      <c r="I618" s="24"/>
      <c r="L618"/>
    </row>
    <row r="619" spans="1:12" x14ac:dyDescent="0.25">
      <c r="A619" s="16"/>
      <c r="D619" s="16"/>
      <c r="F619" s="16"/>
      <c r="G619" s="16"/>
      <c r="H619" s="24"/>
      <c r="I619" s="24"/>
      <c r="L619"/>
    </row>
    <row r="620" spans="1:12" x14ac:dyDescent="0.25">
      <c r="A620" s="16"/>
      <c r="D620" s="16"/>
      <c r="F620" s="16"/>
      <c r="G620" s="16"/>
      <c r="H620" s="24"/>
      <c r="I620" s="24"/>
      <c r="L620"/>
    </row>
    <row r="621" spans="1:12" x14ac:dyDescent="0.25">
      <c r="A621" s="16"/>
      <c r="D621" s="16"/>
      <c r="F621" s="16"/>
      <c r="G621" s="16"/>
      <c r="H621" s="24"/>
      <c r="I621" s="24"/>
      <c r="L621"/>
    </row>
    <row r="622" spans="1:12" x14ac:dyDescent="0.25">
      <c r="A622" s="16"/>
      <c r="D622" s="16"/>
      <c r="F622" s="16"/>
      <c r="G622" s="16"/>
      <c r="H622" s="24"/>
      <c r="I622" s="24"/>
      <c r="L622"/>
    </row>
    <row r="623" spans="1:12" x14ac:dyDescent="0.25">
      <c r="A623" s="16"/>
      <c r="D623" s="16"/>
      <c r="F623" s="16"/>
      <c r="G623" s="16"/>
      <c r="H623" s="24"/>
      <c r="I623" s="24"/>
      <c r="L623"/>
    </row>
    <row r="624" spans="1:12" x14ac:dyDescent="0.25">
      <c r="A624" s="16"/>
      <c r="D624" s="16"/>
      <c r="F624" s="16"/>
      <c r="G624" s="16"/>
      <c r="H624" s="24"/>
      <c r="I624" s="24"/>
      <c r="L624"/>
    </row>
    <row r="625" spans="1:12" x14ac:dyDescent="0.25">
      <c r="A625" s="16"/>
      <c r="D625" s="16"/>
      <c r="F625" s="16"/>
      <c r="G625" s="16"/>
      <c r="H625" s="24"/>
      <c r="I625" s="24"/>
      <c r="L625"/>
    </row>
    <row r="626" spans="1:12" x14ac:dyDescent="0.25">
      <c r="A626" s="16"/>
      <c r="D626" s="16"/>
      <c r="F626" s="16"/>
      <c r="G626" s="16"/>
      <c r="H626" s="24"/>
      <c r="I626" s="24"/>
      <c r="L626"/>
    </row>
    <row r="627" spans="1:12" x14ac:dyDescent="0.25">
      <c r="A627" s="16"/>
      <c r="D627" s="16"/>
      <c r="F627" s="16"/>
      <c r="G627" s="16"/>
      <c r="H627" s="24"/>
      <c r="I627" s="24"/>
      <c r="L627"/>
    </row>
    <row r="628" spans="1:12" x14ac:dyDescent="0.25">
      <c r="A628" s="16"/>
      <c r="D628" s="16"/>
      <c r="F628" s="16"/>
      <c r="G628" s="16"/>
      <c r="H628" s="24"/>
      <c r="I628" s="24"/>
      <c r="L628"/>
    </row>
    <row r="629" spans="1:12" x14ac:dyDescent="0.25">
      <c r="A629" s="16"/>
      <c r="D629" s="16"/>
      <c r="F629" s="16"/>
      <c r="G629" s="16"/>
      <c r="H629" s="24"/>
      <c r="I629" s="24"/>
      <c r="L629"/>
    </row>
    <row r="630" spans="1:12" x14ac:dyDescent="0.25">
      <c r="A630" s="16"/>
      <c r="D630" s="16"/>
      <c r="F630" s="16"/>
      <c r="G630" s="16"/>
      <c r="H630" s="24"/>
      <c r="I630" s="24"/>
      <c r="L630"/>
    </row>
    <row r="631" spans="1:12" x14ac:dyDescent="0.25">
      <c r="A631" s="16"/>
      <c r="D631" s="16"/>
      <c r="F631" s="16"/>
      <c r="G631" s="16"/>
      <c r="H631" s="24"/>
      <c r="I631" s="24"/>
      <c r="L631"/>
    </row>
    <row r="632" spans="1:12" x14ac:dyDescent="0.25">
      <c r="A632" s="16"/>
      <c r="D632" s="16"/>
      <c r="F632" s="16"/>
      <c r="G632" s="16"/>
      <c r="H632" s="24"/>
      <c r="I632" s="24"/>
      <c r="L632"/>
    </row>
    <row r="633" spans="1:12" x14ac:dyDescent="0.25">
      <c r="A633" s="16"/>
      <c r="D633" s="16"/>
      <c r="F633" s="16"/>
      <c r="G633" s="16"/>
      <c r="H633" s="24"/>
      <c r="I633" s="24"/>
      <c r="L633"/>
    </row>
    <row r="634" spans="1:12" x14ac:dyDescent="0.25">
      <c r="A634" s="16"/>
      <c r="D634" s="16"/>
      <c r="F634" s="16"/>
      <c r="G634" s="16"/>
      <c r="H634" s="24"/>
      <c r="I634" s="24"/>
      <c r="L634"/>
    </row>
    <row r="635" spans="1:12" x14ac:dyDescent="0.25">
      <c r="A635" s="16"/>
      <c r="D635" s="16"/>
      <c r="F635" s="16"/>
      <c r="G635" s="16"/>
      <c r="H635" s="24"/>
      <c r="I635" s="24"/>
      <c r="L635"/>
    </row>
    <row r="636" spans="1:12" x14ac:dyDescent="0.25">
      <c r="A636" s="16"/>
      <c r="D636" s="16"/>
      <c r="F636" s="16"/>
      <c r="G636" s="16"/>
      <c r="H636" s="24"/>
      <c r="I636" s="24"/>
      <c r="L636"/>
    </row>
    <row r="637" spans="1:12" x14ac:dyDescent="0.25">
      <c r="A637" s="16"/>
      <c r="D637" s="16"/>
      <c r="F637" s="16"/>
      <c r="G637" s="16"/>
      <c r="H637" s="24"/>
      <c r="I637" s="24"/>
      <c r="L637"/>
    </row>
    <row r="638" spans="1:12" x14ac:dyDescent="0.25">
      <c r="A638" s="16"/>
      <c r="D638" s="16"/>
      <c r="F638" s="16"/>
      <c r="G638" s="16"/>
      <c r="H638" s="24"/>
      <c r="I638" s="24"/>
      <c r="L638"/>
    </row>
    <row r="639" spans="1:12" x14ac:dyDescent="0.25">
      <c r="A639" s="16"/>
      <c r="D639" s="16"/>
      <c r="F639" s="16"/>
      <c r="G639" s="16"/>
      <c r="H639" s="24"/>
      <c r="I639" s="24"/>
      <c r="L639"/>
    </row>
    <row r="640" spans="1:12" x14ac:dyDescent="0.25">
      <c r="A640" s="16"/>
      <c r="D640" s="16"/>
      <c r="F640" s="16"/>
      <c r="G640" s="16"/>
      <c r="H640" s="24"/>
      <c r="I640" s="24"/>
      <c r="L640"/>
    </row>
    <row r="641" spans="1:12" x14ac:dyDescent="0.25">
      <c r="A641" s="16"/>
      <c r="D641" s="16"/>
      <c r="F641" s="16"/>
      <c r="G641" s="16"/>
      <c r="H641" s="24"/>
      <c r="I641" s="24"/>
      <c r="L641"/>
    </row>
    <row r="642" spans="1:12" x14ac:dyDescent="0.25">
      <c r="A642" s="16"/>
      <c r="D642" s="16"/>
      <c r="F642" s="16"/>
      <c r="G642" s="16"/>
      <c r="H642" s="24"/>
      <c r="I642" s="24"/>
      <c r="L642"/>
    </row>
    <row r="643" spans="1:12" x14ac:dyDescent="0.25">
      <c r="A643" s="16"/>
      <c r="D643" s="16"/>
      <c r="F643" s="16"/>
      <c r="G643" s="16"/>
      <c r="H643" s="24"/>
      <c r="I643" s="24"/>
      <c r="L643"/>
    </row>
    <row r="644" spans="1:12" x14ac:dyDescent="0.25">
      <c r="A644" s="16"/>
      <c r="D644" s="16"/>
      <c r="F644" s="16"/>
      <c r="G644" s="16"/>
      <c r="H644" s="24"/>
      <c r="I644" s="24"/>
      <c r="L644"/>
    </row>
    <row r="645" spans="1:12" x14ac:dyDescent="0.25">
      <c r="A645" s="16"/>
      <c r="D645" s="16"/>
      <c r="F645" s="16"/>
      <c r="G645" s="16"/>
      <c r="H645" s="24"/>
      <c r="I645" s="24"/>
      <c r="L645"/>
    </row>
    <row r="646" spans="1:12" x14ac:dyDescent="0.25">
      <c r="A646" s="16"/>
      <c r="D646" s="16"/>
      <c r="F646" s="16"/>
      <c r="G646" s="16"/>
      <c r="H646" s="24"/>
      <c r="I646" s="24"/>
      <c r="L646"/>
    </row>
    <row r="647" spans="1:12" x14ac:dyDescent="0.25">
      <c r="A647" s="16"/>
      <c r="D647" s="16"/>
      <c r="F647" s="16"/>
      <c r="G647" s="16"/>
      <c r="H647" s="24"/>
      <c r="I647" s="24"/>
      <c r="L647"/>
    </row>
    <row r="648" spans="1:12" x14ac:dyDescent="0.25">
      <c r="A648" s="16"/>
      <c r="D648" s="16"/>
      <c r="F648" s="16"/>
      <c r="G648" s="16"/>
      <c r="H648" s="24"/>
      <c r="I648" s="24"/>
      <c r="L648"/>
    </row>
    <row r="649" spans="1:12" x14ac:dyDescent="0.25">
      <c r="A649" s="16"/>
      <c r="D649" s="16"/>
      <c r="F649" s="16"/>
      <c r="G649" s="16"/>
      <c r="H649" s="24"/>
      <c r="I649" s="24"/>
      <c r="L649"/>
    </row>
    <row r="650" spans="1:12" x14ac:dyDescent="0.25">
      <c r="A650" s="16"/>
      <c r="D650" s="16"/>
      <c r="F650" s="16"/>
      <c r="G650" s="16"/>
      <c r="H650" s="24"/>
      <c r="I650" s="24"/>
      <c r="L650"/>
    </row>
    <row r="651" spans="1:12" x14ac:dyDescent="0.25">
      <c r="A651" s="16"/>
      <c r="D651" s="16"/>
      <c r="F651" s="16"/>
      <c r="G651" s="16"/>
      <c r="H651" s="24"/>
      <c r="I651" s="24"/>
      <c r="L651"/>
    </row>
    <row r="652" spans="1:12" x14ac:dyDescent="0.25">
      <c r="A652" s="16"/>
      <c r="D652" s="16"/>
      <c r="F652" s="16"/>
      <c r="G652" s="16"/>
      <c r="H652" s="24"/>
      <c r="I652" s="24"/>
      <c r="L652"/>
    </row>
    <row r="653" spans="1:12" x14ac:dyDescent="0.25">
      <c r="A653" s="16"/>
      <c r="D653" s="16"/>
      <c r="F653" s="16"/>
      <c r="G653" s="16"/>
      <c r="H653" s="24"/>
      <c r="I653" s="24"/>
      <c r="L653"/>
    </row>
    <row r="654" spans="1:12" x14ac:dyDescent="0.25">
      <c r="A654" s="16"/>
      <c r="D654" s="16"/>
      <c r="F654" s="16"/>
      <c r="G654" s="16"/>
      <c r="H654" s="24"/>
      <c r="I654" s="24"/>
      <c r="L654"/>
    </row>
    <row r="655" spans="1:12" x14ac:dyDescent="0.25">
      <c r="A655" s="16"/>
      <c r="D655" s="16"/>
      <c r="F655" s="16"/>
      <c r="G655" s="16"/>
      <c r="H655" s="24"/>
      <c r="I655" s="24"/>
      <c r="L655"/>
    </row>
    <row r="656" spans="1:12" x14ac:dyDescent="0.25">
      <c r="A656" s="16"/>
      <c r="D656" s="16"/>
      <c r="F656" s="16"/>
      <c r="G656" s="16"/>
      <c r="H656" s="24"/>
      <c r="I656" s="24"/>
      <c r="L656"/>
    </row>
    <row r="657" spans="1:12" x14ac:dyDescent="0.25">
      <c r="A657" s="16"/>
      <c r="D657" s="16"/>
      <c r="F657" s="16"/>
      <c r="G657" s="16"/>
      <c r="H657" s="24"/>
      <c r="I657" s="24"/>
      <c r="L657"/>
    </row>
    <row r="658" spans="1:12" x14ac:dyDescent="0.25">
      <c r="A658" s="16"/>
      <c r="D658" s="16"/>
      <c r="F658" s="16"/>
      <c r="G658" s="16"/>
      <c r="H658" s="24"/>
      <c r="I658" s="24"/>
      <c r="L658"/>
    </row>
    <row r="659" spans="1:12" x14ac:dyDescent="0.25">
      <c r="A659" s="16"/>
      <c r="D659" s="16"/>
      <c r="F659" s="16"/>
      <c r="G659" s="16"/>
      <c r="H659" s="24"/>
      <c r="I659" s="24"/>
      <c r="L659"/>
    </row>
    <row r="660" spans="1:12" x14ac:dyDescent="0.25">
      <c r="A660" s="16"/>
      <c r="D660" s="16"/>
      <c r="F660" s="16"/>
      <c r="G660" s="16"/>
      <c r="H660" s="24"/>
      <c r="I660" s="24"/>
      <c r="L660"/>
    </row>
    <row r="661" spans="1:12" x14ac:dyDescent="0.25">
      <c r="A661" s="16"/>
      <c r="D661" s="16"/>
      <c r="F661" s="16"/>
      <c r="G661" s="16"/>
      <c r="H661" s="24"/>
      <c r="I661" s="24"/>
      <c r="L661"/>
    </row>
    <row r="662" spans="1:12" x14ac:dyDescent="0.25">
      <c r="A662" s="16"/>
      <c r="D662" s="16"/>
      <c r="F662" s="16"/>
      <c r="G662" s="16"/>
      <c r="H662" s="24"/>
      <c r="I662" s="24"/>
      <c r="L662"/>
    </row>
    <row r="663" spans="1:12" x14ac:dyDescent="0.25">
      <c r="A663" s="16"/>
      <c r="D663" s="16"/>
      <c r="F663" s="16"/>
      <c r="G663" s="16"/>
      <c r="H663" s="24"/>
      <c r="I663" s="24"/>
      <c r="L663"/>
    </row>
    <row r="664" spans="1:12" x14ac:dyDescent="0.25">
      <c r="A664" s="16"/>
      <c r="D664" s="16"/>
      <c r="F664" s="16"/>
      <c r="G664" s="16"/>
      <c r="H664" s="24"/>
      <c r="I664" s="24"/>
      <c r="L664"/>
    </row>
    <row r="665" spans="1:12" x14ac:dyDescent="0.25">
      <c r="A665" s="16"/>
      <c r="D665" s="16"/>
      <c r="F665" s="16"/>
      <c r="G665" s="16"/>
      <c r="H665" s="24"/>
      <c r="I665" s="24"/>
      <c r="L665"/>
    </row>
    <row r="666" spans="1:12" x14ac:dyDescent="0.25">
      <c r="A666" s="16"/>
      <c r="D666" s="16"/>
      <c r="F666" s="16"/>
      <c r="G666" s="16"/>
      <c r="H666" s="24"/>
      <c r="I666" s="24"/>
      <c r="L666"/>
    </row>
    <row r="667" spans="1:12" x14ac:dyDescent="0.25">
      <c r="A667" s="16"/>
      <c r="D667" s="16"/>
      <c r="F667" s="16"/>
      <c r="G667" s="16"/>
      <c r="H667" s="24"/>
      <c r="I667" s="24"/>
      <c r="L667"/>
    </row>
    <row r="668" spans="1:12" x14ac:dyDescent="0.25">
      <c r="A668" s="16"/>
      <c r="D668" s="16"/>
      <c r="F668" s="16"/>
      <c r="G668" s="16"/>
      <c r="H668" s="24"/>
      <c r="I668" s="24"/>
      <c r="L668"/>
    </row>
    <row r="669" spans="1:12" x14ac:dyDescent="0.25">
      <c r="A669" s="16"/>
      <c r="D669" s="16"/>
      <c r="F669" s="16"/>
      <c r="G669" s="16"/>
      <c r="H669" s="24"/>
      <c r="I669" s="24"/>
      <c r="L669"/>
    </row>
    <row r="670" spans="1:12" x14ac:dyDescent="0.25">
      <c r="A670" s="16"/>
      <c r="D670" s="16"/>
      <c r="F670" s="16"/>
      <c r="G670" s="16"/>
      <c r="H670" s="24"/>
      <c r="I670" s="24"/>
      <c r="L670"/>
    </row>
    <row r="671" spans="1:12" x14ac:dyDescent="0.25">
      <c r="A671" s="16"/>
      <c r="D671" s="16"/>
      <c r="F671" s="16"/>
      <c r="G671" s="16"/>
      <c r="H671" s="24"/>
      <c r="I671" s="24"/>
      <c r="L671"/>
    </row>
    <row r="672" spans="1:12" x14ac:dyDescent="0.25">
      <c r="A672" s="16"/>
      <c r="D672" s="16"/>
      <c r="F672" s="16"/>
      <c r="G672" s="16"/>
      <c r="H672" s="24"/>
      <c r="I672" s="24"/>
      <c r="L672"/>
    </row>
    <row r="673" spans="1:12" x14ac:dyDescent="0.25">
      <c r="A673" s="16"/>
      <c r="D673" s="16"/>
      <c r="F673" s="16"/>
      <c r="G673" s="16"/>
      <c r="H673" s="24"/>
      <c r="I673" s="24"/>
      <c r="L673"/>
    </row>
    <row r="674" spans="1:12" x14ac:dyDescent="0.25">
      <c r="A674" s="16"/>
      <c r="D674" s="16"/>
      <c r="F674" s="16"/>
      <c r="G674" s="16"/>
      <c r="H674" s="24"/>
      <c r="I674" s="24"/>
      <c r="L674"/>
    </row>
    <row r="675" spans="1:12" x14ac:dyDescent="0.25">
      <c r="A675" s="16"/>
      <c r="D675" s="16"/>
      <c r="F675" s="16"/>
      <c r="G675" s="16"/>
      <c r="H675" s="24"/>
      <c r="I675" s="24"/>
      <c r="L675"/>
    </row>
    <row r="676" spans="1:12" x14ac:dyDescent="0.25">
      <c r="A676" s="16"/>
      <c r="D676" s="16"/>
      <c r="F676" s="16"/>
      <c r="G676" s="16"/>
      <c r="H676" s="24"/>
      <c r="I676" s="24"/>
      <c r="L676"/>
    </row>
    <row r="677" spans="1:12" x14ac:dyDescent="0.25">
      <c r="A677" s="16"/>
      <c r="D677" s="16"/>
      <c r="F677" s="16"/>
      <c r="G677" s="16"/>
      <c r="H677" s="24"/>
      <c r="I677" s="24"/>
      <c r="L677"/>
    </row>
    <row r="678" spans="1:12" x14ac:dyDescent="0.25">
      <c r="A678" s="16"/>
      <c r="D678" s="16"/>
      <c r="F678" s="16"/>
      <c r="G678" s="16"/>
      <c r="H678" s="24"/>
      <c r="I678" s="24"/>
      <c r="L678"/>
    </row>
    <row r="679" spans="1:12" x14ac:dyDescent="0.25">
      <c r="A679" s="16"/>
      <c r="D679" s="16"/>
      <c r="F679" s="16"/>
      <c r="G679" s="16"/>
      <c r="H679" s="24"/>
      <c r="I679" s="24"/>
      <c r="L679"/>
    </row>
    <row r="680" spans="1:12" x14ac:dyDescent="0.25">
      <c r="A680" s="16"/>
      <c r="D680" s="16"/>
      <c r="F680" s="16"/>
      <c r="G680" s="16"/>
      <c r="H680" s="24"/>
      <c r="I680" s="24"/>
      <c r="L680"/>
    </row>
    <row r="681" spans="1:12" x14ac:dyDescent="0.25">
      <c r="A681" s="16"/>
      <c r="D681" s="16"/>
      <c r="F681" s="16"/>
      <c r="G681" s="16"/>
      <c r="H681" s="24"/>
      <c r="I681" s="24"/>
      <c r="L681"/>
    </row>
    <row r="682" spans="1:12" x14ac:dyDescent="0.25">
      <c r="A682" s="16"/>
      <c r="D682" s="16"/>
      <c r="F682" s="16"/>
      <c r="G682" s="16"/>
      <c r="H682" s="24"/>
      <c r="I682" s="24"/>
      <c r="L682"/>
    </row>
    <row r="683" spans="1:12" x14ac:dyDescent="0.25">
      <c r="A683" s="16"/>
      <c r="D683" s="16"/>
      <c r="F683" s="16"/>
      <c r="G683" s="16"/>
      <c r="H683" s="24"/>
      <c r="I683" s="24"/>
      <c r="L683"/>
    </row>
    <row r="684" spans="1:12" x14ac:dyDescent="0.25">
      <c r="A684" s="16"/>
      <c r="D684" s="16"/>
      <c r="F684" s="16"/>
      <c r="G684" s="16"/>
      <c r="H684" s="24"/>
      <c r="I684" s="24"/>
      <c r="L684"/>
    </row>
    <row r="685" spans="1:12" x14ac:dyDescent="0.25">
      <c r="A685" s="16"/>
      <c r="D685" s="16"/>
      <c r="F685" s="16"/>
      <c r="G685" s="16"/>
      <c r="H685" s="24"/>
      <c r="I685" s="24"/>
      <c r="L685"/>
    </row>
    <row r="686" spans="1:12" x14ac:dyDescent="0.25">
      <c r="A686" s="16"/>
      <c r="D686" s="16"/>
      <c r="F686" s="16"/>
      <c r="G686" s="16"/>
      <c r="H686" s="24"/>
      <c r="I686" s="24"/>
      <c r="L686"/>
    </row>
    <row r="687" spans="1:12" x14ac:dyDescent="0.25">
      <c r="A687" s="16"/>
      <c r="D687" s="16"/>
      <c r="F687" s="16"/>
      <c r="G687" s="16"/>
      <c r="H687" s="24"/>
      <c r="I687" s="24"/>
      <c r="L687"/>
    </row>
    <row r="688" spans="1:12" x14ac:dyDescent="0.25">
      <c r="A688" s="16"/>
      <c r="D688" s="16"/>
      <c r="F688" s="16"/>
      <c r="G688" s="16"/>
      <c r="H688" s="24"/>
      <c r="I688" s="24"/>
      <c r="L688"/>
    </row>
    <row r="689" spans="1:12" x14ac:dyDescent="0.25">
      <c r="A689" s="16"/>
      <c r="D689" s="16"/>
      <c r="F689" s="16"/>
      <c r="G689" s="16"/>
      <c r="H689" s="24"/>
      <c r="I689" s="24"/>
      <c r="L689"/>
    </row>
    <row r="690" spans="1:12" x14ac:dyDescent="0.25">
      <c r="A690" s="16"/>
      <c r="D690" s="16"/>
      <c r="F690" s="16"/>
      <c r="G690" s="16"/>
      <c r="H690" s="24"/>
      <c r="I690" s="24"/>
      <c r="L690"/>
    </row>
    <row r="691" spans="1:12" x14ac:dyDescent="0.25">
      <c r="A691" s="16"/>
      <c r="D691" s="16"/>
      <c r="F691" s="16"/>
      <c r="G691" s="16"/>
      <c r="H691" s="24"/>
      <c r="I691" s="24"/>
      <c r="L691"/>
    </row>
    <row r="692" spans="1:12" x14ac:dyDescent="0.25">
      <c r="A692" s="16"/>
      <c r="D692" s="16"/>
      <c r="F692" s="16"/>
      <c r="G692" s="16"/>
      <c r="H692" s="24"/>
      <c r="I692" s="24"/>
      <c r="L692"/>
    </row>
    <row r="693" spans="1:12" x14ac:dyDescent="0.25">
      <c r="A693" s="16"/>
      <c r="D693" s="16"/>
      <c r="F693" s="16"/>
      <c r="G693" s="16"/>
      <c r="H693" s="24"/>
      <c r="I693" s="24"/>
      <c r="L693"/>
    </row>
    <row r="694" spans="1:12" x14ac:dyDescent="0.25">
      <c r="A694" s="16"/>
      <c r="D694" s="16"/>
      <c r="F694" s="16"/>
      <c r="G694" s="16"/>
      <c r="H694" s="24"/>
      <c r="I694" s="24"/>
      <c r="L694"/>
    </row>
    <row r="695" spans="1:12" x14ac:dyDescent="0.25">
      <c r="A695" s="16"/>
      <c r="D695" s="16"/>
      <c r="F695" s="16"/>
      <c r="G695" s="16"/>
      <c r="H695" s="24"/>
      <c r="I695" s="24"/>
      <c r="L695"/>
    </row>
    <row r="696" spans="1:12" x14ac:dyDescent="0.25">
      <c r="A696" s="16"/>
      <c r="D696" s="16"/>
      <c r="F696" s="16"/>
      <c r="G696" s="16"/>
      <c r="H696" s="24"/>
      <c r="I696" s="24"/>
      <c r="L696"/>
    </row>
    <row r="697" spans="1:12" x14ac:dyDescent="0.25">
      <c r="A697" s="16"/>
      <c r="D697" s="16"/>
      <c r="F697" s="16"/>
      <c r="G697" s="16"/>
      <c r="H697" s="24"/>
      <c r="I697" s="24"/>
      <c r="L697"/>
    </row>
    <row r="698" spans="1:12" x14ac:dyDescent="0.25">
      <c r="A698" s="16"/>
      <c r="D698" s="16"/>
      <c r="F698" s="16"/>
      <c r="G698" s="16"/>
      <c r="H698" s="24"/>
      <c r="I698" s="24"/>
      <c r="L698"/>
    </row>
    <row r="699" spans="1:12" x14ac:dyDescent="0.25">
      <c r="A699" s="16"/>
      <c r="D699" s="16"/>
      <c r="F699" s="16"/>
      <c r="G699" s="16"/>
      <c r="H699" s="24"/>
      <c r="I699" s="24"/>
      <c r="L699"/>
    </row>
    <row r="700" spans="1:12" x14ac:dyDescent="0.25">
      <c r="A700" s="16"/>
      <c r="D700" s="16"/>
      <c r="F700" s="16"/>
      <c r="G700" s="16"/>
      <c r="H700" s="24"/>
      <c r="I700" s="24"/>
      <c r="L700"/>
    </row>
    <row r="701" spans="1:12" x14ac:dyDescent="0.25">
      <c r="A701" s="16"/>
      <c r="D701" s="16"/>
      <c r="F701" s="16"/>
      <c r="G701" s="16"/>
      <c r="H701" s="24"/>
      <c r="I701" s="24"/>
      <c r="L701"/>
    </row>
    <row r="702" spans="1:12" x14ac:dyDescent="0.25">
      <c r="A702" s="16"/>
      <c r="D702" s="16"/>
      <c r="F702" s="16"/>
      <c r="G702" s="16"/>
      <c r="H702" s="24"/>
      <c r="I702" s="24"/>
      <c r="L702"/>
    </row>
    <row r="703" spans="1:12" x14ac:dyDescent="0.25">
      <c r="A703" s="16"/>
      <c r="D703" s="16"/>
      <c r="F703" s="16"/>
      <c r="G703" s="16"/>
      <c r="H703" s="24"/>
      <c r="I703" s="24"/>
      <c r="L703"/>
    </row>
    <row r="704" spans="1:12" x14ac:dyDescent="0.25">
      <c r="A704" s="16"/>
      <c r="D704" s="16"/>
      <c r="F704" s="16"/>
      <c r="G704" s="16"/>
      <c r="H704" s="24"/>
      <c r="I704" s="24"/>
      <c r="L704"/>
    </row>
    <row r="705" spans="1:12" x14ac:dyDescent="0.25">
      <c r="A705" s="16"/>
      <c r="D705" s="16"/>
      <c r="F705" s="16"/>
      <c r="G705" s="16"/>
      <c r="H705" s="24"/>
      <c r="I705" s="24"/>
      <c r="L705"/>
    </row>
    <row r="706" spans="1:12" x14ac:dyDescent="0.25">
      <c r="A706" s="16"/>
      <c r="D706" s="16"/>
      <c r="F706" s="16"/>
      <c r="G706" s="16"/>
      <c r="H706" s="24"/>
      <c r="I706" s="24"/>
      <c r="L706"/>
    </row>
    <row r="707" spans="1:12" x14ac:dyDescent="0.25">
      <c r="A707" s="16"/>
      <c r="D707" s="16"/>
      <c r="F707" s="16"/>
      <c r="G707" s="16"/>
      <c r="H707" s="24"/>
      <c r="I707" s="24"/>
      <c r="L707"/>
    </row>
    <row r="708" spans="1:12" x14ac:dyDescent="0.25">
      <c r="A708" s="16"/>
      <c r="D708" s="16"/>
      <c r="F708" s="16"/>
      <c r="G708" s="16"/>
      <c r="H708" s="24"/>
      <c r="I708" s="24"/>
      <c r="L708"/>
    </row>
    <row r="709" spans="1:12" x14ac:dyDescent="0.25">
      <c r="A709" s="16"/>
      <c r="D709" s="16"/>
      <c r="F709" s="16"/>
      <c r="G709" s="16"/>
      <c r="H709" s="24"/>
      <c r="I709" s="24"/>
      <c r="L709"/>
    </row>
    <row r="710" spans="1:12" x14ac:dyDescent="0.25">
      <c r="A710" s="16"/>
      <c r="D710" s="16"/>
      <c r="F710" s="16"/>
      <c r="G710" s="16"/>
      <c r="H710" s="24"/>
      <c r="I710" s="24"/>
      <c r="L710"/>
    </row>
    <row r="711" spans="1:12" x14ac:dyDescent="0.25">
      <c r="A711" s="16"/>
      <c r="D711" s="16"/>
      <c r="F711" s="16"/>
      <c r="G711" s="16"/>
      <c r="H711" s="24"/>
      <c r="I711" s="24"/>
      <c r="L711"/>
    </row>
    <row r="712" spans="1:12" x14ac:dyDescent="0.25">
      <c r="A712" s="16"/>
      <c r="D712" s="16"/>
      <c r="F712" s="16"/>
      <c r="G712" s="16"/>
      <c r="H712" s="24"/>
      <c r="I712" s="24"/>
      <c r="L712"/>
    </row>
    <row r="713" spans="1:12" x14ac:dyDescent="0.25">
      <c r="A713" s="16"/>
      <c r="D713" s="16"/>
      <c r="F713" s="16"/>
      <c r="G713" s="16"/>
      <c r="H713" s="24"/>
      <c r="I713" s="24"/>
      <c r="L713"/>
    </row>
    <row r="714" spans="1:12" x14ac:dyDescent="0.25">
      <c r="A714" s="16"/>
      <c r="D714" s="16"/>
      <c r="F714" s="16"/>
      <c r="G714" s="16"/>
      <c r="H714" s="24"/>
      <c r="I714" s="24"/>
      <c r="L714"/>
    </row>
    <row r="715" spans="1:12" x14ac:dyDescent="0.25">
      <c r="A715" s="16"/>
      <c r="D715" s="16"/>
      <c r="F715" s="16"/>
      <c r="G715" s="16"/>
      <c r="H715" s="24"/>
      <c r="I715" s="24"/>
      <c r="L715"/>
    </row>
    <row r="716" spans="1:12" x14ac:dyDescent="0.25">
      <c r="A716" s="16"/>
      <c r="D716" s="16"/>
      <c r="F716" s="16"/>
      <c r="G716" s="16"/>
      <c r="H716" s="24"/>
      <c r="I716" s="24"/>
      <c r="L716"/>
    </row>
    <row r="717" spans="1:12" x14ac:dyDescent="0.25">
      <c r="A717" s="16"/>
      <c r="D717" s="16"/>
      <c r="F717" s="16"/>
      <c r="G717" s="16"/>
      <c r="H717" s="24"/>
      <c r="I717" s="24"/>
      <c r="L717"/>
    </row>
    <row r="718" spans="1:12" x14ac:dyDescent="0.25">
      <c r="A718" s="16"/>
      <c r="D718" s="16"/>
      <c r="F718" s="16"/>
      <c r="G718" s="16"/>
      <c r="H718" s="24"/>
      <c r="I718" s="24"/>
      <c r="L718"/>
    </row>
    <row r="719" spans="1:12" x14ac:dyDescent="0.25">
      <c r="A719" s="16"/>
      <c r="D719" s="16"/>
      <c r="F719" s="16"/>
      <c r="G719" s="16"/>
      <c r="H719" s="24"/>
      <c r="I719" s="24"/>
      <c r="L719"/>
    </row>
    <row r="720" spans="1:12" x14ac:dyDescent="0.25">
      <c r="A720" s="16"/>
      <c r="D720" s="16"/>
      <c r="F720" s="16"/>
      <c r="G720" s="16"/>
      <c r="H720" s="24"/>
      <c r="I720" s="24"/>
      <c r="L720"/>
    </row>
    <row r="721" spans="1:12" x14ac:dyDescent="0.25">
      <c r="A721" s="16"/>
      <c r="D721" s="16"/>
      <c r="F721" s="16"/>
      <c r="G721" s="16"/>
      <c r="H721" s="24"/>
      <c r="I721" s="24"/>
      <c r="L721"/>
    </row>
    <row r="722" spans="1:12" x14ac:dyDescent="0.25">
      <c r="A722" s="16"/>
      <c r="D722" s="16"/>
      <c r="F722" s="16"/>
      <c r="G722" s="16"/>
      <c r="H722" s="24"/>
      <c r="I722" s="24"/>
      <c r="L722"/>
    </row>
    <row r="723" spans="1:12" x14ac:dyDescent="0.25">
      <c r="A723" s="16"/>
      <c r="D723" s="16"/>
      <c r="F723" s="16"/>
      <c r="G723" s="16"/>
      <c r="H723" s="24"/>
      <c r="I723" s="24"/>
      <c r="L723"/>
    </row>
    <row r="724" spans="1:12" x14ac:dyDescent="0.25">
      <c r="A724" s="16"/>
      <c r="D724" s="16"/>
      <c r="F724" s="16"/>
      <c r="G724" s="16"/>
      <c r="H724" s="24"/>
      <c r="I724" s="24"/>
      <c r="L724"/>
    </row>
    <row r="725" spans="1:12" x14ac:dyDescent="0.25">
      <c r="A725" s="16"/>
      <c r="D725" s="16"/>
      <c r="F725" s="16"/>
      <c r="G725" s="16"/>
      <c r="H725" s="24"/>
      <c r="I725" s="24"/>
      <c r="L725"/>
    </row>
    <row r="726" spans="1:12" x14ac:dyDescent="0.25">
      <c r="A726" s="16"/>
      <c r="D726" s="16"/>
      <c r="F726" s="16"/>
      <c r="G726" s="16"/>
      <c r="H726" s="24"/>
      <c r="I726" s="24"/>
      <c r="L726"/>
    </row>
    <row r="727" spans="1:12" x14ac:dyDescent="0.25">
      <c r="A727" s="16"/>
      <c r="D727" s="16"/>
      <c r="F727" s="16"/>
      <c r="G727" s="16"/>
      <c r="H727" s="24"/>
      <c r="I727" s="24"/>
      <c r="L727"/>
    </row>
    <row r="728" spans="1:12" x14ac:dyDescent="0.25">
      <c r="A728" s="16"/>
      <c r="D728" s="16"/>
      <c r="F728" s="16"/>
      <c r="G728" s="16"/>
      <c r="H728" s="24"/>
      <c r="I728" s="24"/>
      <c r="L728"/>
    </row>
    <row r="729" spans="1:12" x14ac:dyDescent="0.25">
      <c r="A729" s="16"/>
      <c r="D729" s="16"/>
      <c r="F729" s="16"/>
      <c r="G729" s="16"/>
      <c r="H729" s="24"/>
      <c r="I729" s="24"/>
      <c r="L729"/>
    </row>
    <row r="730" spans="1:12" x14ac:dyDescent="0.25">
      <c r="A730" s="16"/>
      <c r="D730" s="16"/>
      <c r="F730" s="16"/>
      <c r="G730" s="16"/>
      <c r="H730" s="24"/>
      <c r="I730" s="24"/>
      <c r="L730"/>
    </row>
    <row r="731" spans="1:12" x14ac:dyDescent="0.25">
      <c r="A731" s="16"/>
      <c r="D731" s="16"/>
      <c r="F731" s="16"/>
      <c r="G731" s="16"/>
      <c r="H731" s="24"/>
      <c r="I731" s="24"/>
      <c r="L731"/>
    </row>
    <row r="732" spans="1:12" x14ac:dyDescent="0.25">
      <c r="A732" s="16"/>
      <c r="D732" s="16"/>
      <c r="F732" s="16"/>
      <c r="G732" s="16"/>
      <c r="H732" s="24"/>
      <c r="I732" s="24"/>
      <c r="L732"/>
    </row>
    <row r="733" spans="1:12" x14ac:dyDescent="0.25">
      <c r="A733" s="16"/>
      <c r="D733" s="16"/>
      <c r="F733" s="16"/>
      <c r="G733" s="16"/>
      <c r="H733" s="24"/>
      <c r="I733" s="24"/>
      <c r="L733"/>
    </row>
    <row r="734" spans="1:12" x14ac:dyDescent="0.25">
      <c r="A734" s="16"/>
      <c r="D734" s="16"/>
      <c r="F734" s="16"/>
      <c r="G734" s="16"/>
      <c r="H734" s="24"/>
      <c r="I734" s="24"/>
      <c r="L734"/>
    </row>
    <row r="735" spans="1:12" x14ac:dyDescent="0.25">
      <c r="A735" s="16"/>
      <c r="D735" s="16"/>
      <c r="F735" s="16"/>
      <c r="G735" s="16"/>
      <c r="H735" s="24"/>
      <c r="I735" s="24"/>
      <c r="L735"/>
    </row>
    <row r="736" spans="1:12" x14ac:dyDescent="0.25">
      <c r="A736" s="16"/>
      <c r="D736" s="16"/>
      <c r="F736" s="16"/>
      <c r="G736" s="16"/>
      <c r="H736" s="24"/>
      <c r="I736" s="24"/>
      <c r="L736"/>
    </row>
    <row r="737" spans="1:12" x14ac:dyDescent="0.25">
      <c r="A737" s="16"/>
      <c r="D737" s="16"/>
      <c r="F737" s="16"/>
      <c r="G737" s="16"/>
      <c r="H737" s="24"/>
      <c r="I737" s="24"/>
      <c r="L737"/>
    </row>
    <row r="738" spans="1:12" x14ac:dyDescent="0.25">
      <c r="A738" s="16"/>
      <c r="D738" s="16"/>
      <c r="F738" s="16"/>
      <c r="G738" s="16"/>
      <c r="H738" s="24"/>
      <c r="I738" s="24"/>
      <c r="L738"/>
    </row>
    <row r="739" spans="1:12" x14ac:dyDescent="0.25">
      <c r="A739" s="16"/>
      <c r="D739" s="16"/>
      <c r="F739" s="16"/>
      <c r="G739" s="16"/>
      <c r="H739" s="24"/>
      <c r="I739" s="24"/>
      <c r="L739"/>
    </row>
    <row r="740" spans="1:12" x14ac:dyDescent="0.25">
      <c r="A740" s="16"/>
      <c r="D740" s="16"/>
      <c r="F740" s="16"/>
      <c r="G740" s="16"/>
      <c r="H740" s="24"/>
      <c r="I740" s="24"/>
      <c r="L740"/>
    </row>
    <row r="741" spans="1:12" x14ac:dyDescent="0.25">
      <c r="A741" s="16"/>
      <c r="D741" s="16"/>
      <c r="F741" s="16"/>
      <c r="G741" s="16"/>
      <c r="H741" s="24"/>
      <c r="I741" s="24"/>
      <c r="L741"/>
    </row>
    <row r="742" spans="1:12" x14ac:dyDescent="0.25">
      <c r="A742" s="16"/>
      <c r="D742" s="16"/>
      <c r="F742" s="16"/>
      <c r="G742" s="16"/>
      <c r="H742" s="24"/>
      <c r="I742" s="24"/>
      <c r="L742"/>
    </row>
    <row r="743" spans="1:12" x14ac:dyDescent="0.25">
      <c r="A743" s="16"/>
      <c r="D743" s="16"/>
      <c r="F743" s="16"/>
      <c r="G743" s="16"/>
      <c r="H743" s="24"/>
      <c r="I743" s="24"/>
      <c r="L743"/>
    </row>
    <row r="744" spans="1:12" x14ac:dyDescent="0.25">
      <c r="A744" s="16"/>
      <c r="D744" s="16"/>
      <c r="F744" s="16"/>
      <c r="G744" s="16"/>
      <c r="H744" s="24"/>
      <c r="I744" s="24"/>
      <c r="L744"/>
    </row>
    <row r="745" spans="1:12" x14ac:dyDescent="0.25">
      <c r="A745" s="16"/>
      <c r="D745" s="16"/>
      <c r="F745" s="16"/>
      <c r="G745" s="16"/>
      <c r="H745" s="24"/>
      <c r="I745" s="24"/>
      <c r="L745"/>
    </row>
    <row r="746" spans="1:12" x14ac:dyDescent="0.25">
      <c r="A746" s="16"/>
      <c r="D746" s="16"/>
      <c r="F746" s="16"/>
      <c r="G746" s="16"/>
      <c r="H746" s="24"/>
      <c r="I746" s="24"/>
      <c r="L746"/>
    </row>
    <row r="747" spans="1:12" x14ac:dyDescent="0.25">
      <c r="A747" s="16"/>
      <c r="D747" s="16"/>
      <c r="F747" s="16"/>
      <c r="G747" s="16"/>
      <c r="H747" s="24"/>
      <c r="I747" s="24"/>
      <c r="L747"/>
    </row>
    <row r="748" spans="1:12" x14ac:dyDescent="0.25">
      <c r="A748" s="16"/>
      <c r="D748" s="16"/>
      <c r="F748" s="16"/>
      <c r="G748" s="16"/>
      <c r="H748" s="24"/>
      <c r="I748" s="24"/>
      <c r="L748"/>
    </row>
    <row r="749" spans="1:12" x14ac:dyDescent="0.25">
      <c r="A749" s="16"/>
      <c r="D749" s="16"/>
      <c r="F749" s="16"/>
      <c r="G749" s="16"/>
      <c r="H749" s="24"/>
      <c r="I749" s="24"/>
      <c r="L749"/>
    </row>
    <row r="750" spans="1:12" x14ac:dyDescent="0.25">
      <c r="A750" s="16"/>
      <c r="D750" s="16"/>
      <c r="F750" s="16"/>
      <c r="G750" s="16"/>
      <c r="H750" s="24"/>
      <c r="I750" s="24"/>
      <c r="L750"/>
    </row>
    <row r="751" spans="1:12" x14ac:dyDescent="0.25">
      <c r="A751" s="16"/>
      <c r="D751" s="16"/>
      <c r="F751" s="16"/>
      <c r="G751" s="16"/>
      <c r="H751" s="24"/>
      <c r="I751" s="24"/>
      <c r="L751"/>
    </row>
    <row r="752" spans="1:12" x14ac:dyDescent="0.25">
      <c r="A752" s="16"/>
      <c r="D752" s="16"/>
      <c r="F752" s="16"/>
      <c r="G752" s="16"/>
      <c r="H752" s="24"/>
      <c r="I752" s="24"/>
      <c r="L752"/>
    </row>
    <row r="753" spans="1:12" x14ac:dyDescent="0.25">
      <c r="A753" s="16"/>
      <c r="D753" s="16"/>
      <c r="F753" s="16"/>
      <c r="G753" s="16"/>
      <c r="H753" s="24"/>
      <c r="I753" s="24"/>
      <c r="L753"/>
    </row>
    <row r="754" spans="1:12" x14ac:dyDescent="0.25">
      <c r="A754" s="16"/>
      <c r="D754" s="16"/>
      <c r="F754" s="16"/>
      <c r="G754" s="16"/>
      <c r="H754" s="24"/>
      <c r="I754" s="24"/>
      <c r="L754"/>
    </row>
    <row r="755" spans="1:12" x14ac:dyDescent="0.25">
      <c r="A755" s="16"/>
      <c r="D755" s="16"/>
      <c r="F755" s="16"/>
      <c r="G755" s="16"/>
      <c r="H755" s="24"/>
      <c r="I755" s="24"/>
      <c r="L755"/>
    </row>
    <row r="756" spans="1:12" x14ac:dyDescent="0.25">
      <c r="A756" s="16"/>
      <c r="D756" s="16"/>
      <c r="F756" s="16"/>
      <c r="G756" s="16"/>
      <c r="H756" s="24"/>
      <c r="I756" s="24"/>
      <c r="L756"/>
    </row>
    <row r="757" spans="1:12" x14ac:dyDescent="0.25">
      <c r="A757" s="16"/>
      <c r="D757" s="16"/>
      <c r="F757" s="16"/>
      <c r="G757" s="16"/>
      <c r="H757" s="24"/>
      <c r="I757" s="24"/>
      <c r="L757"/>
    </row>
    <row r="758" spans="1:12" x14ac:dyDescent="0.25">
      <c r="A758" s="16"/>
      <c r="D758" s="16"/>
      <c r="F758" s="16"/>
      <c r="G758" s="16"/>
      <c r="H758" s="24"/>
      <c r="I758" s="24"/>
      <c r="L758"/>
    </row>
    <row r="759" spans="1:12" x14ac:dyDescent="0.25">
      <c r="A759" s="16"/>
      <c r="D759" s="16"/>
      <c r="F759" s="16"/>
      <c r="G759" s="16"/>
      <c r="H759" s="24"/>
      <c r="I759" s="24"/>
      <c r="L759"/>
    </row>
    <row r="760" spans="1:12" x14ac:dyDescent="0.25">
      <c r="A760" s="16"/>
      <c r="D760" s="16"/>
      <c r="F760" s="16"/>
      <c r="G760" s="16"/>
      <c r="H760" s="24"/>
      <c r="I760" s="24"/>
      <c r="L760"/>
    </row>
    <row r="761" spans="1:12" x14ac:dyDescent="0.25">
      <c r="A761" s="16"/>
      <c r="D761" s="16"/>
      <c r="F761" s="16"/>
      <c r="G761" s="16"/>
      <c r="H761" s="24"/>
      <c r="I761" s="24"/>
      <c r="L761"/>
    </row>
    <row r="762" spans="1:12" x14ac:dyDescent="0.25">
      <c r="A762" s="16"/>
      <c r="D762" s="16"/>
      <c r="F762" s="16"/>
      <c r="G762" s="16"/>
      <c r="H762" s="24"/>
      <c r="I762" s="24"/>
      <c r="L762"/>
    </row>
    <row r="763" spans="1:12" x14ac:dyDescent="0.25">
      <c r="A763" s="16"/>
      <c r="D763" s="16"/>
      <c r="F763" s="16"/>
      <c r="G763" s="16"/>
      <c r="H763" s="24"/>
      <c r="I763" s="24"/>
      <c r="L763"/>
    </row>
    <row r="764" spans="1:12" x14ac:dyDescent="0.25">
      <c r="A764" s="16"/>
      <c r="D764" s="16"/>
      <c r="F764" s="16"/>
      <c r="G764" s="16"/>
      <c r="H764" s="24"/>
      <c r="I764" s="24"/>
      <c r="L764"/>
    </row>
    <row r="765" spans="1:12" x14ac:dyDescent="0.25">
      <c r="A765" s="16"/>
      <c r="D765" s="16"/>
      <c r="F765" s="16"/>
      <c r="G765" s="16"/>
      <c r="H765" s="24"/>
      <c r="I765" s="24"/>
      <c r="L765"/>
    </row>
    <row r="766" spans="1:12" x14ac:dyDescent="0.25">
      <c r="A766" s="16"/>
      <c r="D766" s="16"/>
      <c r="F766" s="16"/>
      <c r="G766" s="16"/>
      <c r="H766" s="24"/>
      <c r="I766" s="24"/>
      <c r="L766"/>
    </row>
    <row r="767" spans="1:12" x14ac:dyDescent="0.25">
      <c r="A767" s="16"/>
      <c r="D767" s="16"/>
      <c r="F767" s="16"/>
      <c r="G767" s="16"/>
      <c r="H767" s="24"/>
      <c r="I767" s="24"/>
      <c r="L767"/>
    </row>
    <row r="768" spans="1:12" x14ac:dyDescent="0.25">
      <c r="A768" s="16"/>
      <c r="D768" s="16"/>
      <c r="F768" s="16"/>
      <c r="G768" s="16"/>
      <c r="H768" s="24"/>
      <c r="I768" s="24"/>
      <c r="L768"/>
    </row>
    <row r="769" spans="1:12" x14ac:dyDescent="0.25">
      <c r="A769" s="16"/>
      <c r="D769" s="16"/>
      <c r="F769" s="16"/>
      <c r="G769" s="16"/>
      <c r="H769" s="24"/>
      <c r="I769" s="24"/>
      <c r="L769"/>
    </row>
    <row r="770" spans="1:12" x14ac:dyDescent="0.25">
      <c r="A770" s="16"/>
      <c r="D770" s="16"/>
      <c r="F770" s="16"/>
      <c r="G770" s="16"/>
      <c r="H770" s="24"/>
      <c r="I770" s="24"/>
      <c r="L770"/>
    </row>
    <row r="771" spans="1:12" x14ac:dyDescent="0.25">
      <c r="A771" s="16"/>
      <c r="D771" s="16"/>
      <c r="F771" s="16"/>
      <c r="G771" s="16"/>
      <c r="H771" s="24"/>
      <c r="I771" s="24"/>
      <c r="L771"/>
    </row>
    <row r="772" spans="1:12" x14ac:dyDescent="0.25">
      <c r="A772" s="16"/>
      <c r="D772" s="16"/>
      <c r="F772" s="16"/>
      <c r="G772" s="16"/>
      <c r="H772" s="24"/>
      <c r="I772" s="24"/>
      <c r="L772"/>
    </row>
    <row r="773" spans="1:12" x14ac:dyDescent="0.25">
      <c r="A773" s="16"/>
      <c r="D773" s="16"/>
      <c r="F773" s="16"/>
      <c r="G773" s="16"/>
      <c r="H773" s="24"/>
      <c r="I773" s="24"/>
      <c r="L773"/>
    </row>
    <row r="774" spans="1:12" x14ac:dyDescent="0.25">
      <c r="A774" s="16"/>
      <c r="D774" s="16"/>
      <c r="F774" s="16"/>
      <c r="G774" s="16"/>
      <c r="H774" s="24"/>
      <c r="I774" s="24"/>
      <c r="L774"/>
    </row>
    <row r="775" spans="1:12" x14ac:dyDescent="0.25">
      <c r="A775" s="16"/>
      <c r="D775" s="16"/>
      <c r="F775" s="16"/>
      <c r="G775" s="16"/>
      <c r="H775" s="24"/>
      <c r="I775" s="24"/>
      <c r="L775"/>
    </row>
    <row r="776" spans="1:12" x14ac:dyDescent="0.25">
      <c r="A776" s="16"/>
      <c r="D776" s="16"/>
      <c r="F776" s="16"/>
      <c r="G776" s="16"/>
      <c r="H776" s="24"/>
      <c r="I776" s="24"/>
      <c r="L776"/>
    </row>
    <row r="777" spans="1:12" x14ac:dyDescent="0.25">
      <c r="A777" s="16"/>
      <c r="D777" s="16"/>
      <c r="F777" s="16"/>
      <c r="G777" s="16"/>
      <c r="H777" s="24"/>
      <c r="I777" s="24"/>
      <c r="L777"/>
    </row>
    <row r="778" spans="1:12" x14ac:dyDescent="0.25">
      <c r="A778" s="16"/>
      <c r="D778" s="16"/>
      <c r="F778" s="16"/>
      <c r="G778" s="16"/>
      <c r="H778" s="24"/>
      <c r="I778" s="24"/>
      <c r="L778"/>
    </row>
    <row r="779" spans="1:12" x14ac:dyDescent="0.25">
      <c r="A779" s="16"/>
      <c r="D779" s="16"/>
      <c r="F779" s="16"/>
      <c r="G779" s="16"/>
      <c r="H779" s="24"/>
      <c r="I779" s="24"/>
      <c r="L779"/>
    </row>
    <row r="780" spans="1:12" x14ac:dyDescent="0.25">
      <c r="A780" s="16"/>
      <c r="D780" s="16"/>
      <c r="F780" s="16"/>
      <c r="G780" s="16"/>
      <c r="H780" s="24"/>
      <c r="I780" s="24"/>
      <c r="L780"/>
    </row>
    <row r="781" spans="1:12" x14ac:dyDescent="0.25">
      <c r="A781" s="16"/>
      <c r="D781" s="16"/>
      <c r="F781" s="16"/>
      <c r="G781" s="16"/>
      <c r="H781" s="24"/>
      <c r="I781" s="24"/>
      <c r="L781"/>
    </row>
    <row r="782" spans="1:12" x14ac:dyDescent="0.25">
      <c r="A782" s="16"/>
      <c r="D782" s="16"/>
      <c r="F782" s="16"/>
      <c r="G782" s="16"/>
      <c r="H782" s="24"/>
      <c r="I782" s="24"/>
      <c r="L782"/>
    </row>
    <row r="783" spans="1:12" x14ac:dyDescent="0.25">
      <c r="A783" s="16"/>
      <c r="D783" s="16"/>
      <c r="F783" s="16"/>
      <c r="G783" s="16"/>
      <c r="H783" s="24"/>
      <c r="I783" s="24"/>
      <c r="L783"/>
    </row>
    <row r="784" spans="1:12" x14ac:dyDescent="0.25">
      <c r="A784" s="16"/>
      <c r="D784" s="16"/>
      <c r="F784" s="16"/>
      <c r="G784" s="16"/>
      <c r="H784" s="24"/>
      <c r="I784" s="24"/>
      <c r="L784"/>
    </row>
    <row r="785" spans="1:12" x14ac:dyDescent="0.25">
      <c r="A785" s="16"/>
      <c r="D785" s="16"/>
      <c r="F785" s="16"/>
      <c r="G785" s="16"/>
      <c r="H785" s="24"/>
      <c r="I785" s="24"/>
      <c r="L785"/>
    </row>
    <row r="786" spans="1:12" x14ac:dyDescent="0.25">
      <c r="A786" s="16"/>
      <c r="D786" s="16"/>
      <c r="F786" s="16"/>
      <c r="G786" s="16"/>
      <c r="H786" s="24"/>
      <c r="I786" s="24"/>
      <c r="L786"/>
    </row>
    <row r="787" spans="1:12" x14ac:dyDescent="0.25">
      <c r="A787" s="16"/>
      <c r="D787" s="16"/>
      <c r="F787" s="16"/>
      <c r="G787" s="16"/>
      <c r="H787" s="24"/>
      <c r="I787" s="24"/>
      <c r="L787"/>
    </row>
    <row r="788" spans="1:12" x14ac:dyDescent="0.25">
      <c r="A788" s="16"/>
      <c r="D788" s="16"/>
      <c r="F788" s="16"/>
      <c r="G788" s="16"/>
      <c r="H788" s="24"/>
      <c r="I788" s="24"/>
      <c r="L788"/>
    </row>
    <row r="789" spans="1:12" x14ac:dyDescent="0.25">
      <c r="A789" s="16"/>
      <c r="D789" s="16"/>
      <c r="F789" s="16"/>
      <c r="G789" s="16"/>
      <c r="H789" s="24"/>
      <c r="I789" s="24"/>
      <c r="L789"/>
    </row>
    <row r="790" spans="1:12" x14ac:dyDescent="0.25">
      <c r="A790" s="16"/>
      <c r="D790" s="16"/>
      <c r="F790" s="16"/>
      <c r="G790" s="16"/>
      <c r="H790" s="24"/>
      <c r="I790" s="24"/>
      <c r="L790"/>
    </row>
    <row r="791" spans="1:12" x14ac:dyDescent="0.25">
      <c r="A791" s="16"/>
      <c r="D791" s="16"/>
      <c r="F791" s="16"/>
      <c r="G791" s="16"/>
      <c r="H791" s="24"/>
      <c r="I791" s="24"/>
      <c r="L791"/>
    </row>
    <row r="792" spans="1:12" x14ac:dyDescent="0.25">
      <c r="A792" s="16"/>
      <c r="D792" s="16"/>
      <c r="F792" s="16"/>
      <c r="G792" s="16"/>
      <c r="H792" s="24"/>
      <c r="I792" s="24"/>
      <c r="L792"/>
    </row>
    <row r="793" spans="1:12" x14ac:dyDescent="0.25">
      <c r="A793" s="16"/>
      <c r="D793" s="16"/>
      <c r="F793" s="16"/>
      <c r="G793" s="16"/>
      <c r="H793" s="24"/>
      <c r="I793" s="24"/>
      <c r="L793"/>
    </row>
    <row r="794" spans="1:12" x14ac:dyDescent="0.25">
      <c r="A794" s="16"/>
      <c r="D794" s="16"/>
      <c r="F794" s="16"/>
      <c r="G794" s="16"/>
      <c r="H794" s="24"/>
      <c r="I794" s="24"/>
      <c r="L794"/>
    </row>
    <row r="795" spans="1:12" x14ac:dyDescent="0.25">
      <c r="A795" s="16"/>
      <c r="D795" s="16"/>
      <c r="F795" s="16"/>
      <c r="G795" s="16"/>
      <c r="H795" s="24"/>
      <c r="I795" s="24"/>
      <c r="L795"/>
    </row>
    <row r="796" spans="1:12" x14ac:dyDescent="0.25">
      <c r="A796" s="16"/>
      <c r="D796" s="16"/>
      <c r="F796" s="16"/>
      <c r="G796" s="16"/>
      <c r="H796" s="24"/>
      <c r="I796" s="24"/>
      <c r="L796"/>
    </row>
    <row r="797" spans="1:12" x14ac:dyDescent="0.25">
      <c r="A797" s="16"/>
      <c r="D797" s="16"/>
      <c r="F797" s="16"/>
      <c r="G797" s="16"/>
      <c r="H797" s="24"/>
      <c r="I797" s="24"/>
      <c r="L797"/>
    </row>
    <row r="798" spans="1:12" x14ac:dyDescent="0.25">
      <c r="A798" s="16"/>
      <c r="D798" s="16"/>
      <c r="F798" s="16"/>
      <c r="G798" s="16"/>
      <c r="H798" s="24"/>
      <c r="I798" s="24"/>
      <c r="L798"/>
    </row>
    <row r="799" spans="1:12" x14ac:dyDescent="0.25">
      <c r="A799" s="16"/>
      <c r="D799" s="16"/>
      <c r="F799" s="16"/>
      <c r="G799" s="16"/>
      <c r="H799" s="24"/>
      <c r="I799" s="24"/>
      <c r="L799"/>
    </row>
    <row r="800" spans="1:12" x14ac:dyDescent="0.25">
      <c r="A800" s="16"/>
      <c r="D800" s="16"/>
      <c r="F800" s="16"/>
      <c r="G800" s="16"/>
      <c r="H800" s="24"/>
      <c r="I800" s="24"/>
      <c r="L800"/>
    </row>
    <row r="801" spans="1:12" x14ac:dyDescent="0.25">
      <c r="A801" s="16"/>
      <c r="D801" s="16"/>
      <c r="F801" s="16"/>
      <c r="G801" s="16"/>
      <c r="H801" s="24"/>
      <c r="I801" s="24"/>
      <c r="L801"/>
    </row>
    <row r="802" spans="1:12" x14ac:dyDescent="0.25">
      <c r="A802" s="16"/>
      <c r="D802" s="16"/>
      <c r="F802" s="16"/>
      <c r="G802" s="16"/>
      <c r="H802" s="24"/>
      <c r="I802" s="24"/>
      <c r="L802"/>
    </row>
    <row r="803" spans="1:12" x14ac:dyDescent="0.25">
      <c r="A803" s="16"/>
      <c r="D803" s="16"/>
      <c r="F803" s="16"/>
      <c r="G803" s="16"/>
      <c r="H803" s="24"/>
      <c r="I803" s="24"/>
      <c r="L803"/>
    </row>
    <row r="804" spans="1:12" x14ac:dyDescent="0.25">
      <c r="A804" s="16"/>
      <c r="D804" s="16"/>
      <c r="F804" s="16"/>
      <c r="G804" s="16"/>
      <c r="H804" s="24"/>
      <c r="I804" s="24"/>
      <c r="L804"/>
    </row>
    <row r="805" spans="1:12" x14ac:dyDescent="0.25">
      <c r="A805" s="16"/>
      <c r="D805" s="16"/>
      <c r="F805" s="16"/>
      <c r="G805" s="16"/>
      <c r="H805" s="24"/>
      <c r="I805" s="24"/>
      <c r="L805"/>
    </row>
    <row r="806" spans="1:12" x14ac:dyDescent="0.25">
      <c r="A806" s="16"/>
      <c r="D806" s="16"/>
      <c r="F806" s="16"/>
      <c r="G806" s="16"/>
      <c r="H806" s="24"/>
      <c r="I806" s="24"/>
      <c r="L806"/>
    </row>
    <row r="807" spans="1:12" x14ac:dyDescent="0.25">
      <c r="A807" s="16"/>
      <c r="D807" s="16"/>
      <c r="F807" s="16"/>
      <c r="G807" s="16"/>
      <c r="H807" s="24"/>
      <c r="I807" s="24"/>
      <c r="L807"/>
    </row>
    <row r="808" spans="1:12" x14ac:dyDescent="0.25">
      <c r="A808" s="16"/>
      <c r="D808" s="16"/>
      <c r="F808" s="16"/>
      <c r="G808" s="16"/>
      <c r="H808" s="24"/>
      <c r="I808" s="24"/>
      <c r="L808"/>
    </row>
    <row r="809" spans="1:12" x14ac:dyDescent="0.25">
      <c r="A809" s="16"/>
      <c r="D809" s="16"/>
      <c r="F809" s="16"/>
      <c r="G809" s="16"/>
      <c r="H809" s="24"/>
      <c r="I809" s="24"/>
      <c r="L809"/>
    </row>
    <row r="810" spans="1:12" x14ac:dyDescent="0.25">
      <c r="A810" s="16"/>
      <c r="D810" s="16"/>
      <c r="F810" s="16"/>
      <c r="G810" s="16"/>
      <c r="H810" s="24"/>
      <c r="I810" s="24"/>
      <c r="L810"/>
    </row>
    <row r="811" spans="1:12" x14ac:dyDescent="0.25">
      <c r="A811" s="16"/>
      <c r="D811" s="16"/>
      <c r="F811" s="16"/>
      <c r="G811" s="16"/>
      <c r="H811" s="24"/>
      <c r="I811" s="24"/>
      <c r="L811"/>
    </row>
    <row r="812" spans="1:12" x14ac:dyDescent="0.25">
      <c r="A812" s="16"/>
      <c r="D812" s="16"/>
      <c r="F812" s="16"/>
      <c r="G812" s="16"/>
      <c r="H812" s="24"/>
      <c r="I812" s="24"/>
      <c r="L812"/>
    </row>
    <row r="813" spans="1:12" x14ac:dyDescent="0.25">
      <c r="A813" s="16"/>
      <c r="D813" s="16"/>
      <c r="F813" s="16"/>
      <c r="G813" s="16"/>
      <c r="H813" s="24"/>
      <c r="I813" s="24"/>
      <c r="L813"/>
    </row>
    <row r="814" spans="1:12" x14ac:dyDescent="0.25">
      <c r="A814" s="16"/>
      <c r="D814" s="16"/>
      <c r="F814" s="16"/>
      <c r="G814" s="16"/>
      <c r="H814" s="24"/>
      <c r="I814" s="24"/>
      <c r="L814"/>
    </row>
    <row r="815" spans="1:12" x14ac:dyDescent="0.25">
      <c r="A815" s="16"/>
      <c r="D815" s="16"/>
      <c r="F815" s="16"/>
      <c r="G815" s="16"/>
      <c r="H815" s="24"/>
      <c r="I815" s="24"/>
      <c r="L815"/>
    </row>
    <row r="816" spans="1:12" x14ac:dyDescent="0.25">
      <c r="A816" s="16"/>
      <c r="D816" s="16"/>
      <c r="F816" s="16"/>
      <c r="G816" s="16"/>
      <c r="H816" s="24"/>
      <c r="I816" s="24"/>
      <c r="L816"/>
    </row>
    <row r="817" spans="1:12" x14ac:dyDescent="0.25">
      <c r="A817" s="16"/>
      <c r="D817" s="16"/>
      <c r="F817" s="16"/>
      <c r="G817" s="16"/>
      <c r="H817" s="24"/>
      <c r="I817" s="24"/>
      <c r="L817"/>
    </row>
    <row r="818" spans="1:12" x14ac:dyDescent="0.25">
      <c r="A818" s="16"/>
      <c r="D818" s="16"/>
      <c r="F818" s="16"/>
      <c r="G818" s="16"/>
      <c r="H818" s="24"/>
      <c r="I818" s="24"/>
      <c r="L818"/>
    </row>
    <row r="819" spans="1:12" x14ac:dyDescent="0.25">
      <c r="A819" s="16"/>
      <c r="D819" s="16"/>
      <c r="F819" s="16"/>
      <c r="G819" s="16"/>
      <c r="H819" s="24"/>
      <c r="I819" s="24"/>
      <c r="L819"/>
    </row>
    <row r="820" spans="1:12" x14ac:dyDescent="0.25">
      <c r="A820" s="16"/>
      <c r="D820" s="16"/>
      <c r="F820" s="16"/>
      <c r="G820" s="16"/>
      <c r="H820" s="24"/>
      <c r="I820" s="24"/>
      <c r="L820"/>
    </row>
    <row r="821" spans="1:12" x14ac:dyDescent="0.25">
      <c r="A821" s="16"/>
      <c r="D821" s="16"/>
      <c r="F821" s="16"/>
      <c r="G821" s="16"/>
      <c r="H821" s="24"/>
      <c r="I821" s="24"/>
      <c r="L821"/>
    </row>
    <row r="822" spans="1:12" x14ac:dyDescent="0.25">
      <c r="A822" s="16"/>
      <c r="D822" s="16"/>
      <c r="F822" s="16"/>
      <c r="G822" s="16"/>
      <c r="H822" s="24"/>
      <c r="I822" s="24"/>
      <c r="L822"/>
    </row>
    <row r="823" spans="1:12" x14ac:dyDescent="0.25">
      <c r="A823" s="16"/>
      <c r="D823" s="16"/>
      <c r="F823" s="16"/>
      <c r="G823" s="16"/>
      <c r="H823" s="24"/>
      <c r="I823" s="24"/>
      <c r="L823"/>
    </row>
    <row r="824" spans="1:12" x14ac:dyDescent="0.25">
      <c r="A824" s="16"/>
      <c r="D824" s="16"/>
      <c r="F824" s="16"/>
      <c r="G824" s="16"/>
      <c r="H824" s="24"/>
      <c r="I824" s="24"/>
      <c r="L824"/>
    </row>
    <row r="825" spans="1:12" x14ac:dyDescent="0.25">
      <c r="A825" s="16"/>
      <c r="D825" s="16"/>
      <c r="F825" s="16"/>
      <c r="G825" s="16"/>
      <c r="H825" s="24"/>
      <c r="I825" s="24"/>
      <c r="L825"/>
    </row>
    <row r="826" spans="1:12" x14ac:dyDescent="0.25">
      <c r="A826" s="16"/>
      <c r="D826" s="16"/>
      <c r="F826" s="16"/>
      <c r="G826" s="16"/>
      <c r="H826" s="24"/>
      <c r="I826" s="24"/>
      <c r="L826"/>
    </row>
    <row r="827" spans="1:12" x14ac:dyDescent="0.25">
      <c r="A827" s="16"/>
      <c r="D827" s="16"/>
      <c r="F827" s="16"/>
      <c r="G827" s="16"/>
      <c r="H827" s="24"/>
      <c r="I827" s="24"/>
      <c r="L827"/>
    </row>
    <row r="828" spans="1:12" x14ac:dyDescent="0.25">
      <c r="A828" s="16"/>
      <c r="D828" s="16"/>
      <c r="F828" s="16"/>
      <c r="G828" s="16"/>
      <c r="H828" s="24"/>
      <c r="I828" s="24"/>
      <c r="L828"/>
    </row>
    <row r="829" spans="1:12" x14ac:dyDescent="0.25">
      <c r="A829" s="16"/>
      <c r="D829" s="16"/>
      <c r="F829" s="16"/>
      <c r="G829" s="16"/>
      <c r="H829" s="24"/>
      <c r="I829" s="24"/>
      <c r="L829"/>
    </row>
    <row r="830" spans="1:12" x14ac:dyDescent="0.25">
      <c r="A830" s="16"/>
      <c r="D830" s="16"/>
      <c r="F830" s="16"/>
      <c r="G830" s="16"/>
      <c r="H830" s="24"/>
      <c r="I830" s="24"/>
      <c r="L830"/>
    </row>
    <row r="831" spans="1:12" x14ac:dyDescent="0.25">
      <c r="A831" s="16"/>
      <c r="D831" s="16"/>
      <c r="F831" s="16"/>
      <c r="G831" s="16"/>
      <c r="H831" s="24"/>
      <c r="I831" s="24"/>
      <c r="L831"/>
    </row>
    <row r="832" spans="1:12" x14ac:dyDescent="0.25">
      <c r="A832" s="16"/>
      <c r="D832" s="16"/>
      <c r="F832" s="16"/>
      <c r="G832" s="16"/>
      <c r="H832" s="24"/>
      <c r="I832" s="24"/>
      <c r="L832"/>
    </row>
    <row r="833" spans="1:12" x14ac:dyDescent="0.25">
      <c r="A833" s="16"/>
      <c r="D833" s="16"/>
      <c r="F833" s="16"/>
      <c r="G833" s="16"/>
      <c r="H833" s="24"/>
      <c r="I833" s="24"/>
      <c r="L833"/>
    </row>
    <row r="834" spans="1:12" x14ac:dyDescent="0.25">
      <c r="A834" s="16"/>
      <c r="D834" s="16"/>
      <c r="F834" s="16"/>
      <c r="G834" s="16"/>
      <c r="H834" s="24"/>
      <c r="I834" s="24"/>
      <c r="L834"/>
    </row>
    <row r="835" spans="1:12" x14ac:dyDescent="0.25">
      <c r="A835" s="16"/>
      <c r="D835" s="16"/>
      <c r="F835" s="16"/>
      <c r="G835" s="16"/>
      <c r="H835" s="24"/>
      <c r="I835" s="24"/>
      <c r="L835"/>
    </row>
    <row r="836" spans="1:12" x14ac:dyDescent="0.25">
      <c r="A836" s="16"/>
      <c r="D836" s="16"/>
      <c r="F836" s="16"/>
      <c r="G836" s="16"/>
      <c r="H836" s="24"/>
      <c r="I836" s="24"/>
      <c r="L836"/>
    </row>
    <row r="837" spans="1:12" x14ac:dyDescent="0.25">
      <c r="A837" s="16"/>
      <c r="D837" s="16"/>
      <c r="F837" s="16"/>
      <c r="G837" s="16"/>
      <c r="H837" s="24"/>
      <c r="I837" s="24"/>
      <c r="L837"/>
    </row>
    <row r="838" spans="1:12" x14ac:dyDescent="0.25">
      <c r="A838" s="16"/>
      <c r="D838" s="16"/>
      <c r="F838" s="16"/>
      <c r="G838" s="16"/>
      <c r="H838" s="24"/>
      <c r="I838" s="24"/>
      <c r="L838"/>
    </row>
    <row r="839" spans="1:12" x14ac:dyDescent="0.25">
      <c r="A839" s="16"/>
      <c r="D839" s="16"/>
      <c r="F839" s="16"/>
      <c r="G839" s="16"/>
      <c r="H839" s="24"/>
      <c r="I839" s="24"/>
      <c r="L839"/>
    </row>
    <row r="840" spans="1:12" x14ac:dyDescent="0.25">
      <c r="A840" s="16"/>
      <c r="D840" s="16"/>
      <c r="F840" s="16"/>
      <c r="G840" s="16"/>
      <c r="H840" s="24"/>
      <c r="I840" s="24"/>
      <c r="L840"/>
    </row>
    <row r="841" spans="1:12" x14ac:dyDescent="0.25">
      <c r="A841" s="16"/>
      <c r="D841" s="16"/>
      <c r="F841" s="16"/>
      <c r="G841" s="16"/>
      <c r="H841" s="24"/>
      <c r="I841" s="24"/>
      <c r="L841"/>
    </row>
    <row r="842" spans="1:12" x14ac:dyDescent="0.25">
      <c r="A842" s="16"/>
      <c r="D842" s="16"/>
      <c r="F842" s="16"/>
      <c r="G842" s="16"/>
      <c r="H842" s="24"/>
      <c r="I842" s="24"/>
      <c r="L842"/>
    </row>
    <row r="843" spans="1:12" x14ac:dyDescent="0.25">
      <c r="A843" s="16"/>
      <c r="D843" s="16"/>
      <c r="F843" s="16"/>
      <c r="G843" s="16"/>
      <c r="H843" s="24"/>
      <c r="I843" s="24"/>
      <c r="L843"/>
    </row>
    <row r="844" spans="1:12" x14ac:dyDescent="0.25">
      <c r="A844" s="16"/>
      <c r="D844" s="16"/>
      <c r="F844" s="16"/>
      <c r="G844" s="16"/>
      <c r="H844" s="24"/>
      <c r="I844" s="24"/>
      <c r="L844"/>
    </row>
    <row r="845" spans="1:12" x14ac:dyDescent="0.25">
      <c r="A845" s="16"/>
      <c r="D845" s="16"/>
      <c r="F845" s="16"/>
      <c r="G845" s="16"/>
      <c r="H845" s="24"/>
      <c r="I845" s="24"/>
      <c r="L845"/>
    </row>
    <row r="846" spans="1:12" x14ac:dyDescent="0.25">
      <c r="A846" s="16"/>
      <c r="D846" s="16"/>
      <c r="F846" s="16"/>
      <c r="G846" s="16"/>
      <c r="H846" s="24"/>
      <c r="I846" s="24"/>
      <c r="L846"/>
    </row>
    <row r="847" spans="1:12" x14ac:dyDescent="0.25">
      <c r="A847" s="16"/>
      <c r="D847" s="16"/>
      <c r="F847" s="16"/>
      <c r="G847" s="16"/>
      <c r="H847" s="24"/>
      <c r="I847" s="24"/>
      <c r="L847"/>
    </row>
    <row r="848" spans="1:12" x14ac:dyDescent="0.25">
      <c r="A848" s="16"/>
      <c r="D848" s="16"/>
      <c r="F848" s="16"/>
      <c r="G848" s="16"/>
      <c r="H848" s="24"/>
      <c r="I848" s="24"/>
      <c r="L848"/>
    </row>
    <row r="849" spans="1:12" x14ac:dyDescent="0.25">
      <c r="A849" s="16"/>
      <c r="D849" s="16"/>
      <c r="F849" s="16"/>
      <c r="G849" s="16"/>
      <c r="H849" s="24"/>
      <c r="I849" s="24"/>
      <c r="L849"/>
    </row>
    <row r="850" spans="1:12" x14ac:dyDescent="0.25">
      <c r="A850" s="16"/>
      <c r="D850" s="16"/>
      <c r="F850" s="16"/>
      <c r="G850" s="16"/>
      <c r="H850" s="24"/>
      <c r="I850" s="24"/>
      <c r="L850"/>
    </row>
    <row r="851" spans="1:12" x14ac:dyDescent="0.25">
      <c r="A851" s="16"/>
      <c r="D851" s="16"/>
      <c r="F851" s="16"/>
      <c r="G851" s="16"/>
      <c r="H851" s="24"/>
      <c r="I851" s="24"/>
      <c r="L851"/>
    </row>
    <row r="852" spans="1:12" x14ac:dyDescent="0.25">
      <c r="A852" s="16"/>
      <c r="D852" s="16"/>
      <c r="F852" s="16"/>
      <c r="G852" s="16"/>
      <c r="H852" s="24"/>
      <c r="I852" s="24"/>
      <c r="L852"/>
    </row>
    <row r="853" spans="1:12" x14ac:dyDescent="0.25">
      <c r="A853" s="16"/>
      <c r="D853" s="16"/>
      <c r="F853" s="16"/>
      <c r="G853" s="16"/>
      <c r="H853" s="24"/>
      <c r="I853" s="24"/>
      <c r="L853"/>
    </row>
    <row r="854" spans="1:12" x14ac:dyDescent="0.25">
      <c r="A854" s="16"/>
      <c r="D854" s="16"/>
      <c r="F854" s="16"/>
      <c r="G854" s="16"/>
      <c r="H854" s="24"/>
      <c r="I854" s="24"/>
      <c r="L854"/>
    </row>
    <row r="855" spans="1:12" x14ac:dyDescent="0.25">
      <c r="A855" s="16"/>
      <c r="D855" s="16"/>
      <c r="F855" s="16"/>
      <c r="G855" s="16"/>
      <c r="H855" s="24"/>
      <c r="I855" s="24"/>
      <c r="L855"/>
    </row>
    <row r="856" spans="1:12" x14ac:dyDescent="0.25">
      <c r="A856" s="16"/>
      <c r="D856" s="16"/>
      <c r="F856" s="16"/>
      <c r="G856" s="16"/>
      <c r="H856" s="24"/>
      <c r="I856" s="24"/>
      <c r="L856"/>
    </row>
    <row r="857" spans="1:12" x14ac:dyDescent="0.25">
      <c r="A857" s="16"/>
      <c r="D857" s="16"/>
      <c r="F857" s="16"/>
      <c r="G857" s="16"/>
      <c r="H857" s="24"/>
      <c r="I857" s="24"/>
      <c r="L857"/>
    </row>
    <row r="858" spans="1:12" x14ac:dyDescent="0.25">
      <c r="A858" s="16"/>
      <c r="D858" s="16"/>
      <c r="F858" s="16"/>
      <c r="G858" s="16"/>
      <c r="H858" s="24"/>
      <c r="I858" s="24"/>
      <c r="L858"/>
    </row>
    <row r="859" spans="1:12" x14ac:dyDescent="0.25">
      <c r="A859" s="16"/>
      <c r="D859" s="16"/>
      <c r="F859" s="16"/>
      <c r="G859" s="16"/>
      <c r="H859" s="24"/>
      <c r="I859" s="24"/>
      <c r="L859"/>
    </row>
    <row r="860" spans="1:12" x14ac:dyDescent="0.25">
      <c r="A860" s="16"/>
      <c r="D860" s="16"/>
      <c r="F860" s="16"/>
      <c r="G860" s="16"/>
      <c r="H860" s="24"/>
      <c r="I860" s="24"/>
      <c r="L860"/>
    </row>
    <row r="861" spans="1:12" x14ac:dyDescent="0.25">
      <c r="A861" s="16"/>
      <c r="D861" s="16"/>
      <c r="F861" s="16"/>
      <c r="G861" s="16"/>
      <c r="H861" s="24"/>
      <c r="I861" s="24"/>
      <c r="L861"/>
    </row>
    <row r="862" spans="1:12" x14ac:dyDescent="0.25">
      <c r="A862" s="16"/>
      <c r="D862" s="16"/>
      <c r="F862" s="16"/>
      <c r="G862" s="16"/>
      <c r="H862" s="24"/>
      <c r="I862" s="24"/>
      <c r="L862"/>
    </row>
    <row r="863" spans="1:12" x14ac:dyDescent="0.25">
      <c r="A863" s="16"/>
      <c r="D863" s="16"/>
      <c r="F863" s="16"/>
      <c r="G863" s="16"/>
      <c r="H863" s="24"/>
      <c r="I863" s="24"/>
      <c r="L863"/>
    </row>
    <row r="864" spans="1:12" x14ac:dyDescent="0.25">
      <c r="A864" s="16"/>
      <c r="D864" s="16"/>
      <c r="F864" s="16"/>
      <c r="G864" s="16"/>
      <c r="H864" s="24"/>
      <c r="I864" s="24"/>
      <c r="L864"/>
    </row>
    <row r="865" spans="1:12" x14ac:dyDescent="0.25">
      <c r="A865" s="16"/>
      <c r="D865" s="16"/>
      <c r="F865" s="16"/>
      <c r="G865" s="16"/>
      <c r="H865" s="24"/>
      <c r="I865" s="24"/>
      <c r="L865"/>
    </row>
    <row r="866" spans="1:12" x14ac:dyDescent="0.25">
      <c r="A866" s="16"/>
      <c r="D866" s="16"/>
      <c r="F866" s="16"/>
      <c r="G866" s="16"/>
      <c r="H866" s="24"/>
      <c r="I866" s="24"/>
      <c r="L866"/>
    </row>
    <row r="867" spans="1:12" x14ac:dyDescent="0.25">
      <c r="A867" s="16"/>
      <c r="D867" s="16"/>
      <c r="F867" s="16"/>
      <c r="G867" s="16"/>
      <c r="H867" s="24"/>
      <c r="I867" s="24"/>
      <c r="L867"/>
    </row>
    <row r="868" spans="1:12" x14ac:dyDescent="0.25">
      <c r="A868" s="16"/>
      <c r="D868" s="16"/>
      <c r="F868" s="16"/>
      <c r="G868" s="16"/>
      <c r="H868" s="24"/>
      <c r="I868" s="24"/>
      <c r="L868"/>
    </row>
    <row r="869" spans="1:12" x14ac:dyDescent="0.25">
      <c r="A869" s="16"/>
      <c r="D869" s="16"/>
      <c r="F869" s="16"/>
      <c r="G869" s="16"/>
      <c r="H869" s="24"/>
      <c r="I869" s="24"/>
      <c r="L869"/>
    </row>
    <row r="870" spans="1:12" x14ac:dyDescent="0.25">
      <c r="A870" s="16"/>
      <c r="D870" s="16"/>
      <c r="F870" s="16"/>
      <c r="G870" s="16"/>
      <c r="H870" s="24"/>
      <c r="I870" s="24"/>
      <c r="L870"/>
    </row>
    <row r="871" spans="1:12" x14ac:dyDescent="0.25">
      <c r="A871" s="16"/>
      <c r="D871" s="16"/>
      <c r="F871" s="16"/>
      <c r="G871" s="16"/>
      <c r="H871" s="24"/>
      <c r="I871" s="24"/>
      <c r="L871"/>
    </row>
    <row r="872" spans="1:12" x14ac:dyDescent="0.25">
      <c r="A872" s="16"/>
      <c r="D872" s="16"/>
      <c r="F872" s="16"/>
      <c r="G872" s="16"/>
      <c r="H872" s="24"/>
      <c r="I872" s="24"/>
      <c r="L872"/>
    </row>
    <row r="873" spans="1:12" x14ac:dyDescent="0.25">
      <c r="A873" s="16"/>
      <c r="D873" s="16"/>
      <c r="F873" s="16"/>
      <c r="G873" s="16"/>
      <c r="H873" s="24"/>
      <c r="I873" s="24"/>
      <c r="L873"/>
    </row>
    <row r="874" spans="1:12" x14ac:dyDescent="0.25">
      <c r="A874" s="16"/>
      <c r="D874" s="16"/>
      <c r="F874" s="16"/>
      <c r="G874" s="16"/>
      <c r="H874" s="24"/>
      <c r="I874" s="24"/>
      <c r="L874"/>
    </row>
    <row r="875" spans="1:12" x14ac:dyDescent="0.25">
      <c r="A875" s="16"/>
      <c r="D875" s="16"/>
      <c r="F875" s="16"/>
      <c r="G875" s="16"/>
      <c r="H875" s="24"/>
      <c r="I875" s="24"/>
      <c r="L875"/>
    </row>
    <row r="876" spans="1:12" x14ac:dyDescent="0.25">
      <c r="A876" s="16"/>
      <c r="D876" s="16"/>
      <c r="F876" s="16"/>
      <c r="G876" s="16"/>
      <c r="H876" s="24"/>
      <c r="I876" s="24"/>
      <c r="L876"/>
    </row>
    <row r="877" spans="1:12" x14ac:dyDescent="0.25">
      <c r="A877" s="16"/>
      <c r="D877" s="16"/>
      <c r="F877" s="16"/>
      <c r="G877" s="16"/>
      <c r="H877" s="24"/>
      <c r="I877" s="24"/>
      <c r="L877"/>
    </row>
    <row r="878" spans="1:12" x14ac:dyDescent="0.25">
      <c r="A878" s="16"/>
      <c r="D878" s="16"/>
      <c r="F878" s="16"/>
      <c r="G878" s="16"/>
      <c r="H878" s="24"/>
      <c r="I878" s="24"/>
      <c r="L878"/>
    </row>
    <row r="879" spans="1:12" x14ac:dyDescent="0.25">
      <c r="A879" s="16"/>
      <c r="D879" s="16"/>
      <c r="F879" s="16"/>
      <c r="G879" s="16"/>
      <c r="H879" s="24"/>
      <c r="I879" s="24"/>
      <c r="L879"/>
    </row>
    <row r="880" spans="1:12" x14ac:dyDescent="0.25">
      <c r="A880" s="16"/>
      <c r="D880" s="16"/>
      <c r="F880" s="16"/>
      <c r="G880" s="16"/>
      <c r="H880" s="24"/>
      <c r="I880" s="24"/>
      <c r="L880"/>
    </row>
    <row r="881" spans="1:12" x14ac:dyDescent="0.25">
      <c r="A881" s="16"/>
      <c r="D881" s="16"/>
      <c r="F881" s="16"/>
      <c r="G881" s="16"/>
      <c r="H881" s="24"/>
      <c r="I881" s="24"/>
      <c r="L881"/>
    </row>
    <row r="882" spans="1:12" x14ac:dyDescent="0.25">
      <c r="A882" s="16"/>
      <c r="D882" s="16"/>
      <c r="F882" s="16"/>
      <c r="G882" s="16"/>
      <c r="H882" s="24"/>
      <c r="I882" s="24"/>
      <c r="L882"/>
    </row>
    <row r="883" spans="1:12" x14ac:dyDescent="0.25">
      <c r="A883" s="16"/>
      <c r="D883" s="16"/>
      <c r="F883" s="16"/>
      <c r="G883" s="16"/>
      <c r="H883" s="24"/>
      <c r="I883" s="24"/>
      <c r="L883"/>
    </row>
    <row r="884" spans="1:12" x14ac:dyDescent="0.25">
      <c r="A884" s="16"/>
      <c r="D884" s="16"/>
      <c r="F884" s="16"/>
      <c r="G884" s="16"/>
      <c r="H884" s="24"/>
      <c r="I884" s="24"/>
      <c r="L884"/>
    </row>
    <row r="885" spans="1:12" x14ac:dyDescent="0.25">
      <c r="A885" s="16"/>
      <c r="D885" s="16"/>
      <c r="F885" s="16"/>
      <c r="G885" s="16"/>
      <c r="H885" s="24"/>
      <c r="I885" s="24"/>
      <c r="L885"/>
    </row>
    <row r="886" spans="1:12" x14ac:dyDescent="0.25">
      <c r="A886" s="16"/>
      <c r="D886" s="16"/>
      <c r="F886" s="16"/>
      <c r="G886" s="16"/>
      <c r="H886" s="24"/>
      <c r="I886" s="24"/>
      <c r="L886"/>
    </row>
    <row r="887" spans="1:12" x14ac:dyDescent="0.25">
      <c r="A887" s="16"/>
      <c r="D887" s="16"/>
      <c r="F887" s="16"/>
      <c r="G887" s="16"/>
      <c r="H887" s="24"/>
      <c r="I887" s="24"/>
      <c r="L887"/>
    </row>
    <row r="888" spans="1:12" x14ac:dyDescent="0.25">
      <c r="A888" s="16"/>
      <c r="D888" s="16"/>
      <c r="F888" s="16"/>
      <c r="G888" s="16"/>
      <c r="H888" s="24"/>
      <c r="I888" s="24"/>
      <c r="L888"/>
    </row>
    <row r="889" spans="1:12" x14ac:dyDescent="0.25">
      <c r="A889" s="16"/>
      <c r="D889" s="16"/>
      <c r="F889" s="16"/>
      <c r="G889" s="16"/>
      <c r="H889" s="24"/>
      <c r="I889" s="24"/>
      <c r="L889"/>
    </row>
    <row r="890" spans="1:12" x14ac:dyDescent="0.25">
      <c r="A890" s="16"/>
      <c r="D890" s="16"/>
      <c r="F890" s="16"/>
      <c r="G890" s="16"/>
      <c r="H890" s="24"/>
      <c r="I890" s="24"/>
      <c r="L890"/>
    </row>
    <row r="891" spans="1:12" x14ac:dyDescent="0.25">
      <c r="A891" s="16"/>
      <c r="D891" s="16"/>
      <c r="F891" s="16"/>
      <c r="G891" s="16"/>
      <c r="H891" s="24"/>
      <c r="I891" s="24"/>
      <c r="L891"/>
    </row>
    <row r="892" spans="1:12" x14ac:dyDescent="0.25">
      <c r="A892" s="16"/>
      <c r="D892" s="16"/>
      <c r="F892" s="16"/>
      <c r="G892" s="16"/>
      <c r="H892" s="24"/>
      <c r="I892" s="24"/>
      <c r="L892"/>
    </row>
    <row r="893" spans="1:12" x14ac:dyDescent="0.25">
      <c r="A893" s="16"/>
      <c r="D893" s="16"/>
      <c r="F893" s="16"/>
      <c r="G893" s="16"/>
      <c r="H893" s="24"/>
      <c r="I893" s="24"/>
      <c r="L893"/>
    </row>
    <row r="894" spans="1:12" x14ac:dyDescent="0.25">
      <c r="A894" s="16"/>
      <c r="D894" s="16"/>
      <c r="F894" s="16"/>
      <c r="G894" s="16"/>
      <c r="H894" s="24"/>
      <c r="I894" s="24"/>
      <c r="L894"/>
    </row>
    <row r="895" spans="1:12" x14ac:dyDescent="0.25">
      <c r="A895" s="16"/>
      <c r="D895" s="16"/>
      <c r="F895" s="16"/>
      <c r="G895" s="16"/>
      <c r="H895" s="24"/>
      <c r="I895" s="24"/>
      <c r="L895"/>
    </row>
    <row r="896" spans="1:12" x14ac:dyDescent="0.25">
      <c r="A896" s="16"/>
      <c r="D896" s="16"/>
      <c r="F896" s="16"/>
      <c r="G896" s="16"/>
      <c r="H896" s="24"/>
      <c r="I896" s="24"/>
      <c r="L896"/>
    </row>
    <row r="897" spans="1:12" x14ac:dyDescent="0.25">
      <c r="A897" s="16"/>
      <c r="D897" s="16"/>
      <c r="F897" s="16"/>
      <c r="G897" s="16"/>
      <c r="H897" s="24"/>
      <c r="I897" s="24"/>
      <c r="L897"/>
    </row>
    <row r="898" spans="1:12" x14ac:dyDescent="0.25">
      <c r="A898" s="16"/>
      <c r="D898" s="16"/>
      <c r="F898" s="16"/>
      <c r="G898" s="16"/>
      <c r="H898" s="24"/>
      <c r="I898" s="24"/>
      <c r="L898"/>
    </row>
    <row r="899" spans="1:12" x14ac:dyDescent="0.25">
      <c r="A899" s="16"/>
      <c r="D899" s="16"/>
      <c r="F899" s="16"/>
      <c r="G899" s="16"/>
      <c r="H899" s="24"/>
      <c r="I899" s="24"/>
      <c r="L899"/>
    </row>
    <row r="900" spans="1:12" x14ac:dyDescent="0.25">
      <c r="A900" s="16"/>
      <c r="D900" s="16"/>
      <c r="F900" s="16"/>
      <c r="G900" s="16"/>
      <c r="H900" s="24"/>
      <c r="I900" s="24"/>
      <c r="L900"/>
    </row>
    <row r="901" spans="1:12" x14ac:dyDescent="0.25">
      <c r="A901" s="16"/>
      <c r="D901" s="16"/>
      <c r="F901" s="16"/>
      <c r="G901" s="16"/>
      <c r="H901" s="24"/>
      <c r="I901" s="24"/>
      <c r="L901"/>
    </row>
    <row r="902" spans="1:12" x14ac:dyDescent="0.25">
      <c r="A902" s="16"/>
      <c r="D902" s="16"/>
      <c r="F902" s="16"/>
      <c r="G902" s="16"/>
      <c r="H902" s="24"/>
      <c r="I902" s="24"/>
      <c r="L902"/>
    </row>
    <row r="903" spans="1:12" x14ac:dyDescent="0.25">
      <c r="A903" s="16"/>
      <c r="D903" s="16"/>
      <c r="F903" s="16"/>
      <c r="G903" s="16"/>
      <c r="H903" s="24"/>
      <c r="I903" s="24"/>
      <c r="L903"/>
    </row>
    <row r="904" spans="1:12" x14ac:dyDescent="0.25">
      <c r="A904" s="16"/>
      <c r="D904" s="16"/>
      <c r="F904" s="16"/>
      <c r="G904" s="16"/>
      <c r="H904" s="24"/>
      <c r="I904" s="24"/>
      <c r="L904"/>
    </row>
    <row r="905" spans="1:12" x14ac:dyDescent="0.25">
      <c r="A905" s="16"/>
      <c r="D905" s="16"/>
      <c r="F905" s="16"/>
      <c r="G905" s="16"/>
      <c r="H905" s="24"/>
      <c r="I905" s="24"/>
      <c r="L905"/>
    </row>
    <row r="906" spans="1:12" x14ac:dyDescent="0.25">
      <c r="A906" s="16"/>
      <c r="D906" s="16"/>
      <c r="F906" s="16"/>
      <c r="G906" s="16"/>
      <c r="H906" s="24"/>
      <c r="I906" s="24"/>
      <c r="L906"/>
    </row>
    <row r="907" spans="1:12" x14ac:dyDescent="0.25">
      <c r="A907" s="16"/>
      <c r="D907" s="16"/>
      <c r="F907" s="16"/>
      <c r="G907" s="16"/>
      <c r="H907" s="24"/>
      <c r="I907" s="24"/>
      <c r="L907"/>
    </row>
    <row r="908" spans="1:12" x14ac:dyDescent="0.25">
      <c r="A908" s="16"/>
      <c r="D908" s="16"/>
      <c r="F908" s="16"/>
      <c r="G908" s="16"/>
      <c r="H908" s="24"/>
      <c r="I908" s="24"/>
      <c r="L908"/>
    </row>
    <row r="909" spans="1:12" x14ac:dyDescent="0.25">
      <c r="A909" s="16"/>
      <c r="D909" s="16"/>
      <c r="F909" s="16"/>
      <c r="G909" s="16"/>
      <c r="H909" s="24"/>
      <c r="I909" s="24"/>
      <c r="L909"/>
    </row>
    <row r="910" spans="1:12" x14ac:dyDescent="0.25">
      <c r="A910" s="16"/>
      <c r="D910" s="16"/>
      <c r="F910" s="16"/>
      <c r="G910" s="16"/>
      <c r="H910" s="24"/>
      <c r="I910" s="24"/>
      <c r="L910"/>
    </row>
    <row r="911" spans="1:12" x14ac:dyDescent="0.25">
      <c r="A911" s="16"/>
      <c r="D911" s="16"/>
      <c r="F911" s="16"/>
      <c r="G911" s="16"/>
      <c r="H911" s="24"/>
      <c r="I911" s="24"/>
      <c r="L911"/>
    </row>
    <row r="912" spans="1:12" x14ac:dyDescent="0.25">
      <c r="A912" s="16"/>
      <c r="D912" s="16"/>
      <c r="F912" s="16"/>
      <c r="G912" s="16"/>
      <c r="H912" s="24"/>
      <c r="I912" s="24"/>
      <c r="L912"/>
    </row>
    <row r="913" spans="1:12" x14ac:dyDescent="0.25">
      <c r="A913" s="16"/>
      <c r="D913" s="16"/>
      <c r="F913" s="16"/>
      <c r="G913" s="16"/>
      <c r="H913" s="24"/>
      <c r="I913" s="24"/>
      <c r="L913"/>
    </row>
    <row r="914" spans="1:12" x14ac:dyDescent="0.25">
      <c r="A914" s="16"/>
      <c r="D914" s="16"/>
      <c r="F914" s="16"/>
      <c r="G914" s="16"/>
      <c r="H914" s="24"/>
      <c r="I914" s="24"/>
      <c r="L914"/>
    </row>
    <row r="915" spans="1:12" x14ac:dyDescent="0.25">
      <c r="A915" s="16"/>
      <c r="D915" s="16"/>
      <c r="F915" s="16"/>
      <c r="G915" s="16"/>
      <c r="H915" s="24"/>
      <c r="I915" s="24"/>
      <c r="L915"/>
    </row>
    <row r="916" spans="1:12" x14ac:dyDescent="0.25">
      <c r="A916" s="16"/>
      <c r="D916" s="16"/>
      <c r="F916" s="16"/>
      <c r="G916" s="16"/>
      <c r="H916" s="24"/>
      <c r="I916" s="24"/>
      <c r="L916"/>
    </row>
    <row r="917" spans="1:12" x14ac:dyDescent="0.25">
      <c r="A917" s="16"/>
      <c r="D917" s="16"/>
      <c r="F917" s="16"/>
      <c r="G917" s="16"/>
      <c r="H917" s="24"/>
      <c r="I917" s="24"/>
      <c r="L917"/>
    </row>
    <row r="918" spans="1:12" x14ac:dyDescent="0.25">
      <c r="A918" s="16"/>
      <c r="D918" s="16"/>
      <c r="F918" s="16"/>
      <c r="G918" s="16"/>
      <c r="H918" s="24"/>
      <c r="I918" s="24"/>
      <c r="L918"/>
    </row>
    <row r="919" spans="1:12" x14ac:dyDescent="0.25">
      <c r="A919" s="16"/>
      <c r="D919" s="16"/>
      <c r="F919" s="16"/>
      <c r="G919" s="16"/>
      <c r="H919" s="24"/>
      <c r="I919" s="24"/>
      <c r="L919"/>
    </row>
    <row r="920" spans="1:12" x14ac:dyDescent="0.25">
      <c r="A920" s="16"/>
      <c r="D920" s="16"/>
      <c r="F920" s="16"/>
      <c r="G920" s="16"/>
      <c r="H920" s="24"/>
      <c r="I920" s="24"/>
      <c r="L920"/>
    </row>
    <row r="921" spans="1:12" x14ac:dyDescent="0.25">
      <c r="A921" s="16"/>
      <c r="D921" s="16"/>
      <c r="F921" s="16"/>
      <c r="G921" s="16"/>
      <c r="H921" s="24"/>
      <c r="I921" s="24"/>
      <c r="L921"/>
    </row>
    <row r="922" spans="1:12" x14ac:dyDescent="0.25">
      <c r="A922" s="16"/>
      <c r="D922" s="16"/>
      <c r="F922" s="16"/>
      <c r="G922" s="16"/>
      <c r="H922" s="24"/>
      <c r="I922" s="24"/>
      <c r="L922"/>
    </row>
    <row r="923" spans="1:12" x14ac:dyDescent="0.25">
      <c r="A923" s="16"/>
      <c r="D923" s="16"/>
      <c r="F923" s="16"/>
      <c r="G923" s="16"/>
      <c r="H923" s="24"/>
      <c r="I923" s="24"/>
      <c r="L923"/>
    </row>
    <row r="924" spans="1:12" x14ac:dyDescent="0.25">
      <c r="A924" s="16"/>
      <c r="D924" s="16"/>
      <c r="F924" s="16"/>
      <c r="G924" s="16"/>
      <c r="H924" s="24"/>
      <c r="I924" s="24"/>
      <c r="L924"/>
    </row>
    <row r="925" spans="1:12" x14ac:dyDescent="0.25">
      <c r="A925" s="16"/>
      <c r="D925" s="16"/>
      <c r="F925" s="16"/>
      <c r="G925" s="16"/>
      <c r="H925" s="24"/>
      <c r="I925" s="24"/>
      <c r="L925"/>
    </row>
    <row r="926" spans="1:12" x14ac:dyDescent="0.25">
      <c r="A926" s="16"/>
      <c r="D926" s="16"/>
      <c r="F926" s="16"/>
      <c r="G926" s="16"/>
      <c r="H926" s="24"/>
      <c r="I926" s="24"/>
      <c r="L926"/>
    </row>
    <row r="927" spans="1:12" x14ac:dyDescent="0.25">
      <c r="A927" s="16"/>
      <c r="D927" s="16"/>
      <c r="F927" s="16"/>
      <c r="G927" s="16"/>
      <c r="H927" s="24"/>
      <c r="I927" s="24"/>
      <c r="L927"/>
    </row>
    <row r="928" spans="1:12" x14ac:dyDescent="0.25">
      <c r="A928" s="16"/>
      <c r="D928" s="16"/>
      <c r="F928" s="16"/>
      <c r="G928" s="16"/>
      <c r="H928" s="24"/>
      <c r="I928" s="24"/>
      <c r="L928"/>
    </row>
    <row r="929" spans="1:12" x14ac:dyDescent="0.25">
      <c r="A929" s="16"/>
      <c r="D929" s="16"/>
      <c r="F929" s="16"/>
      <c r="G929" s="16"/>
      <c r="H929" s="24"/>
      <c r="I929" s="24"/>
      <c r="L929"/>
    </row>
    <row r="930" spans="1:12" x14ac:dyDescent="0.25">
      <c r="A930" s="16"/>
      <c r="D930" s="16"/>
      <c r="F930" s="16"/>
      <c r="G930" s="16"/>
      <c r="H930" s="24"/>
      <c r="I930" s="24"/>
      <c r="L930"/>
    </row>
    <row r="931" spans="1:12" x14ac:dyDescent="0.25">
      <c r="A931" s="16"/>
      <c r="D931" s="16"/>
      <c r="F931" s="16"/>
      <c r="G931" s="16"/>
      <c r="H931" s="24"/>
      <c r="I931" s="24"/>
      <c r="L931"/>
    </row>
    <row r="932" spans="1:12" x14ac:dyDescent="0.25">
      <c r="A932" s="16"/>
      <c r="D932" s="16"/>
      <c r="F932" s="16"/>
      <c r="G932" s="16"/>
      <c r="H932" s="24"/>
      <c r="I932" s="24"/>
      <c r="L932"/>
    </row>
    <row r="933" spans="1:12" x14ac:dyDescent="0.25">
      <c r="A933" s="16"/>
      <c r="D933" s="16"/>
      <c r="F933" s="16"/>
      <c r="G933" s="16"/>
      <c r="H933" s="24"/>
      <c r="I933" s="24"/>
      <c r="L933"/>
    </row>
    <row r="934" spans="1:12" x14ac:dyDescent="0.25">
      <c r="A934" s="16"/>
      <c r="D934" s="16"/>
      <c r="F934" s="16"/>
      <c r="G934" s="16"/>
      <c r="H934" s="24"/>
      <c r="I934" s="24"/>
      <c r="L934"/>
    </row>
    <row r="935" spans="1:12" x14ac:dyDescent="0.25">
      <c r="A935" s="16"/>
      <c r="D935" s="16"/>
      <c r="F935" s="16"/>
      <c r="G935" s="16"/>
      <c r="H935" s="24"/>
      <c r="I935" s="24"/>
      <c r="L935"/>
    </row>
    <row r="936" spans="1:12" x14ac:dyDescent="0.25">
      <c r="A936" s="16"/>
      <c r="D936" s="16"/>
      <c r="F936" s="16"/>
      <c r="G936" s="16"/>
      <c r="H936" s="24"/>
      <c r="I936" s="24"/>
      <c r="L936"/>
    </row>
    <row r="937" spans="1:12" x14ac:dyDescent="0.25">
      <c r="A937" s="16"/>
      <c r="D937" s="16"/>
      <c r="F937" s="16"/>
      <c r="G937" s="16"/>
      <c r="H937" s="24"/>
      <c r="I937" s="24"/>
      <c r="L937"/>
    </row>
    <row r="938" spans="1:12" x14ac:dyDescent="0.25">
      <c r="A938" s="16"/>
      <c r="D938" s="16"/>
      <c r="F938" s="16"/>
      <c r="G938" s="16"/>
      <c r="H938" s="24"/>
      <c r="I938" s="24"/>
      <c r="L938"/>
    </row>
    <row r="939" spans="1:12" x14ac:dyDescent="0.25">
      <c r="A939" s="16"/>
      <c r="D939" s="16"/>
      <c r="F939" s="16"/>
      <c r="G939" s="16"/>
      <c r="H939" s="24"/>
      <c r="I939" s="24"/>
      <c r="L939"/>
    </row>
    <row r="940" spans="1:12" x14ac:dyDescent="0.25">
      <c r="A940" s="16"/>
      <c r="D940" s="16"/>
      <c r="F940" s="16"/>
      <c r="G940" s="16"/>
      <c r="H940" s="24"/>
      <c r="I940" s="24"/>
      <c r="L940"/>
    </row>
    <row r="941" spans="1:12" x14ac:dyDescent="0.25">
      <c r="A941" s="16"/>
      <c r="D941" s="16"/>
      <c r="F941" s="16"/>
      <c r="G941" s="16"/>
      <c r="H941" s="24"/>
      <c r="I941" s="24"/>
      <c r="L941"/>
    </row>
    <row r="942" spans="1:12" x14ac:dyDescent="0.25">
      <c r="A942" s="16"/>
      <c r="D942" s="16"/>
      <c r="F942" s="16"/>
      <c r="G942" s="16"/>
      <c r="H942" s="24"/>
      <c r="I942" s="24"/>
      <c r="L942"/>
    </row>
    <row r="943" spans="1:12" x14ac:dyDescent="0.25">
      <c r="A943" s="16"/>
      <c r="D943" s="16"/>
      <c r="F943" s="16"/>
      <c r="G943" s="16"/>
      <c r="H943" s="24"/>
      <c r="I943" s="24"/>
      <c r="L943"/>
    </row>
    <row r="944" spans="1:12" x14ac:dyDescent="0.25">
      <c r="A944" s="16"/>
      <c r="D944" s="16"/>
      <c r="F944" s="16"/>
      <c r="G944" s="16"/>
      <c r="H944" s="24"/>
      <c r="I944" s="24"/>
      <c r="L944"/>
    </row>
    <row r="945" spans="1:12" x14ac:dyDescent="0.25">
      <c r="A945" s="16"/>
      <c r="D945" s="16"/>
      <c r="F945" s="16"/>
      <c r="G945" s="16"/>
      <c r="H945" s="24"/>
      <c r="I945" s="24"/>
      <c r="L945"/>
    </row>
    <row r="946" spans="1:12" x14ac:dyDescent="0.25">
      <c r="A946" s="16"/>
      <c r="D946" s="16"/>
      <c r="F946" s="16"/>
      <c r="G946" s="16"/>
      <c r="H946" s="24"/>
      <c r="I946" s="24"/>
      <c r="L946"/>
    </row>
    <row r="947" spans="1:12" x14ac:dyDescent="0.25">
      <c r="A947" s="16"/>
      <c r="D947" s="16"/>
      <c r="F947" s="16"/>
      <c r="G947" s="16"/>
      <c r="H947" s="24"/>
      <c r="I947" s="24"/>
      <c r="L947"/>
    </row>
    <row r="948" spans="1:12" x14ac:dyDescent="0.25">
      <c r="A948" s="16"/>
      <c r="D948" s="16"/>
      <c r="F948" s="16"/>
      <c r="G948" s="16"/>
      <c r="H948" s="24"/>
      <c r="I948" s="24"/>
      <c r="L948"/>
    </row>
    <row r="949" spans="1:12" x14ac:dyDescent="0.25">
      <c r="A949" s="16"/>
      <c r="D949" s="16"/>
      <c r="F949" s="16"/>
      <c r="G949" s="16"/>
      <c r="H949" s="24"/>
      <c r="I949" s="24"/>
      <c r="L949"/>
    </row>
    <row r="950" spans="1:12" x14ac:dyDescent="0.25">
      <c r="A950" s="16"/>
      <c r="D950" s="16"/>
      <c r="F950" s="16"/>
      <c r="G950" s="16"/>
      <c r="H950" s="24"/>
      <c r="I950" s="24"/>
      <c r="L950"/>
    </row>
    <row r="951" spans="1:12" x14ac:dyDescent="0.25">
      <c r="A951" s="16"/>
      <c r="D951" s="16"/>
      <c r="F951" s="16"/>
      <c r="G951" s="16"/>
      <c r="H951" s="24"/>
      <c r="I951" s="24"/>
      <c r="L951"/>
    </row>
    <row r="952" spans="1:12" x14ac:dyDescent="0.25">
      <c r="A952" s="16"/>
      <c r="D952" s="16"/>
      <c r="F952" s="16"/>
      <c r="G952" s="16"/>
      <c r="H952" s="24"/>
      <c r="I952" s="24"/>
      <c r="L952"/>
    </row>
    <row r="953" spans="1:12" x14ac:dyDescent="0.25">
      <c r="A953" s="16"/>
      <c r="D953" s="16"/>
      <c r="F953" s="16"/>
      <c r="G953" s="16"/>
      <c r="H953" s="24"/>
      <c r="I953" s="24"/>
      <c r="L953"/>
    </row>
    <row r="954" spans="1:12" x14ac:dyDescent="0.25">
      <c r="A954" s="16"/>
      <c r="D954" s="16"/>
      <c r="F954" s="16"/>
      <c r="G954" s="16"/>
      <c r="H954" s="24"/>
      <c r="I954" s="24"/>
      <c r="L954"/>
    </row>
    <row r="955" spans="1:12" x14ac:dyDescent="0.25">
      <c r="A955" s="16"/>
      <c r="D955" s="16"/>
      <c r="F955" s="16"/>
      <c r="G955" s="16"/>
      <c r="H955" s="24"/>
      <c r="I955" s="24"/>
      <c r="L955"/>
    </row>
    <row r="956" spans="1:12" x14ac:dyDescent="0.25">
      <c r="A956" s="16"/>
      <c r="D956" s="16"/>
      <c r="F956" s="16"/>
      <c r="G956" s="16"/>
      <c r="H956" s="24"/>
      <c r="I956" s="24"/>
      <c r="L956"/>
    </row>
    <row r="957" spans="1:12" x14ac:dyDescent="0.25">
      <c r="A957" s="16"/>
      <c r="D957" s="16"/>
      <c r="F957" s="16"/>
      <c r="G957" s="16"/>
      <c r="H957" s="24"/>
      <c r="I957" s="24"/>
      <c r="L957"/>
    </row>
    <row r="958" spans="1:12" x14ac:dyDescent="0.25">
      <c r="A958" s="16"/>
      <c r="D958" s="16"/>
      <c r="F958" s="16"/>
      <c r="G958" s="16"/>
      <c r="H958" s="24"/>
      <c r="I958" s="24"/>
      <c r="L958"/>
    </row>
    <row r="959" spans="1:12" x14ac:dyDescent="0.25">
      <c r="A959" s="16"/>
      <c r="D959" s="16"/>
      <c r="F959" s="16"/>
      <c r="G959" s="16"/>
      <c r="H959" s="24"/>
      <c r="I959" s="24"/>
      <c r="L959"/>
    </row>
    <row r="960" spans="1:12" x14ac:dyDescent="0.25">
      <c r="A960" s="16"/>
      <c r="D960" s="16"/>
      <c r="F960" s="16"/>
      <c r="G960" s="16"/>
      <c r="H960" s="24"/>
      <c r="I960" s="24"/>
      <c r="L960"/>
    </row>
    <row r="961" spans="1:12" x14ac:dyDescent="0.25">
      <c r="A961" s="16"/>
      <c r="D961" s="16"/>
      <c r="F961" s="16"/>
      <c r="G961" s="16"/>
      <c r="H961" s="24"/>
      <c r="I961" s="24"/>
      <c r="L961"/>
    </row>
    <row r="962" spans="1:12" x14ac:dyDescent="0.25">
      <c r="A962" s="16"/>
      <c r="D962" s="16"/>
      <c r="F962" s="16"/>
      <c r="G962" s="16"/>
      <c r="H962" s="24"/>
      <c r="I962" s="24"/>
      <c r="L962"/>
    </row>
    <row r="963" spans="1:12" x14ac:dyDescent="0.25">
      <c r="A963" s="16"/>
      <c r="D963" s="16"/>
      <c r="F963" s="16"/>
      <c r="G963" s="16"/>
      <c r="H963" s="24"/>
      <c r="I963" s="24"/>
      <c r="L963"/>
    </row>
    <row r="964" spans="1:12" x14ac:dyDescent="0.25">
      <c r="A964" s="16"/>
      <c r="D964" s="16"/>
      <c r="F964" s="16"/>
      <c r="G964" s="16"/>
      <c r="H964" s="24"/>
      <c r="I964" s="24"/>
      <c r="L964"/>
    </row>
    <row r="965" spans="1:12" x14ac:dyDescent="0.25">
      <c r="A965" s="16"/>
      <c r="D965" s="16"/>
      <c r="F965" s="16"/>
      <c r="G965" s="16"/>
      <c r="H965" s="24"/>
      <c r="I965" s="24"/>
      <c r="L965"/>
    </row>
    <row r="966" spans="1:12" x14ac:dyDescent="0.25">
      <c r="A966" s="16"/>
      <c r="D966" s="16"/>
      <c r="F966" s="16"/>
      <c r="G966" s="16"/>
      <c r="H966" s="24"/>
      <c r="I966" s="24"/>
      <c r="L966"/>
    </row>
    <row r="967" spans="1:12" x14ac:dyDescent="0.25">
      <c r="A967" s="16"/>
      <c r="D967" s="16"/>
      <c r="F967" s="16"/>
      <c r="G967" s="16"/>
      <c r="H967" s="24"/>
      <c r="I967" s="24"/>
      <c r="L967"/>
    </row>
    <row r="968" spans="1:12" x14ac:dyDescent="0.25">
      <c r="A968" s="16"/>
      <c r="D968" s="16"/>
      <c r="F968" s="16"/>
      <c r="G968" s="16"/>
      <c r="H968" s="24"/>
      <c r="I968" s="24"/>
      <c r="L968"/>
    </row>
    <row r="969" spans="1:12" x14ac:dyDescent="0.25">
      <c r="A969" s="16"/>
      <c r="D969" s="16"/>
      <c r="F969" s="16"/>
      <c r="G969" s="16"/>
      <c r="H969" s="24"/>
      <c r="I969" s="24"/>
      <c r="L969"/>
    </row>
    <row r="970" spans="1:12" x14ac:dyDescent="0.25">
      <c r="A970" s="16"/>
      <c r="D970" s="16"/>
      <c r="F970" s="16"/>
      <c r="G970" s="16"/>
      <c r="H970" s="24"/>
      <c r="I970" s="24"/>
      <c r="L970"/>
    </row>
    <row r="971" spans="1:12" x14ac:dyDescent="0.25">
      <c r="A971" s="16"/>
      <c r="D971" s="16"/>
      <c r="F971" s="16"/>
      <c r="G971" s="16"/>
      <c r="H971" s="24"/>
      <c r="I971" s="24"/>
      <c r="L971"/>
    </row>
    <row r="972" spans="1:12" x14ac:dyDescent="0.25">
      <c r="A972" s="16"/>
      <c r="D972" s="16"/>
      <c r="F972" s="16"/>
      <c r="G972" s="16"/>
      <c r="H972" s="24"/>
      <c r="I972" s="24"/>
      <c r="L972"/>
    </row>
    <row r="973" spans="1:12" x14ac:dyDescent="0.25">
      <c r="A973" s="16"/>
      <c r="D973" s="16"/>
      <c r="F973" s="16"/>
      <c r="G973" s="16"/>
      <c r="H973" s="24"/>
      <c r="I973" s="24"/>
      <c r="L973"/>
    </row>
    <row r="974" spans="1:12" x14ac:dyDescent="0.25">
      <c r="A974" s="16"/>
      <c r="D974" s="16"/>
      <c r="F974" s="16"/>
      <c r="G974" s="16"/>
      <c r="H974" s="24"/>
      <c r="I974" s="24"/>
      <c r="L974"/>
    </row>
    <row r="975" spans="1:12" x14ac:dyDescent="0.25">
      <c r="A975" s="16"/>
      <c r="D975" s="16"/>
      <c r="F975" s="16"/>
      <c r="G975" s="16"/>
      <c r="H975" s="24"/>
      <c r="I975" s="24"/>
      <c r="L975"/>
    </row>
    <row r="976" spans="1:12" x14ac:dyDescent="0.25">
      <c r="A976" s="16"/>
      <c r="D976" s="16"/>
      <c r="F976" s="16"/>
      <c r="G976" s="16"/>
      <c r="H976" s="24"/>
      <c r="I976" s="24"/>
      <c r="L976"/>
    </row>
    <row r="977" spans="1:12" x14ac:dyDescent="0.25">
      <c r="A977" s="16"/>
      <c r="D977" s="16"/>
      <c r="F977" s="16"/>
      <c r="G977" s="16"/>
      <c r="H977" s="24"/>
      <c r="I977" s="24"/>
      <c r="L977"/>
    </row>
    <row r="978" spans="1:12" x14ac:dyDescent="0.25">
      <c r="A978" s="16"/>
      <c r="D978" s="16"/>
      <c r="F978" s="16"/>
      <c r="G978" s="16"/>
      <c r="H978" s="24"/>
      <c r="I978" s="24"/>
      <c r="L978"/>
    </row>
    <row r="979" spans="1:12" x14ac:dyDescent="0.25">
      <c r="A979" s="16"/>
      <c r="D979" s="16"/>
      <c r="F979" s="16"/>
      <c r="G979" s="16"/>
      <c r="H979" s="24"/>
      <c r="I979" s="24"/>
      <c r="L979"/>
    </row>
    <row r="980" spans="1:12" x14ac:dyDescent="0.25">
      <c r="A980" s="16"/>
      <c r="D980" s="16"/>
      <c r="F980" s="16"/>
      <c r="G980" s="16"/>
      <c r="H980" s="24"/>
      <c r="I980" s="24"/>
      <c r="L980"/>
    </row>
    <row r="981" spans="1:12" x14ac:dyDescent="0.25">
      <c r="A981" s="16"/>
      <c r="D981" s="16"/>
      <c r="F981" s="16"/>
      <c r="G981" s="16"/>
      <c r="H981" s="24"/>
      <c r="I981" s="24"/>
      <c r="L981"/>
    </row>
    <row r="982" spans="1:12" x14ac:dyDescent="0.25">
      <c r="A982" s="16"/>
      <c r="D982" s="16"/>
      <c r="F982" s="16"/>
      <c r="G982" s="16"/>
      <c r="H982" s="24"/>
      <c r="I982" s="24"/>
      <c r="L982"/>
    </row>
    <row r="983" spans="1:12" x14ac:dyDescent="0.25">
      <c r="A983" s="16"/>
      <c r="D983" s="16"/>
      <c r="F983" s="16"/>
      <c r="G983" s="16"/>
      <c r="H983" s="24"/>
      <c r="I983" s="24"/>
      <c r="L983"/>
    </row>
    <row r="984" spans="1:12" x14ac:dyDescent="0.25">
      <c r="A984" s="16"/>
      <c r="D984" s="16"/>
      <c r="F984" s="16"/>
      <c r="G984" s="16"/>
      <c r="H984" s="24"/>
      <c r="I984" s="24"/>
      <c r="L984"/>
    </row>
    <row r="985" spans="1:12" x14ac:dyDescent="0.25">
      <c r="A985" s="16"/>
      <c r="D985" s="16"/>
      <c r="F985" s="16"/>
      <c r="G985" s="16"/>
      <c r="H985" s="24"/>
      <c r="I985" s="24"/>
      <c r="L985"/>
    </row>
    <row r="986" spans="1:12" x14ac:dyDescent="0.25">
      <c r="A986" s="16"/>
      <c r="D986" s="16"/>
      <c r="F986" s="16"/>
      <c r="G986" s="16"/>
      <c r="H986" s="24"/>
      <c r="I986" s="24"/>
      <c r="L986"/>
    </row>
    <row r="987" spans="1:12" x14ac:dyDescent="0.25">
      <c r="A987" s="16"/>
      <c r="D987" s="16"/>
      <c r="F987" s="16"/>
      <c r="G987" s="16"/>
      <c r="H987" s="24"/>
      <c r="I987" s="24"/>
      <c r="L987"/>
    </row>
    <row r="988" spans="1:12" x14ac:dyDescent="0.25">
      <c r="A988" s="16"/>
      <c r="D988" s="16"/>
      <c r="F988" s="16"/>
      <c r="G988" s="16"/>
      <c r="H988" s="24"/>
      <c r="I988" s="24"/>
      <c r="L988"/>
    </row>
    <row r="989" spans="1:12" x14ac:dyDescent="0.25">
      <c r="A989" s="16"/>
      <c r="D989" s="16"/>
      <c r="F989" s="16"/>
      <c r="G989" s="16"/>
      <c r="H989" s="24"/>
      <c r="I989" s="24"/>
      <c r="L989"/>
    </row>
    <row r="990" spans="1:12" x14ac:dyDescent="0.25">
      <c r="A990" s="16"/>
      <c r="D990" s="16"/>
      <c r="F990" s="16"/>
      <c r="G990" s="16"/>
      <c r="H990" s="24"/>
      <c r="I990" s="24"/>
      <c r="L990"/>
    </row>
    <row r="991" spans="1:12" x14ac:dyDescent="0.25">
      <c r="A991" s="16"/>
      <c r="D991" s="16"/>
      <c r="F991" s="16"/>
      <c r="G991" s="16"/>
      <c r="H991" s="24"/>
      <c r="I991" s="24"/>
      <c r="L991"/>
    </row>
    <row r="992" spans="1:12" x14ac:dyDescent="0.25">
      <c r="A992" s="16"/>
      <c r="D992" s="16"/>
      <c r="F992" s="16"/>
      <c r="G992" s="16"/>
      <c r="H992" s="24"/>
      <c r="I992" s="24"/>
      <c r="L992"/>
    </row>
    <row r="993" spans="1:12" x14ac:dyDescent="0.25">
      <c r="A993" s="16"/>
      <c r="D993" s="16"/>
      <c r="F993" s="16"/>
      <c r="G993" s="16"/>
      <c r="H993" s="24"/>
      <c r="I993" s="24"/>
      <c r="L993"/>
    </row>
    <row r="994" spans="1:12" x14ac:dyDescent="0.25">
      <c r="A994" s="16"/>
      <c r="D994" s="16"/>
      <c r="F994" s="16"/>
      <c r="G994" s="16"/>
      <c r="H994" s="24"/>
      <c r="I994" s="24"/>
      <c r="L994"/>
    </row>
    <row r="995" spans="1:12" x14ac:dyDescent="0.25">
      <c r="A995" s="16"/>
      <c r="D995" s="16"/>
      <c r="F995" s="16"/>
      <c r="G995" s="16"/>
      <c r="H995" s="24"/>
      <c r="I995" s="24"/>
      <c r="L995"/>
    </row>
    <row r="996" spans="1:12" x14ac:dyDescent="0.25">
      <c r="A996" s="16"/>
      <c r="D996" s="16"/>
      <c r="F996" s="16"/>
      <c r="G996" s="16"/>
      <c r="H996" s="24"/>
      <c r="I996" s="24"/>
      <c r="L996"/>
    </row>
    <row r="997" spans="1:12" x14ac:dyDescent="0.25">
      <c r="A997" s="16"/>
      <c r="D997" s="16"/>
      <c r="F997" s="16"/>
      <c r="G997" s="16"/>
      <c r="H997" s="24"/>
      <c r="I997" s="24"/>
      <c r="L997"/>
    </row>
    <row r="998" spans="1:12" x14ac:dyDescent="0.25">
      <c r="A998" s="16"/>
      <c r="D998" s="16"/>
      <c r="F998" s="16"/>
      <c r="G998" s="16"/>
      <c r="H998" s="24"/>
      <c r="I998" s="24"/>
      <c r="L998"/>
    </row>
    <row r="999" spans="1:12" x14ac:dyDescent="0.25">
      <c r="A999" s="16"/>
      <c r="D999" s="16"/>
      <c r="F999" s="16"/>
      <c r="G999" s="16"/>
      <c r="H999" s="24"/>
      <c r="I999" s="24"/>
      <c r="L999"/>
    </row>
    <row r="1000" spans="1:12" x14ac:dyDescent="0.25">
      <c r="A1000" s="16"/>
      <c r="D1000" s="16"/>
      <c r="F1000" s="16"/>
      <c r="G1000" s="16"/>
      <c r="H1000" s="24"/>
      <c r="I1000" s="24"/>
      <c r="L1000"/>
    </row>
    <row r="1001" spans="1:12" x14ac:dyDescent="0.25">
      <c r="A1001" s="16"/>
      <c r="D1001" s="16"/>
      <c r="F1001" s="16"/>
      <c r="G1001" s="16"/>
      <c r="H1001" s="24"/>
      <c r="I1001" s="24"/>
      <c r="L1001"/>
    </row>
    <row r="1002" spans="1:12" x14ac:dyDescent="0.25">
      <c r="A1002" s="16"/>
      <c r="D1002" s="16"/>
      <c r="F1002" s="16"/>
      <c r="G1002" s="16"/>
      <c r="H1002" s="24"/>
      <c r="I1002" s="24"/>
      <c r="L1002"/>
    </row>
    <row r="1003" spans="1:12" x14ac:dyDescent="0.25">
      <c r="A1003" s="16"/>
      <c r="D1003" s="16"/>
      <c r="F1003" s="16"/>
      <c r="G1003" s="16"/>
      <c r="H1003" s="24"/>
      <c r="I1003" s="24"/>
      <c r="L1003"/>
    </row>
    <row r="1004" spans="1:12" x14ac:dyDescent="0.25">
      <c r="A1004" s="16"/>
      <c r="D1004" s="16"/>
      <c r="F1004" s="16"/>
      <c r="G1004" s="16"/>
      <c r="H1004" s="24"/>
      <c r="I1004" s="24"/>
      <c r="L1004"/>
    </row>
    <row r="1005" spans="1:12" x14ac:dyDescent="0.25">
      <c r="A1005" s="16"/>
      <c r="D1005" s="16"/>
      <c r="F1005" s="16"/>
      <c r="G1005" s="16"/>
      <c r="H1005" s="24"/>
      <c r="I1005" s="24"/>
      <c r="L1005"/>
    </row>
    <row r="1006" spans="1:12" x14ac:dyDescent="0.25">
      <c r="A1006" s="16"/>
      <c r="D1006" s="16"/>
      <c r="F1006" s="16"/>
      <c r="G1006" s="16"/>
      <c r="H1006" s="24"/>
      <c r="I1006" s="24"/>
      <c r="L1006"/>
    </row>
    <row r="1007" spans="1:12" x14ac:dyDescent="0.25">
      <c r="A1007" s="16"/>
      <c r="D1007" s="16"/>
      <c r="F1007" s="16"/>
      <c r="G1007" s="16"/>
      <c r="H1007" s="24"/>
      <c r="I1007" s="24"/>
      <c r="L1007"/>
    </row>
    <row r="1008" spans="1:12" x14ac:dyDescent="0.25">
      <c r="A1008" s="16"/>
      <c r="D1008" s="16"/>
      <c r="F1008" s="16"/>
      <c r="G1008" s="16"/>
      <c r="H1008" s="24"/>
      <c r="I1008" s="24"/>
      <c r="L1008"/>
    </row>
    <row r="1009" spans="1:12" x14ac:dyDescent="0.25">
      <c r="A1009" s="16"/>
      <c r="D1009" s="16"/>
      <c r="F1009" s="16"/>
      <c r="G1009" s="16"/>
      <c r="H1009" s="24"/>
      <c r="I1009" s="24"/>
      <c r="L1009"/>
    </row>
    <row r="1010" spans="1:12" x14ac:dyDescent="0.25">
      <c r="A1010" s="16"/>
      <c r="D1010" s="16"/>
      <c r="F1010" s="16"/>
      <c r="G1010" s="16"/>
      <c r="H1010" s="24"/>
      <c r="I1010" s="24"/>
      <c r="L1010"/>
    </row>
    <row r="1011" spans="1:12" x14ac:dyDescent="0.25">
      <c r="A1011" s="16"/>
      <c r="D1011" s="16"/>
      <c r="F1011" s="16"/>
      <c r="G1011" s="16"/>
      <c r="H1011" s="24"/>
      <c r="I1011" s="24"/>
      <c r="L1011"/>
    </row>
    <row r="1012" spans="1:12" x14ac:dyDescent="0.25">
      <c r="A1012" s="16"/>
      <c r="D1012" s="16"/>
      <c r="F1012" s="16"/>
      <c r="G1012" s="16"/>
      <c r="H1012" s="24"/>
      <c r="I1012" s="24"/>
      <c r="L1012"/>
    </row>
    <row r="1013" spans="1:12" x14ac:dyDescent="0.25">
      <c r="A1013" s="16"/>
      <c r="D1013" s="16"/>
      <c r="F1013" s="16"/>
      <c r="G1013" s="16"/>
      <c r="H1013" s="24"/>
      <c r="I1013" s="24"/>
      <c r="L1013"/>
    </row>
    <row r="1014" spans="1:12" x14ac:dyDescent="0.25">
      <c r="A1014" s="16"/>
      <c r="D1014" s="16"/>
      <c r="F1014" s="16"/>
      <c r="G1014" s="16"/>
      <c r="H1014" s="24"/>
      <c r="I1014" s="24"/>
      <c r="L1014"/>
    </row>
    <row r="1015" spans="1:12" x14ac:dyDescent="0.25">
      <c r="A1015" s="16"/>
      <c r="D1015" s="16"/>
      <c r="F1015" s="16"/>
      <c r="G1015" s="16"/>
      <c r="H1015" s="24"/>
      <c r="I1015" s="24"/>
      <c r="L1015"/>
    </row>
    <row r="1016" spans="1:12" x14ac:dyDescent="0.25">
      <c r="A1016" s="16"/>
      <c r="D1016" s="16"/>
      <c r="F1016" s="16"/>
      <c r="G1016" s="16"/>
      <c r="H1016" s="24"/>
      <c r="I1016" s="24"/>
      <c r="L1016"/>
    </row>
    <row r="1017" spans="1:12" x14ac:dyDescent="0.25">
      <c r="A1017" s="16"/>
      <c r="D1017" s="16"/>
      <c r="F1017" s="16"/>
      <c r="G1017" s="16"/>
      <c r="H1017" s="24"/>
      <c r="I1017" s="24"/>
      <c r="L1017"/>
    </row>
    <row r="1018" spans="1:12" x14ac:dyDescent="0.25">
      <c r="A1018" s="16"/>
      <c r="D1018" s="16"/>
      <c r="F1018" s="16"/>
      <c r="G1018" s="16"/>
      <c r="H1018" s="24"/>
      <c r="I1018" s="24"/>
      <c r="L1018"/>
    </row>
    <row r="1019" spans="1:12" x14ac:dyDescent="0.25">
      <c r="A1019" s="16"/>
      <c r="D1019" s="16"/>
      <c r="F1019" s="16"/>
      <c r="G1019" s="16"/>
      <c r="H1019" s="24"/>
      <c r="I1019" s="24"/>
      <c r="L1019"/>
    </row>
    <row r="1020" spans="1:12" x14ac:dyDescent="0.25">
      <c r="A1020" s="16"/>
      <c r="D1020" s="16"/>
      <c r="F1020" s="16"/>
      <c r="G1020" s="16"/>
      <c r="H1020" s="24"/>
      <c r="I1020" s="24"/>
      <c r="L1020"/>
    </row>
    <row r="1021" spans="1:12" x14ac:dyDescent="0.25">
      <c r="A1021" s="16"/>
      <c r="D1021" s="16"/>
      <c r="F1021" s="16"/>
      <c r="G1021" s="16"/>
      <c r="H1021" s="24"/>
      <c r="I1021" s="24"/>
      <c r="L1021"/>
    </row>
    <row r="1022" spans="1:12" x14ac:dyDescent="0.25">
      <c r="A1022" s="16"/>
      <c r="D1022" s="16"/>
      <c r="F1022" s="16"/>
      <c r="G1022" s="16"/>
      <c r="H1022" s="24"/>
      <c r="I1022" s="24"/>
      <c r="L1022"/>
    </row>
    <row r="1023" spans="1:12" x14ac:dyDescent="0.25">
      <c r="A1023" s="16"/>
      <c r="D1023" s="16"/>
      <c r="F1023" s="16"/>
      <c r="G1023" s="16"/>
      <c r="H1023" s="24"/>
      <c r="I1023" s="24"/>
      <c r="L1023"/>
    </row>
    <row r="1024" spans="1:12" x14ac:dyDescent="0.25">
      <c r="A1024" s="16"/>
      <c r="D1024" s="16"/>
      <c r="F1024" s="16"/>
      <c r="G1024" s="16"/>
      <c r="H1024" s="24"/>
      <c r="I1024" s="24"/>
      <c r="L1024"/>
    </row>
    <row r="1025" spans="1:12" x14ac:dyDescent="0.25">
      <c r="A1025" s="16"/>
      <c r="D1025" s="16"/>
      <c r="F1025" s="16"/>
      <c r="G1025" s="16"/>
      <c r="H1025" s="24"/>
      <c r="I1025" s="24"/>
      <c r="L1025"/>
    </row>
    <row r="1026" spans="1:12" x14ac:dyDescent="0.25">
      <c r="A1026" s="16"/>
      <c r="D1026" s="16"/>
      <c r="F1026" s="16"/>
      <c r="G1026" s="16"/>
      <c r="H1026" s="24"/>
      <c r="I1026" s="24"/>
      <c r="L1026"/>
    </row>
    <row r="1027" spans="1:12" x14ac:dyDescent="0.25">
      <c r="A1027" s="16"/>
      <c r="D1027" s="16"/>
      <c r="F1027" s="16"/>
      <c r="G1027" s="16"/>
      <c r="H1027" s="24"/>
      <c r="I1027" s="24"/>
      <c r="L1027"/>
    </row>
    <row r="1028" spans="1:12" x14ac:dyDescent="0.25">
      <c r="A1028" s="16"/>
      <c r="D1028" s="16"/>
      <c r="F1028" s="16"/>
      <c r="G1028" s="16"/>
      <c r="H1028" s="24"/>
      <c r="I1028" s="24"/>
      <c r="L1028"/>
    </row>
    <row r="1029" spans="1:12" x14ac:dyDescent="0.25">
      <c r="A1029" s="16"/>
      <c r="D1029" s="16"/>
      <c r="F1029" s="16"/>
      <c r="G1029" s="16"/>
      <c r="H1029" s="24"/>
      <c r="I1029" s="24"/>
      <c r="L1029"/>
    </row>
    <row r="1030" spans="1:12" x14ac:dyDescent="0.25">
      <c r="A1030" s="16"/>
      <c r="D1030" s="16"/>
      <c r="F1030" s="16"/>
      <c r="G1030" s="16"/>
      <c r="H1030" s="24"/>
      <c r="I1030" s="24"/>
      <c r="L1030"/>
    </row>
    <row r="1031" spans="1:12" x14ac:dyDescent="0.25">
      <c r="A1031" s="16"/>
      <c r="D1031" s="16"/>
      <c r="F1031" s="16"/>
      <c r="G1031" s="16"/>
      <c r="H1031" s="24"/>
      <c r="I1031" s="24"/>
      <c r="L1031"/>
    </row>
    <row r="1032" spans="1:12" x14ac:dyDescent="0.25">
      <c r="A1032" s="16"/>
      <c r="D1032" s="16"/>
      <c r="F1032" s="16"/>
      <c r="G1032" s="16"/>
      <c r="H1032" s="24"/>
      <c r="I1032" s="24"/>
      <c r="L1032"/>
    </row>
    <row r="1033" spans="1:12" x14ac:dyDescent="0.25">
      <c r="A1033" s="16"/>
      <c r="D1033" s="16"/>
      <c r="F1033" s="16"/>
      <c r="G1033" s="16"/>
      <c r="H1033" s="24"/>
      <c r="I1033" s="24"/>
      <c r="L1033"/>
    </row>
    <row r="1034" spans="1:12" x14ac:dyDescent="0.25">
      <c r="A1034" s="16"/>
      <c r="D1034" s="16"/>
      <c r="F1034" s="16"/>
      <c r="G1034" s="16"/>
      <c r="H1034" s="24"/>
      <c r="I1034" s="24"/>
      <c r="L1034"/>
    </row>
    <row r="1035" spans="1:12" x14ac:dyDescent="0.25">
      <c r="A1035" s="16"/>
      <c r="D1035" s="16"/>
      <c r="F1035" s="16"/>
      <c r="G1035" s="16"/>
      <c r="H1035" s="24"/>
      <c r="I1035" s="24"/>
      <c r="L1035"/>
    </row>
    <row r="1036" spans="1:12" x14ac:dyDescent="0.25">
      <c r="A1036" s="16"/>
      <c r="D1036" s="16"/>
      <c r="F1036" s="16"/>
      <c r="G1036" s="16"/>
      <c r="H1036" s="24"/>
      <c r="I1036" s="24"/>
      <c r="L1036"/>
    </row>
    <row r="1037" spans="1:12" x14ac:dyDescent="0.25">
      <c r="A1037" s="16"/>
      <c r="D1037" s="16"/>
      <c r="F1037" s="16"/>
      <c r="G1037" s="16"/>
      <c r="H1037" s="24"/>
      <c r="I1037" s="24"/>
      <c r="L1037"/>
    </row>
    <row r="1038" spans="1:12" x14ac:dyDescent="0.25">
      <c r="A1038" s="16"/>
      <c r="D1038" s="16"/>
      <c r="F1038" s="16"/>
      <c r="G1038" s="16"/>
      <c r="H1038" s="24"/>
      <c r="I1038" s="24"/>
      <c r="L1038"/>
    </row>
    <row r="1039" spans="1:12" x14ac:dyDescent="0.25">
      <c r="A1039" s="16"/>
      <c r="D1039" s="16"/>
      <c r="F1039" s="16"/>
      <c r="G1039" s="16"/>
      <c r="H1039" s="24"/>
      <c r="I1039" s="24"/>
      <c r="L1039"/>
    </row>
    <row r="1040" spans="1:12" x14ac:dyDescent="0.25">
      <c r="A1040" s="16"/>
      <c r="D1040" s="16"/>
      <c r="F1040" s="16"/>
      <c r="G1040" s="16"/>
      <c r="H1040" s="24"/>
      <c r="I1040" s="24"/>
      <c r="L1040"/>
    </row>
    <row r="1041" spans="1:12" x14ac:dyDescent="0.25">
      <c r="A1041" s="16"/>
      <c r="D1041" s="16"/>
      <c r="F1041" s="16"/>
      <c r="G1041" s="16"/>
      <c r="H1041" s="24"/>
      <c r="I1041" s="24"/>
      <c r="L1041"/>
    </row>
    <row r="1042" spans="1:12" x14ac:dyDescent="0.25">
      <c r="A1042" s="16"/>
      <c r="D1042" s="16"/>
      <c r="F1042" s="16"/>
      <c r="G1042" s="16"/>
      <c r="H1042" s="24"/>
      <c r="I1042" s="24"/>
      <c r="L1042"/>
    </row>
    <row r="1043" spans="1:12" x14ac:dyDescent="0.25">
      <c r="A1043" s="16"/>
      <c r="D1043" s="16"/>
      <c r="F1043" s="16"/>
      <c r="G1043" s="16"/>
      <c r="H1043" s="24"/>
      <c r="I1043" s="24"/>
      <c r="L1043"/>
    </row>
    <row r="1044" spans="1:12" x14ac:dyDescent="0.25">
      <c r="A1044" s="16"/>
      <c r="D1044" s="16"/>
      <c r="F1044" s="16"/>
      <c r="G1044" s="16"/>
      <c r="H1044" s="24"/>
      <c r="I1044" s="24"/>
      <c r="L1044"/>
    </row>
    <row r="1045" spans="1:12" x14ac:dyDescent="0.25">
      <c r="A1045" s="16"/>
      <c r="D1045" s="16"/>
      <c r="F1045" s="16"/>
      <c r="G1045" s="16"/>
      <c r="H1045" s="24"/>
      <c r="I1045" s="24"/>
      <c r="L1045"/>
    </row>
    <row r="1046" spans="1:12" x14ac:dyDescent="0.25">
      <c r="A1046" s="16"/>
      <c r="D1046" s="16"/>
      <c r="F1046" s="16"/>
      <c r="G1046" s="16"/>
      <c r="H1046" s="24"/>
      <c r="I1046" s="24"/>
      <c r="L1046"/>
    </row>
    <row r="1047" spans="1:12" x14ac:dyDescent="0.25">
      <c r="A1047" s="16"/>
      <c r="D1047" s="16"/>
      <c r="F1047" s="16"/>
      <c r="G1047" s="16"/>
      <c r="H1047" s="24"/>
      <c r="I1047" s="24"/>
      <c r="L1047"/>
    </row>
    <row r="1048" spans="1:12" x14ac:dyDescent="0.25">
      <c r="A1048" s="16"/>
      <c r="D1048" s="16"/>
      <c r="F1048" s="16"/>
      <c r="G1048" s="16"/>
      <c r="H1048" s="24"/>
      <c r="I1048" s="24"/>
      <c r="L1048"/>
    </row>
    <row r="1049" spans="1:12" x14ac:dyDescent="0.25">
      <c r="A1049" s="16"/>
      <c r="D1049" s="16"/>
      <c r="F1049" s="16"/>
      <c r="G1049" s="16"/>
      <c r="H1049" s="24"/>
      <c r="I1049" s="24"/>
      <c r="L1049"/>
    </row>
    <row r="1050" spans="1:12" x14ac:dyDescent="0.25">
      <c r="A1050" s="16"/>
      <c r="D1050" s="16"/>
      <c r="F1050" s="16"/>
      <c r="G1050" s="16"/>
      <c r="H1050" s="24"/>
      <c r="I1050" s="24"/>
      <c r="L1050"/>
    </row>
    <row r="1051" spans="1:12" x14ac:dyDescent="0.25">
      <c r="A1051" s="16"/>
      <c r="D1051" s="16"/>
      <c r="F1051" s="16"/>
      <c r="G1051" s="16"/>
      <c r="H1051" s="24"/>
      <c r="I1051" s="24"/>
      <c r="L1051"/>
    </row>
    <row r="1052" spans="1:12" x14ac:dyDescent="0.25">
      <c r="A1052" s="16"/>
      <c r="D1052" s="16"/>
      <c r="F1052" s="16"/>
      <c r="G1052" s="16"/>
      <c r="H1052" s="24"/>
      <c r="I1052" s="24"/>
      <c r="L1052"/>
    </row>
    <row r="1053" spans="1:12" x14ac:dyDescent="0.25">
      <c r="A1053" s="16"/>
      <c r="D1053" s="16"/>
      <c r="F1053" s="16"/>
      <c r="G1053" s="16"/>
      <c r="H1053" s="24"/>
      <c r="I1053" s="24"/>
      <c r="L1053"/>
    </row>
    <row r="1054" spans="1:12" x14ac:dyDescent="0.25">
      <c r="A1054" s="16"/>
      <c r="D1054" s="16"/>
      <c r="F1054" s="16"/>
      <c r="G1054" s="16"/>
      <c r="H1054" s="24"/>
      <c r="I1054" s="24"/>
      <c r="L1054"/>
    </row>
    <row r="1055" spans="1:12" x14ac:dyDescent="0.25">
      <c r="A1055" s="16"/>
      <c r="D1055" s="16"/>
      <c r="F1055" s="16"/>
      <c r="G1055" s="16"/>
      <c r="H1055" s="24"/>
      <c r="I1055" s="24"/>
      <c r="L1055"/>
    </row>
    <row r="1056" spans="1:12" x14ac:dyDescent="0.25">
      <c r="A1056" s="16"/>
      <c r="D1056" s="16"/>
      <c r="F1056" s="16"/>
      <c r="G1056" s="16"/>
      <c r="H1056" s="24"/>
      <c r="I1056" s="24"/>
      <c r="L1056"/>
    </row>
    <row r="1057" spans="1:12" x14ac:dyDescent="0.25">
      <c r="A1057" s="16"/>
      <c r="D1057" s="16"/>
      <c r="F1057" s="16"/>
      <c r="G1057" s="16"/>
      <c r="H1057" s="24"/>
      <c r="I1057" s="24"/>
      <c r="L1057"/>
    </row>
    <row r="1058" spans="1:12" x14ac:dyDescent="0.25">
      <c r="A1058" s="16"/>
      <c r="D1058" s="16"/>
      <c r="F1058" s="16"/>
      <c r="G1058" s="16"/>
      <c r="H1058" s="24"/>
      <c r="I1058" s="24"/>
      <c r="L1058"/>
    </row>
    <row r="1059" spans="1:12" x14ac:dyDescent="0.25">
      <c r="A1059" s="16"/>
      <c r="D1059" s="16"/>
      <c r="F1059" s="16"/>
      <c r="G1059" s="16"/>
      <c r="H1059" s="24"/>
      <c r="I1059" s="24"/>
      <c r="L1059"/>
    </row>
    <row r="1060" spans="1:12" x14ac:dyDescent="0.25">
      <c r="A1060" s="16"/>
      <c r="D1060" s="16"/>
      <c r="F1060" s="16"/>
      <c r="G1060" s="16"/>
      <c r="H1060" s="24"/>
      <c r="I1060" s="24"/>
      <c r="L1060"/>
    </row>
    <row r="1061" spans="1:12" x14ac:dyDescent="0.25">
      <c r="A1061" s="16"/>
      <c r="D1061" s="16"/>
      <c r="F1061" s="16"/>
      <c r="G1061" s="16"/>
      <c r="H1061" s="24"/>
      <c r="I1061" s="24"/>
      <c r="L1061"/>
    </row>
    <row r="1062" spans="1:12" x14ac:dyDescent="0.25">
      <c r="A1062" s="16"/>
      <c r="D1062" s="16"/>
      <c r="F1062" s="16"/>
      <c r="G1062" s="16"/>
      <c r="H1062" s="24"/>
      <c r="I1062" s="24"/>
      <c r="L1062"/>
    </row>
    <row r="1063" spans="1:12" x14ac:dyDescent="0.25">
      <c r="A1063" s="16"/>
      <c r="D1063" s="16"/>
      <c r="F1063" s="16"/>
      <c r="G1063" s="16"/>
      <c r="H1063" s="24"/>
      <c r="I1063" s="24"/>
      <c r="L1063"/>
    </row>
    <row r="1064" spans="1:12" x14ac:dyDescent="0.25">
      <c r="A1064" s="16"/>
      <c r="D1064" s="16"/>
      <c r="F1064" s="16"/>
      <c r="G1064" s="16"/>
      <c r="H1064" s="24"/>
      <c r="I1064" s="24"/>
      <c r="L1064"/>
    </row>
    <row r="1065" spans="1:12" x14ac:dyDescent="0.25">
      <c r="A1065" s="16"/>
      <c r="D1065" s="16"/>
      <c r="F1065" s="16"/>
      <c r="G1065" s="16"/>
      <c r="H1065" s="24"/>
      <c r="I1065" s="24"/>
      <c r="L1065"/>
    </row>
    <row r="1066" spans="1:12" x14ac:dyDescent="0.25">
      <c r="A1066" s="16"/>
      <c r="D1066" s="16"/>
      <c r="F1066" s="16"/>
      <c r="G1066" s="16"/>
      <c r="H1066" s="24"/>
      <c r="I1066" s="24"/>
      <c r="L1066"/>
    </row>
    <row r="1067" spans="1:12" x14ac:dyDescent="0.25">
      <c r="A1067" s="16"/>
      <c r="D1067" s="16"/>
      <c r="F1067" s="16"/>
      <c r="G1067" s="16"/>
      <c r="H1067" s="24"/>
      <c r="I1067" s="24"/>
      <c r="L1067"/>
    </row>
    <row r="1068" spans="1:12" x14ac:dyDescent="0.25">
      <c r="A1068" s="16"/>
      <c r="D1068" s="16"/>
      <c r="F1068" s="16"/>
      <c r="G1068" s="16"/>
      <c r="H1068" s="24"/>
      <c r="I1068" s="24"/>
      <c r="L1068"/>
    </row>
    <row r="1069" spans="1:12" x14ac:dyDescent="0.25">
      <c r="A1069" s="16"/>
      <c r="D1069" s="16"/>
      <c r="F1069" s="16"/>
      <c r="G1069" s="16"/>
      <c r="H1069" s="24"/>
      <c r="I1069" s="24"/>
      <c r="L1069"/>
    </row>
    <row r="1070" spans="1:12" x14ac:dyDescent="0.25">
      <c r="A1070" s="16"/>
      <c r="D1070" s="16"/>
      <c r="F1070" s="16"/>
      <c r="G1070" s="16"/>
      <c r="H1070" s="24"/>
      <c r="I1070" s="24"/>
      <c r="L1070"/>
    </row>
    <row r="1071" spans="1:12" x14ac:dyDescent="0.25">
      <c r="A1071" s="16"/>
      <c r="D1071" s="16"/>
      <c r="F1071" s="16"/>
      <c r="G1071" s="16"/>
      <c r="H1071" s="24"/>
      <c r="I1071" s="24"/>
      <c r="L1071"/>
    </row>
    <row r="1072" spans="1:12" x14ac:dyDescent="0.25">
      <c r="A1072" s="16"/>
      <c r="D1072" s="16"/>
      <c r="F1072" s="16"/>
      <c r="G1072" s="16"/>
      <c r="H1072" s="24"/>
      <c r="I1072" s="24"/>
      <c r="L1072"/>
    </row>
    <row r="1073" spans="1:12" x14ac:dyDescent="0.25">
      <c r="A1073" s="16"/>
      <c r="D1073" s="16"/>
      <c r="F1073" s="16"/>
      <c r="G1073" s="16"/>
      <c r="H1073" s="24"/>
      <c r="I1073" s="24"/>
      <c r="L1073"/>
    </row>
    <row r="1074" spans="1:12" x14ac:dyDescent="0.25">
      <c r="A1074" s="16"/>
      <c r="D1074" s="16"/>
      <c r="F1074" s="16"/>
      <c r="G1074" s="16"/>
      <c r="H1074" s="24"/>
      <c r="I1074" s="24"/>
      <c r="L1074"/>
    </row>
    <row r="1075" spans="1:12" x14ac:dyDescent="0.25">
      <c r="A1075" s="16"/>
      <c r="D1075" s="16"/>
      <c r="F1075" s="16"/>
      <c r="G1075" s="16"/>
      <c r="H1075" s="24"/>
      <c r="I1075" s="24"/>
      <c r="L1075"/>
    </row>
    <row r="1076" spans="1:12" x14ac:dyDescent="0.25">
      <c r="A1076" s="16"/>
      <c r="D1076" s="16"/>
      <c r="F1076" s="16"/>
      <c r="G1076" s="16"/>
      <c r="H1076" s="24"/>
      <c r="I1076" s="24"/>
      <c r="L1076"/>
    </row>
    <row r="1077" spans="1:12" x14ac:dyDescent="0.25">
      <c r="A1077" s="16"/>
      <c r="D1077" s="16"/>
      <c r="F1077" s="16"/>
      <c r="G1077" s="16"/>
      <c r="H1077" s="24"/>
      <c r="I1077" s="24"/>
      <c r="L1077"/>
    </row>
    <row r="1078" spans="1:12" x14ac:dyDescent="0.25">
      <c r="A1078" s="16"/>
      <c r="D1078" s="16"/>
      <c r="F1078" s="16"/>
      <c r="G1078" s="16"/>
      <c r="H1078" s="24"/>
      <c r="I1078" s="24"/>
      <c r="L1078"/>
    </row>
    <row r="1079" spans="1:12" x14ac:dyDescent="0.25">
      <c r="A1079" s="16"/>
      <c r="D1079" s="16"/>
      <c r="F1079" s="16"/>
      <c r="G1079" s="16"/>
      <c r="H1079" s="24"/>
      <c r="I1079" s="24"/>
      <c r="L1079"/>
    </row>
    <row r="1080" spans="1:12" x14ac:dyDescent="0.25">
      <c r="A1080" s="16"/>
      <c r="D1080" s="16"/>
      <c r="F1080" s="16"/>
      <c r="G1080" s="16"/>
      <c r="H1080" s="24"/>
      <c r="I1080" s="24"/>
      <c r="L1080"/>
    </row>
    <row r="1081" spans="1:12" x14ac:dyDescent="0.25">
      <c r="A1081" s="16"/>
      <c r="D1081" s="16"/>
      <c r="F1081" s="16"/>
      <c r="G1081" s="16"/>
      <c r="H1081" s="24"/>
      <c r="I1081" s="24"/>
      <c r="L1081"/>
    </row>
    <row r="1082" spans="1:12" x14ac:dyDescent="0.25">
      <c r="A1082" s="16"/>
      <c r="D1082" s="16"/>
      <c r="F1082" s="16"/>
      <c r="G1082" s="16"/>
      <c r="H1082" s="24"/>
      <c r="I1082" s="24"/>
      <c r="L1082"/>
    </row>
    <row r="1083" spans="1:12" x14ac:dyDescent="0.25">
      <c r="A1083" s="16"/>
      <c r="D1083" s="16"/>
      <c r="F1083" s="16"/>
      <c r="G1083" s="16"/>
      <c r="H1083" s="24"/>
      <c r="I1083" s="24"/>
      <c r="L1083"/>
    </row>
    <row r="1084" spans="1:12" x14ac:dyDescent="0.25">
      <c r="A1084" s="16"/>
      <c r="D1084" s="16"/>
      <c r="F1084" s="16"/>
      <c r="G1084" s="16"/>
      <c r="H1084" s="24"/>
      <c r="I1084" s="24"/>
      <c r="L1084"/>
    </row>
    <row r="1085" spans="1:12" x14ac:dyDescent="0.25">
      <c r="A1085" s="16"/>
      <c r="D1085" s="16"/>
      <c r="F1085" s="16"/>
      <c r="G1085" s="16"/>
      <c r="H1085" s="24"/>
      <c r="I1085" s="24"/>
      <c r="L1085"/>
    </row>
    <row r="1086" spans="1:12" x14ac:dyDescent="0.25">
      <c r="A1086" s="16"/>
      <c r="D1086" s="16"/>
      <c r="F1086" s="16"/>
      <c r="G1086" s="16"/>
      <c r="H1086" s="24"/>
      <c r="I1086" s="24"/>
      <c r="L1086"/>
    </row>
    <row r="1087" spans="1:12" x14ac:dyDescent="0.25">
      <c r="A1087" s="16"/>
      <c r="D1087" s="16"/>
      <c r="F1087" s="16"/>
      <c r="G1087" s="16"/>
      <c r="H1087" s="24"/>
      <c r="I1087" s="24"/>
      <c r="L1087"/>
    </row>
    <row r="1088" spans="1:12" x14ac:dyDescent="0.25">
      <c r="A1088" s="16"/>
      <c r="D1088" s="16"/>
      <c r="F1088" s="16"/>
      <c r="G1088" s="16"/>
      <c r="H1088" s="24"/>
      <c r="I1088" s="24"/>
      <c r="L1088"/>
    </row>
    <row r="1089" spans="1:12" x14ac:dyDescent="0.25">
      <c r="A1089" s="16"/>
      <c r="D1089" s="16"/>
      <c r="F1089" s="16"/>
      <c r="G1089" s="16"/>
      <c r="H1089" s="24"/>
      <c r="I1089" s="24"/>
      <c r="L1089"/>
    </row>
    <row r="1090" spans="1:12" x14ac:dyDescent="0.25">
      <c r="A1090" s="16"/>
      <c r="D1090" s="16"/>
      <c r="F1090" s="16"/>
      <c r="G1090" s="16"/>
      <c r="H1090" s="24"/>
      <c r="I1090" s="24"/>
      <c r="L1090"/>
    </row>
    <row r="1091" spans="1:12" x14ac:dyDescent="0.25">
      <c r="A1091" s="16"/>
      <c r="D1091" s="16"/>
      <c r="F1091" s="16"/>
      <c r="G1091" s="16"/>
      <c r="H1091" s="24"/>
      <c r="I1091" s="24"/>
      <c r="L1091"/>
    </row>
    <row r="1092" spans="1:12" x14ac:dyDescent="0.25">
      <c r="A1092" s="16"/>
      <c r="D1092" s="16"/>
      <c r="F1092" s="16"/>
      <c r="G1092" s="16"/>
      <c r="H1092" s="24"/>
      <c r="I1092" s="24"/>
      <c r="L1092"/>
    </row>
    <row r="1093" spans="1:12" x14ac:dyDescent="0.25">
      <c r="A1093" s="16"/>
      <c r="D1093" s="16"/>
      <c r="F1093" s="16"/>
      <c r="G1093" s="16"/>
      <c r="H1093" s="24"/>
      <c r="I1093" s="24"/>
      <c r="L1093"/>
    </row>
    <row r="1094" spans="1:12" x14ac:dyDescent="0.25">
      <c r="A1094" s="16"/>
      <c r="D1094" s="16"/>
      <c r="F1094" s="16"/>
      <c r="G1094" s="16"/>
      <c r="H1094" s="24"/>
      <c r="I1094" s="24"/>
      <c r="L1094"/>
    </row>
    <row r="1095" spans="1:12" x14ac:dyDescent="0.25">
      <c r="A1095" s="16"/>
      <c r="D1095" s="16"/>
      <c r="F1095" s="16"/>
      <c r="G1095" s="16"/>
      <c r="H1095" s="24"/>
      <c r="I1095" s="24"/>
      <c r="L1095"/>
    </row>
    <row r="1096" spans="1:12" x14ac:dyDescent="0.25">
      <c r="A1096" s="16"/>
      <c r="D1096" s="16"/>
      <c r="F1096" s="16"/>
      <c r="G1096" s="16"/>
      <c r="H1096" s="24"/>
      <c r="I1096" s="24"/>
      <c r="L1096"/>
    </row>
    <row r="1097" spans="1:12" x14ac:dyDescent="0.25">
      <c r="A1097" s="16"/>
      <c r="D1097" s="16"/>
      <c r="F1097" s="16"/>
      <c r="G1097" s="16"/>
      <c r="H1097" s="24"/>
      <c r="I1097" s="24"/>
      <c r="L1097"/>
    </row>
    <row r="1098" spans="1:12" x14ac:dyDescent="0.25">
      <c r="A1098" s="16"/>
      <c r="D1098" s="16"/>
      <c r="F1098" s="16"/>
      <c r="G1098" s="16"/>
      <c r="H1098" s="24"/>
      <c r="I1098" s="24"/>
      <c r="L1098"/>
    </row>
    <row r="1099" spans="1:12" x14ac:dyDescent="0.25">
      <c r="A1099" s="16"/>
      <c r="D1099" s="16"/>
      <c r="F1099" s="16"/>
      <c r="G1099" s="16"/>
      <c r="H1099" s="24"/>
      <c r="I1099" s="24"/>
      <c r="L1099"/>
    </row>
    <row r="1100" spans="1:12" x14ac:dyDescent="0.25">
      <c r="A1100" s="16"/>
      <c r="D1100" s="16"/>
      <c r="F1100" s="16"/>
      <c r="G1100" s="16"/>
      <c r="H1100" s="24"/>
      <c r="I1100" s="24"/>
      <c r="L1100"/>
    </row>
    <row r="1101" spans="1:12" x14ac:dyDescent="0.25">
      <c r="A1101" s="16"/>
      <c r="D1101" s="16"/>
      <c r="F1101" s="16"/>
      <c r="G1101" s="16"/>
      <c r="H1101" s="24"/>
      <c r="I1101" s="24"/>
      <c r="L1101"/>
    </row>
    <row r="1102" spans="1:12" x14ac:dyDescent="0.25">
      <c r="A1102" s="16"/>
      <c r="D1102" s="16"/>
      <c r="F1102" s="16"/>
      <c r="G1102" s="16"/>
      <c r="H1102" s="24"/>
      <c r="I1102" s="24"/>
      <c r="L1102"/>
    </row>
    <row r="1103" spans="1:12" x14ac:dyDescent="0.25">
      <c r="A1103" s="16"/>
      <c r="D1103" s="16"/>
      <c r="F1103" s="16"/>
      <c r="G1103" s="16"/>
      <c r="H1103" s="24"/>
      <c r="I1103" s="24"/>
      <c r="L1103"/>
    </row>
    <row r="1104" spans="1:12" x14ac:dyDescent="0.25">
      <c r="A1104" s="16"/>
      <c r="D1104" s="16"/>
      <c r="F1104" s="16"/>
      <c r="G1104" s="16"/>
      <c r="H1104" s="24"/>
      <c r="I1104" s="24"/>
      <c r="L1104"/>
    </row>
    <row r="1105" spans="1:12" x14ac:dyDescent="0.25">
      <c r="A1105" s="16"/>
      <c r="D1105" s="16"/>
      <c r="F1105" s="16"/>
      <c r="G1105" s="16"/>
      <c r="H1105" s="24"/>
      <c r="I1105" s="24"/>
      <c r="L1105"/>
    </row>
    <row r="1106" spans="1:12" x14ac:dyDescent="0.25">
      <c r="A1106" s="16"/>
      <c r="D1106" s="16"/>
      <c r="F1106" s="16"/>
      <c r="G1106" s="16"/>
      <c r="H1106" s="24"/>
      <c r="I1106" s="24"/>
      <c r="L1106"/>
    </row>
    <row r="1107" spans="1:12" x14ac:dyDescent="0.25">
      <c r="A1107" s="16"/>
      <c r="D1107" s="16"/>
      <c r="F1107" s="16"/>
      <c r="G1107" s="16"/>
      <c r="H1107" s="24"/>
      <c r="I1107" s="24"/>
      <c r="L1107"/>
    </row>
    <row r="1108" spans="1:12" x14ac:dyDescent="0.25">
      <c r="A1108" s="16"/>
      <c r="D1108" s="16"/>
      <c r="F1108" s="16"/>
      <c r="G1108" s="16"/>
      <c r="H1108" s="24"/>
      <c r="I1108" s="24"/>
      <c r="L1108"/>
    </row>
    <row r="1109" spans="1:12" x14ac:dyDescent="0.25">
      <c r="A1109" s="16"/>
      <c r="D1109" s="16"/>
      <c r="F1109" s="16"/>
      <c r="G1109" s="16"/>
      <c r="H1109" s="24"/>
      <c r="I1109" s="24"/>
      <c r="L1109"/>
    </row>
    <row r="1110" spans="1:12" x14ac:dyDescent="0.25">
      <c r="A1110" s="16"/>
      <c r="D1110" s="16"/>
      <c r="F1110" s="16"/>
      <c r="G1110" s="16"/>
      <c r="H1110" s="24"/>
      <c r="I1110" s="24"/>
      <c r="L1110"/>
    </row>
    <row r="1111" spans="1:12" x14ac:dyDescent="0.25">
      <c r="A1111" s="16"/>
      <c r="D1111" s="16"/>
      <c r="F1111" s="16"/>
      <c r="G1111" s="16"/>
      <c r="H1111" s="24"/>
      <c r="I1111" s="24"/>
      <c r="L1111"/>
    </row>
    <row r="1112" spans="1:12" x14ac:dyDescent="0.25">
      <c r="A1112" s="16"/>
      <c r="D1112" s="16"/>
      <c r="F1112" s="16"/>
      <c r="G1112" s="16"/>
      <c r="H1112" s="24"/>
      <c r="I1112" s="24"/>
      <c r="L1112"/>
    </row>
    <row r="1113" spans="1:12" x14ac:dyDescent="0.25">
      <c r="A1113" s="16"/>
      <c r="D1113" s="16"/>
      <c r="F1113" s="16"/>
      <c r="G1113" s="16"/>
      <c r="H1113" s="24"/>
      <c r="I1113" s="24"/>
      <c r="L1113"/>
    </row>
    <row r="1114" spans="1:12" x14ac:dyDescent="0.25">
      <c r="A1114" s="16"/>
      <c r="D1114" s="16"/>
      <c r="F1114" s="16"/>
      <c r="G1114" s="16"/>
      <c r="H1114" s="24"/>
      <c r="I1114" s="24"/>
      <c r="L1114"/>
    </row>
    <row r="1115" spans="1:12" x14ac:dyDescent="0.25">
      <c r="A1115" s="16"/>
      <c r="D1115" s="16"/>
      <c r="F1115" s="16"/>
      <c r="G1115" s="16"/>
      <c r="H1115" s="24"/>
      <c r="I1115" s="24"/>
      <c r="L1115"/>
    </row>
    <row r="1116" spans="1:12" x14ac:dyDescent="0.25">
      <c r="A1116" s="16"/>
      <c r="D1116" s="16"/>
      <c r="F1116" s="16"/>
      <c r="G1116" s="16"/>
      <c r="H1116" s="24"/>
      <c r="I1116" s="24"/>
      <c r="L1116"/>
    </row>
    <row r="1117" spans="1:12" x14ac:dyDescent="0.25">
      <c r="A1117" s="16"/>
      <c r="D1117" s="16"/>
      <c r="F1117" s="16"/>
      <c r="G1117" s="16"/>
      <c r="H1117" s="24"/>
      <c r="I1117" s="24"/>
      <c r="L1117"/>
    </row>
    <row r="1118" spans="1:12" x14ac:dyDescent="0.25">
      <c r="A1118" s="16"/>
      <c r="D1118" s="16"/>
      <c r="F1118" s="16"/>
      <c r="G1118" s="16"/>
      <c r="H1118" s="24"/>
      <c r="I1118" s="24"/>
      <c r="L1118"/>
    </row>
    <row r="1119" spans="1:12" x14ac:dyDescent="0.25">
      <c r="A1119" s="16"/>
      <c r="D1119" s="16"/>
      <c r="F1119" s="16"/>
      <c r="G1119" s="16"/>
      <c r="H1119" s="24"/>
      <c r="I1119" s="24"/>
      <c r="L1119"/>
    </row>
    <row r="1120" spans="1:12" x14ac:dyDescent="0.25">
      <c r="A1120" s="16"/>
      <c r="D1120" s="16"/>
      <c r="F1120" s="16"/>
      <c r="G1120" s="16"/>
      <c r="H1120" s="24"/>
      <c r="I1120" s="24"/>
      <c r="L1120"/>
    </row>
    <row r="1121" spans="1:12" x14ac:dyDescent="0.25">
      <c r="A1121" s="16"/>
      <c r="D1121" s="16"/>
      <c r="F1121" s="16"/>
      <c r="G1121" s="16"/>
      <c r="H1121" s="24"/>
      <c r="I1121" s="24"/>
      <c r="L1121"/>
    </row>
    <row r="1122" spans="1:12" x14ac:dyDescent="0.25">
      <c r="A1122" s="16"/>
      <c r="D1122" s="16"/>
      <c r="F1122" s="16"/>
      <c r="G1122" s="16"/>
      <c r="H1122" s="24"/>
      <c r="I1122" s="24"/>
      <c r="L1122"/>
    </row>
    <row r="1123" spans="1:12" x14ac:dyDescent="0.25">
      <c r="A1123" s="16"/>
      <c r="D1123" s="16"/>
      <c r="F1123" s="16"/>
      <c r="G1123" s="16"/>
      <c r="H1123" s="24"/>
      <c r="I1123" s="24"/>
      <c r="L1123"/>
    </row>
    <row r="1124" spans="1:12" x14ac:dyDescent="0.25">
      <c r="A1124" s="16"/>
      <c r="D1124" s="16"/>
      <c r="F1124" s="16"/>
      <c r="G1124" s="16"/>
      <c r="H1124" s="24"/>
      <c r="I1124" s="24"/>
      <c r="L1124"/>
    </row>
    <row r="1125" spans="1:12" x14ac:dyDescent="0.25">
      <c r="A1125" s="16"/>
      <c r="D1125" s="16"/>
      <c r="F1125" s="16"/>
      <c r="G1125" s="16"/>
      <c r="H1125" s="24"/>
      <c r="I1125" s="24"/>
      <c r="L1125"/>
    </row>
    <row r="1126" spans="1:12" x14ac:dyDescent="0.25">
      <c r="A1126" s="16"/>
      <c r="D1126" s="16"/>
      <c r="F1126" s="16"/>
      <c r="G1126" s="16"/>
      <c r="H1126" s="24"/>
      <c r="I1126" s="24"/>
      <c r="L1126"/>
    </row>
    <row r="1127" spans="1:12" x14ac:dyDescent="0.25">
      <c r="A1127" s="16"/>
      <c r="D1127" s="16"/>
      <c r="F1127" s="16"/>
      <c r="G1127" s="16"/>
      <c r="H1127" s="24"/>
      <c r="I1127" s="24"/>
      <c r="L1127"/>
    </row>
    <row r="1128" spans="1:12" x14ac:dyDescent="0.25">
      <c r="A1128" s="16"/>
      <c r="D1128" s="16"/>
      <c r="F1128" s="16"/>
      <c r="G1128" s="16"/>
      <c r="H1128" s="24"/>
      <c r="I1128" s="24"/>
      <c r="L1128"/>
    </row>
    <row r="1129" spans="1:12" x14ac:dyDescent="0.25">
      <c r="A1129" s="16"/>
      <c r="D1129" s="16"/>
      <c r="F1129" s="16"/>
      <c r="G1129" s="16"/>
      <c r="H1129" s="24"/>
      <c r="I1129" s="24"/>
      <c r="L1129"/>
    </row>
    <row r="1130" spans="1:12" x14ac:dyDescent="0.25">
      <c r="A1130" s="16"/>
      <c r="D1130" s="16"/>
      <c r="F1130" s="16"/>
      <c r="G1130" s="16"/>
      <c r="H1130" s="24"/>
      <c r="I1130" s="24"/>
      <c r="L1130"/>
    </row>
    <row r="1131" spans="1:12" x14ac:dyDescent="0.25">
      <c r="A1131" s="16"/>
      <c r="D1131" s="16"/>
      <c r="F1131" s="16"/>
      <c r="G1131" s="16"/>
      <c r="H1131" s="24"/>
      <c r="I1131" s="24"/>
      <c r="L1131"/>
    </row>
    <row r="1132" spans="1:12" x14ac:dyDescent="0.25">
      <c r="A1132" s="16"/>
      <c r="D1132" s="16"/>
      <c r="F1132" s="16"/>
      <c r="G1132" s="16"/>
      <c r="H1132" s="24"/>
      <c r="I1132" s="24"/>
      <c r="L1132"/>
    </row>
    <row r="1133" spans="1:12" x14ac:dyDescent="0.25">
      <c r="A1133" s="16"/>
      <c r="D1133" s="16"/>
      <c r="F1133" s="16"/>
      <c r="G1133" s="16"/>
      <c r="H1133" s="24"/>
      <c r="I1133" s="24"/>
      <c r="L1133"/>
    </row>
    <row r="1134" spans="1:12" x14ac:dyDescent="0.25">
      <c r="A1134" s="16"/>
      <c r="D1134" s="16"/>
      <c r="F1134" s="16"/>
      <c r="G1134" s="16"/>
      <c r="H1134" s="24"/>
      <c r="I1134" s="24"/>
      <c r="L1134"/>
    </row>
    <row r="1135" spans="1:12" x14ac:dyDescent="0.25">
      <c r="A1135" s="16"/>
      <c r="D1135" s="16"/>
      <c r="F1135" s="16"/>
      <c r="G1135" s="16"/>
      <c r="H1135" s="24"/>
      <c r="I1135" s="24"/>
      <c r="L1135"/>
    </row>
    <row r="1136" spans="1:12" x14ac:dyDescent="0.25">
      <c r="A1136" s="16"/>
      <c r="D1136" s="16"/>
      <c r="F1136" s="16"/>
      <c r="G1136" s="16"/>
      <c r="H1136" s="24"/>
      <c r="I1136" s="24"/>
      <c r="L1136"/>
    </row>
    <row r="1137" spans="1:12" x14ac:dyDescent="0.25">
      <c r="A1137" s="16"/>
      <c r="D1137" s="16"/>
      <c r="F1137" s="16"/>
      <c r="G1137" s="16"/>
      <c r="H1137" s="24"/>
      <c r="I1137" s="24"/>
      <c r="L1137"/>
    </row>
    <row r="1138" spans="1:12" x14ac:dyDescent="0.25">
      <c r="A1138" s="16"/>
      <c r="D1138" s="16"/>
      <c r="F1138" s="16"/>
      <c r="G1138" s="16"/>
      <c r="H1138" s="24"/>
      <c r="I1138" s="24"/>
      <c r="L1138"/>
    </row>
    <row r="1139" spans="1:12" x14ac:dyDescent="0.25">
      <c r="A1139" s="16"/>
      <c r="D1139" s="16"/>
      <c r="F1139" s="16"/>
      <c r="G1139" s="16"/>
      <c r="H1139" s="24"/>
      <c r="I1139" s="24"/>
      <c r="L1139"/>
    </row>
    <row r="1140" spans="1:12" x14ac:dyDescent="0.25">
      <c r="A1140" s="16"/>
      <c r="D1140" s="16"/>
      <c r="F1140" s="16"/>
      <c r="G1140" s="16"/>
      <c r="H1140" s="24"/>
      <c r="I1140" s="24"/>
      <c r="L1140"/>
    </row>
    <row r="1141" spans="1:12" x14ac:dyDescent="0.25">
      <c r="A1141" s="16"/>
      <c r="D1141" s="16"/>
      <c r="F1141" s="16"/>
      <c r="G1141" s="16"/>
      <c r="H1141" s="24"/>
      <c r="I1141" s="24"/>
      <c r="L1141"/>
    </row>
    <row r="1142" spans="1:12" x14ac:dyDescent="0.25">
      <c r="A1142" s="16"/>
      <c r="D1142" s="16"/>
      <c r="F1142" s="16"/>
      <c r="G1142" s="16"/>
      <c r="H1142" s="24"/>
      <c r="I1142" s="24"/>
      <c r="L1142"/>
    </row>
    <row r="1143" spans="1:12" x14ac:dyDescent="0.25">
      <c r="A1143" s="16"/>
      <c r="D1143" s="16"/>
      <c r="F1143" s="16"/>
      <c r="G1143" s="16"/>
      <c r="H1143" s="24"/>
      <c r="I1143" s="24"/>
      <c r="L1143"/>
    </row>
    <row r="1144" spans="1:12" x14ac:dyDescent="0.25">
      <c r="A1144" s="16"/>
      <c r="D1144" s="16"/>
      <c r="F1144" s="16"/>
      <c r="G1144" s="16"/>
      <c r="H1144" s="24"/>
      <c r="I1144" s="24"/>
      <c r="L1144"/>
    </row>
    <row r="1145" spans="1:12" x14ac:dyDescent="0.25">
      <c r="A1145" s="16"/>
      <c r="D1145" s="16"/>
      <c r="F1145" s="16"/>
      <c r="G1145" s="16"/>
      <c r="H1145" s="24"/>
      <c r="I1145" s="24"/>
      <c r="L1145"/>
    </row>
    <row r="1146" spans="1:12" x14ac:dyDescent="0.25">
      <c r="A1146" s="16"/>
      <c r="D1146" s="16"/>
      <c r="F1146" s="16"/>
      <c r="G1146" s="16"/>
      <c r="H1146" s="24"/>
      <c r="I1146" s="24"/>
      <c r="L1146"/>
    </row>
    <row r="1147" spans="1:12" x14ac:dyDescent="0.25">
      <c r="A1147" s="16"/>
      <c r="D1147" s="16"/>
      <c r="F1147" s="16"/>
      <c r="G1147" s="16"/>
      <c r="H1147" s="24"/>
      <c r="I1147" s="24"/>
      <c r="L1147"/>
    </row>
    <row r="1148" spans="1:12" x14ac:dyDescent="0.25">
      <c r="A1148" s="16"/>
      <c r="D1148" s="16"/>
      <c r="F1148" s="16"/>
      <c r="G1148" s="16"/>
      <c r="H1148" s="24"/>
      <c r="I1148" s="24"/>
      <c r="L1148"/>
    </row>
    <row r="1149" spans="1:12" x14ac:dyDescent="0.25">
      <c r="A1149" s="16"/>
      <c r="D1149" s="16"/>
      <c r="F1149" s="16"/>
      <c r="G1149" s="16"/>
      <c r="H1149" s="24"/>
      <c r="I1149" s="24"/>
      <c r="L1149"/>
    </row>
    <row r="1150" spans="1:12" x14ac:dyDescent="0.25">
      <c r="A1150" s="16"/>
      <c r="D1150" s="16"/>
      <c r="F1150" s="16"/>
      <c r="G1150" s="16"/>
      <c r="H1150" s="24"/>
      <c r="I1150" s="24"/>
      <c r="L1150"/>
    </row>
    <row r="1151" spans="1:12" x14ac:dyDescent="0.25">
      <c r="A1151" s="16"/>
      <c r="D1151" s="16"/>
      <c r="F1151" s="16"/>
      <c r="G1151" s="16"/>
      <c r="H1151" s="24"/>
      <c r="I1151" s="24"/>
      <c r="L1151"/>
    </row>
    <row r="1152" spans="1:12" x14ac:dyDescent="0.25">
      <c r="A1152" s="16"/>
      <c r="D1152" s="16"/>
      <c r="F1152" s="16"/>
      <c r="G1152" s="16"/>
      <c r="H1152" s="24"/>
      <c r="I1152" s="24"/>
      <c r="L1152"/>
    </row>
    <row r="1153" spans="1:12" x14ac:dyDescent="0.25">
      <c r="A1153" s="16"/>
      <c r="D1153" s="16"/>
      <c r="F1153" s="16"/>
      <c r="G1153" s="16"/>
      <c r="H1153" s="24"/>
      <c r="I1153" s="24"/>
      <c r="L1153"/>
    </row>
    <row r="1154" spans="1:12" x14ac:dyDescent="0.25">
      <c r="A1154" s="16"/>
      <c r="D1154" s="16"/>
      <c r="F1154" s="16"/>
      <c r="G1154" s="16"/>
      <c r="H1154" s="24"/>
      <c r="I1154" s="24"/>
      <c r="L1154"/>
    </row>
    <row r="1155" spans="1:12" x14ac:dyDescent="0.25">
      <c r="A1155" s="16"/>
      <c r="D1155" s="16"/>
      <c r="F1155" s="16"/>
      <c r="G1155" s="16"/>
      <c r="H1155" s="24"/>
      <c r="I1155" s="24"/>
      <c r="L1155"/>
    </row>
    <row r="1156" spans="1:12" x14ac:dyDescent="0.25">
      <c r="A1156" s="16"/>
      <c r="D1156" s="16"/>
      <c r="F1156" s="16"/>
      <c r="G1156" s="16"/>
      <c r="H1156" s="24"/>
      <c r="I1156" s="24"/>
      <c r="L1156"/>
    </row>
    <row r="1157" spans="1:12" x14ac:dyDescent="0.25">
      <c r="A1157" s="16"/>
      <c r="D1157" s="16"/>
      <c r="F1157" s="16"/>
      <c r="G1157" s="16"/>
      <c r="H1157" s="24"/>
      <c r="I1157" s="24"/>
      <c r="L1157"/>
    </row>
    <row r="1158" spans="1:12" x14ac:dyDescent="0.25">
      <c r="A1158" s="16"/>
      <c r="D1158" s="16"/>
      <c r="F1158" s="16"/>
      <c r="G1158" s="16"/>
      <c r="H1158" s="24"/>
      <c r="I1158" s="24"/>
      <c r="L1158"/>
    </row>
    <row r="1159" spans="1:12" x14ac:dyDescent="0.25">
      <c r="A1159" s="16"/>
      <c r="D1159" s="16"/>
      <c r="F1159" s="16"/>
      <c r="G1159" s="16"/>
      <c r="H1159" s="24"/>
      <c r="I1159" s="24"/>
      <c r="L1159"/>
    </row>
    <row r="1160" spans="1:12" x14ac:dyDescent="0.25">
      <c r="A1160" s="16"/>
      <c r="D1160" s="16"/>
      <c r="F1160" s="16"/>
      <c r="G1160" s="16"/>
      <c r="H1160" s="24"/>
      <c r="I1160" s="24"/>
      <c r="L1160"/>
    </row>
    <row r="1161" spans="1:12" x14ac:dyDescent="0.25">
      <c r="A1161" s="16"/>
      <c r="D1161" s="16"/>
      <c r="F1161" s="16"/>
      <c r="G1161" s="16"/>
      <c r="H1161" s="24"/>
      <c r="I1161" s="24"/>
      <c r="L1161"/>
    </row>
    <row r="1162" spans="1:12" x14ac:dyDescent="0.25">
      <c r="A1162" s="16"/>
      <c r="D1162" s="16"/>
      <c r="F1162" s="16"/>
      <c r="G1162" s="16"/>
      <c r="H1162" s="24"/>
      <c r="I1162" s="24"/>
      <c r="L1162"/>
    </row>
    <row r="1163" spans="1:12" x14ac:dyDescent="0.25">
      <c r="A1163" s="16"/>
      <c r="D1163" s="16"/>
      <c r="F1163" s="16"/>
      <c r="G1163" s="16"/>
      <c r="H1163" s="24"/>
      <c r="I1163" s="24"/>
      <c r="L1163"/>
    </row>
    <row r="1164" spans="1:12" x14ac:dyDescent="0.25">
      <c r="A1164" s="16"/>
      <c r="D1164" s="16"/>
      <c r="F1164" s="16"/>
      <c r="G1164" s="16"/>
      <c r="H1164" s="24"/>
      <c r="I1164" s="24"/>
      <c r="L1164"/>
    </row>
    <row r="1165" spans="1:12" x14ac:dyDescent="0.25">
      <c r="A1165" s="16"/>
      <c r="D1165" s="16"/>
      <c r="F1165" s="16"/>
      <c r="G1165" s="16"/>
      <c r="H1165" s="24"/>
      <c r="I1165" s="24"/>
      <c r="L1165"/>
    </row>
    <row r="1166" spans="1:12" x14ac:dyDescent="0.25">
      <c r="A1166" s="16"/>
      <c r="D1166" s="16"/>
      <c r="F1166" s="16"/>
      <c r="G1166" s="16"/>
      <c r="H1166" s="24"/>
      <c r="I1166" s="24"/>
      <c r="L1166"/>
    </row>
    <row r="1167" spans="1:12" x14ac:dyDescent="0.25">
      <c r="A1167" s="16"/>
      <c r="D1167" s="16"/>
      <c r="F1167" s="16"/>
      <c r="G1167" s="16"/>
      <c r="H1167" s="24"/>
      <c r="I1167" s="24"/>
      <c r="L1167"/>
    </row>
    <row r="1168" spans="1:12" x14ac:dyDescent="0.25">
      <c r="A1168" s="16"/>
      <c r="D1168" s="16"/>
      <c r="F1168" s="16"/>
      <c r="G1168" s="16"/>
      <c r="H1168" s="24"/>
      <c r="I1168" s="24"/>
      <c r="L1168"/>
    </row>
    <row r="1169" spans="1:12" x14ac:dyDescent="0.25">
      <c r="A1169" s="16"/>
      <c r="D1169" s="16"/>
      <c r="F1169" s="16"/>
      <c r="G1169" s="16"/>
      <c r="H1169" s="24"/>
      <c r="I1169" s="24"/>
      <c r="L1169"/>
    </row>
    <row r="1170" spans="1:12" x14ac:dyDescent="0.25">
      <c r="A1170" s="16"/>
      <c r="D1170" s="16"/>
      <c r="F1170" s="16"/>
      <c r="G1170" s="16"/>
      <c r="H1170" s="24"/>
      <c r="I1170" s="24"/>
      <c r="L1170"/>
    </row>
    <row r="1171" spans="1:12" x14ac:dyDescent="0.25">
      <c r="A1171" s="16"/>
      <c r="D1171" s="16"/>
      <c r="F1171" s="16"/>
      <c r="G1171" s="16"/>
      <c r="H1171" s="24"/>
      <c r="I1171" s="24"/>
      <c r="L1171"/>
    </row>
    <row r="1172" spans="1:12" x14ac:dyDescent="0.25">
      <c r="A1172" s="16"/>
      <c r="D1172" s="16"/>
      <c r="F1172" s="16"/>
      <c r="G1172" s="16"/>
      <c r="H1172" s="24"/>
      <c r="I1172" s="24"/>
      <c r="L1172"/>
    </row>
    <row r="1173" spans="1:12" x14ac:dyDescent="0.25">
      <c r="A1173" s="16"/>
      <c r="D1173" s="16"/>
      <c r="F1173" s="16"/>
      <c r="G1173" s="16"/>
      <c r="H1173" s="24"/>
      <c r="I1173" s="24"/>
      <c r="L1173"/>
    </row>
    <row r="1174" spans="1:12" x14ac:dyDescent="0.25">
      <c r="A1174" s="16"/>
      <c r="D1174" s="16"/>
      <c r="F1174" s="16"/>
      <c r="G1174" s="16"/>
      <c r="H1174" s="24"/>
      <c r="I1174" s="24"/>
      <c r="L1174"/>
    </row>
    <row r="1175" spans="1:12" x14ac:dyDescent="0.25">
      <c r="A1175" s="16"/>
      <c r="D1175" s="16"/>
      <c r="F1175" s="16"/>
      <c r="G1175" s="16"/>
      <c r="H1175" s="24"/>
      <c r="I1175" s="24"/>
      <c r="L1175"/>
    </row>
    <row r="1176" spans="1:12" x14ac:dyDescent="0.25">
      <c r="A1176" s="16"/>
      <c r="D1176" s="16"/>
      <c r="F1176" s="16"/>
      <c r="G1176" s="16"/>
      <c r="H1176" s="24"/>
      <c r="I1176" s="24"/>
      <c r="L1176"/>
    </row>
    <row r="1177" spans="1:12" x14ac:dyDescent="0.25">
      <c r="A1177" s="16"/>
      <c r="D1177" s="16"/>
      <c r="F1177" s="16"/>
      <c r="G1177" s="16"/>
      <c r="H1177" s="24"/>
      <c r="I1177" s="24"/>
      <c r="L1177"/>
    </row>
    <row r="1178" spans="1:12" x14ac:dyDescent="0.25">
      <c r="A1178" s="16"/>
      <c r="D1178" s="16"/>
      <c r="F1178" s="16"/>
      <c r="G1178" s="16"/>
      <c r="H1178" s="24"/>
      <c r="I1178" s="24"/>
      <c r="L1178"/>
    </row>
    <row r="1179" spans="1:12" x14ac:dyDescent="0.25">
      <c r="A1179" s="16"/>
      <c r="D1179" s="16"/>
      <c r="F1179" s="16"/>
      <c r="G1179" s="16"/>
      <c r="H1179" s="24"/>
      <c r="I1179" s="24"/>
      <c r="L1179"/>
    </row>
    <row r="1180" spans="1:12" x14ac:dyDescent="0.25">
      <c r="A1180" s="16"/>
      <c r="D1180" s="16"/>
      <c r="F1180" s="16"/>
      <c r="G1180" s="16"/>
      <c r="H1180" s="24"/>
      <c r="I1180" s="24"/>
      <c r="L1180"/>
    </row>
    <row r="1181" spans="1:12" x14ac:dyDescent="0.25">
      <c r="A1181" s="16"/>
      <c r="D1181" s="16"/>
      <c r="F1181" s="16"/>
      <c r="G1181" s="16"/>
      <c r="H1181" s="24"/>
      <c r="I1181" s="24"/>
      <c r="L1181"/>
    </row>
    <row r="1182" spans="1:12" x14ac:dyDescent="0.25">
      <c r="A1182" s="16"/>
      <c r="D1182" s="16"/>
      <c r="F1182" s="16"/>
      <c r="G1182" s="16"/>
      <c r="H1182" s="24"/>
      <c r="I1182" s="24"/>
      <c r="L1182"/>
    </row>
    <row r="1183" spans="1:12" x14ac:dyDescent="0.25">
      <c r="A1183" s="16"/>
      <c r="D1183" s="16"/>
      <c r="F1183" s="16"/>
      <c r="G1183" s="16"/>
      <c r="H1183" s="24"/>
      <c r="I1183" s="24"/>
      <c r="L1183"/>
    </row>
    <row r="1184" spans="1:12" x14ac:dyDescent="0.25">
      <c r="A1184" s="16"/>
      <c r="D1184" s="16"/>
      <c r="F1184" s="16"/>
      <c r="G1184" s="16"/>
      <c r="H1184" s="24"/>
      <c r="I1184" s="24"/>
      <c r="L1184"/>
    </row>
    <row r="1185" spans="1:12" x14ac:dyDescent="0.25">
      <c r="A1185" s="16"/>
      <c r="D1185" s="16"/>
      <c r="F1185" s="16"/>
      <c r="G1185" s="16"/>
      <c r="H1185" s="24"/>
      <c r="I1185" s="24"/>
      <c r="L1185"/>
    </row>
    <row r="1186" spans="1:12" x14ac:dyDescent="0.25">
      <c r="A1186" s="16"/>
      <c r="D1186" s="16"/>
      <c r="F1186" s="16"/>
      <c r="G1186" s="16"/>
      <c r="H1186" s="24"/>
      <c r="I1186" s="24"/>
      <c r="L1186"/>
    </row>
    <row r="1187" spans="1:12" x14ac:dyDescent="0.25">
      <c r="A1187" s="16"/>
      <c r="D1187" s="16"/>
      <c r="F1187" s="16"/>
      <c r="G1187" s="16"/>
      <c r="H1187" s="24"/>
      <c r="I1187" s="24"/>
      <c r="L1187"/>
    </row>
    <row r="1188" spans="1:12" x14ac:dyDescent="0.25">
      <c r="A1188" s="16"/>
      <c r="D1188" s="16"/>
      <c r="F1188" s="16"/>
      <c r="G1188" s="16"/>
      <c r="H1188" s="24"/>
      <c r="I1188" s="24"/>
      <c r="L1188"/>
    </row>
    <row r="1189" spans="1:12" x14ac:dyDescent="0.25">
      <c r="A1189" s="16"/>
      <c r="D1189" s="16"/>
      <c r="F1189" s="16"/>
      <c r="G1189" s="16"/>
      <c r="H1189" s="24"/>
      <c r="I1189" s="24"/>
      <c r="L1189"/>
    </row>
    <row r="1190" spans="1:12" x14ac:dyDescent="0.25">
      <c r="A1190" s="16"/>
      <c r="D1190" s="16"/>
      <c r="F1190" s="16"/>
      <c r="G1190" s="16"/>
      <c r="H1190" s="24"/>
      <c r="I1190" s="24"/>
      <c r="L1190"/>
    </row>
    <row r="1191" spans="1:12" x14ac:dyDescent="0.25">
      <c r="A1191" s="16"/>
      <c r="D1191" s="16"/>
      <c r="F1191" s="16"/>
      <c r="G1191" s="16"/>
      <c r="H1191" s="24"/>
      <c r="I1191" s="24"/>
      <c r="L1191"/>
    </row>
    <row r="1192" spans="1:12" x14ac:dyDescent="0.25">
      <c r="A1192" s="16"/>
      <c r="D1192" s="16"/>
      <c r="F1192" s="16"/>
      <c r="G1192" s="16"/>
      <c r="H1192" s="24"/>
      <c r="I1192" s="24"/>
      <c r="L1192"/>
    </row>
    <row r="1193" spans="1:12" x14ac:dyDescent="0.25">
      <c r="A1193" s="16"/>
      <c r="D1193" s="16"/>
      <c r="F1193" s="16"/>
      <c r="G1193" s="16"/>
      <c r="H1193" s="24"/>
      <c r="I1193" s="24"/>
      <c r="L1193"/>
    </row>
    <row r="1194" spans="1:12" x14ac:dyDescent="0.25">
      <c r="A1194" s="16"/>
      <c r="D1194" s="16"/>
      <c r="F1194" s="16"/>
      <c r="G1194" s="16"/>
      <c r="H1194" s="24"/>
      <c r="I1194" s="24"/>
      <c r="L1194"/>
    </row>
    <row r="1195" spans="1:12" x14ac:dyDescent="0.25">
      <c r="A1195" s="16"/>
      <c r="D1195" s="16"/>
      <c r="F1195" s="16"/>
      <c r="G1195" s="16"/>
      <c r="H1195" s="24"/>
      <c r="I1195" s="24"/>
      <c r="L1195"/>
    </row>
    <row r="1196" spans="1:12" x14ac:dyDescent="0.25">
      <c r="A1196" s="16"/>
      <c r="D1196" s="16"/>
      <c r="F1196" s="16"/>
      <c r="G1196" s="16"/>
      <c r="H1196" s="24"/>
      <c r="I1196" s="24"/>
      <c r="L1196"/>
    </row>
    <row r="1197" spans="1:12" x14ac:dyDescent="0.25">
      <c r="A1197" s="16"/>
      <c r="D1197" s="16"/>
      <c r="F1197" s="16"/>
      <c r="G1197" s="16"/>
      <c r="H1197" s="24"/>
      <c r="I1197" s="24"/>
      <c r="L1197"/>
    </row>
    <row r="1198" spans="1:12" x14ac:dyDescent="0.25">
      <c r="A1198" s="16"/>
      <c r="D1198" s="16"/>
      <c r="F1198" s="16"/>
      <c r="G1198" s="16"/>
      <c r="H1198" s="24"/>
      <c r="I1198" s="24"/>
      <c r="L1198"/>
    </row>
    <row r="1199" spans="1:12" x14ac:dyDescent="0.25">
      <c r="A1199" s="16"/>
      <c r="D1199" s="16"/>
      <c r="F1199" s="16"/>
      <c r="G1199" s="16"/>
      <c r="H1199" s="24"/>
      <c r="I1199" s="24"/>
      <c r="L1199"/>
    </row>
    <row r="1200" spans="1:12" x14ac:dyDescent="0.25">
      <c r="A1200" s="16"/>
      <c r="D1200" s="16"/>
      <c r="F1200" s="16"/>
      <c r="G1200" s="16"/>
      <c r="H1200" s="24"/>
      <c r="I1200" s="24"/>
      <c r="L1200"/>
    </row>
    <row r="1201" spans="1:12" x14ac:dyDescent="0.25">
      <c r="A1201" s="16"/>
      <c r="D1201" s="16"/>
      <c r="F1201" s="16"/>
      <c r="G1201" s="16"/>
      <c r="H1201" s="24"/>
      <c r="I1201" s="24"/>
      <c r="L1201"/>
    </row>
    <row r="1202" spans="1:12" x14ac:dyDescent="0.25">
      <c r="A1202" s="16"/>
      <c r="D1202" s="16"/>
      <c r="F1202" s="16"/>
      <c r="G1202" s="16"/>
      <c r="H1202" s="24"/>
      <c r="I1202" s="24"/>
      <c r="L1202"/>
    </row>
    <row r="1203" spans="1:12" x14ac:dyDescent="0.25">
      <c r="A1203" s="16"/>
      <c r="D1203" s="16"/>
      <c r="F1203" s="16"/>
      <c r="G1203" s="16"/>
      <c r="H1203" s="24"/>
      <c r="I1203" s="24"/>
      <c r="L1203"/>
    </row>
    <row r="1204" spans="1:12" x14ac:dyDescent="0.25">
      <c r="A1204" s="16"/>
      <c r="D1204" s="16"/>
      <c r="F1204" s="16"/>
      <c r="G1204" s="16"/>
      <c r="H1204" s="24"/>
      <c r="I1204" s="24"/>
      <c r="L1204"/>
    </row>
    <row r="1205" spans="1:12" x14ac:dyDescent="0.25">
      <c r="A1205" s="16"/>
      <c r="D1205" s="16"/>
      <c r="F1205" s="16"/>
      <c r="G1205" s="16"/>
      <c r="H1205" s="24"/>
      <c r="I1205" s="24"/>
      <c r="L1205"/>
    </row>
    <row r="1206" spans="1:12" x14ac:dyDescent="0.25">
      <c r="A1206" s="16"/>
      <c r="D1206" s="16"/>
      <c r="F1206" s="16"/>
      <c r="G1206" s="16"/>
      <c r="H1206" s="24"/>
      <c r="I1206" s="24"/>
      <c r="L1206"/>
    </row>
    <row r="1207" spans="1:12" x14ac:dyDescent="0.25">
      <c r="A1207" s="16"/>
      <c r="D1207" s="16"/>
      <c r="F1207" s="16"/>
      <c r="G1207" s="16"/>
      <c r="H1207" s="24"/>
      <c r="I1207" s="24"/>
      <c r="L1207"/>
    </row>
    <row r="1208" spans="1:12" x14ac:dyDescent="0.25">
      <c r="A1208" s="16"/>
      <c r="D1208" s="16"/>
      <c r="F1208" s="16"/>
      <c r="G1208" s="16"/>
      <c r="H1208" s="24"/>
      <c r="I1208" s="24"/>
      <c r="L1208"/>
    </row>
    <row r="1209" spans="1:12" x14ac:dyDescent="0.25">
      <c r="A1209" s="16"/>
      <c r="D1209" s="16"/>
      <c r="F1209" s="16"/>
      <c r="G1209" s="16"/>
      <c r="H1209" s="24"/>
      <c r="I1209" s="24"/>
      <c r="L1209"/>
    </row>
    <row r="1210" spans="1:12" x14ac:dyDescent="0.25">
      <c r="A1210" s="16"/>
      <c r="D1210" s="16"/>
      <c r="F1210" s="16"/>
      <c r="G1210" s="16"/>
      <c r="H1210" s="24"/>
      <c r="I1210" s="24"/>
      <c r="L1210"/>
    </row>
    <row r="1211" spans="1:12" x14ac:dyDescent="0.25">
      <c r="A1211" s="16"/>
      <c r="D1211" s="16"/>
      <c r="F1211" s="16"/>
      <c r="G1211" s="16"/>
      <c r="H1211" s="24"/>
      <c r="I1211" s="24"/>
      <c r="L1211"/>
    </row>
    <row r="1212" spans="1:12" x14ac:dyDescent="0.25">
      <c r="A1212" s="16"/>
      <c r="D1212" s="16"/>
      <c r="F1212" s="16"/>
      <c r="G1212" s="16"/>
      <c r="H1212" s="24"/>
      <c r="I1212" s="24"/>
      <c r="L1212"/>
    </row>
    <row r="1213" spans="1:12" x14ac:dyDescent="0.25">
      <c r="A1213" s="16"/>
      <c r="D1213" s="16"/>
      <c r="F1213" s="16"/>
      <c r="G1213" s="16"/>
      <c r="H1213" s="24"/>
      <c r="I1213" s="24"/>
      <c r="L1213"/>
    </row>
    <row r="1214" spans="1:12" x14ac:dyDescent="0.25">
      <c r="A1214" s="16"/>
      <c r="D1214" s="16"/>
      <c r="F1214" s="16"/>
      <c r="G1214" s="16"/>
      <c r="H1214" s="24"/>
      <c r="I1214" s="24"/>
      <c r="L1214"/>
    </row>
    <row r="1215" spans="1:12" x14ac:dyDescent="0.25">
      <c r="A1215" s="16"/>
      <c r="D1215" s="16"/>
      <c r="F1215" s="16"/>
      <c r="G1215" s="16"/>
      <c r="H1215" s="24"/>
      <c r="I1215" s="24"/>
      <c r="L1215"/>
    </row>
    <row r="1216" spans="1:12" x14ac:dyDescent="0.25">
      <c r="A1216" s="16"/>
      <c r="D1216" s="16"/>
      <c r="F1216" s="16"/>
      <c r="G1216" s="16"/>
      <c r="H1216" s="24"/>
      <c r="I1216" s="24"/>
      <c r="L1216"/>
    </row>
    <row r="1217" spans="1:12" x14ac:dyDescent="0.25">
      <c r="A1217" s="16"/>
      <c r="D1217" s="16"/>
      <c r="F1217" s="16"/>
      <c r="G1217" s="16"/>
      <c r="H1217" s="24"/>
      <c r="I1217" s="24"/>
      <c r="L1217"/>
    </row>
    <row r="1218" spans="1:12" x14ac:dyDescent="0.25">
      <c r="A1218" s="16"/>
      <c r="D1218" s="16"/>
      <c r="F1218" s="16"/>
      <c r="G1218" s="16"/>
      <c r="H1218" s="24"/>
      <c r="I1218" s="24"/>
      <c r="L1218"/>
    </row>
    <row r="1219" spans="1:12" x14ac:dyDescent="0.25">
      <c r="A1219" s="16"/>
      <c r="D1219" s="16"/>
      <c r="F1219" s="16"/>
      <c r="G1219" s="16"/>
      <c r="H1219" s="24"/>
      <c r="I1219" s="24"/>
      <c r="L1219"/>
    </row>
    <row r="1220" spans="1:12" x14ac:dyDescent="0.25">
      <c r="A1220" s="16"/>
      <c r="D1220" s="16"/>
      <c r="F1220" s="16"/>
      <c r="G1220" s="16"/>
      <c r="H1220" s="24"/>
      <c r="I1220" s="24"/>
      <c r="L1220"/>
    </row>
    <row r="1221" spans="1:12" x14ac:dyDescent="0.25">
      <c r="A1221" s="16"/>
      <c r="D1221" s="16"/>
      <c r="F1221" s="16"/>
      <c r="G1221" s="16"/>
      <c r="H1221" s="24"/>
      <c r="I1221" s="24"/>
      <c r="L1221"/>
    </row>
    <row r="1222" spans="1:12" x14ac:dyDescent="0.25">
      <c r="A1222" s="16"/>
      <c r="D1222" s="16"/>
      <c r="F1222" s="16"/>
      <c r="G1222" s="16"/>
      <c r="H1222" s="24"/>
      <c r="I1222" s="24"/>
      <c r="L1222"/>
    </row>
    <row r="1223" spans="1:12" x14ac:dyDescent="0.25">
      <c r="A1223" s="16"/>
      <c r="D1223" s="16"/>
      <c r="F1223" s="16"/>
      <c r="G1223" s="16"/>
      <c r="H1223" s="24"/>
      <c r="I1223" s="24"/>
      <c r="L1223"/>
    </row>
    <row r="1224" spans="1:12" x14ac:dyDescent="0.25">
      <c r="A1224" s="16"/>
      <c r="D1224" s="16"/>
      <c r="F1224" s="16"/>
      <c r="G1224" s="16"/>
      <c r="H1224" s="24"/>
      <c r="I1224" s="24"/>
      <c r="L1224"/>
    </row>
    <row r="1225" spans="1:12" x14ac:dyDescent="0.25">
      <c r="A1225" s="16"/>
      <c r="D1225" s="16"/>
      <c r="F1225" s="16"/>
      <c r="G1225" s="16"/>
      <c r="H1225" s="24"/>
      <c r="I1225" s="24"/>
      <c r="L1225"/>
    </row>
    <row r="1226" spans="1:12" x14ac:dyDescent="0.25">
      <c r="A1226" s="16"/>
      <c r="D1226" s="16"/>
      <c r="F1226" s="16"/>
      <c r="G1226" s="16"/>
      <c r="H1226" s="24"/>
      <c r="I1226" s="24"/>
      <c r="L1226"/>
    </row>
    <row r="1227" spans="1:12" x14ac:dyDescent="0.25">
      <c r="A1227" s="16"/>
      <c r="D1227" s="16"/>
      <c r="F1227" s="16"/>
      <c r="G1227" s="16"/>
      <c r="H1227" s="24"/>
      <c r="I1227" s="24"/>
      <c r="L1227"/>
    </row>
    <row r="1228" spans="1:12" x14ac:dyDescent="0.25">
      <c r="A1228" s="16"/>
      <c r="D1228" s="16"/>
      <c r="F1228" s="16"/>
      <c r="G1228" s="16"/>
      <c r="H1228" s="24"/>
      <c r="I1228" s="24"/>
      <c r="L1228"/>
    </row>
    <row r="1229" spans="1:12" x14ac:dyDescent="0.25">
      <c r="A1229" s="16"/>
      <c r="D1229" s="16"/>
      <c r="F1229" s="16"/>
      <c r="G1229" s="16"/>
      <c r="H1229" s="24"/>
      <c r="I1229" s="24"/>
      <c r="L1229"/>
    </row>
    <row r="1230" spans="1:12" x14ac:dyDescent="0.25">
      <c r="A1230" s="16"/>
      <c r="D1230" s="16"/>
      <c r="F1230" s="16"/>
      <c r="G1230" s="16"/>
      <c r="H1230" s="24"/>
      <c r="I1230" s="24"/>
      <c r="L1230"/>
    </row>
    <row r="1231" spans="1:12" x14ac:dyDescent="0.25">
      <c r="A1231" s="16"/>
      <c r="D1231" s="16"/>
      <c r="F1231" s="16"/>
      <c r="G1231" s="16"/>
      <c r="H1231" s="24"/>
      <c r="I1231" s="24"/>
      <c r="L1231"/>
    </row>
    <row r="1232" spans="1:12" x14ac:dyDescent="0.25">
      <c r="A1232" s="16"/>
      <c r="D1232" s="16"/>
      <c r="F1232" s="16"/>
      <c r="G1232" s="16"/>
      <c r="H1232" s="24"/>
      <c r="I1232" s="24"/>
      <c r="L1232"/>
    </row>
    <row r="1233" spans="1:12" x14ac:dyDescent="0.25">
      <c r="A1233" s="16"/>
      <c r="D1233" s="16"/>
      <c r="F1233" s="16"/>
      <c r="G1233" s="16"/>
      <c r="H1233" s="24"/>
      <c r="I1233" s="24"/>
      <c r="L1233"/>
    </row>
    <row r="1234" spans="1:12" x14ac:dyDescent="0.25">
      <c r="A1234" s="16"/>
      <c r="D1234" s="16"/>
      <c r="F1234" s="16"/>
      <c r="G1234" s="16"/>
      <c r="H1234" s="24"/>
      <c r="I1234" s="24"/>
      <c r="L1234"/>
    </row>
    <row r="1235" spans="1:12" x14ac:dyDescent="0.25">
      <c r="A1235" s="16"/>
      <c r="D1235" s="16"/>
      <c r="F1235" s="16"/>
      <c r="G1235" s="16"/>
      <c r="H1235" s="24"/>
      <c r="I1235" s="24"/>
      <c r="L1235"/>
    </row>
    <row r="1236" spans="1:12" x14ac:dyDescent="0.25">
      <c r="A1236" s="16"/>
      <c r="D1236" s="16"/>
      <c r="F1236" s="16"/>
      <c r="G1236" s="16"/>
      <c r="H1236" s="24"/>
      <c r="I1236" s="24"/>
      <c r="L1236"/>
    </row>
    <row r="1237" spans="1:12" x14ac:dyDescent="0.25">
      <c r="A1237" s="16"/>
      <c r="D1237" s="16"/>
      <c r="F1237" s="16"/>
      <c r="G1237" s="16"/>
      <c r="H1237" s="24"/>
      <c r="I1237" s="24"/>
      <c r="L1237"/>
    </row>
    <row r="1238" spans="1:12" x14ac:dyDescent="0.25">
      <c r="A1238" s="16"/>
      <c r="D1238" s="16"/>
      <c r="F1238" s="16"/>
      <c r="G1238" s="16"/>
      <c r="H1238" s="24"/>
      <c r="I1238" s="24"/>
      <c r="L1238"/>
    </row>
    <row r="1239" spans="1:12" x14ac:dyDescent="0.25">
      <c r="A1239" s="16"/>
      <c r="D1239" s="16"/>
      <c r="F1239" s="16"/>
      <c r="G1239" s="16"/>
      <c r="H1239" s="24"/>
      <c r="I1239" s="24"/>
      <c r="L1239"/>
    </row>
    <row r="1240" spans="1:12" x14ac:dyDescent="0.25">
      <c r="A1240" s="16"/>
      <c r="D1240" s="16"/>
      <c r="F1240" s="16"/>
      <c r="G1240" s="16"/>
      <c r="H1240" s="24"/>
      <c r="I1240" s="24"/>
      <c r="L1240"/>
    </row>
    <row r="1241" spans="1:12" x14ac:dyDescent="0.25">
      <c r="A1241" s="16"/>
      <c r="D1241" s="16"/>
      <c r="F1241" s="16"/>
      <c r="G1241" s="16"/>
      <c r="H1241" s="24"/>
      <c r="I1241" s="24"/>
      <c r="L1241"/>
    </row>
    <row r="1242" spans="1:12" x14ac:dyDescent="0.25">
      <c r="A1242" s="16"/>
      <c r="D1242" s="16"/>
      <c r="F1242" s="16"/>
      <c r="G1242" s="16"/>
      <c r="H1242" s="24"/>
      <c r="I1242" s="24"/>
      <c r="L1242"/>
    </row>
    <row r="1243" spans="1:12" x14ac:dyDescent="0.25">
      <c r="A1243" s="16"/>
      <c r="D1243" s="16"/>
      <c r="F1243" s="16"/>
      <c r="G1243" s="16"/>
      <c r="H1243" s="24"/>
      <c r="I1243" s="24"/>
      <c r="L1243"/>
    </row>
    <row r="1244" spans="1:12" x14ac:dyDescent="0.25">
      <c r="A1244" s="16"/>
      <c r="D1244" s="16"/>
      <c r="F1244" s="16"/>
      <c r="G1244" s="16"/>
      <c r="H1244" s="24"/>
      <c r="I1244" s="24"/>
      <c r="L1244"/>
    </row>
    <row r="1245" spans="1:12" x14ac:dyDescent="0.25">
      <c r="A1245" s="16"/>
      <c r="D1245" s="16"/>
      <c r="F1245" s="16"/>
      <c r="G1245" s="16"/>
      <c r="H1245" s="24"/>
      <c r="I1245" s="24"/>
      <c r="L1245"/>
    </row>
    <row r="1246" spans="1:12" x14ac:dyDescent="0.25">
      <c r="A1246" s="16"/>
      <c r="D1246" s="16"/>
      <c r="F1246" s="16"/>
      <c r="G1246" s="16"/>
      <c r="H1246" s="24"/>
      <c r="I1246" s="24"/>
      <c r="L1246"/>
    </row>
    <row r="1247" spans="1:12" x14ac:dyDescent="0.25">
      <c r="A1247" s="16"/>
      <c r="D1247" s="16"/>
      <c r="F1247" s="16"/>
      <c r="G1247" s="16"/>
      <c r="H1247" s="24"/>
      <c r="I1247" s="24"/>
      <c r="L1247"/>
    </row>
    <row r="1248" spans="1:12" x14ac:dyDescent="0.25">
      <c r="A1248" s="16"/>
      <c r="D1248" s="16"/>
      <c r="F1248" s="16"/>
      <c r="G1248" s="16"/>
      <c r="H1248" s="24"/>
      <c r="I1248" s="24"/>
      <c r="L1248"/>
    </row>
    <row r="1249" spans="1:12" x14ac:dyDescent="0.25">
      <c r="A1249" s="16"/>
      <c r="D1249" s="16"/>
      <c r="F1249" s="16"/>
      <c r="G1249" s="16"/>
      <c r="H1249" s="24"/>
      <c r="I1249" s="24"/>
      <c r="L1249"/>
    </row>
    <row r="1250" spans="1:12" x14ac:dyDescent="0.25">
      <c r="A1250" s="16"/>
      <c r="D1250" s="16"/>
      <c r="F1250" s="16"/>
      <c r="G1250" s="16"/>
      <c r="H1250" s="24"/>
      <c r="I1250" s="24"/>
      <c r="L1250"/>
    </row>
    <row r="1251" spans="1:12" x14ac:dyDescent="0.25">
      <c r="A1251" s="16"/>
      <c r="D1251" s="16"/>
      <c r="F1251" s="16"/>
      <c r="G1251" s="16"/>
      <c r="H1251" s="24"/>
      <c r="I1251" s="24"/>
      <c r="L1251"/>
    </row>
    <row r="1252" spans="1:12" x14ac:dyDescent="0.25">
      <c r="A1252" s="16"/>
      <c r="D1252" s="16"/>
      <c r="F1252" s="16"/>
      <c r="G1252" s="16"/>
      <c r="H1252" s="24"/>
      <c r="I1252" s="24"/>
      <c r="L1252"/>
    </row>
    <row r="1253" spans="1:12" x14ac:dyDescent="0.25">
      <c r="A1253" s="16"/>
      <c r="D1253" s="16"/>
      <c r="F1253" s="16"/>
      <c r="G1253" s="16"/>
      <c r="H1253" s="24"/>
      <c r="I1253" s="24"/>
      <c r="L1253"/>
    </row>
    <row r="1254" spans="1:12" x14ac:dyDescent="0.25">
      <c r="A1254" s="16"/>
      <c r="D1254" s="16"/>
      <c r="F1254" s="16"/>
      <c r="G1254" s="16"/>
      <c r="H1254" s="24"/>
      <c r="I1254" s="24"/>
      <c r="L1254"/>
    </row>
    <row r="1255" spans="1:12" x14ac:dyDescent="0.25">
      <c r="A1255" s="16"/>
      <c r="D1255" s="16"/>
      <c r="F1255" s="16"/>
      <c r="G1255" s="16"/>
      <c r="H1255" s="24"/>
      <c r="I1255" s="24"/>
      <c r="L1255"/>
    </row>
    <row r="1256" spans="1:12" x14ac:dyDescent="0.25">
      <c r="A1256" s="16"/>
      <c r="D1256" s="16"/>
      <c r="F1256" s="16"/>
      <c r="G1256" s="16"/>
      <c r="H1256" s="24"/>
      <c r="I1256" s="24"/>
      <c r="L1256"/>
    </row>
    <row r="1257" spans="1:12" x14ac:dyDescent="0.25">
      <c r="A1257" s="16"/>
      <c r="D1257" s="16"/>
      <c r="F1257" s="16"/>
      <c r="G1257" s="16"/>
      <c r="H1257" s="24"/>
      <c r="I1257" s="24"/>
      <c r="L1257"/>
    </row>
    <row r="1258" spans="1:12" x14ac:dyDescent="0.25">
      <c r="A1258" s="16"/>
      <c r="D1258" s="16"/>
      <c r="F1258" s="16"/>
      <c r="G1258" s="16"/>
      <c r="H1258" s="24"/>
      <c r="I1258" s="24"/>
      <c r="L1258"/>
    </row>
    <row r="1259" spans="1:12" x14ac:dyDescent="0.25">
      <c r="A1259" s="16"/>
      <c r="D1259" s="16"/>
      <c r="F1259" s="16"/>
      <c r="G1259" s="16"/>
      <c r="H1259" s="24"/>
      <c r="I1259" s="24"/>
      <c r="L1259"/>
    </row>
    <row r="1260" spans="1:12" x14ac:dyDescent="0.25">
      <c r="A1260" s="16"/>
      <c r="D1260" s="16"/>
      <c r="F1260" s="16"/>
      <c r="G1260" s="16"/>
      <c r="H1260" s="24"/>
      <c r="I1260" s="24"/>
      <c r="L1260"/>
    </row>
    <row r="1261" spans="1:12" x14ac:dyDescent="0.25">
      <c r="A1261" s="16"/>
      <c r="D1261" s="16"/>
      <c r="F1261" s="16"/>
      <c r="G1261" s="16"/>
      <c r="H1261" s="24"/>
      <c r="I1261" s="24"/>
      <c r="L1261"/>
    </row>
    <row r="1262" spans="1:12" x14ac:dyDescent="0.25">
      <c r="A1262" s="16"/>
      <c r="D1262" s="16"/>
      <c r="F1262" s="16"/>
      <c r="G1262" s="16"/>
      <c r="H1262" s="24"/>
      <c r="I1262" s="24"/>
      <c r="L1262"/>
    </row>
    <row r="1263" spans="1:12" x14ac:dyDescent="0.25">
      <c r="A1263" s="16"/>
      <c r="D1263" s="16"/>
      <c r="F1263" s="16"/>
      <c r="G1263" s="16"/>
      <c r="H1263" s="24"/>
      <c r="I1263" s="24"/>
      <c r="L1263"/>
    </row>
    <row r="1264" spans="1:12" x14ac:dyDescent="0.25">
      <c r="A1264" s="16"/>
      <c r="D1264" s="16"/>
      <c r="F1264" s="16"/>
      <c r="G1264" s="16"/>
      <c r="H1264" s="24"/>
      <c r="I1264" s="24"/>
      <c r="L1264"/>
    </row>
    <row r="1265" spans="1:12" x14ac:dyDescent="0.25">
      <c r="A1265" s="16"/>
      <c r="D1265" s="16"/>
      <c r="F1265" s="16"/>
      <c r="G1265" s="16"/>
      <c r="H1265" s="24"/>
      <c r="I1265" s="24"/>
      <c r="L1265"/>
    </row>
    <row r="1266" spans="1:12" x14ac:dyDescent="0.25">
      <c r="A1266" s="16"/>
      <c r="D1266" s="16"/>
      <c r="F1266" s="16"/>
      <c r="G1266" s="16"/>
      <c r="H1266" s="24"/>
      <c r="I1266" s="24"/>
      <c r="L1266"/>
    </row>
    <row r="1267" spans="1:12" x14ac:dyDescent="0.25">
      <c r="A1267" s="16"/>
      <c r="D1267" s="16"/>
      <c r="F1267" s="16"/>
      <c r="G1267" s="16"/>
      <c r="H1267" s="24"/>
      <c r="I1267" s="24"/>
      <c r="L1267"/>
    </row>
    <row r="1268" spans="1:12" x14ac:dyDescent="0.25">
      <c r="A1268" s="16"/>
      <c r="D1268" s="16"/>
      <c r="F1268" s="16"/>
      <c r="G1268" s="16"/>
      <c r="H1268" s="24"/>
      <c r="I1268" s="24"/>
      <c r="L1268"/>
    </row>
    <row r="1269" spans="1:12" x14ac:dyDescent="0.25">
      <c r="A1269" s="16"/>
      <c r="D1269" s="16"/>
      <c r="F1269" s="16"/>
      <c r="G1269" s="16"/>
      <c r="H1269" s="24"/>
      <c r="I1269" s="24"/>
      <c r="L1269"/>
    </row>
    <row r="1270" spans="1:12" x14ac:dyDescent="0.25">
      <c r="A1270" s="16"/>
      <c r="D1270" s="16"/>
      <c r="F1270" s="16"/>
      <c r="G1270" s="16"/>
      <c r="H1270" s="24"/>
      <c r="I1270" s="24"/>
      <c r="L1270"/>
    </row>
    <row r="1271" spans="1:12" x14ac:dyDescent="0.25">
      <c r="A1271" s="16"/>
      <c r="D1271" s="16"/>
      <c r="F1271" s="16"/>
      <c r="G1271" s="16"/>
      <c r="H1271" s="24"/>
      <c r="I1271" s="24"/>
      <c r="L1271"/>
    </row>
    <row r="1272" spans="1:12" x14ac:dyDescent="0.25">
      <c r="A1272" s="16"/>
      <c r="D1272" s="16"/>
      <c r="F1272" s="16"/>
      <c r="G1272" s="16"/>
      <c r="H1272" s="24"/>
      <c r="I1272" s="24"/>
      <c r="L1272"/>
    </row>
    <row r="1273" spans="1:12" x14ac:dyDescent="0.25">
      <c r="A1273" s="16"/>
      <c r="D1273" s="16"/>
      <c r="F1273" s="16"/>
      <c r="G1273" s="16"/>
      <c r="H1273" s="24"/>
      <c r="I1273" s="24"/>
      <c r="L1273"/>
    </row>
    <row r="1274" spans="1:12" x14ac:dyDescent="0.25">
      <c r="A1274" s="16"/>
      <c r="D1274" s="16"/>
      <c r="F1274" s="16"/>
      <c r="G1274" s="16"/>
      <c r="H1274" s="24"/>
      <c r="I1274" s="24"/>
      <c r="L1274"/>
    </row>
    <row r="1275" spans="1:12" x14ac:dyDescent="0.25">
      <c r="A1275" s="16"/>
      <c r="D1275" s="16"/>
      <c r="F1275" s="16"/>
      <c r="G1275" s="16"/>
      <c r="H1275" s="24"/>
      <c r="I1275" s="24"/>
      <c r="L1275"/>
    </row>
    <row r="1276" spans="1:12" x14ac:dyDescent="0.25">
      <c r="A1276" s="16"/>
      <c r="D1276" s="16"/>
      <c r="F1276" s="16"/>
      <c r="G1276" s="16"/>
      <c r="H1276" s="24"/>
      <c r="I1276" s="24"/>
      <c r="L1276"/>
    </row>
    <row r="1277" spans="1:12" x14ac:dyDescent="0.25">
      <c r="A1277" s="16"/>
      <c r="D1277" s="16"/>
      <c r="F1277" s="16"/>
      <c r="G1277" s="16"/>
      <c r="H1277" s="24"/>
      <c r="I1277" s="24"/>
      <c r="L1277"/>
    </row>
    <row r="1278" spans="1:12" x14ac:dyDescent="0.25">
      <c r="A1278" s="16"/>
      <c r="D1278" s="16"/>
      <c r="F1278" s="16"/>
      <c r="G1278" s="16"/>
      <c r="H1278" s="24"/>
      <c r="I1278" s="24"/>
      <c r="L1278"/>
    </row>
    <row r="1279" spans="1:12" x14ac:dyDescent="0.25">
      <c r="A1279" s="16"/>
      <c r="D1279" s="16"/>
      <c r="F1279" s="16"/>
      <c r="G1279" s="16"/>
      <c r="H1279" s="24"/>
      <c r="I1279" s="24"/>
      <c r="L1279"/>
    </row>
    <row r="1280" spans="1:12" x14ac:dyDescent="0.25">
      <c r="A1280" s="16"/>
      <c r="D1280" s="16"/>
      <c r="F1280" s="16"/>
      <c r="G1280" s="16"/>
      <c r="H1280" s="24"/>
      <c r="I1280" s="24"/>
      <c r="L1280"/>
    </row>
    <row r="1281" spans="1:12" x14ac:dyDescent="0.25">
      <c r="A1281" s="16"/>
      <c r="D1281" s="16"/>
      <c r="F1281" s="16"/>
      <c r="G1281" s="16"/>
      <c r="H1281" s="24"/>
      <c r="I1281" s="24"/>
      <c r="L1281"/>
    </row>
    <row r="1282" spans="1:12" x14ac:dyDescent="0.25">
      <c r="A1282" s="16"/>
      <c r="D1282" s="16"/>
      <c r="F1282" s="16"/>
      <c r="G1282" s="16"/>
      <c r="H1282" s="24"/>
      <c r="I1282" s="24"/>
      <c r="L1282"/>
    </row>
    <row r="1283" spans="1:12" x14ac:dyDescent="0.25">
      <c r="A1283" s="16"/>
      <c r="D1283" s="16"/>
      <c r="F1283" s="16"/>
      <c r="G1283" s="16"/>
      <c r="H1283" s="24"/>
      <c r="I1283" s="24"/>
      <c r="L1283"/>
    </row>
    <row r="1284" spans="1:12" x14ac:dyDescent="0.25">
      <c r="A1284" s="16"/>
      <c r="D1284" s="16"/>
      <c r="F1284" s="16"/>
      <c r="G1284" s="16"/>
      <c r="H1284" s="24"/>
      <c r="I1284" s="24"/>
      <c r="L1284"/>
    </row>
    <row r="1285" spans="1:12" x14ac:dyDescent="0.25">
      <c r="A1285" s="16"/>
      <c r="D1285" s="16"/>
      <c r="F1285" s="16"/>
      <c r="G1285" s="16"/>
      <c r="H1285" s="24"/>
      <c r="I1285" s="24"/>
      <c r="L1285"/>
    </row>
    <row r="1286" spans="1:12" x14ac:dyDescent="0.25">
      <c r="A1286" s="16"/>
      <c r="D1286" s="16"/>
      <c r="F1286" s="16"/>
      <c r="G1286" s="16"/>
      <c r="H1286" s="24"/>
      <c r="I1286" s="24"/>
      <c r="L1286"/>
    </row>
    <row r="1287" spans="1:12" x14ac:dyDescent="0.25">
      <c r="A1287" s="16"/>
      <c r="D1287" s="16"/>
      <c r="F1287" s="16"/>
      <c r="G1287" s="16"/>
      <c r="H1287" s="24"/>
      <c r="I1287" s="24"/>
      <c r="L1287"/>
    </row>
    <row r="1288" spans="1:12" x14ac:dyDescent="0.25">
      <c r="A1288" s="16"/>
      <c r="D1288" s="16"/>
      <c r="F1288" s="16"/>
      <c r="G1288" s="16"/>
      <c r="H1288" s="24"/>
      <c r="I1288" s="24"/>
      <c r="L1288"/>
    </row>
    <row r="1289" spans="1:12" x14ac:dyDescent="0.25">
      <c r="A1289" s="16"/>
      <c r="D1289" s="16"/>
      <c r="F1289" s="16"/>
      <c r="G1289" s="16"/>
      <c r="H1289" s="24"/>
      <c r="I1289" s="24"/>
      <c r="L1289"/>
    </row>
    <row r="1290" spans="1:12" x14ac:dyDescent="0.25">
      <c r="A1290" s="16"/>
      <c r="D1290" s="16"/>
      <c r="F1290" s="16"/>
      <c r="G1290" s="16"/>
      <c r="H1290" s="24"/>
      <c r="I1290" s="24"/>
      <c r="L1290"/>
    </row>
    <row r="1291" spans="1:12" x14ac:dyDescent="0.25">
      <c r="A1291" s="16"/>
      <c r="D1291" s="16"/>
      <c r="F1291" s="16"/>
      <c r="G1291" s="16"/>
      <c r="H1291" s="24"/>
      <c r="I1291" s="24"/>
      <c r="L1291"/>
    </row>
    <row r="1292" spans="1:12" x14ac:dyDescent="0.25">
      <c r="A1292" s="16"/>
      <c r="D1292" s="16"/>
      <c r="F1292" s="16"/>
      <c r="G1292" s="16"/>
      <c r="H1292" s="24"/>
      <c r="I1292" s="24"/>
      <c r="L1292"/>
    </row>
    <row r="1293" spans="1:12" x14ac:dyDescent="0.25">
      <c r="A1293" s="16"/>
      <c r="D1293" s="16"/>
      <c r="F1293" s="16"/>
      <c r="G1293" s="16"/>
      <c r="H1293" s="24"/>
      <c r="I1293" s="24"/>
      <c r="L1293"/>
    </row>
    <row r="1294" spans="1:12" x14ac:dyDescent="0.25">
      <c r="A1294" s="16"/>
      <c r="D1294" s="16"/>
      <c r="F1294" s="16"/>
      <c r="G1294" s="16"/>
      <c r="H1294" s="24"/>
      <c r="I1294" s="24"/>
      <c r="L1294"/>
    </row>
    <row r="1295" spans="1:12" x14ac:dyDescent="0.25">
      <c r="A1295" s="16"/>
      <c r="D1295" s="16"/>
      <c r="F1295" s="16"/>
      <c r="G1295" s="16"/>
      <c r="H1295" s="24"/>
      <c r="I1295" s="24"/>
      <c r="L1295"/>
    </row>
    <row r="1296" spans="1:12" x14ac:dyDescent="0.25">
      <c r="A1296" s="16"/>
      <c r="D1296" s="16"/>
      <c r="F1296" s="16"/>
      <c r="G1296" s="16"/>
      <c r="H1296" s="24"/>
      <c r="I1296" s="24"/>
      <c r="L1296"/>
    </row>
    <row r="1297" spans="1:12" x14ac:dyDescent="0.25">
      <c r="A1297" s="16"/>
      <c r="D1297" s="16"/>
      <c r="F1297" s="16"/>
      <c r="G1297" s="16"/>
      <c r="H1297" s="24"/>
      <c r="I1297" s="24"/>
      <c r="L1297"/>
    </row>
    <row r="1298" spans="1:12" x14ac:dyDescent="0.25">
      <c r="A1298" s="16"/>
      <c r="D1298" s="16"/>
      <c r="F1298" s="16"/>
      <c r="G1298" s="16"/>
      <c r="H1298" s="24"/>
      <c r="I1298" s="24"/>
      <c r="L1298"/>
    </row>
    <row r="1299" spans="1:12" x14ac:dyDescent="0.25">
      <c r="A1299" s="16"/>
      <c r="D1299" s="16"/>
      <c r="F1299" s="16"/>
      <c r="G1299" s="16"/>
      <c r="H1299" s="24"/>
      <c r="I1299" s="24"/>
      <c r="L1299"/>
    </row>
    <row r="1300" spans="1:12" x14ac:dyDescent="0.25">
      <c r="A1300" s="16"/>
      <c r="D1300" s="16"/>
      <c r="F1300" s="16"/>
      <c r="G1300" s="16"/>
      <c r="H1300" s="24"/>
      <c r="I1300" s="24"/>
      <c r="L1300"/>
    </row>
    <row r="1301" spans="1:12" x14ac:dyDescent="0.25">
      <c r="A1301" s="16"/>
      <c r="D1301" s="16"/>
      <c r="F1301" s="16"/>
      <c r="G1301" s="16"/>
      <c r="H1301" s="24"/>
      <c r="I1301" s="24"/>
      <c r="L1301"/>
    </row>
    <row r="1302" spans="1:12" x14ac:dyDescent="0.25">
      <c r="A1302" s="16"/>
      <c r="D1302" s="16"/>
      <c r="F1302" s="16"/>
      <c r="G1302" s="16"/>
      <c r="H1302" s="24"/>
      <c r="I1302" s="24"/>
      <c r="L1302"/>
    </row>
    <row r="1303" spans="1:12" x14ac:dyDescent="0.25">
      <c r="A1303" s="16"/>
      <c r="D1303" s="16"/>
      <c r="F1303" s="16"/>
      <c r="G1303" s="16"/>
      <c r="H1303" s="24"/>
      <c r="I1303" s="24"/>
      <c r="L1303"/>
    </row>
    <row r="1304" spans="1:12" x14ac:dyDescent="0.25">
      <c r="A1304" s="16"/>
      <c r="D1304" s="16"/>
      <c r="F1304" s="16"/>
      <c r="G1304" s="16"/>
      <c r="H1304" s="24"/>
      <c r="I1304" s="24"/>
      <c r="L1304"/>
    </row>
    <row r="1305" spans="1:12" x14ac:dyDescent="0.25">
      <c r="A1305" s="16"/>
      <c r="D1305" s="16"/>
      <c r="F1305" s="16"/>
      <c r="G1305" s="16"/>
      <c r="H1305" s="24"/>
      <c r="I1305" s="24"/>
      <c r="L1305"/>
    </row>
    <row r="1306" spans="1:12" x14ac:dyDescent="0.25">
      <c r="A1306" s="16"/>
      <c r="D1306" s="16"/>
      <c r="F1306" s="16"/>
      <c r="G1306" s="16"/>
      <c r="H1306" s="24"/>
      <c r="I1306" s="24"/>
      <c r="L1306"/>
    </row>
    <row r="1307" spans="1:12" x14ac:dyDescent="0.25">
      <c r="A1307" s="16"/>
      <c r="D1307" s="16"/>
      <c r="F1307" s="16"/>
      <c r="G1307" s="16"/>
      <c r="H1307" s="24"/>
      <c r="I1307" s="24"/>
      <c r="L1307"/>
    </row>
    <row r="1308" spans="1:12" x14ac:dyDescent="0.25">
      <c r="A1308" s="16"/>
      <c r="D1308" s="16"/>
      <c r="F1308" s="16"/>
      <c r="G1308" s="16"/>
      <c r="H1308" s="24"/>
      <c r="I1308" s="24"/>
      <c r="L1308"/>
    </row>
    <row r="1309" spans="1:12" x14ac:dyDescent="0.25">
      <c r="A1309" s="16"/>
      <c r="D1309" s="16"/>
      <c r="F1309" s="16"/>
      <c r="G1309" s="16"/>
      <c r="H1309" s="24"/>
      <c r="I1309" s="24"/>
      <c r="L1309"/>
    </row>
    <row r="1310" spans="1:12" x14ac:dyDescent="0.25">
      <c r="A1310" s="16"/>
      <c r="D1310" s="16"/>
      <c r="F1310" s="16"/>
      <c r="G1310" s="16"/>
      <c r="H1310" s="24"/>
      <c r="I1310" s="24"/>
      <c r="L1310"/>
    </row>
    <row r="1311" spans="1:12" x14ac:dyDescent="0.25">
      <c r="A1311" s="16"/>
      <c r="D1311" s="16"/>
      <c r="F1311" s="16"/>
      <c r="G1311" s="16"/>
      <c r="H1311" s="24"/>
      <c r="I1311" s="24"/>
      <c r="L1311"/>
    </row>
    <row r="1312" spans="1:12" x14ac:dyDescent="0.25">
      <c r="A1312" s="16"/>
      <c r="D1312" s="16"/>
      <c r="F1312" s="16"/>
      <c r="G1312" s="16"/>
      <c r="H1312" s="24"/>
      <c r="I1312" s="24"/>
      <c r="L1312"/>
    </row>
    <row r="1313" spans="1:12" x14ac:dyDescent="0.25">
      <c r="A1313" s="16"/>
      <c r="D1313" s="16"/>
      <c r="F1313" s="16"/>
      <c r="G1313" s="16"/>
      <c r="H1313" s="24"/>
      <c r="I1313" s="24"/>
      <c r="L1313"/>
    </row>
    <row r="1314" spans="1:12" x14ac:dyDescent="0.25">
      <c r="A1314" s="16"/>
      <c r="D1314" s="16"/>
      <c r="F1314" s="16"/>
      <c r="G1314" s="16"/>
      <c r="H1314" s="24"/>
      <c r="I1314" s="24"/>
      <c r="L1314"/>
    </row>
    <row r="1315" spans="1:12" x14ac:dyDescent="0.25">
      <c r="A1315" s="16"/>
      <c r="D1315" s="16"/>
      <c r="F1315" s="16"/>
      <c r="G1315" s="16"/>
      <c r="H1315" s="24"/>
      <c r="I1315" s="24"/>
      <c r="L1315"/>
    </row>
    <row r="1316" spans="1:12" x14ac:dyDescent="0.25">
      <c r="A1316" s="16"/>
      <c r="D1316" s="16"/>
      <c r="F1316" s="16"/>
      <c r="G1316" s="16"/>
      <c r="H1316" s="24"/>
      <c r="I1316" s="24"/>
      <c r="L1316"/>
    </row>
    <row r="1317" spans="1:12" x14ac:dyDescent="0.25">
      <c r="A1317" s="16"/>
      <c r="D1317" s="16"/>
      <c r="F1317" s="16"/>
      <c r="G1317" s="16"/>
      <c r="H1317" s="24"/>
      <c r="I1317" s="24"/>
      <c r="L1317"/>
    </row>
    <row r="1318" spans="1:12" x14ac:dyDescent="0.25">
      <c r="A1318" s="16"/>
      <c r="D1318" s="16"/>
      <c r="F1318" s="16"/>
      <c r="G1318" s="16"/>
      <c r="H1318" s="24"/>
      <c r="I1318" s="24"/>
      <c r="L1318"/>
    </row>
    <row r="1319" spans="1:12" x14ac:dyDescent="0.25">
      <c r="A1319" s="16"/>
      <c r="D1319" s="16"/>
      <c r="F1319" s="16"/>
      <c r="G1319" s="16"/>
      <c r="H1319" s="24"/>
      <c r="I1319" s="24"/>
      <c r="L1319"/>
    </row>
    <row r="1320" spans="1:12" x14ac:dyDescent="0.25">
      <c r="A1320" s="16"/>
      <c r="D1320" s="16"/>
      <c r="F1320" s="16"/>
      <c r="G1320" s="16"/>
      <c r="H1320" s="24"/>
      <c r="I1320" s="24"/>
      <c r="L1320"/>
    </row>
    <row r="1321" spans="1:12" x14ac:dyDescent="0.25">
      <c r="A1321" s="16"/>
      <c r="D1321" s="16"/>
      <c r="F1321" s="16"/>
      <c r="G1321" s="16"/>
      <c r="H1321" s="24"/>
      <c r="I1321" s="24"/>
      <c r="L1321"/>
    </row>
    <row r="1322" spans="1:12" x14ac:dyDescent="0.25">
      <c r="A1322" s="16"/>
      <c r="D1322" s="16"/>
      <c r="F1322" s="16"/>
      <c r="G1322" s="16"/>
      <c r="H1322" s="24"/>
      <c r="I1322" s="24"/>
      <c r="L1322"/>
    </row>
    <row r="1323" spans="1:12" x14ac:dyDescent="0.25">
      <c r="A1323" s="16"/>
      <c r="D1323" s="16"/>
      <c r="F1323" s="16"/>
      <c r="G1323" s="16"/>
      <c r="H1323" s="24"/>
      <c r="I1323" s="24"/>
      <c r="L1323"/>
    </row>
    <row r="1324" spans="1:12" x14ac:dyDescent="0.25">
      <c r="A1324" s="16"/>
      <c r="D1324" s="16"/>
      <c r="F1324" s="16"/>
      <c r="G1324" s="16"/>
      <c r="H1324" s="24"/>
      <c r="I1324" s="24"/>
      <c r="L1324"/>
    </row>
    <row r="1325" spans="1:12" x14ac:dyDescent="0.25">
      <c r="A1325" s="16"/>
      <c r="D1325" s="16"/>
      <c r="F1325" s="16"/>
      <c r="G1325" s="16"/>
      <c r="H1325" s="24"/>
      <c r="I1325" s="24"/>
      <c r="L1325"/>
    </row>
    <row r="1326" spans="1:12" x14ac:dyDescent="0.25">
      <c r="A1326" s="16"/>
      <c r="D1326" s="16"/>
      <c r="F1326" s="16"/>
      <c r="G1326" s="16"/>
      <c r="H1326" s="24"/>
      <c r="I1326" s="24"/>
      <c r="L1326"/>
    </row>
    <row r="1327" spans="1:12" x14ac:dyDescent="0.25">
      <c r="A1327" s="16"/>
      <c r="D1327" s="16"/>
      <c r="F1327" s="16"/>
      <c r="G1327" s="16"/>
      <c r="H1327" s="24"/>
      <c r="I1327" s="24"/>
      <c r="L1327"/>
    </row>
    <row r="1328" spans="1:12" x14ac:dyDescent="0.25">
      <c r="A1328" s="16"/>
      <c r="D1328" s="16"/>
      <c r="F1328" s="16"/>
      <c r="G1328" s="16"/>
      <c r="H1328" s="24"/>
      <c r="I1328" s="24"/>
      <c r="L1328"/>
    </row>
    <row r="1329" spans="1:12" x14ac:dyDescent="0.25">
      <c r="A1329" s="16"/>
      <c r="D1329" s="16"/>
      <c r="F1329" s="16"/>
      <c r="G1329" s="16"/>
      <c r="H1329" s="24"/>
      <c r="I1329" s="24"/>
      <c r="L1329"/>
    </row>
    <row r="1330" spans="1:12" x14ac:dyDescent="0.25">
      <c r="A1330" s="16"/>
      <c r="D1330" s="16"/>
      <c r="F1330" s="16"/>
      <c r="G1330" s="16"/>
      <c r="H1330" s="24"/>
      <c r="I1330" s="24"/>
      <c r="L1330"/>
    </row>
    <row r="1331" spans="1:12" x14ac:dyDescent="0.25">
      <c r="A1331" s="16"/>
      <c r="D1331" s="16"/>
      <c r="F1331" s="16"/>
      <c r="G1331" s="16"/>
      <c r="H1331" s="24"/>
      <c r="I1331" s="24"/>
      <c r="L1331"/>
    </row>
    <row r="1332" spans="1:12" x14ac:dyDescent="0.25">
      <c r="A1332" s="16"/>
      <c r="D1332" s="16"/>
      <c r="F1332" s="16"/>
      <c r="G1332" s="16"/>
      <c r="H1332" s="24"/>
      <c r="I1332" s="24"/>
      <c r="L1332"/>
    </row>
    <row r="1333" spans="1:12" x14ac:dyDescent="0.25">
      <c r="A1333" s="16"/>
      <c r="D1333" s="16"/>
      <c r="F1333" s="16"/>
      <c r="G1333" s="16"/>
      <c r="H1333" s="24"/>
      <c r="I1333" s="24"/>
      <c r="L1333"/>
    </row>
    <row r="1334" spans="1:12" x14ac:dyDescent="0.25">
      <c r="A1334" s="16"/>
      <c r="D1334" s="16"/>
      <c r="F1334" s="16"/>
      <c r="G1334" s="16"/>
      <c r="H1334" s="24"/>
      <c r="I1334" s="24"/>
      <c r="L1334"/>
    </row>
    <row r="1335" spans="1:12" x14ac:dyDescent="0.25">
      <c r="A1335" s="16"/>
      <c r="D1335" s="16"/>
      <c r="F1335" s="16"/>
      <c r="G1335" s="16"/>
      <c r="H1335" s="24"/>
      <c r="I1335" s="24"/>
      <c r="L1335"/>
    </row>
    <row r="1336" spans="1:12" x14ac:dyDescent="0.25">
      <c r="A1336" s="16"/>
      <c r="D1336" s="16"/>
      <c r="F1336" s="16"/>
      <c r="G1336" s="16"/>
      <c r="H1336" s="24"/>
      <c r="I1336" s="24"/>
      <c r="L1336"/>
    </row>
    <row r="1337" spans="1:12" x14ac:dyDescent="0.25">
      <c r="A1337" s="16"/>
      <c r="D1337" s="16"/>
      <c r="F1337" s="16"/>
      <c r="G1337" s="16"/>
      <c r="H1337" s="24"/>
      <c r="I1337" s="24"/>
      <c r="L1337"/>
    </row>
    <row r="1338" spans="1:12" x14ac:dyDescent="0.25">
      <c r="A1338" s="16"/>
      <c r="D1338" s="16"/>
      <c r="F1338" s="16"/>
      <c r="G1338" s="16"/>
      <c r="H1338" s="24"/>
      <c r="I1338" s="24"/>
      <c r="L1338"/>
    </row>
    <row r="1339" spans="1:12" x14ac:dyDescent="0.25">
      <c r="A1339" s="16"/>
      <c r="D1339" s="16"/>
      <c r="F1339" s="16"/>
      <c r="G1339" s="16"/>
      <c r="H1339" s="24"/>
      <c r="I1339" s="24"/>
      <c r="L1339"/>
    </row>
    <row r="1340" spans="1:12" x14ac:dyDescent="0.25">
      <c r="A1340" s="16"/>
      <c r="D1340" s="16"/>
      <c r="F1340" s="16"/>
      <c r="G1340" s="16"/>
      <c r="H1340" s="24"/>
      <c r="I1340" s="24"/>
      <c r="L1340"/>
    </row>
    <row r="1341" spans="1:12" x14ac:dyDescent="0.25">
      <c r="A1341" s="16"/>
      <c r="D1341" s="16"/>
      <c r="F1341" s="16"/>
      <c r="G1341" s="16"/>
      <c r="H1341" s="24"/>
      <c r="I1341" s="24"/>
      <c r="L1341"/>
    </row>
    <row r="1342" spans="1:12" x14ac:dyDescent="0.25">
      <c r="A1342" s="16"/>
      <c r="D1342" s="16"/>
      <c r="F1342" s="16"/>
      <c r="G1342" s="16"/>
      <c r="H1342" s="24"/>
      <c r="I1342" s="24"/>
      <c r="L1342"/>
    </row>
    <row r="1343" spans="1:12" x14ac:dyDescent="0.25">
      <c r="A1343" s="16"/>
      <c r="D1343" s="16"/>
      <c r="F1343" s="16"/>
      <c r="G1343" s="16"/>
      <c r="H1343" s="24"/>
      <c r="I1343" s="24"/>
      <c r="L1343"/>
    </row>
    <row r="1344" spans="1:12" x14ac:dyDescent="0.25">
      <c r="A1344" s="16"/>
      <c r="D1344" s="16"/>
      <c r="F1344" s="16"/>
      <c r="G1344" s="16"/>
      <c r="H1344" s="24"/>
      <c r="I1344" s="24"/>
      <c r="L1344"/>
    </row>
    <row r="1345" spans="1:12" x14ac:dyDescent="0.25">
      <c r="A1345" s="16"/>
      <c r="D1345" s="16"/>
      <c r="F1345" s="16"/>
      <c r="G1345" s="16"/>
      <c r="H1345" s="24"/>
      <c r="I1345" s="24"/>
      <c r="L1345"/>
    </row>
    <row r="1346" spans="1:12" x14ac:dyDescent="0.25">
      <c r="A1346" s="16"/>
      <c r="D1346" s="16"/>
      <c r="F1346" s="16"/>
      <c r="G1346" s="16"/>
      <c r="H1346" s="24"/>
      <c r="I1346" s="24"/>
      <c r="L1346"/>
    </row>
    <row r="1347" spans="1:12" x14ac:dyDescent="0.25">
      <c r="A1347" s="16"/>
      <c r="D1347" s="16"/>
      <c r="F1347" s="16"/>
      <c r="G1347" s="16"/>
      <c r="H1347" s="24"/>
      <c r="I1347" s="24"/>
      <c r="L1347"/>
    </row>
    <row r="1348" spans="1:12" x14ac:dyDescent="0.25">
      <c r="A1348" s="16"/>
      <c r="D1348" s="16"/>
      <c r="F1348" s="16"/>
      <c r="G1348" s="16"/>
      <c r="H1348" s="24"/>
      <c r="I1348" s="24"/>
      <c r="L1348"/>
    </row>
    <row r="1349" spans="1:12" x14ac:dyDescent="0.25">
      <c r="A1349" s="16"/>
      <c r="D1349" s="16"/>
      <c r="F1349" s="16"/>
      <c r="G1349" s="16"/>
      <c r="H1349" s="24"/>
      <c r="I1349" s="24"/>
      <c r="L1349"/>
    </row>
    <row r="1350" spans="1:12" x14ac:dyDescent="0.25">
      <c r="A1350" s="16"/>
      <c r="D1350" s="16"/>
      <c r="F1350" s="16"/>
      <c r="G1350" s="16"/>
      <c r="H1350" s="24"/>
      <c r="I1350" s="24"/>
      <c r="L1350"/>
    </row>
    <row r="1351" spans="1:12" x14ac:dyDescent="0.25">
      <c r="A1351" s="16"/>
      <c r="D1351" s="16"/>
      <c r="F1351" s="16"/>
      <c r="G1351" s="16"/>
      <c r="H1351" s="24"/>
      <c r="I1351" s="24"/>
      <c r="L1351"/>
    </row>
    <row r="1352" spans="1:12" x14ac:dyDescent="0.25">
      <c r="A1352" s="16"/>
      <c r="D1352" s="16"/>
      <c r="F1352" s="16"/>
      <c r="G1352" s="16"/>
      <c r="H1352" s="24"/>
      <c r="I1352" s="24"/>
      <c r="L1352"/>
    </row>
    <row r="1353" spans="1:12" x14ac:dyDescent="0.25">
      <c r="A1353" s="16"/>
      <c r="D1353" s="16"/>
      <c r="F1353" s="16"/>
      <c r="G1353" s="16"/>
      <c r="H1353" s="24"/>
      <c r="I1353" s="24"/>
      <c r="L1353"/>
    </row>
    <row r="1354" spans="1:12" x14ac:dyDescent="0.25">
      <c r="A1354" s="16"/>
      <c r="D1354" s="16"/>
      <c r="F1354" s="16"/>
      <c r="G1354" s="16"/>
      <c r="H1354" s="24"/>
      <c r="I1354" s="24"/>
      <c r="L1354"/>
    </row>
    <row r="1355" spans="1:12" x14ac:dyDescent="0.25">
      <c r="A1355" s="16"/>
      <c r="D1355" s="16"/>
      <c r="F1355" s="16"/>
      <c r="G1355" s="16"/>
      <c r="H1355" s="24"/>
      <c r="I1355" s="24"/>
      <c r="L1355"/>
    </row>
    <row r="1356" spans="1:12" x14ac:dyDescent="0.25">
      <c r="A1356" s="16"/>
      <c r="D1356" s="16"/>
      <c r="F1356" s="16"/>
      <c r="G1356" s="16"/>
      <c r="H1356" s="24"/>
      <c r="I1356" s="24"/>
      <c r="L1356"/>
    </row>
    <row r="1357" spans="1:12" x14ac:dyDescent="0.25">
      <c r="A1357" s="16"/>
      <c r="D1357" s="16"/>
      <c r="F1357" s="16"/>
      <c r="G1357" s="16"/>
      <c r="H1357" s="24"/>
      <c r="I1357" s="24"/>
      <c r="L1357"/>
    </row>
    <row r="1358" spans="1:12" x14ac:dyDescent="0.25">
      <c r="A1358" s="16"/>
      <c r="D1358" s="16"/>
      <c r="F1358" s="16"/>
      <c r="G1358" s="16"/>
      <c r="H1358" s="24"/>
      <c r="I1358" s="24"/>
      <c r="L1358"/>
    </row>
    <row r="1359" spans="1:12" x14ac:dyDescent="0.25">
      <c r="A1359" s="16"/>
      <c r="D1359" s="16"/>
      <c r="F1359" s="16"/>
      <c r="G1359" s="16"/>
      <c r="H1359" s="24"/>
      <c r="I1359" s="24"/>
      <c r="L1359"/>
    </row>
    <row r="1360" spans="1:12" x14ac:dyDescent="0.25">
      <c r="A1360" s="16"/>
      <c r="D1360" s="16"/>
      <c r="F1360" s="16"/>
      <c r="G1360" s="16"/>
      <c r="H1360" s="24"/>
      <c r="I1360" s="24"/>
      <c r="L1360"/>
    </row>
    <row r="1361" spans="1:12" x14ac:dyDescent="0.25">
      <c r="A1361" s="16"/>
      <c r="D1361" s="16"/>
      <c r="F1361" s="16"/>
      <c r="G1361" s="16"/>
      <c r="H1361" s="24"/>
      <c r="I1361" s="24"/>
      <c r="L1361"/>
    </row>
    <row r="1362" spans="1:12" x14ac:dyDescent="0.25">
      <c r="A1362" s="16"/>
      <c r="D1362" s="16"/>
      <c r="F1362" s="16"/>
      <c r="G1362" s="16"/>
      <c r="H1362" s="24"/>
      <c r="I1362" s="24"/>
      <c r="L1362"/>
    </row>
    <row r="1363" spans="1:12" x14ac:dyDescent="0.25">
      <c r="A1363" s="16"/>
      <c r="D1363" s="16"/>
      <c r="F1363" s="16"/>
      <c r="G1363" s="16"/>
      <c r="H1363" s="24"/>
      <c r="I1363" s="24"/>
      <c r="L1363"/>
    </row>
    <row r="1364" spans="1:12" x14ac:dyDescent="0.25">
      <c r="A1364" s="16"/>
      <c r="D1364" s="16"/>
      <c r="F1364" s="16"/>
      <c r="G1364" s="16"/>
      <c r="H1364" s="24"/>
      <c r="I1364" s="24"/>
      <c r="L1364"/>
    </row>
    <row r="1365" spans="1:12" x14ac:dyDescent="0.25">
      <c r="A1365" s="16"/>
      <c r="D1365" s="16"/>
      <c r="F1365" s="16"/>
      <c r="G1365" s="16"/>
      <c r="H1365" s="24"/>
      <c r="I1365" s="24"/>
      <c r="L1365"/>
    </row>
    <row r="1366" spans="1:12" x14ac:dyDescent="0.25">
      <c r="A1366" s="16"/>
      <c r="D1366" s="16"/>
      <c r="F1366" s="16"/>
      <c r="G1366" s="16"/>
      <c r="H1366" s="24"/>
      <c r="I1366" s="24"/>
      <c r="L1366"/>
    </row>
    <row r="1367" spans="1:12" x14ac:dyDescent="0.25">
      <c r="A1367" s="16"/>
      <c r="D1367" s="16"/>
      <c r="F1367" s="16"/>
      <c r="G1367" s="16"/>
      <c r="H1367" s="24"/>
      <c r="I1367" s="24"/>
      <c r="L1367"/>
    </row>
    <row r="1368" spans="1:12" x14ac:dyDescent="0.25">
      <c r="A1368" s="16"/>
      <c r="D1368" s="16"/>
      <c r="F1368" s="16"/>
      <c r="G1368" s="16"/>
      <c r="H1368" s="24"/>
      <c r="I1368" s="24"/>
      <c r="L1368"/>
    </row>
    <row r="1369" spans="1:12" x14ac:dyDescent="0.25">
      <c r="A1369" s="16"/>
      <c r="D1369" s="16"/>
      <c r="F1369" s="16"/>
      <c r="G1369" s="16"/>
      <c r="H1369" s="24"/>
      <c r="I1369" s="24"/>
      <c r="L1369"/>
    </row>
    <row r="1370" spans="1:12" x14ac:dyDescent="0.25">
      <c r="A1370" s="16"/>
      <c r="D1370" s="16"/>
      <c r="F1370" s="16"/>
      <c r="G1370" s="16"/>
      <c r="H1370" s="24"/>
      <c r="I1370" s="24"/>
      <c r="L1370"/>
    </row>
    <row r="1371" spans="1:12" x14ac:dyDescent="0.25">
      <c r="A1371" s="16"/>
      <c r="D1371" s="16"/>
      <c r="F1371" s="16"/>
      <c r="G1371" s="16"/>
      <c r="H1371" s="24"/>
      <c r="I1371" s="24"/>
      <c r="L1371"/>
    </row>
    <row r="1372" spans="1:12" x14ac:dyDescent="0.25">
      <c r="A1372" s="16"/>
      <c r="D1372" s="16"/>
      <c r="F1372" s="16"/>
      <c r="G1372" s="16"/>
      <c r="H1372" s="24"/>
      <c r="I1372" s="24"/>
      <c r="L1372"/>
    </row>
    <row r="1373" spans="1:12" x14ac:dyDescent="0.25">
      <c r="A1373" s="16"/>
      <c r="D1373" s="16"/>
      <c r="F1373" s="16"/>
      <c r="G1373" s="16"/>
      <c r="H1373" s="24"/>
      <c r="I1373" s="24"/>
      <c r="L1373"/>
    </row>
    <row r="1374" spans="1:12" x14ac:dyDescent="0.25">
      <c r="A1374" s="16"/>
      <c r="D1374" s="16"/>
      <c r="F1374" s="16"/>
      <c r="G1374" s="16"/>
      <c r="H1374" s="24"/>
      <c r="I1374" s="24"/>
      <c r="L1374"/>
    </row>
    <row r="1375" spans="1:12" x14ac:dyDescent="0.25">
      <c r="A1375" s="16"/>
      <c r="D1375" s="16"/>
      <c r="F1375" s="16"/>
      <c r="G1375" s="16"/>
      <c r="H1375" s="24"/>
      <c r="I1375" s="24"/>
      <c r="L1375"/>
    </row>
    <row r="1376" spans="1:12" x14ac:dyDescent="0.25">
      <c r="A1376" s="16"/>
      <c r="D1376" s="16"/>
      <c r="F1376" s="16"/>
      <c r="G1376" s="16"/>
      <c r="H1376" s="24"/>
      <c r="I1376" s="24"/>
      <c r="L1376"/>
    </row>
    <row r="1377" spans="1:12" x14ac:dyDescent="0.25">
      <c r="A1377" s="16"/>
      <c r="D1377" s="16"/>
      <c r="F1377" s="16"/>
      <c r="G1377" s="16"/>
      <c r="H1377" s="24"/>
      <c r="I1377" s="24"/>
      <c r="L1377"/>
    </row>
    <row r="1378" spans="1:12" x14ac:dyDescent="0.25">
      <c r="A1378" s="16"/>
      <c r="D1378" s="16"/>
      <c r="F1378" s="16"/>
      <c r="G1378" s="16"/>
      <c r="H1378" s="24"/>
      <c r="I1378" s="24"/>
      <c r="L1378"/>
    </row>
    <row r="1379" spans="1:12" x14ac:dyDescent="0.25">
      <c r="A1379" s="16"/>
      <c r="D1379" s="16"/>
      <c r="F1379" s="16"/>
      <c r="G1379" s="16"/>
      <c r="H1379" s="24"/>
      <c r="I1379" s="24"/>
      <c r="L1379"/>
    </row>
    <row r="1380" spans="1:12" x14ac:dyDescent="0.25">
      <c r="A1380" s="16"/>
      <c r="D1380" s="16"/>
      <c r="F1380" s="16"/>
      <c r="G1380" s="16"/>
      <c r="H1380" s="24"/>
      <c r="I1380" s="24"/>
      <c r="L1380"/>
    </row>
    <row r="1381" spans="1:12" x14ac:dyDescent="0.25">
      <c r="A1381" s="16"/>
      <c r="D1381" s="16"/>
      <c r="F1381" s="16"/>
      <c r="G1381" s="16"/>
      <c r="H1381" s="24"/>
      <c r="I1381" s="24"/>
      <c r="L1381"/>
    </row>
    <row r="1382" spans="1:12" x14ac:dyDescent="0.25">
      <c r="A1382" s="16"/>
      <c r="D1382" s="16"/>
      <c r="F1382" s="16"/>
      <c r="G1382" s="16"/>
      <c r="H1382" s="24"/>
      <c r="I1382" s="24"/>
      <c r="L1382"/>
    </row>
    <row r="1383" spans="1:12" x14ac:dyDescent="0.25">
      <c r="A1383" s="16"/>
      <c r="D1383" s="16"/>
      <c r="F1383" s="16"/>
      <c r="G1383" s="16"/>
      <c r="H1383" s="24"/>
      <c r="I1383" s="24"/>
      <c r="L1383"/>
    </row>
    <row r="1384" spans="1:12" x14ac:dyDescent="0.25">
      <c r="A1384" s="16"/>
      <c r="D1384" s="16"/>
      <c r="F1384" s="16"/>
      <c r="G1384" s="16"/>
      <c r="H1384" s="24"/>
      <c r="I1384" s="24"/>
      <c r="L1384"/>
    </row>
    <row r="1385" spans="1:12" x14ac:dyDescent="0.25">
      <c r="A1385" s="16"/>
      <c r="D1385" s="16"/>
      <c r="F1385" s="16"/>
      <c r="G1385" s="16"/>
      <c r="H1385" s="24"/>
      <c r="I1385" s="24"/>
      <c r="L1385"/>
    </row>
    <row r="1386" spans="1:12" x14ac:dyDescent="0.25">
      <c r="A1386" s="16"/>
      <c r="D1386" s="16"/>
      <c r="F1386" s="16"/>
      <c r="G1386" s="16"/>
      <c r="H1386" s="24"/>
      <c r="I1386" s="24"/>
      <c r="L1386"/>
    </row>
    <row r="1387" spans="1:12" x14ac:dyDescent="0.25">
      <c r="A1387" s="16"/>
      <c r="D1387" s="16"/>
      <c r="F1387" s="16"/>
      <c r="G1387" s="16"/>
      <c r="H1387" s="24"/>
      <c r="I1387" s="24"/>
      <c r="L1387"/>
    </row>
    <row r="1388" spans="1:12" x14ac:dyDescent="0.25">
      <c r="A1388" s="16"/>
      <c r="D1388" s="16"/>
      <c r="F1388" s="16"/>
      <c r="G1388" s="16"/>
      <c r="H1388" s="24"/>
      <c r="I1388" s="24"/>
      <c r="L1388"/>
    </row>
    <row r="1389" spans="1:12" x14ac:dyDescent="0.25">
      <c r="A1389" s="16"/>
      <c r="D1389" s="16"/>
      <c r="F1389" s="16"/>
      <c r="G1389" s="16"/>
      <c r="H1389" s="24"/>
      <c r="I1389" s="24"/>
      <c r="L1389"/>
    </row>
    <row r="1390" spans="1:12" x14ac:dyDescent="0.25">
      <c r="A1390" s="16"/>
      <c r="D1390" s="16"/>
      <c r="F1390" s="16"/>
      <c r="G1390" s="16"/>
      <c r="H1390" s="24"/>
      <c r="I1390" s="24"/>
      <c r="L1390"/>
    </row>
    <row r="1391" spans="1:12" x14ac:dyDescent="0.25">
      <c r="A1391" s="16"/>
      <c r="D1391" s="16"/>
      <c r="F1391" s="16"/>
      <c r="G1391" s="16"/>
      <c r="H1391" s="24"/>
      <c r="I1391" s="24"/>
      <c r="L1391"/>
    </row>
    <row r="1392" spans="1:12" x14ac:dyDescent="0.25">
      <c r="A1392" s="16"/>
      <c r="D1392" s="16"/>
      <c r="F1392" s="16"/>
      <c r="G1392" s="16"/>
      <c r="H1392" s="24"/>
      <c r="I1392" s="24"/>
      <c r="L1392"/>
    </row>
    <row r="1393" spans="1:12" x14ac:dyDescent="0.25">
      <c r="A1393" s="16"/>
      <c r="D1393" s="16"/>
      <c r="F1393" s="16"/>
      <c r="G1393" s="16"/>
      <c r="H1393" s="24"/>
      <c r="I1393" s="24"/>
      <c r="L1393"/>
    </row>
    <row r="1394" spans="1:12" x14ac:dyDescent="0.25">
      <c r="A1394" s="16"/>
      <c r="D1394" s="16"/>
      <c r="F1394" s="16"/>
      <c r="G1394" s="16"/>
      <c r="H1394" s="24"/>
      <c r="I1394" s="24"/>
      <c r="L1394"/>
    </row>
    <row r="1395" spans="1:12" x14ac:dyDescent="0.25">
      <c r="A1395" s="16"/>
      <c r="D1395" s="16"/>
      <c r="F1395" s="16"/>
      <c r="G1395" s="16"/>
      <c r="H1395" s="24"/>
      <c r="I1395" s="24"/>
      <c r="L1395"/>
    </row>
    <row r="1396" spans="1:12" x14ac:dyDescent="0.25">
      <c r="A1396" s="16"/>
      <c r="D1396" s="16"/>
      <c r="F1396" s="16"/>
      <c r="G1396" s="16"/>
      <c r="H1396" s="24"/>
      <c r="I1396" s="24"/>
      <c r="L1396"/>
    </row>
    <row r="1397" spans="1:12" x14ac:dyDescent="0.25">
      <c r="A1397" s="16"/>
      <c r="D1397" s="16"/>
      <c r="F1397" s="16"/>
      <c r="G1397" s="16"/>
      <c r="H1397" s="24"/>
      <c r="I1397" s="24"/>
      <c r="L1397"/>
    </row>
    <row r="1398" spans="1:12" x14ac:dyDescent="0.25">
      <c r="A1398" s="16"/>
      <c r="D1398" s="16"/>
      <c r="F1398" s="16"/>
      <c r="G1398" s="16"/>
      <c r="H1398" s="24"/>
      <c r="I1398" s="24"/>
      <c r="L1398"/>
    </row>
    <row r="1399" spans="1:12" x14ac:dyDescent="0.25">
      <c r="A1399" s="16"/>
      <c r="D1399" s="16"/>
      <c r="F1399" s="16"/>
      <c r="G1399" s="16"/>
      <c r="H1399" s="24"/>
      <c r="I1399" s="24"/>
      <c r="L1399"/>
    </row>
    <row r="1400" spans="1:12" x14ac:dyDescent="0.25">
      <c r="A1400" s="16"/>
      <c r="D1400" s="16"/>
      <c r="F1400" s="16"/>
      <c r="G1400" s="16"/>
      <c r="H1400" s="24"/>
      <c r="I1400" s="24"/>
      <c r="L1400"/>
    </row>
    <row r="1401" spans="1:12" x14ac:dyDescent="0.25">
      <c r="A1401" s="16"/>
      <c r="D1401" s="16"/>
      <c r="F1401" s="16"/>
      <c r="G1401" s="16"/>
      <c r="H1401" s="24"/>
      <c r="I1401" s="24"/>
      <c r="L1401"/>
    </row>
    <row r="1402" spans="1:12" x14ac:dyDescent="0.25">
      <c r="A1402" s="16"/>
      <c r="D1402" s="16"/>
      <c r="F1402" s="16"/>
      <c r="G1402" s="16"/>
      <c r="H1402" s="24"/>
      <c r="I1402" s="24"/>
      <c r="L1402"/>
    </row>
    <row r="1403" spans="1:12" x14ac:dyDescent="0.25">
      <c r="A1403" s="16"/>
      <c r="D1403" s="16"/>
      <c r="F1403" s="16"/>
      <c r="G1403" s="16"/>
      <c r="H1403" s="24"/>
      <c r="I1403" s="24"/>
      <c r="L1403"/>
    </row>
    <row r="1404" spans="1:12" x14ac:dyDescent="0.25">
      <c r="A1404" s="16"/>
      <c r="D1404" s="16"/>
      <c r="F1404" s="16"/>
      <c r="G1404" s="16"/>
      <c r="H1404" s="24"/>
      <c r="I1404" s="24"/>
      <c r="L1404"/>
    </row>
    <row r="1405" spans="1:12" x14ac:dyDescent="0.25">
      <c r="A1405" s="16"/>
      <c r="D1405" s="16"/>
      <c r="F1405" s="16"/>
      <c r="G1405" s="16"/>
      <c r="H1405" s="24"/>
      <c r="I1405" s="24"/>
      <c r="L1405"/>
    </row>
    <row r="1406" spans="1:12" x14ac:dyDescent="0.25">
      <c r="A1406" s="16"/>
      <c r="D1406" s="16"/>
      <c r="F1406" s="16"/>
      <c r="G1406" s="16"/>
      <c r="H1406" s="24"/>
      <c r="I1406" s="24"/>
      <c r="L1406"/>
    </row>
    <row r="1407" spans="1:12" x14ac:dyDescent="0.25">
      <c r="A1407" s="16"/>
      <c r="D1407" s="16"/>
      <c r="F1407" s="16"/>
      <c r="G1407" s="16"/>
      <c r="H1407" s="24"/>
      <c r="I1407" s="24"/>
      <c r="L1407"/>
    </row>
    <row r="1408" spans="1:12" x14ac:dyDescent="0.25">
      <c r="A1408" s="16"/>
      <c r="D1408" s="16"/>
      <c r="F1408" s="16"/>
      <c r="G1408" s="16"/>
      <c r="H1408" s="24"/>
      <c r="I1408" s="24"/>
      <c r="L1408"/>
    </row>
    <row r="1409" spans="1:12" x14ac:dyDescent="0.25">
      <c r="A1409" s="16"/>
      <c r="D1409" s="16"/>
      <c r="F1409" s="16"/>
      <c r="G1409" s="16"/>
      <c r="H1409" s="24"/>
      <c r="I1409" s="24"/>
      <c r="L1409"/>
    </row>
    <row r="1410" spans="1:12" x14ac:dyDescent="0.25">
      <c r="A1410" s="16"/>
      <c r="D1410" s="16"/>
      <c r="F1410" s="16"/>
      <c r="G1410" s="16"/>
      <c r="H1410" s="24"/>
      <c r="I1410" s="24"/>
      <c r="L1410"/>
    </row>
    <row r="1411" spans="1:12" x14ac:dyDescent="0.25">
      <c r="A1411" s="16"/>
      <c r="D1411" s="16"/>
      <c r="F1411" s="16"/>
      <c r="G1411" s="16"/>
      <c r="H1411" s="24"/>
      <c r="I1411" s="24"/>
      <c r="L1411"/>
    </row>
    <row r="1412" spans="1:12" x14ac:dyDescent="0.25">
      <c r="A1412" s="16"/>
      <c r="D1412" s="16"/>
      <c r="F1412" s="16"/>
      <c r="G1412" s="16"/>
      <c r="H1412" s="24"/>
      <c r="I1412" s="24"/>
      <c r="L1412"/>
    </row>
    <row r="1413" spans="1:12" x14ac:dyDescent="0.25">
      <c r="A1413" s="16"/>
      <c r="D1413" s="16"/>
      <c r="F1413" s="16"/>
      <c r="G1413" s="16"/>
      <c r="H1413" s="24"/>
      <c r="I1413" s="24"/>
      <c r="L1413"/>
    </row>
    <row r="1414" spans="1:12" x14ac:dyDescent="0.25">
      <c r="A1414" s="16"/>
      <c r="D1414" s="16"/>
      <c r="F1414" s="16"/>
      <c r="G1414" s="16"/>
      <c r="H1414" s="24"/>
      <c r="I1414" s="24"/>
      <c r="L1414"/>
    </row>
    <row r="1415" spans="1:12" x14ac:dyDescent="0.25">
      <c r="A1415" s="16"/>
      <c r="D1415" s="16"/>
      <c r="F1415" s="16"/>
      <c r="G1415" s="16"/>
      <c r="H1415" s="24"/>
      <c r="I1415" s="24"/>
      <c r="L1415"/>
    </row>
    <row r="1416" spans="1:12" x14ac:dyDescent="0.25">
      <c r="A1416" s="16"/>
      <c r="D1416" s="16"/>
      <c r="F1416" s="16"/>
      <c r="G1416" s="16"/>
      <c r="H1416" s="24"/>
      <c r="I1416" s="24"/>
      <c r="L1416"/>
    </row>
    <row r="1417" spans="1:12" x14ac:dyDescent="0.25">
      <c r="A1417" s="16"/>
      <c r="D1417" s="16"/>
      <c r="F1417" s="16"/>
      <c r="G1417" s="16"/>
      <c r="H1417" s="24"/>
      <c r="I1417" s="24"/>
      <c r="L1417"/>
    </row>
    <row r="1418" spans="1:12" x14ac:dyDescent="0.25">
      <c r="A1418" s="16"/>
      <c r="D1418" s="16"/>
      <c r="F1418" s="16"/>
      <c r="G1418" s="16"/>
      <c r="H1418" s="24"/>
      <c r="I1418" s="24"/>
      <c r="L1418"/>
    </row>
    <row r="1419" spans="1:12" x14ac:dyDescent="0.25">
      <c r="A1419" s="16"/>
      <c r="D1419" s="16"/>
      <c r="F1419" s="16"/>
      <c r="G1419" s="16"/>
      <c r="H1419" s="24"/>
      <c r="I1419" s="24"/>
      <c r="L1419"/>
    </row>
    <row r="1420" spans="1:12" x14ac:dyDescent="0.25">
      <c r="A1420" s="16"/>
      <c r="D1420" s="16"/>
      <c r="F1420" s="16"/>
      <c r="G1420" s="16"/>
      <c r="H1420" s="24"/>
      <c r="I1420" s="24"/>
      <c r="L1420"/>
    </row>
    <row r="1421" spans="1:12" x14ac:dyDescent="0.25">
      <c r="A1421" s="16"/>
      <c r="D1421" s="16"/>
      <c r="F1421" s="16"/>
      <c r="G1421" s="16"/>
      <c r="H1421" s="24"/>
      <c r="I1421" s="24"/>
      <c r="L1421"/>
    </row>
    <row r="1422" spans="1:12" x14ac:dyDescent="0.25">
      <c r="A1422" s="16"/>
      <c r="D1422" s="16"/>
      <c r="F1422" s="16"/>
      <c r="G1422" s="16"/>
      <c r="H1422" s="24"/>
      <c r="I1422" s="24"/>
      <c r="L1422"/>
    </row>
    <row r="1423" spans="1:12" x14ac:dyDescent="0.25">
      <c r="A1423" s="16"/>
      <c r="D1423" s="16"/>
      <c r="F1423" s="16"/>
      <c r="G1423" s="16"/>
      <c r="H1423" s="24"/>
      <c r="I1423" s="24"/>
      <c r="L1423"/>
    </row>
    <row r="1424" spans="1:12" x14ac:dyDescent="0.25">
      <c r="A1424" s="16"/>
      <c r="D1424" s="16"/>
      <c r="F1424" s="16"/>
      <c r="G1424" s="16"/>
      <c r="H1424" s="24"/>
      <c r="I1424" s="24"/>
      <c r="L1424"/>
    </row>
    <row r="1425" spans="1:12" x14ac:dyDescent="0.25">
      <c r="A1425" s="16"/>
      <c r="D1425" s="16"/>
      <c r="F1425" s="16"/>
      <c r="G1425" s="16"/>
      <c r="H1425" s="24"/>
      <c r="I1425" s="24"/>
      <c r="L1425"/>
    </row>
    <row r="1426" spans="1:12" x14ac:dyDescent="0.25">
      <c r="A1426" s="16"/>
      <c r="D1426" s="16"/>
      <c r="F1426" s="16"/>
      <c r="G1426" s="16"/>
      <c r="H1426" s="24"/>
      <c r="I1426" s="24"/>
      <c r="L1426"/>
    </row>
    <row r="1427" spans="1:12" x14ac:dyDescent="0.25">
      <c r="A1427" s="16"/>
      <c r="D1427" s="16"/>
      <c r="F1427" s="16"/>
      <c r="G1427" s="16"/>
      <c r="H1427" s="24"/>
      <c r="I1427" s="24"/>
      <c r="L1427"/>
    </row>
    <row r="1428" spans="1:12" x14ac:dyDescent="0.25">
      <c r="A1428" s="16"/>
      <c r="D1428" s="16"/>
      <c r="F1428" s="16"/>
      <c r="G1428" s="16"/>
      <c r="H1428" s="24"/>
      <c r="I1428" s="24"/>
      <c r="L1428"/>
    </row>
    <row r="1429" spans="1:12" x14ac:dyDescent="0.25">
      <c r="A1429" s="16"/>
      <c r="D1429" s="16"/>
      <c r="F1429" s="16"/>
      <c r="G1429" s="16"/>
      <c r="H1429" s="24"/>
      <c r="I1429" s="24"/>
      <c r="L1429"/>
    </row>
    <row r="1430" spans="1:12" x14ac:dyDescent="0.25">
      <c r="A1430" s="16"/>
      <c r="D1430" s="16"/>
      <c r="F1430" s="16"/>
      <c r="G1430" s="16"/>
      <c r="H1430" s="24"/>
      <c r="I1430" s="24"/>
      <c r="L1430"/>
    </row>
    <row r="1431" spans="1:12" x14ac:dyDescent="0.25">
      <c r="A1431" s="16"/>
      <c r="D1431" s="16"/>
      <c r="F1431" s="16"/>
      <c r="G1431" s="16"/>
      <c r="H1431" s="24"/>
      <c r="I1431" s="24"/>
      <c r="L1431"/>
    </row>
    <row r="1432" spans="1:12" x14ac:dyDescent="0.25">
      <c r="A1432" s="16"/>
      <c r="D1432" s="16"/>
      <c r="F1432" s="16"/>
      <c r="G1432" s="16"/>
      <c r="H1432" s="24"/>
      <c r="I1432" s="24"/>
      <c r="L1432"/>
    </row>
    <row r="1433" spans="1:12" x14ac:dyDescent="0.25">
      <c r="A1433" s="16"/>
      <c r="D1433" s="16"/>
      <c r="F1433" s="16"/>
      <c r="G1433" s="16"/>
      <c r="H1433" s="24"/>
      <c r="I1433" s="24"/>
      <c r="L1433"/>
    </row>
    <row r="1434" spans="1:12" x14ac:dyDescent="0.25">
      <c r="A1434" s="16"/>
      <c r="D1434" s="16"/>
      <c r="F1434" s="16"/>
      <c r="G1434" s="16"/>
      <c r="H1434" s="24"/>
      <c r="I1434" s="24"/>
      <c r="L1434"/>
    </row>
    <row r="1435" spans="1:12" x14ac:dyDescent="0.25">
      <c r="A1435" s="16"/>
      <c r="D1435" s="16"/>
      <c r="F1435" s="16"/>
      <c r="G1435" s="16"/>
      <c r="H1435" s="24"/>
      <c r="I1435" s="24"/>
      <c r="L1435"/>
    </row>
    <row r="1436" spans="1:12" x14ac:dyDescent="0.25">
      <c r="A1436" s="16"/>
      <c r="D1436" s="16"/>
      <c r="F1436" s="16"/>
      <c r="G1436" s="16"/>
      <c r="H1436" s="24"/>
      <c r="I1436" s="24"/>
      <c r="L1436"/>
    </row>
    <row r="1437" spans="1:12" x14ac:dyDescent="0.25">
      <c r="A1437" s="16"/>
      <c r="D1437" s="16"/>
      <c r="F1437" s="16"/>
      <c r="G1437" s="16"/>
      <c r="H1437" s="24"/>
      <c r="I1437" s="24"/>
      <c r="L1437"/>
    </row>
    <row r="1438" spans="1:12" x14ac:dyDescent="0.25">
      <c r="A1438" s="16"/>
      <c r="D1438" s="16"/>
      <c r="F1438" s="16"/>
      <c r="G1438" s="16"/>
      <c r="H1438" s="24"/>
      <c r="I1438" s="24"/>
      <c r="L1438"/>
    </row>
    <row r="1439" spans="1:12" x14ac:dyDescent="0.25">
      <c r="A1439" s="16"/>
      <c r="D1439" s="16"/>
      <c r="F1439" s="16"/>
      <c r="G1439" s="16"/>
      <c r="H1439" s="24"/>
      <c r="I1439" s="24"/>
      <c r="L1439"/>
    </row>
    <row r="1440" spans="1:12" x14ac:dyDescent="0.25">
      <c r="A1440" s="16"/>
      <c r="D1440" s="16"/>
      <c r="F1440" s="16"/>
      <c r="G1440" s="16"/>
      <c r="H1440" s="24"/>
      <c r="I1440" s="24"/>
      <c r="L1440"/>
    </row>
    <row r="1441" spans="1:12" x14ac:dyDescent="0.25">
      <c r="A1441" s="16"/>
      <c r="D1441" s="16"/>
      <c r="F1441" s="16"/>
      <c r="G1441" s="16"/>
      <c r="H1441" s="24"/>
      <c r="I1441" s="24"/>
      <c r="L1441"/>
    </row>
    <row r="1442" spans="1:12" x14ac:dyDescent="0.25">
      <c r="A1442" s="16"/>
      <c r="D1442" s="16"/>
      <c r="F1442" s="16"/>
      <c r="G1442" s="16"/>
      <c r="H1442" s="24"/>
      <c r="I1442" s="24"/>
      <c r="L1442"/>
    </row>
    <row r="1443" spans="1:12" x14ac:dyDescent="0.25">
      <c r="A1443" s="16"/>
      <c r="D1443" s="16"/>
      <c r="F1443" s="16"/>
      <c r="G1443" s="16"/>
      <c r="H1443" s="24"/>
      <c r="I1443" s="24"/>
      <c r="L1443"/>
    </row>
    <row r="1444" spans="1:12" x14ac:dyDescent="0.25">
      <c r="A1444" s="16"/>
      <c r="D1444" s="16"/>
      <c r="F1444" s="16"/>
      <c r="G1444" s="16"/>
      <c r="H1444" s="24"/>
      <c r="I1444" s="24"/>
      <c r="L1444"/>
    </row>
    <row r="1445" spans="1:12" x14ac:dyDescent="0.25">
      <c r="A1445" s="16"/>
      <c r="D1445" s="16"/>
      <c r="F1445" s="16"/>
      <c r="G1445" s="16"/>
      <c r="H1445" s="24"/>
      <c r="I1445" s="24"/>
      <c r="L1445"/>
    </row>
    <row r="1446" spans="1:12" x14ac:dyDescent="0.25">
      <c r="A1446" s="16"/>
      <c r="D1446" s="16"/>
      <c r="F1446" s="16"/>
      <c r="G1446" s="16"/>
      <c r="H1446" s="24"/>
      <c r="I1446" s="24"/>
      <c r="L1446"/>
    </row>
    <row r="1447" spans="1:12" x14ac:dyDescent="0.25">
      <c r="A1447" s="16"/>
      <c r="D1447" s="16"/>
      <c r="F1447" s="16"/>
      <c r="G1447" s="16"/>
      <c r="H1447" s="24"/>
      <c r="I1447" s="24"/>
      <c r="L1447"/>
    </row>
    <row r="1448" spans="1:12" x14ac:dyDescent="0.25">
      <c r="A1448" s="16"/>
      <c r="D1448" s="16"/>
      <c r="F1448" s="16"/>
      <c r="G1448" s="16"/>
      <c r="H1448" s="24"/>
      <c r="I1448" s="24"/>
      <c r="L1448"/>
    </row>
    <row r="1449" spans="1:12" x14ac:dyDescent="0.25">
      <c r="A1449" s="16"/>
      <c r="D1449" s="16"/>
      <c r="F1449" s="16"/>
      <c r="G1449" s="16"/>
      <c r="H1449" s="24"/>
      <c r="I1449" s="24"/>
      <c r="L1449"/>
    </row>
    <row r="1450" spans="1:12" x14ac:dyDescent="0.25">
      <c r="A1450" s="16"/>
      <c r="D1450" s="16"/>
      <c r="F1450" s="16"/>
      <c r="G1450" s="16"/>
      <c r="H1450" s="24"/>
      <c r="I1450" s="24"/>
      <c r="L1450"/>
    </row>
    <row r="1451" spans="1:12" x14ac:dyDescent="0.25">
      <c r="A1451" s="16"/>
      <c r="D1451" s="16"/>
      <c r="F1451" s="16"/>
      <c r="G1451" s="16"/>
      <c r="H1451" s="24"/>
      <c r="I1451" s="24"/>
      <c r="L1451"/>
    </row>
    <row r="1452" spans="1:12" x14ac:dyDescent="0.25">
      <c r="A1452" s="16"/>
      <c r="D1452" s="16"/>
      <c r="F1452" s="16"/>
      <c r="G1452" s="16"/>
      <c r="H1452" s="24"/>
      <c r="I1452" s="24"/>
      <c r="L1452"/>
    </row>
    <row r="1453" spans="1:12" x14ac:dyDescent="0.25">
      <c r="A1453" s="16"/>
      <c r="D1453" s="16"/>
      <c r="F1453" s="16"/>
      <c r="G1453" s="16"/>
      <c r="H1453" s="24"/>
      <c r="I1453" s="24"/>
      <c r="L1453"/>
    </row>
    <row r="1454" spans="1:12" x14ac:dyDescent="0.25">
      <c r="A1454" s="16"/>
      <c r="D1454" s="16"/>
      <c r="F1454" s="16"/>
      <c r="G1454" s="16"/>
      <c r="H1454" s="24"/>
      <c r="I1454" s="24"/>
      <c r="L1454"/>
    </row>
    <row r="1455" spans="1:12" x14ac:dyDescent="0.25">
      <c r="A1455" s="16"/>
      <c r="D1455" s="16"/>
      <c r="F1455" s="16"/>
      <c r="G1455" s="16"/>
      <c r="H1455" s="24"/>
      <c r="I1455" s="24"/>
      <c r="L1455"/>
    </row>
    <row r="1456" spans="1:12" x14ac:dyDescent="0.25">
      <c r="A1456" s="16"/>
      <c r="D1456" s="16"/>
      <c r="F1456" s="16"/>
      <c r="G1456" s="16"/>
      <c r="H1456" s="24"/>
      <c r="I1456" s="24"/>
      <c r="L1456"/>
    </row>
    <row r="1457" spans="1:12" x14ac:dyDescent="0.25">
      <c r="A1457" s="16"/>
      <c r="D1457" s="16"/>
      <c r="F1457" s="16"/>
      <c r="G1457" s="16"/>
      <c r="H1457" s="24"/>
      <c r="I1457" s="24"/>
      <c r="L1457"/>
    </row>
    <row r="1458" spans="1:12" x14ac:dyDescent="0.25">
      <c r="A1458" s="16"/>
      <c r="D1458" s="16"/>
      <c r="F1458" s="16"/>
      <c r="G1458" s="16"/>
      <c r="H1458" s="24"/>
      <c r="I1458" s="24"/>
      <c r="L1458"/>
    </row>
    <row r="1459" spans="1:12" x14ac:dyDescent="0.25">
      <c r="A1459" s="16"/>
      <c r="D1459" s="16"/>
      <c r="F1459" s="16"/>
      <c r="G1459" s="16"/>
      <c r="H1459" s="24"/>
      <c r="I1459" s="24"/>
      <c r="L1459"/>
    </row>
    <row r="1460" spans="1:12" x14ac:dyDescent="0.25">
      <c r="A1460" s="16"/>
      <c r="D1460" s="16"/>
      <c r="F1460" s="16"/>
      <c r="G1460" s="16"/>
      <c r="H1460" s="24"/>
      <c r="I1460" s="24"/>
      <c r="L1460"/>
    </row>
    <row r="1461" spans="1:12" x14ac:dyDescent="0.25">
      <c r="A1461" s="16"/>
      <c r="D1461" s="16"/>
      <c r="F1461" s="16"/>
      <c r="G1461" s="16"/>
      <c r="H1461" s="24"/>
      <c r="I1461" s="24"/>
      <c r="L1461"/>
    </row>
    <row r="1462" spans="1:12" x14ac:dyDescent="0.25">
      <c r="A1462" s="16"/>
      <c r="D1462" s="16"/>
      <c r="F1462" s="16"/>
      <c r="G1462" s="16"/>
      <c r="H1462" s="24"/>
      <c r="I1462" s="24"/>
      <c r="L1462"/>
    </row>
    <row r="1463" spans="1:12" x14ac:dyDescent="0.25">
      <c r="A1463" s="16"/>
      <c r="D1463" s="16"/>
      <c r="F1463" s="16"/>
      <c r="G1463" s="16"/>
      <c r="H1463" s="24"/>
      <c r="I1463" s="24"/>
      <c r="L1463"/>
    </row>
    <row r="1464" spans="1:12" x14ac:dyDescent="0.25">
      <c r="A1464" s="16"/>
      <c r="D1464" s="16"/>
      <c r="F1464" s="16"/>
      <c r="G1464" s="16"/>
      <c r="H1464" s="24"/>
      <c r="I1464" s="24"/>
      <c r="L1464"/>
    </row>
    <row r="1465" spans="1:12" x14ac:dyDescent="0.25">
      <c r="A1465" s="16"/>
      <c r="D1465" s="16"/>
      <c r="F1465" s="16"/>
      <c r="G1465" s="16"/>
      <c r="H1465" s="24"/>
      <c r="I1465" s="24"/>
      <c r="L1465"/>
    </row>
    <row r="1466" spans="1:12" x14ac:dyDescent="0.25">
      <c r="A1466" s="16"/>
      <c r="D1466" s="16"/>
      <c r="F1466" s="16"/>
      <c r="G1466" s="16"/>
      <c r="H1466" s="24"/>
      <c r="I1466" s="24"/>
      <c r="L1466"/>
    </row>
    <row r="1467" spans="1:12" x14ac:dyDescent="0.25">
      <c r="A1467" s="16"/>
      <c r="D1467" s="16"/>
      <c r="F1467" s="16"/>
      <c r="G1467" s="16"/>
      <c r="H1467" s="24"/>
      <c r="I1467" s="24"/>
      <c r="L1467"/>
    </row>
    <row r="1468" spans="1:12" x14ac:dyDescent="0.25">
      <c r="A1468" s="16"/>
      <c r="D1468" s="16"/>
      <c r="F1468" s="16"/>
      <c r="G1468" s="16"/>
      <c r="H1468" s="24"/>
      <c r="I1468" s="24"/>
      <c r="L1468"/>
    </row>
    <row r="1469" spans="1:12" x14ac:dyDescent="0.25">
      <c r="A1469" s="16"/>
      <c r="D1469" s="16"/>
      <c r="F1469" s="16"/>
      <c r="G1469" s="16"/>
      <c r="H1469" s="24"/>
      <c r="I1469" s="24"/>
      <c r="L1469"/>
    </row>
    <row r="1470" spans="1:12" x14ac:dyDescent="0.25">
      <c r="A1470" s="16"/>
      <c r="D1470" s="16"/>
      <c r="F1470" s="16"/>
      <c r="G1470" s="16"/>
      <c r="H1470" s="24"/>
      <c r="I1470" s="24"/>
      <c r="L1470"/>
    </row>
    <row r="1471" spans="1:12" x14ac:dyDescent="0.25">
      <c r="A1471" s="16"/>
      <c r="D1471" s="16"/>
      <c r="F1471" s="16"/>
      <c r="G1471" s="16"/>
      <c r="H1471" s="24"/>
      <c r="I1471" s="24"/>
      <c r="L1471"/>
    </row>
    <row r="1472" spans="1:12" x14ac:dyDescent="0.25">
      <c r="A1472" s="16"/>
      <c r="D1472" s="16"/>
      <c r="F1472" s="16"/>
      <c r="G1472" s="16"/>
      <c r="H1472" s="24"/>
      <c r="I1472" s="24"/>
      <c r="L1472"/>
    </row>
    <row r="1473" spans="1:12" x14ac:dyDescent="0.25">
      <c r="A1473" s="16"/>
      <c r="D1473" s="16"/>
      <c r="F1473" s="16"/>
      <c r="G1473" s="16"/>
      <c r="H1473" s="24"/>
      <c r="I1473" s="24"/>
      <c r="L1473"/>
    </row>
    <row r="1474" spans="1:12" x14ac:dyDescent="0.25">
      <c r="A1474" s="16"/>
      <c r="D1474" s="16"/>
      <c r="F1474" s="16"/>
      <c r="G1474" s="16"/>
      <c r="H1474" s="24"/>
      <c r="I1474" s="24"/>
      <c r="L1474"/>
    </row>
    <row r="1475" spans="1:12" x14ac:dyDescent="0.25">
      <c r="A1475" s="16"/>
      <c r="D1475" s="16"/>
      <c r="F1475" s="16"/>
      <c r="G1475" s="16"/>
      <c r="H1475" s="24"/>
      <c r="I1475" s="24"/>
      <c r="L1475"/>
    </row>
    <row r="1476" spans="1:12" x14ac:dyDescent="0.25">
      <c r="A1476" s="16"/>
      <c r="D1476" s="16"/>
      <c r="F1476" s="16"/>
      <c r="G1476" s="16"/>
      <c r="H1476" s="24"/>
      <c r="I1476" s="24"/>
      <c r="L1476"/>
    </row>
    <row r="1477" spans="1:12" x14ac:dyDescent="0.25">
      <c r="A1477" s="16"/>
      <c r="D1477" s="16"/>
      <c r="F1477" s="16"/>
      <c r="G1477" s="16"/>
      <c r="H1477" s="24"/>
      <c r="I1477" s="24"/>
      <c r="L1477"/>
    </row>
    <row r="1478" spans="1:12" x14ac:dyDescent="0.25">
      <c r="A1478" s="16"/>
      <c r="D1478" s="16"/>
      <c r="F1478" s="16"/>
      <c r="G1478" s="16"/>
      <c r="H1478" s="24"/>
      <c r="I1478" s="24"/>
      <c r="L1478"/>
    </row>
    <row r="1479" spans="1:12" x14ac:dyDescent="0.25">
      <c r="A1479" s="16"/>
      <c r="D1479" s="16"/>
      <c r="F1479" s="16"/>
      <c r="G1479" s="16"/>
      <c r="H1479" s="24"/>
      <c r="I1479" s="24"/>
      <c r="L1479"/>
    </row>
    <row r="1480" spans="1:12" x14ac:dyDescent="0.25">
      <c r="A1480" s="16"/>
      <c r="D1480" s="16"/>
      <c r="F1480" s="16"/>
      <c r="G1480" s="16"/>
      <c r="H1480" s="24"/>
      <c r="I1480" s="24"/>
      <c r="L1480"/>
    </row>
    <row r="1481" spans="1:12" x14ac:dyDescent="0.25">
      <c r="A1481" s="16"/>
      <c r="D1481" s="16"/>
      <c r="F1481" s="16"/>
      <c r="G1481" s="16"/>
      <c r="H1481" s="24"/>
      <c r="I1481" s="24"/>
      <c r="L1481"/>
    </row>
    <row r="1482" spans="1:12" x14ac:dyDescent="0.25">
      <c r="A1482" s="16"/>
      <c r="D1482" s="16"/>
      <c r="F1482" s="16"/>
      <c r="G1482" s="16"/>
      <c r="H1482" s="24"/>
      <c r="I1482" s="24"/>
      <c r="L1482"/>
    </row>
    <row r="1483" spans="1:12" x14ac:dyDescent="0.25">
      <c r="A1483" s="16"/>
      <c r="D1483" s="16"/>
      <c r="F1483" s="16"/>
      <c r="G1483" s="16"/>
      <c r="H1483" s="24"/>
      <c r="I1483" s="24"/>
      <c r="L1483"/>
    </row>
    <row r="1484" spans="1:12" x14ac:dyDescent="0.25">
      <c r="A1484" s="16"/>
      <c r="D1484" s="16"/>
      <c r="F1484" s="16"/>
      <c r="G1484" s="16"/>
      <c r="H1484" s="24"/>
      <c r="I1484" s="24"/>
      <c r="L1484"/>
    </row>
    <row r="1485" spans="1:12" x14ac:dyDescent="0.25">
      <c r="A1485" s="16"/>
      <c r="D1485" s="16"/>
      <c r="F1485" s="16"/>
      <c r="G1485" s="16"/>
      <c r="H1485" s="24"/>
      <c r="I1485" s="24"/>
      <c r="L1485"/>
    </row>
    <row r="1486" spans="1:12" x14ac:dyDescent="0.25">
      <c r="A1486" s="16"/>
      <c r="D1486" s="16"/>
      <c r="F1486" s="16"/>
      <c r="G1486" s="16"/>
      <c r="H1486" s="24"/>
      <c r="I1486" s="24"/>
      <c r="L1486"/>
    </row>
    <row r="1487" spans="1:12" x14ac:dyDescent="0.25">
      <c r="A1487" s="16"/>
      <c r="D1487" s="16"/>
      <c r="F1487" s="16"/>
      <c r="G1487" s="16"/>
      <c r="H1487" s="24"/>
      <c r="I1487" s="24"/>
      <c r="L1487"/>
    </row>
    <row r="1488" spans="1:12" x14ac:dyDescent="0.25">
      <c r="A1488" s="16"/>
      <c r="D1488" s="16"/>
      <c r="F1488" s="16"/>
      <c r="G1488" s="16"/>
      <c r="H1488" s="24"/>
      <c r="I1488" s="24"/>
      <c r="L1488"/>
    </row>
    <row r="1489" spans="1:12" x14ac:dyDescent="0.25">
      <c r="A1489" s="16"/>
      <c r="D1489" s="16"/>
      <c r="F1489" s="16"/>
      <c r="G1489" s="16"/>
      <c r="H1489" s="24"/>
      <c r="I1489" s="24"/>
      <c r="L1489"/>
    </row>
    <row r="1490" spans="1:12" x14ac:dyDescent="0.25">
      <c r="A1490" s="16"/>
      <c r="D1490" s="16"/>
      <c r="F1490" s="16"/>
      <c r="G1490" s="16"/>
      <c r="H1490" s="24"/>
      <c r="I1490" s="24"/>
      <c r="L1490"/>
    </row>
    <row r="1491" spans="1:12" x14ac:dyDescent="0.25">
      <c r="A1491" s="16"/>
      <c r="D1491" s="16"/>
      <c r="F1491" s="16"/>
      <c r="G1491" s="16"/>
      <c r="H1491" s="24"/>
      <c r="I1491" s="24"/>
      <c r="L1491"/>
    </row>
    <row r="1492" spans="1:12" x14ac:dyDescent="0.25">
      <c r="A1492" s="16"/>
      <c r="D1492" s="16"/>
      <c r="F1492" s="16"/>
      <c r="G1492" s="16"/>
      <c r="H1492" s="24"/>
      <c r="I1492" s="24"/>
      <c r="L1492"/>
    </row>
    <row r="1493" spans="1:12" x14ac:dyDescent="0.25">
      <c r="A1493" s="16"/>
      <c r="D1493" s="16"/>
      <c r="F1493" s="16"/>
      <c r="G1493" s="16"/>
      <c r="H1493" s="24"/>
      <c r="I1493" s="24"/>
      <c r="L1493"/>
    </row>
    <row r="1494" spans="1:12" x14ac:dyDescent="0.25">
      <c r="A1494" s="16"/>
      <c r="D1494" s="16"/>
      <c r="F1494" s="16"/>
      <c r="G1494" s="16"/>
      <c r="H1494" s="24"/>
      <c r="I1494" s="24"/>
      <c r="L1494"/>
    </row>
    <row r="1495" spans="1:12" x14ac:dyDescent="0.25">
      <c r="A1495" s="16"/>
      <c r="D1495" s="16"/>
      <c r="F1495" s="16"/>
      <c r="G1495" s="16"/>
      <c r="H1495" s="24"/>
      <c r="I1495" s="24"/>
      <c r="L1495"/>
    </row>
    <row r="1496" spans="1:12" x14ac:dyDescent="0.25">
      <c r="A1496" s="16"/>
      <c r="D1496" s="16"/>
      <c r="F1496" s="16"/>
      <c r="G1496" s="16"/>
      <c r="H1496" s="24"/>
      <c r="I1496" s="24"/>
      <c r="L1496"/>
    </row>
    <row r="1497" spans="1:12" x14ac:dyDescent="0.25">
      <c r="A1497" s="16"/>
      <c r="D1497" s="16"/>
      <c r="F1497" s="16"/>
      <c r="G1497" s="16"/>
      <c r="H1497" s="24"/>
      <c r="I1497" s="24"/>
      <c r="L1497"/>
    </row>
    <row r="1498" spans="1:12" x14ac:dyDescent="0.25">
      <c r="A1498" s="16"/>
      <c r="D1498" s="16"/>
      <c r="F1498" s="16"/>
      <c r="G1498" s="16"/>
      <c r="H1498" s="24"/>
      <c r="I1498" s="24"/>
      <c r="L1498"/>
    </row>
    <row r="1499" spans="1:12" x14ac:dyDescent="0.25">
      <c r="A1499" s="16"/>
      <c r="D1499" s="16"/>
      <c r="F1499" s="16"/>
      <c r="G1499" s="16"/>
      <c r="H1499" s="24"/>
      <c r="I1499" s="24"/>
      <c r="L1499"/>
    </row>
    <row r="1500" spans="1:12" x14ac:dyDescent="0.25">
      <c r="A1500" s="16"/>
      <c r="D1500" s="16"/>
      <c r="F1500" s="16"/>
      <c r="G1500" s="16"/>
      <c r="H1500" s="24"/>
      <c r="I1500" s="24"/>
      <c r="L1500"/>
    </row>
    <row r="1501" spans="1:12" x14ac:dyDescent="0.25">
      <c r="A1501" s="16"/>
      <c r="D1501" s="16"/>
      <c r="F1501" s="16"/>
      <c r="G1501" s="16"/>
      <c r="H1501" s="24"/>
      <c r="I1501" s="24"/>
      <c r="L1501"/>
    </row>
    <row r="1502" spans="1:12" x14ac:dyDescent="0.25">
      <c r="A1502" s="16"/>
      <c r="D1502" s="16"/>
      <c r="F1502" s="16"/>
      <c r="G1502" s="16"/>
      <c r="H1502" s="24"/>
      <c r="I1502" s="24"/>
      <c r="L1502"/>
    </row>
    <row r="1503" spans="1:12" x14ac:dyDescent="0.25">
      <c r="A1503" s="16"/>
      <c r="D1503" s="16"/>
      <c r="F1503" s="16"/>
      <c r="G1503" s="16"/>
      <c r="H1503" s="24"/>
      <c r="I1503" s="24"/>
      <c r="L1503"/>
    </row>
    <row r="1504" spans="1:12" x14ac:dyDescent="0.25">
      <c r="A1504" s="16"/>
      <c r="D1504" s="16"/>
      <c r="F1504" s="16"/>
      <c r="G1504" s="16"/>
      <c r="H1504" s="24"/>
      <c r="I1504" s="24"/>
      <c r="L1504"/>
    </row>
    <row r="1505" spans="1:12" x14ac:dyDescent="0.25">
      <c r="A1505" s="16"/>
      <c r="D1505" s="16"/>
      <c r="F1505" s="16"/>
      <c r="G1505" s="16"/>
      <c r="H1505" s="24"/>
      <c r="I1505" s="24"/>
      <c r="L1505"/>
    </row>
    <row r="1506" spans="1:12" x14ac:dyDescent="0.25">
      <c r="A1506" s="16"/>
      <c r="D1506" s="16"/>
      <c r="F1506" s="16"/>
      <c r="G1506" s="16"/>
      <c r="H1506" s="24"/>
      <c r="I1506" s="24"/>
      <c r="L1506"/>
    </row>
    <row r="1507" spans="1:12" x14ac:dyDescent="0.25">
      <c r="A1507" s="16"/>
      <c r="D1507" s="16"/>
      <c r="F1507" s="16"/>
      <c r="G1507" s="16"/>
      <c r="H1507" s="24"/>
      <c r="I1507" s="24"/>
      <c r="L1507"/>
    </row>
    <row r="1508" spans="1:12" x14ac:dyDescent="0.25">
      <c r="A1508" s="16"/>
      <c r="D1508" s="16"/>
      <c r="F1508" s="16"/>
      <c r="G1508" s="16"/>
      <c r="H1508" s="24"/>
      <c r="I1508" s="24"/>
      <c r="L1508"/>
    </row>
    <row r="1509" spans="1:12" x14ac:dyDescent="0.25">
      <c r="A1509" s="16"/>
      <c r="D1509" s="16"/>
      <c r="F1509" s="16"/>
      <c r="G1509" s="16"/>
      <c r="H1509" s="24"/>
      <c r="I1509" s="24"/>
      <c r="L1509"/>
    </row>
    <row r="1510" spans="1:12" x14ac:dyDescent="0.25">
      <c r="A1510" s="16"/>
      <c r="D1510" s="16"/>
      <c r="F1510" s="16"/>
      <c r="G1510" s="16"/>
      <c r="H1510" s="24"/>
      <c r="I1510" s="24"/>
      <c r="L1510"/>
    </row>
    <row r="1511" spans="1:12" x14ac:dyDescent="0.25">
      <c r="A1511" s="16"/>
      <c r="D1511" s="16"/>
      <c r="F1511" s="16"/>
      <c r="G1511" s="16"/>
      <c r="H1511" s="24"/>
      <c r="I1511" s="24"/>
      <c r="L1511"/>
    </row>
    <row r="1512" spans="1:12" x14ac:dyDescent="0.25">
      <c r="A1512" s="16"/>
      <c r="D1512" s="16"/>
      <c r="F1512" s="16"/>
      <c r="G1512" s="16"/>
      <c r="H1512" s="24"/>
      <c r="I1512" s="24"/>
      <c r="L1512"/>
    </row>
    <row r="1513" spans="1:12" x14ac:dyDescent="0.25">
      <c r="A1513" s="16"/>
      <c r="D1513" s="16"/>
      <c r="F1513" s="16"/>
      <c r="G1513" s="16"/>
      <c r="H1513" s="24"/>
      <c r="I1513" s="24"/>
      <c r="L1513"/>
    </row>
    <row r="1514" spans="1:12" x14ac:dyDescent="0.25">
      <c r="A1514" s="16"/>
      <c r="D1514" s="16"/>
      <c r="F1514" s="16"/>
      <c r="G1514" s="16"/>
      <c r="H1514" s="24"/>
      <c r="I1514" s="24"/>
      <c r="L1514"/>
    </row>
    <row r="1515" spans="1:12" x14ac:dyDescent="0.25">
      <c r="A1515" s="16"/>
      <c r="D1515" s="16"/>
      <c r="F1515" s="16"/>
      <c r="G1515" s="16"/>
      <c r="H1515" s="24"/>
      <c r="I1515" s="24"/>
      <c r="L1515"/>
    </row>
    <row r="1516" spans="1:12" x14ac:dyDescent="0.25">
      <c r="A1516" s="16"/>
      <c r="D1516" s="16"/>
      <c r="F1516" s="16"/>
      <c r="G1516" s="16"/>
      <c r="H1516" s="24"/>
      <c r="I1516" s="24"/>
      <c r="L1516"/>
    </row>
    <row r="1517" spans="1:12" x14ac:dyDescent="0.25">
      <c r="A1517" s="16"/>
      <c r="D1517" s="16"/>
      <c r="F1517" s="16"/>
      <c r="G1517" s="16"/>
      <c r="H1517" s="24"/>
      <c r="I1517" s="24"/>
      <c r="L1517"/>
    </row>
    <row r="1518" spans="1:12" x14ac:dyDescent="0.25">
      <c r="A1518" s="16"/>
      <c r="D1518" s="16"/>
      <c r="F1518" s="16"/>
      <c r="G1518" s="16"/>
      <c r="H1518" s="24"/>
      <c r="I1518" s="24"/>
      <c r="L1518"/>
    </row>
    <row r="1519" spans="1:12" x14ac:dyDescent="0.25">
      <c r="A1519" s="16"/>
      <c r="D1519" s="16"/>
      <c r="F1519" s="16"/>
      <c r="G1519" s="16"/>
      <c r="H1519" s="24"/>
      <c r="I1519" s="24"/>
      <c r="L1519"/>
    </row>
    <row r="1520" spans="1:12" x14ac:dyDescent="0.25">
      <c r="A1520" s="16"/>
      <c r="D1520" s="16"/>
      <c r="F1520" s="16"/>
      <c r="G1520" s="16"/>
      <c r="H1520" s="24"/>
      <c r="I1520" s="24"/>
      <c r="L1520"/>
    </row>
    <row r="1521" spans="1:12" x14ac:dyDescent="0.25">
      <c r="A1521" s="16"/>
      <c r="D1521" s="16"/>
      <c r="F1521" s="16"/>
      <c r="G1521" s="16"/>
      <c r="H1521" s="24"/>
      <c r="I1521" s="24"/>
      <c r="L1521"/>
    </row>
    <row r="1522" spans="1:12" x14ac:dyDescent="0.25">
      <c r="A1522" s="16"/>
      <c r="D1522" s="16"/>
      <c r="F1522" s="16"/>
      <c r="G1522" s="16"/>
      <c r="H1522" s="24"/>
      <c r="I1522" s="24"/>
      <c r="L1522"/>
    </row>
    <row r="1523" spans="1:12" x14ac:dyDescent="0.25">
      <c r="A1523" s="16"/>
      <c r="D1523" s="16"/>
      <c r="F1523" s="16"/>
      <c r="G1523" s="16"/>
      <c r="H1523" s="24"/>
      <c r="I1523" s="24"/>
      <c r="L1523"/>
    </row>
    <row r="1524" spans="1:12" x14ac:dyDescent="0.25">
      <c r="A1524" s="16"/>
      <c r="D1524" s="16"/>
      <c r="F1524" s="16"/>
      <c r="G1524" s="16"/>
      <c r="H1524" s="24"/>
      <c r="I1524" s="24"/>
      <c r="L1524"/>
    </row>
    <row r="1525" spans="1:12" x14ac:dyDescent="0.25">
      <c r="A1525" s="16"/>
      <c r="D1525" s="16"/>
      <c r="F1525" s="16"/>
      <c r="G1525" s="16"/>
      <c r="H1525" s="24"/>
      <c r="I1525" s="24"/>
      <c r="L1525"/>
    </row>
    <row r="1526" spans="1:12" x14ac:dyDescent="0.25">
      <c r="A1526" s="16"/>
      <c r="D1526" s="16"/>
      <c r="F1526" s="16"/>
      <c r="G1526" s="16"/>
      <c r="H1526" s="24"/>
      <c r="I1526" s="24"/>
      <c r="L1526"/>
    </row>
    <row r="1527" spans="1:12" x14ac:dyDescent="0.25">
      <c r="A1527" s="16"/>
      <c r="D1527" s="16"/>
      <c r="F1527" s="16"/>
      <c r="G1527" s="16"/>
      <c r="H1527" s="24"/>
      <c r="I1527" s="24"/>
      <c r="L1527"/>
    </row>
    <row r="1528" spans="1:12" x14ac:dyDescent="0.25">
      <c r="A1528" s="16"/>
      <c r="D1528" s="16"/>
      <c r="F1528" s="16"/>
      <c r="G1528" s="16"/>
      <c r="H1528" s="24"/>
      <c r="I1528" s="24"/>
      <c r="L1528"/>
    </row>
    <row r="1529" spans="1:12" x14ac:dyDescent="0.25">
      <c r="A1529" s="16"/>
      <c r="D1529" s="16"/>
      <c r="F1529" s="16"/>
      <c r="G1529" s="16"/>
      <c r="H1529" s="24"/>
      <c r="I1529" s="24"/>
      <c r="L1529"/>
    </row>
    <row r="1530" spans="1:12" x14ac:dyDescent="0.25">
      <c r="A1530" s="16"/>
      <c r="D1530" s="16"/>
      <c r="F1530" s="16"/>
      <c r="G1530" s="16"/>
      <c r="H1530" s="24"/>
      <c r="I1530" s="24"/>
      <c r="L1530"/>
    </row>
    <row r="1531" spans="1:12" x14ac:dyDescent="0.25">
      <c r="A1531" s="16"/>
      <c r="D1531" s="16"/>
      <c r="F1531" s="16"/>
      <c r="G1531" s="16"/>
      <c r="H1531" s="24"/>
      <c r="I1531" s="24"/>
      <c r="L1531"/>
    </row>
    <row r="1532" spans="1:12" x14ac:dyDescent="0.25">
      <c r="A1532" s="16"/>
      <c r="D1532" s="16"/>
      <c r="F1532" s="16"/>
      <c r="G1532" s="16"/>
      <c r="H1532" s="24"/>
      <c r="I1532" s="24"/>
      <c r="L1532"/>
    </row>
    <row r="1533" spans="1:12" x14ac:dyDescent="0.25">
      <c r="A1533" s="16"/>
      <c r="D1533" s="16"/>
      <c r="F1533" s="16"/>
      <c r="G1533" s="16"/>
      <c r="H1533" s="24"/>
      <c r="I1533" s="24"/>
      <c r="L1533"/>
    </row>
    <row r="1534" spans="1:12" x14ac:dyDescent="0.25">
      <c r="A1534" s="16"/>
      <c r="D1534" s="16"/>
      <c r="F1534" s="16"/>
      <c r="G1534" s="16"/>
      <c r="H1534" s="24"/>
      <c r="I1534" s="24"/>
      <c r="L1534"/>
    </row>
    <row r="1535" spans="1:12" x14ac:dyDescent="0.25">
      <c r="A1535" s="16"/>
      <c r="D1535" s="16"/>
      <c r="F1535" s="16"/>
      <c r="G1535" s="16"/>
      <c r="H1535" s="24"/>
      <c r="I1535" s="24"/>
      <c r="L1535"/>
    </row>
    <row r="1536" spans="1:12" x14ac:dyDescent="0.25">
      <c r="A1536" s="16"/>
      <c r="D1536" s="16"/>
      <c r="F1536" s="16"/>
      <c r="G1536" s="16"/>
      <c r="H1536" s="24"/>
      <c r="I1536" s="24"/>
      <c r="L1536"/>
    </row>
    <row r="1537" spans="1:12" x14ac:dyDescent="0.25">
      <c r="A1537" s="16"/>
      <c r="D1537" s="16"/>
      <c r="F1537" s="16"/>
      <c r="G1537" s="16"/>
      <c r="H1537" s="24"/>
      <c r="I1537" s="24"/>
      <c r="L1537"/>
    </row>
    <row r="1538" spans="1:12" x14ac:dyDescent="0.25">
      <c r="A1538" s="16"/>
      <c r="D1538" s="16"/>
      <c r="F1538" s="16"/>
      <c r="G1538" s="16"/>
      <c r="H1538" s="24"/>
      <c r="I1538" s="24"/>
      <c r="L1538"/>
    </row>
    <row r="1539" spans="1:12" x14ac:dyDescent="0.25">
      <c r="A1539" s="16"/>
      <c r="D1539" s="16"/>
      <c r="F1539" s="16"/>
      <c r="G1539" s="16"/>
      <c r="H1539" s="24"/>
      <c r="I1539" s="24"/>
      <c r="L1539"/>
    </row>
    <row r="1540" spans="1:12" x14ac:dyDescent="0.25">
      <c r="A1540" s="16"/>
      <c r="D1540" s="16"/>
      <c r="F1540" s="16"/>
      <c r="G1540" s="16"/>
      <c r="H1540" s="24"/>
      <c r="I1540" s="24"/>
      <c r="L1540"/>
    </row>
    <row r="1541" spans="1:12" x14ac:dyDescent="0.25">
      <c r="A1541" s="16"/>
      <c r="D1541" s="16"/>
      <c r="F1541" s="16"/>
      <c r="G1541" s="16"/>
      <c r="H1541" s="24"/>
      <c r="I1541" s="24"/>
      <c r="L1541"/>
    </row>
    <row r="1542" spans="1:12" x14ac:dyDescent="0.25">
      <c r="A1542" s="16"/>
      <c r="D1542" s="16"/>
      <c r="F1542" s="16"/>
      <c r="G1542" s="16"/>
      <c r="H1542" s="24"/>
      <c r="I1542" s="24"/>
      <c r="L1542"/>
    </row>
    <row r="1543" spans="1:12" x14ac:dyDescent="0.25">
      <c r="A1543" s="16"/>
      <c r="D1543" s="16"/>
      <c r="F1543" s="16"/>
      <c r="G1543" s="16"/>
      <c r="H1543" s="24"/>
      <c r="I1543" s="24"/>
      <c r="L1543"/>
    </row>
    <row r="1544" spans="1:12" x14ac:dyDescent="0.25">
      <c r="A1544" s="16"/>
      <c r="D1544" s="16"/>
      <c r="F1544" s="16"/>
      <c r="G1544" s="16"/>
      <c r="H1544" s="24"/>
      <c r="I1544" s="24"/>
      <c r="L1544"/>
    </row>
    <row r="1545" spans="1:12" x14ac:dyDescent="0.25">
      <c r="A1545" s="16"/>
      <c r="D1545" s="16"/>
      <c r="F1545" s="16"/>
      <c r="G1545" s="16"/>
      <c r="H1545" s="24"/>
      <c r="I1545" s="24"/>
      <c r="L1545"/>
    </row>
    <row r="1546" spans="1:12" x14ac:dyDescent="0.25">
      <c r="A1546" s="16"/>
      <c r="D1546" s="16"/>
      <c r="F1546" s="16"/>
      <c r="G1546" s="16"/>
      <c r="H1546" s="24"/>
      <c r="I1546" s="24"/>
      <c r="L1546"/>
    </row>
    <row r="1547" spans="1:12" x14ac:dyDescent="0.25">
      <c r="A1547" s="16"/>
      <c r="D1547" s="16"/>
      <c r="F1547" s="16"/>
      <c r="G1547" s="16"/>
      <c r="H1547" s="24"/>
      <c r="I1547" s="24"/>
      <c r="L1547"/>
    </row>
    <row r="1548" spans="1:12" x14ac:dyDescent="0.25">
      <c r="A1548" s="16"/>
      <c r="D1548" s="16"/>
      <c r="F1548" s="16"/>
      <c r="G1548" s="16"/>
      <c r="H1548" s="24"/>
      <c r="I1548" s="24"/>
      <c r="L1548"/>
    </row>
    <row r="1549" spans="1:12" x14ac:dyDescent="0.25">
      <c r="A1549" s="16"/>
      <c r="D1549" s="16"/>
      <c r="F1549" s="16"/>
      <c r="G1549" s="16"/>
      <c r="H1549" s="24"/>
      <c r="I1549" s="24"/>
      <c r="L1549"/>
    </row>
    <row r="1550" spans="1:12" x14ac:dyDescent="0.25">
      <c r="A1550" s="16"/>
      <c r="D1550" s="16"/>
      <c r="F1550" s="16"/>
      <c r="G1550" s="16"/>
      <c r="H1550" s="24"/>
      <c r="I1550" s="24"/>
      <c r="L1550"/>
    </row>
    <row r="1551" spans="1:12" x14ac:dyDescent="0.25">
      <c r="A1551" s="16"/>
      <c r="D1551" s="16"/>
      <c r="F1551" s="16"/>
      <c r="G1551" s="16"/>
      <c r="H1551" s="24"/>
      <c r="I1551" s="24"/>
      <c r="L1551"/>
    </row>
    <row r="1552" spans="1:12" x14ac:dyDescent="0.25">
      <c r="A1552" s="16"/>
      <c r="D1552" s="16"/>
      <c r="F1552" s="16"/>
      <c r="G1552" s="16"/>
      <c r="H1552" s="24"/>
      <c r="I1552" s="24"/>
      <c r="L1552"/>
    </row>
    <row r="1553" spans="1:12" x14ac:dyDescent="0.25">
      <c r="A1553" s="16"/>
      <c r="D1553" s="16"/>
      <c r="F1553" s="16"/>
      <c r="G1553" s="16"/>
      <c r="H1553" s="24"/>
      <c r="I1553" s="24"/>
      <c r="L1553"/>
    </row>
    <row r="1554" spans="1:12" x14ac:dyDescent="0.25">
      <c r="A1554" s="16"/>
      <c r="D1554" s="16"/>
      <c r="F1554" s="16"/>
      <c r="G1554" s="16"/>
      <c r="H1554" s="24"/>
      <c r="I1554" s="24"/>
      <c r="L1554"/>
    </row>
    <row r="1555" spans="1:12" x14ac:dyDescent="0.25">
      <c r="A1555" s="16"/>
      <c r="D1555" s="16"/>
      <c r="F1555" s="16"/>
      <c r="G1555" s="16"/>
      <c r="H1555" s="24"/>
      <c r="I1555" s="24"/>
      <c r="L1555"/>
    </row>
    <row r="1556" spans="1:12" x14ac:dyDescent="0.25">
      <c r="A1556" s="16"/>
      <c r="D1556" s="16"/>
      <c r="F1556" s="16"/>
      <c r="G1556" s="16"/>
      <c r="H1556" s="24"/>
      <c r="I1556" s="24"/>
      <c r="L1556"/>
    </row>
    <row r="1557" spans="1:12" x14ac:dyDescent="0.25">
      <c r="A1557" s="16"/>
      <c r="D1557" s="16"/>
      <c r="F1557" s="16"/>
      <c r="G1557" s="16"/>
      <c r="H1557" s="24"/>
      <c r="I1557" s="24"/>
      <c r="L1557"/>
    </row>
    <row r="1558" spans="1:12" x14ac:dyDescent="0.25">
      <c r="A1558" s="16"/>
      <c r="D1558" s="16"/>
      <c r="F1558" s="16"/>
      <c r="G1558" s="16"/>
      <c r="H1558" s="24"/>
      <c r="I1558" s="24"/>
      <c r="L1558"/>
    </row>
    <row r="1559" spans="1:12" x14ac:dyDescent="0.25">
      <c r="A1559" s="16"/>
      <c r="D1559" s="16"/>
      <c r="F1559" s="16"/>
      <c r="G1559" s="16"/>
      <c r="H1559" s="24"/>
      <c r="I1559" s="24"/>
      <c r="L1559"/>
    </row>
    <row r="1560" spans="1:12" x14ac:dyDescent="0.25">
      <c r="A1560" s="16"/>
      <c r="D1560" s="16"/>
      <c r="F1560" s="16"/>
      <c r="G1560" s="16"/>
      <c r="H1560" s="24"/>
      <c r="I1560" s="24"/>
      <c r="L1560"/>
    </row>
    <row r="1561" spans="1:12" x14ac:dyDescent="0.25">
      <c r="A1561" s="16"/>
      <c r="D1561" s="16"/>
      <c r="F1561" s="16"/>
      <c r="G1561" s="16"/>
      <c r="H1561" s="24"/>
      <c r="I1561" s="24"/>
      <c r="L1561"/>
    </row>
    <row r="1562" spans="1:12" x14ac:dyDescent="0.25">
      <c r="A1562" s="16"/>
      <c r="D1562" s="16"/>
      <c r="F1562" s="16"/>
      <c r="G1562" s="16"/>
      <c r="H1562" s="24"/>
      <c r="I1562" s="24"/>
      <c r="L1562"/>
    </row>
    <row r="1563" spans="1:12" x14ac:dyDescent="0.25">
      <c r="A1563" s="16"/>
      <c r="D1563" s="16"/>
      <c r="F1563" s="16"/>
      <c r="G1563" s="16"/>
      <c r="H1563" s="24"/>
      <c r="I1563" s="24"/>
      <c r="L1563"/>
    </row>
    <row r="1564" spans="1:12" x14ac:dyDescent="0.25">
      <c r="A1564" s="16"/>
      <c r="D1564" s="16"/>
      <c r="F1564" s="16"/>
      <c r="G1564" s="16"/>
      <c r="H1564" s="24"/>
      <c r="I1564" s="24"/>
      <c r="L1564"/>
    </row>
    <row r="1565" spans="1:12" x14ac:dyDescent="0.25">
      <c r="A1565" s="16"/>
      <c r="D1565" s="16"/>
      <c r="F1565" s="16"/>
      <c r="G1565" s="16"/>
      <c r="H1565" s="24"/>
      <c r="I1565" s="24"/>
      <c r="L1565"/>
    </row>
    <row r="1566" spans="1:12" x14ac:dyDescent="0.25">
      <c r="A1566" s="16"/>
      <c r="D1566" s="16"/>
      <c r="F1566" s="16"/>
      <c r="G1566" s="16"/>
      <c r="H1566" s="24"/>
      <c r="I1566" s="24"/>
      <c r="L1566"/>
    </row>
    <row r="1567" spans="1:12" x14ac:dyDescent="0.25">
      <c r="A1567" s="16"/>
      <c r="D1567" s="16"/>
      <c r="F1567" s="16"/>
      <c r="G1567" s="16"/>
      <c r="H1567" s="24"/>
      <c r="I1567" s="24"/>
      <c r="L1567"/>
    </row>
    <row r="1568" spans="1:12" x14ac:dyDescent="0.25">
      <c r="A1568" s="16"/>
      <c r="D1568" s="16"/>
      <c r="F1568" s="16"/>
      <c r="G1568" s="16"/>
      <c r="H1568" s="24"/>
      <c r="I1568" s="24"/>
      <c r="L1568"/>
    </row>
    <row r="1569" spans="1:12" x14ac:dyDescent="0.25">
      <c r="A1569" s="16"/>
      <c r="D1569" s="16"/>
      <c r="F1569" s="16"/>
      <c r="G1569" s="16"/>
      <c r="H1569" s="24"/>
      <c r="I1569" s="24"/>
      <c r="L1569"/>
    </row>
    <row r="1570" spans="1:12" x14ac:dyDescent="0.25">
      <c r="A1570" s="16"/>
      <c r="D1570" s="16"/>
      <c r="F1570" s="16"/>
      <c r="G1570" s="16"/>
      <c r="H1570" s="24"/>
      <c r="I1570" s="24"/>
      <c r="L1570"/>
    </row>
    <row r="1571" spans="1:12" x14ac:dyDescent="0.25">
      <c r="A1571" s="16"/>
      <c r="D1571" s="16"/>
      <c r="F1571" s="16"/>
      <c r="G1571" s="16"/>
      <c r="H1571" s="24"/>
      <c r="I1571" s="24"/>
      <c r="L1571"/>
    </row>
    <row r="1572" spans="1:12" x14ac:dyDescent="0.25">
      <c r="A1572" s="16"/>
      <c r="D1572" s="16"/>
      <c r="F1572" s="16"/>
      <c r="G1572" s="16"/>
      <c r="H1572" s="24"/>
      <c r="I1572" s="24"/>
      <c r="L1572"/>
    </row>
    <row r="1573" spans="1:12" x14ac:dyDescent="0.25">
      <c r="A1573" s="16"/>
      <c r="D1573" s="16"/>
      <c r="F1573" s="16"/>
      <c r="G1573" s="16"/>
      <c r="H1573" s="24"/>
      <c r="I1573" s="24"/>
      <c r="L1573"/>
    </row>
    <row r="1574" spans="1:12" x14ac:dyDescent="0.25">
      <c r="A1574" s="16"/>
      <c r="D1574" s="16"/>
      <c r="F1574" s="16"/>
      <c r="G1574" s="16"/>
      <c r="H1574" s="24"/>
      <c r="I1574" s="24"/>
      <c r="L1574"/>
    </row>
    <row r="1575" spans="1:12" x14ac:dyDescent="0.25">
      <c r="A1575" s="16"/>
      <c r="D1575" s="16"/>
      <c r="F1575" s="16"/>
      <c r="G1575" s="16"/>
      <c r="H1575" s="24"/>
      <c r="I1575" s="24"/>
      <c r="L1575"/>
    </row>
    <row r="1576" spans="1:12" x14ac:dyDescent="0.25">
      <c r="A1576" s="16"/>
      <c r="D1576" s="16"/>
      <c r="F1576" s="16"/>
      <c r="G1576" s="16"/>
      <c r="H1576" s="24"/>
      <c r="I1576" s="24"/>
      <c r="L1576"/>
    </row>
    <row r="1577" spans="1:12" x14ac:dyDescent="0.25">
      <c r="A1577" s="16"/>
      <c r="D1577" s="16"/>
      <c r="F1577" s="16"/>
      <c r="G1577" s="16"/>
      <c r="H1577" s="24"/>
      <c r="I1577" s="24"/>
      <c r="L1577"/>
    </row>
    <row r="1578" spans="1:12" x14ac:dyDescent="0.25">
      <c r="A1578" s="16"/>
      <c r="D1578" s="16"/>
      <c r="F1578" s="16"/>
      <c r="G1578" s="16"/>
      <c r="H1578" s="24"/>
      <c r="I1578" s="24"/>
      <c r="L1578"/>
    </row>
    <row r="1579" spans="1:12" x14ac:dyDescent="0.25">
      <c r="A1579" s="16"/>
      <c r="D1579" s="16"/>
      <c r="F1579" s="16"/>
      <c r="G1579" s="16"/>
      <c r="H1579" s="24"/>
      <c r="I1579" s="24"/>
      <c r="L1579"/>
    </row>
    <row r="1580" spans="1:12" x14ac:dyDescent="0.25">
      <c r="A1580" s="16"/>
      <c r="D1580" s="16"/>
      <c r="F1580" s="16"/>
      <c r="G1580" s="16"/>
      <c r="H1580" s="24"/>
      <c r="I1580" s="24"/>
      <c r="L1580"/>
    </row>
    <row r="1581" spans="1:12" x14ac:dyDescent="0.25">
      <c r="A1581" s="16"/>
      <c r="D1581" s="16"/>
      <c r="F1581" s="16"/>
      <c r="G1581" s="16"/>
      <c r="H1581" s="24"/>
      <c r="I1581" s="24"/>
      <c r="L1581"/>
    </row>
    <row r="1582" spans="1:12" x14ac:dyDescent="0.25">
      <c r="A1582" s="16"/>
      <c r="D1582" s="16"/>
      <c r="F1582" s="16"/>
      <c r="G1582" s="16"/>
      <c r="H1582" s="24"/>
      <c r="I1582" s="24"/>
      <c r="L1582"/>
    </row>
    <row r="1583" spans="1:12" x14ac:dyDescent="0.25">
      <c r="A1583" s="16"/>
      <c r="D1583" s="16"/>
      <c r="F1583" s="16"/>
      <c r="G1583" s="16"/>
      <c r="H1583" s="24"/>
      <c r="I1583" s="24"/>
      <c r="L1583"/>
    </row>
    <row r="1584" spans="1:12" x14ac:dyDescent="0.25">
      <c r="A1584" s="16"/>
      <c r="D1584" s="16"/>
      <c r="F1584" s="16"/>
      <c r="G1584" s="16"/>
      <c r="H1584" s="24"/>
      <c r="I1584" s="24"/>
      <c r="L1584"/>
    </row>
    <row r="1585" spans="1:12" x14ac:dyDescent="0.25">
      <c r="A1585" s="16"/>
      <c r="D1585" s="16"/>
      <c r="F1585" s="16"/>
      <c r="G1585" s="16"/>
      <c r="H1585" s="24"/>
      <c r="I1585" s="24"/>
      <c r="L1585"/>
    </row>
    <row r="1586" spans="1:12" x14ac:dyDescent="0.25">
      <c r="A1586" s="16"/>
      <c r="D1586" s="16"/>
      <c r="F1586" s="16"/>
      <c r="G1586" s="16"/>
      <c r="H1586" s="24"/>
      <c r="I1586" s="24"/>
      <c r="L1586"/>
    </row>
    <row r="1587" spans="1:12" x14ac:dyDescent="0.25">
      <c r="A1587" s="16"/>
      <c r="D1587" s="16"/>
      <c r="F1587" s="16"/>
      <c r="G1587" s="16"/>
      <c r="H1587" s="24"/>
      <c r="I1587" s="24"/>
      <c r="L1587"/>
    </row>
    <row r="1588" spans="1:12" x14ac:dyDescent="0.25">
      <c r="A1588" s="16"/>
      <c r="D1588" s="16"/>
      <c r="F1588" s="16"/>
      <c r="G1588" s="16"/>
      <c r="H1588" s="24"/>
      <c r="I1588" s="24"/>
      <c r="L1588"/>
    </row>
    <row r="1589" spans="1:12" x14ac:dyDescent="0.25">
      <c r="A1589" s="16"/>
      <c r="D1589" s="16"/>
      <c r="F1589" s="16"/>
      <c r="G1589" s="16"/>
      <c r="H1589" s="24"/>
      <c r="I1589" s="24"/>
      <c r="L1589"/>
    </row>
    <row r="1590" spans="1:12" x14ac:dyDescent="0.25">
      <c r="A1590" s="16"/>
      <c r="D1590" s="16"/>
      <c r="F1590" s="16"/>
      <c r="G1590" s="16"/>
      <c r="H1590" s="24"/>
      <c r="I1590" s="24"/>
      <c r="L1590"/>
    </row>
    <row r="1591" spans="1:12" x14ac:dyDescent="0.25">
      <c r="A1591" s="16"/>
      <c r="D1591" s="16"/>
      <c r="F1591" s="16"/>
      <c r="G1591" s="16"/>
      <c r="H1591" s="24"/>
      <c r="I1591" s="24"/>
      <c r="L1591"/>
    </row>
    <row r="1592" spans="1:12" x14ac:dyDescent="0.25">
      <c r="A1592" s="16"/>
      <c r="D1592" s="16"/>
      <c r="F1592" s="16"/>
      <c r="G1592" s="16"/>
      <c r="H1592" s="24"/>
      <c r="I1592" s="24"/>
      <c r="L1592"/>
    </row>
    <row r="1593" spans="1:12" x14ac:dyDescent="0.25">
      <c r="A1593" s="16"/>
      <c r="D1593" s="16"/>
      <c r="F1593" s="16"/>
      <c r="G1593" s="16"/>
      <c r="H1593" s="24"/>
      <c r="I1593" s="24"/>
      <c r="L1593"/>
    </row>
    <row r="1594" spans="1:12" x14ac:dyDescent="0.25">
      <c r="A1594" s="16"/>
      <c r="D1594" s="16"/>
      <c r="F1594" s="16"/>
      <c r="G1594" s="16"/>
      <c r="H1594" s="24"/>
      <c r="I1594" s="24"/>
      <c r="L1594"/>
    </row>
    <row r="1595" spans="1:12" x14ac:dyDescent="0.25">
      <c r="A1595" s="16"/>
      <c r="D1595" s="16"/>
      <c r="F1595" s="16"/>
      <c r="G1595" s="16"/>
      <c r="H1595" s="24"/>
      <c r="I1595" s="24"/>
      <c r="L1595"/>
    </row>
    <row r="1596" spans="1:12" x14ac:dyDescent="0.25">
      <c r="A1596" s="16"/>
      <c r="D1596" s="16"/>
      <c r="F1596" s="16"/>
      <c r="G1596" s="16"/>
      <c r="H1596" s="24"/>
      <c r="I1596" s="24"/>
      <c r="L1596"/>
    </row>
    <row r="1597" spans="1:12" x14ac:dyDescent="0.25">
      <c r="A1597" s="16"/>
      <c r="D1597" s="16"/>
      <c r="F1597" s="16"/>
      <c r="G1597" s="16"/>
      <c r="H1597" s="24"/>
      <c r="I1597" s="24"/>
      <c r="L1597"/>
    </row>
    <row r="1598" spans="1:12" x14ac:dyDescent="0.25">
      <c r="A1598" s="16"/>
      <c r="D1598" s="16"/>
      <c r="F1598" s="16"/>
      <c r="G1598" s="16"/>
      <c r="H1598" s="24"/>
      <c r="I1598" s="24"/>
      <c r="L1598"/>
    </row>
    <row r="1599" spans="1:12" x14ac:dyDescent="0.25">
      <c r="A1599" s="16"/>
      <c r="D1599" s="16"/>
      <c r="F1599" s="16"/>
      <c r="G1599" s="16"/>
      <c r="H1599" s="24"/>
      <c r="I1599" s="24"/>
      <c r="L1599"/>
    </row>
    <row r="1600" spans="1:12" x14ac:dyDescent="0.25">
      <c r="A1600" s="16"/>
      <c r="D1600" s="16"/>
      <c r="F1600" s="16"/>
      <c r="G1600" s="16"/>
      <c r="H1600" s="24"/>
      <c r="I1600" s="24"/>
      <c r="L1600"/>
    </row>
    <row r="1601" spans="1:12" x14ac:dyDescent="0.25">
      <c r="A1601" s="16"/>
      <c r="D1601" s="16"/>
      <c r="F1601" s="16"/>
      <c r="G1601" s="16"/>
      <c r="H1601" s="24"/>
      <c r="I1601" s="24"/>
      <c r="L1601"/>
    </row>
    <row r="1602" spans="1:12" x14ac:dyDescent="0.25">
      <c r="A1602" s="16"/>
      <c r="D1602" s="16"/>
      <c r="F1602" s="16"/>
      <c r="G1602" s="16"/>
      <c r="H1602" s="24"/>
      <c r="I1602" s="24"/>
      <c r="L1602"/>
    </row>
    <row r="1603" spans="1:12" x14ac:dyDescent="0.25">
      <c r="A1603" s="16"/>
      <c r="D1603" s="16"/>
      <c r="F1603" s="16"/>
      <c r="G1603" s="16"/>
      <c r="H1603" s="24"/>
      <c r="I1603" s="24"/>
      <c r="L1603"/>
    </row>
    <row r="1604" spans="1:12" x14ac:dyDescent="0.25">
      <c r="A1604" s="16"/>
      <c r="D1604" s="16"/>
      <c r="F1604" s="16"/>
      <c r="G1604" s="16"/>
      <c r="H1604" s="24"/>
      <c r="I1604" s="24"/>
      <c r="L1604"/>
    </row>
    <row r="1605" spans="1:12" x14ac:dyDescent="0.25">
      <c r="A1605" s="16"/>
      <c r="D1605" s="16"/>
      <c r="F1605" s="16"/>
      <c r="G1605" s="16"/>
      <c r="H1605" s="24"/>
      <c r="I1605" s="24"/>
      <c r="L1605"/>
    </row>
    <row r="1606" spans="1:12" x14ac:dyDescent="0.25">
      <c r="A1606" s="16"/>
      <c r="D1606" s="16"/>
      <c r="F1606" s="16"/>
      <c r="G1606" s="16"/>
      <c r="H1606" s="24"/>
      <c r="I1606" s="24"/>
      <c r="L1606"/>
    </row>
    <row r="1607" spans="1:12" x14ac:dyDescent="0.25">
      <c r="A1607" s="16"/>
      <c r="D1607" s="16"/>
      <c r="F1607" s="16"/>
      <c r="G1607" s="16"/>
      <c r="H1607" s="24"/>
      <c r="I1607" s="24"/>
      <c r="L1607"/>
    </row>
    <row r="1608" spans="1:12" x14ac:dyDescent="0.25">
      <c r="A1608" s="16"/>
      <c r="D1608" s="16"/>
      <c r="F1608" s="16"/>
      <c r="G1608" s="16"/>
      <c r="H1608" s="24"/>
      <c r="I1608" s="24"/>
      <c r="L1608"/>
    </row>
    <row r="1609" spans="1:12" x14ac:dyDescent="0.25">
      <c r="A1609" s="16"/>
      <c r="D1609" s="16"/>
      <c r="F1609" s="16"/>
      <c r="G1609" s="16"/>
      <c r="H1609" s="24"/>
      <c r="I1609" s="24"/>
      <c r="L1609"/>
    </row>
    <row r="1610" spans="1:12" x14ac:dyDescent="0.25">
      <c r="A1610" s="16"/>
      <c r="D1610" s="16"/>
      <c r="F1610" s="16"/>
      <c r="G1610" s="16"/>
      <c r="H1610" s="24"/>
      <c r="I1610" s="24"/>
      <c r="L1610"/>
    </row>
    <row r="1611" spans="1:12" x14ac:dyDescent="0.25">
      <c r="A1611" s="16"/>
      <c r="D1611" s="16"/>
      <c r="F1611" s="16"/>
      <c r="G1611" s="16"/>
      <c r="H1611" s="24"/>
      <c r="I1611" s="24"/>
      <c r="L1611"/>
    </row>
    <row r="1612" spans="1:12" x14ac:dyDescent="0.25">
      <c r="A1612" s="16"/>
      <c r="D1612" s="16"/>
      <c r="F1612" s="16"/>
      <c r="G1612" s="16"/>
      <c r="H1612" s="24"/>
      <c r="I1612" s="24"/>
      <c r="L1612"/>
    </row>
    <row r="1613" spans="1:12" x14ac:dyDescent="0.25">
      <c r="A1613" s="16"/>
      <c r="D1613" s="16"/>
      <c r="F1613" s="16"/>
      <c r="G1613" s="16"/>
      <c r="H1613" s="24"/>
      <c r="I1613" s="24"/>
      <c r="L1613"/>
    </row>
    <row r="1614" spans="1:12" x14ac:dyDescent="0.25">
      <c r="A1614" s="16"/>
      <c r="D1614" s="16"/>
      <c r="F1614" s="16"/>
      <c r="G1614" s="16"/>
      <c r="H1614" s="24"/>
      <c r="I1614" s="24"/>
      <c r="L1614"/>
    </row>
    <row r="1615" spans="1:12" x14ac:dyDescent="0.25">
      <c r="A1615" s="16"/>
      <c r="D1615" s="16"/>
      <c r="F1615" s="16"/>
      <c r="G1615" s="16"/>
      <c r="H1615" s="24"/>
      <c r="I1615" s="24"/>
      <c r="L1615"/>
    </row>
    <row r="1616" spans="1:12" x14ac:dyDescent="0.25">
      <c r="A1616" s="16"/>
      <c r="D1616" s="16"/>
      <c r="F1616" s="16"/>
      <c r="G1616" s="16"/>
      <c r="H1616" s="24"/>
      <c r="I1616" s="24"/>
      <c r="L1616"/>
    </row>
    <row r="1617" spans="1:12" x14ac:dyDescent="0.25">
      <c r="A1617" s="16"/>
      <c r="D1617" s="16"/>
      <c r="F1617" s="16"/>
      <c r="G1617" s="16"/>
      <c r="H1617" s="24"/>
      <c r="I1617" s="24"/>
      <c r="L1617"/>
    </row>
    <row r="1618" spans="1:12" x14ac:dyDescent="0.25">
      <c r="A1618" s="16"/>
      <c r="D1618" s="16"/>
      <c r="F1618" s="16"/>
      <c r="G1618" s="16"/>
      <c r="H1618" s="24"/>
      <c r="I1618" s="24"/>
      <c r="L1618"/>
    </row>
    <row r="1619" spans="1:12" x14ac:dyDescent="0.25">
      <c r="A1619" s="16"/>
      <c r="D1619" s="16"/>
      <c r="F1619" s="16"/>
      <c r="G1619" s="16"/>
      <c r="H1619" s="24"/>
      <c r="I1619" s="24"/>
      <c r="L1619"/>
    </row>
    <row r="1620" spans="1:12" x14ac:dyDescent="0.25">
      <c r="A1620" s="16"/>
      <c r="D1620" s="16"/>
      <c r="F1620" s="16"/>
      <c r="G1620" s="16"/>
      <c r="H1620" s="24"/>
      <c r="I1620" s="24"/>
      <c r="L1620"/>
    </row>
    <row r="1621" spans="1:12" x14ac:dyDescent="0.25">
      <c r="A1621" s="16"/>
      <c r="D1621" s="16"/>
      <c r="F1621" s="16"/>
      <c r="G1621" s="16"/>
      <c r="H1621" s="24"/>
      <c r="I1621" s="24"/>
      <c r="L1621"/>
    </row>
    <row r="1622" spans="1:12" x14ac:dyDescent="0.25">
      <c r="A1622" s="16"/>
      <c r="D1622" s="16"/>
      <c r="F1622" s="16"/>
      <c r="G1622" s="16"/>
      <c r="H1622" s="24"/>
      <c r="I1622" s="24"/>
      <c r="L1622"/>
    </row>
    <row r="1623" spans="1:12" x14ac:dyDescent="0.25">
      <c r="A1623" s="16"/>
      <c r="D1623" s="16"/>
      <c r="F1623" s="16"/>
      <c r="G1623" s="16"/>
      <c r="H1623" s="24"/>
      <c r="I1623" s="24"/>
      <c r="L1623"/>
    </row>
    <row r="1624" spans="1:12" x14ac:dyDescent="0.25">
      <c r="A1624" s="16"/>
      <c r="D1624" s="16"/>
      <c r="F1624" s="16"/>
      <c r="G1624" s="16"/>
      <c r="H1624" s="24"/>
      <c r="I1624" s="24"/>
      <c r="L1624"/>
    </row>
    <row r="1625" spans="1:12" x14ac:dyDescent="0.25">
      <c r="A1625" s="16"/>
      <c r="D1625" s="16"/>
      <c r="F1625" s="16"/>
      <c r="G1625" s="16"/>
      <c r="H1625" s="24"/>
      <c r="I1625" s="24"/>
      <c r="L1625"/>
    </row>
    <row r="1626" spans="1:12" x14ac:dyDescent="0.25">
      <c r="A1626" s="16"/>
      <c r="D1626" s="16"/>
      <c r="F1626" s="16"/>
      <c r="G1626" s="16"/>
      <c r="H1626" s="24"/>
      <c r="I1626" s="24"/>
      <c r="L1626"/>
    </row>
    <row r="1627" spans="1:12" x14ac:dyDescent="0.25">
      <c r="A1627" s="16"/>
      <c r="D1627" s="16"/>
      <c r="F1627" s="16"/>
      <c r="G1627" s="16"/>
      <c r="H1627" s="24"/>
      <c r="I1627" s="24"/>
      <c r="L1627"/>
    </row>
    <row r="1628" spans="1:12" x14ac:dyDescent="0.25">
      <c r="A1628" s="16"/>
      <c r="D1628" s="16"/>
      <c r="F1628" s="16"/>
      <c r="G1628" s="16"/>
      <c r="H1628" s="24"/>
      <c r="I1628" s="24"/>
      <c r="L1628"/>
    </row>
    <row r="1629" spans="1:12" x14ac:dyDescent="0.25">
      <c r="A1629" s="16"/>
      <c r="D1629" s="16"/>
      <c r="F1629" s="16"/>
      <c r="G1629" s="16"/>
      <c r="H1629" s="24"/>
      <c r="I1629" s="24"/>
      <c r="L1629"/>
    </row>
    <row r="1630" spans="1:12" x14ac:dyDescent="0.25">
      <c r="A1630" s="16"/>
      <c r="D1630" s="16"/>
      <c r="F1630" s="16"/>
      <c r="G1630" s="16"/>
      <c r="H1630" s="24"/>
      <c r="I1630" s="24"/>
      <c r="L1630"/>
    </row>
    <row r="1631" spans="1:12" x14ac:dyDescent="0.25">
      <c r="A1631" s="16"/>
      <c r="D1631" s="16"/>
      <c r="F1631" s="16"/>
      <c r="G1631" s="16"/>
      <c r="H1631" s="24"/>
      <c r="I1631" s="24"/>
      <c r="L1631"/>
    </row>
    <row r="1632" spans="1:12" x14ac:dyDescent="0.25">
      <c r="A1632" s="16"/>
      <c r="D1632" s="16"/>
      <c r="F1632" s="16"/>
      <c r="G1632" s="16"/>
      <c r="H1632" s="24"/>
      <c r="I1632" s="24"/>
      <c r="L1632"/>
    </row>
    <row r="1633" spans="1:12" x14ac:dyDescent="0.25">
      <c r="A1633" s="16"/>
      <c r="D1633" s="16"/>
      <c r="F1633" s="16"/>
      <c r="G1633" s="16"/>
      <c r="H1633" s="24"/>
      <c r="I1633" s="24"/>
      <c r="L1633"/>
    </row>
    <row r="1634" spans="1:12" x14ac:dyDescent="0.25">
      <c r="A1634" s="16"/>
      <c r="D1634" s="16"/>
      <c r="F1634" s="16"/>
      <c r="G1634" s="16"/>
      <c r="H1634" s="24"/>
      <c r="I1634" s="24"/>
      <c r="L1634"/>
    </row>
    <row r="1635" spans="1:12" x14ac:dyDescent="0.25">
      <c r="A1635" s="16"/>
      <c r="D1635" s="16"/>
      <c r="F1635" s="16"/>
      <c r="G1635" s="16"/>
      <c r="H1635" s="24"/>
      <c r="I1635" s="24"/>
      <c r="L1635"/>
    </row>
    <row r="1636" spans="1:12" x14ac:dyDescent="0.25">
      <c r="A1636" s="16"/>
      <c r="D1636" s="16"/>
      <c r="F1636" s="16"/>
      <c r="G1636" s="16"/>
      <c r="H1636" s="24"/>
      <c r="I1636" s="24"/>
      <c r="L1636"/>
    </row>
    <row r="1637" spans="1:12" x14ac:dyDescent="0.25">
      <c r="A1637" s="16"/>
      <c r="D1637" s="16"/>
      <c r="F1637" s="16"/>
      <c r="G1637" s="16"/>
      <c r="H1637" s="24"/>
      <c r="I1637" s="24"/>
      <c r="L1637"/>
    </row>
    <row r="1638" spans="1:12" x14ac:dyDescent="0.25">
      <c r="A1638" s="16"/>
      <c r="D1638" s="16"/>
      <c r="F1638" s="16"/>
      <c r="G1638" s="16"/>
      <c r="H1638" s="24"/>
      <c r="I1638" s="24"/>
      <c r="L1638"/>
    </row>
    <row r="1639" spans="1:12" x14ac:dyDescent="0.25">
      <c r="A1639" s="16"/>
      <c r="D1639" s="16"/>
      <c r="F1639" s="16"/>
      <c r="G1639" s="16"/>
      <c r="H1639" s="24"/>
      <c r="I1639" s="24"/>
      <c r="L1639"/>
    </row>
    <row r="1640" spans="1:12" x14ac:dyDescent="0.25">
      <c r="A1640" s="16"/>
      <c r="D1640" s="16"/>
      <c r="F1640" s="16"/>
      <c r="G1640" s="16"/>
      <c r="H1640" s="24"/>
      <c r="I1640" s="24"/>
      <c r="L1640"/>
    </row>
    <row r="1641" spans="1:12" x14ac:dyDescent="0.25">
      <c r="A1641" s="16"/>
      <c r="D1641" s="16"/>
      <c r="F1641" s="16"/>
      <c r="G1641" s="16"/>
      <c r="H1641" s="24"/>
      <c r="I1641" s="24"/>
      <c r="L1641"/>
    </row>
    <row r="1642" spans="1:12" x14ac:dyDescent="0.25">
      <c r="A1642" s="16"/>
      <c r="D1642" s="16"/>
      <c r="F1642" s="16"/>
      <c r="G1642" s="16"/>
      <c r="H1642" s="24"/>
      <c r="I1642" s="24"/>
      <c r="L1642"/>
    </row>
    <row r="1643" spans="1:12" x14ac:dyDescent="0.25">
      <c r="A1643" s="16"/>
      <c r="D1643" s="16"/>
      <c r="F1643" s="16"/>
      <c r="G1643" s="16"/>
      <c r="H1643" s="24"/>
      <c r="I1643" s="24"/>
      <c r="L1643"/>
    </row>
    <row r="1644" spans="1:12" x14ac:dyDescent="0.25">
      <c r="A1644" s="16"/>
      <c r="D1644" s="16"/>
      <c r="F1644" s="16"/>
      <c r="G1644" s="16"/>
      <c r="H1644" s="24"/>
      <c r="I1644" s="24"/>
      <c r="L1644"/>
    </row>
    <row r="1645" spans="1:12" x14ac:dyDescent="0.25">
      <c r="A1645" s="16"/>
      <c r="D1645" s="16"/>
      <c r="F1645" s="16"/>
      <c r="G1645" s="16"/>
      <c r="H1645" s="24"/>
      <c r="I1645" s="24"/>
      <c r="L1645"/>
    </row>
    <row r="1646" spans="1:12" x14ac:dyDescent="0.25">
      <c r="A1646" s="16"/>
      <c r="D1646" s="16"/>
      <c r="F1646" s="16"/>
      <c r="G1646" s="16"/>
      <c r="H1646" s="24"/>
      <c r="I1646" s="24"/>
      <c r="L1646"/>
    </row>
    <row r="1647" spans="1:12" x14ac:dyDescent="0.25">
      <c r="A1647" s="16"/>
      <c r="D1647" s="16"/>
      <c r="F1647" s="16"/>
      <c r="G1647" s="16"/>
      <c r="H1647" s="24"/>
      <c r="I1647" s="24"/>
      <c r="L1647"/>
    </row>
    <row r="1648" spans="1:12" x14ac:dyDescent="0.25">
      <c r="A1648" s="16"/>
      <c r="D1648" s="16"/>
      <c r="F1648" s="16"/>
      <c r="G1648" s="16"/>
      <c r="H1648" s="24"/>
      <c r="I1648" s="24"/>
      <c r="L1648"/>
    </row>
    <row r="1649" spans="1:12" x14ac:dyDescent="0.25">
      <c r="A1649" s="16"/>
      <c r="D1649" s="16"/>
      <c r="F1649" s="16"/>
      <c r="G1649" s="16"/>
      <c r="H1649" s="24"/>
      <c r="I1649" s="24"/>
      <c r="L1649"/>
    </row>
    <row r="1650" spans="1:12" x14ac:dyDescent="0.25">
      <c r="A1650" s="16"/>
      <c r="D1650" s="16"/>
      <c r="F1650" s="16"/>
      <c r="G1650" s="16"/>
      <c r="H1650" s="24"/>
      <c r="I1650" s="24"/>
      <c r="L1650"/>
    </row>
    <row r="1651" spans="1:12" x14ac:dyDescent="0.25">
      <c r="A1651" s="16"/>
      <c r="D1651" s="16"/>
      <c r="F1651" s="16"/>
      <c r="G1651" s="16"/>
      <c r="H1651" s="24"/>
      <c r="I1651" s="24"/>
      <c r="L1651"/>
    </row>
    <row r="1652" spans="1:12" x14ac:dyDescent="0.25">
      <c r="A1652" s="16"/>
      <c r="D1652" s="16"/>
      <c r="F1652" s="16"/>
      <c r="G1652" s="16"/>
      <c r="H1652" s="24"/>
      <c r="I1652" s="24"/>
      <c r="L1652"/>
    </row>
    <row r="1653" spans="1:12" x14ac:dyDescent="0.25">
      <c r="A1653" s="16"/>
      <c r="D1653" s="16"/>
      <c r="F1653" s="16"/>
      <c r="G1653" s="16"/>
      <c r="H1653" s="24"/>
      <c r="I1653" s="24"/>
      <c r="L1653"/>
    </row>
    <row r="1654" spans="1:12" x14ac:dyDescent="0.25">
      <c r="A1654" s="16"/>
      <c r="D1654" s="16"/>
      <c r="F1654" s="16"/>
      <c r="G1654" s="16"/>
      <c r="H1654" s="24"/>
      <c r="I1654" s="24"/>
      <c r="L1654"/>
    </row>
    <row r="1655" spans="1:12" x14ac:dyDescent="0.25">
      <c r="A1655" s="16"/>
      <c r="D1655" s="16"/>
      <c r="F1655" s="16"/>
      <c r="G1655" s="16"/>
      <c r="H1655" s="24"/>
      <c r="I1655" s="24"/>
      <c r="L1655"/>
    </row>
    <row r="1656" spans="1:12" x14ac:dyDescent="0.25">
      <c r="A1656" s="16"/>
      <c r="D1656" s="16"/>
      <c r="F1656" s="16"/>
      <c r="G1656" s="16"/>
      <c r="H1656" s="24"/>
      <c r="I1656" s="24"/>
      <c r="L1656"/>
    </row>
    <row r="1657" spans="1:12" x14ac:dyDescent="0.25">
      <c r="A1657" s="16"/>
      <c r="D1657" s="16"/>
      <c r="F1657" s="16"/>
      <c r="G1657" s="16"/>
      <c r="H1657" s="24"/>
      <c r="I1657" s="24"/>
      <c r="L1657"/>
    </row>
    <row r="1658" spans="1:12" x14ac:dyDescent="0.25">
      <c r="A1658" s="16"/>
      <c r="D1658" s="16"/>
      <c r="F1658" s="16"/>
      <c r="G1658" s="16"/>
      <c r="H1658" s="24"/>
      <c r="I1658" s="24"/>
      <c r="L1658"/>
    </row>
    <row r="1659" spans="1:12" x14ac:dyDescent="0.25">
      <c r="A1659" s="16"/>
      <c r="D1659" s="16"/>
      <c r="F1659" s="16"/>
      <c r="G1659" s="16"/>
      <c r="H1659" s="24"/>
      <c r="I1659" s="24"/>
      <c r="L1659"/>
    </row>
    <row r="1660" spans="1:12" x14ac:dyDescent="0.25">
      <c r="A1660" s="16"/>
      <c r="D1660" s="16"/>
      <c r="F1660" s="16"/>
      <c r="G1660" s="16"/>
      <c r="H1660" s="24"/>
      <c r="I1660" s="24"/>
      <c r="L1660"/>
    </row>
    <row r="1661" spans="1:12" x14ac:dyDescent="0.25">
      <c r="A1661" s="16"/>
      <c r="D1661" s="16"/>
      <c r="F1661" s="16"/>
      <c r="G1661" s="16"/>
      <c r="H1661" s="24"/>
      <c r="I1661" s="24"/>
      <c r="L1661"/>
    </row>
    <row r="1662" spans="1:12" x14ac:dyDescent="0.25">
      <c r="A1662" s="16"/>
      <c r="D1662" s="16"/>
      <c r="F1662" s="16"/>
      <c r="G1662" s="16"/>
      <c r="H1662" s="24"/>
      <c r="I1662" s="24"/>
      <c r="L1662"/>
    </row>
    <row r="1663" spans="1:12" x14ac:dyDescent="0.25">
      <c r="A1663" s="16"/>
      <c r="D1663" s="16"/>
      <c r="F1663" s="16"/>
      <c r="G1663" s="16"/>
      <c r="H1663" s="24"/>
      <c r="I1663" s="24"/>
      <c r="L1663"/>
    </row>
    <row r="1664" spans="1:12" x14ac:dyDescent="0.25">
      <c r="A1664" s="16"/>
      <c r="D1664" s="16"/>
      <c r="F1664" s="16"/>
      <c r="G1664" s="16"/>
      <c r="H1664" s="24"/>
      <c r="I1664" s="24"/>
      <c r="L1664"/>
    </row>
    <row r="1665" spans="1:12" x14ac:dyDescent="0.25">
      <c r="A1665" s="16"/>
      <c r="D1665" s="16"/>
      <c r="F1665" s="16"/>
      <c r="G1665" s="16"/>
      <c r="H1665" s="24"/>
      <c r="I1665" s="24"/>
      <c r="L1665"/>
    </row>
    <row r="1666" spans="1:12" x14ac:dyDescent="0.25">
      <c r="A1666" s="16"/>
      <c r="D1666" s="16"/>
      <c r="F1666" s="16"/>
      <c r="G1666" s="16"/>
      <c r="H1666" s="24"/>
      <c r="I1666" s="24"/>
      <c r="L1666"/>
    </row>
    <row r="1667" spans="1:12" x14ac:dyDescent="0.25">
      <c r="A1667" s="16"/>
      <c r="D1667" s="16"/>
      <c r="F1667" s="16"/>
      <c r="G1667" s="16"/>
      <c r="H1667" s="24"/>
      <c r="I1667" s="24"/>
      <c r="L1667"/>
    </row>
    <row r="1668" spans="1:12" x14ac:dyDescent="0.25">
      <c r="A1668" s="16"/>
      <c r="D1668" s="16"/>
      <c r="F1668" s="16"/>
      <c r="G1668" s="16"/>
      <c r="H1668" s="24"/>
      <c r="I1668" s="24"/>
      <c r="L1668"/>
    </row>
    <row r="1669" spans="1:12" x14ac:dyDescent="0.25">
      <c r="A1669" s="16"/>
      <c r="D1669" s="16"/>
      <c r="F1669" s="16"/>
      <c r="G1669" s="16"/>
      <c r="H1669" s="24"/>
      <c r="I1669" s="24"/>
      <c r="L1669"/>
    </row>
    <row r="1670" spans="1:12" x14ac:dyDescent="0.25">
      <c r="A1670" s="16"/>
      <c r="D1670" s="16"/>
      <c r="F1670" s="16"/>
      <c r="G1670" s="16"/>
      <c r="H1670" s="24"/>
      <c r="I1670" s="24"/>
      <c r="L1670"/>
    </row>
    <row r="1671" spans="1:12" x14ac:dyDescent="0.25">
      <c r="A1671" s="16"/>
      <c r="D1671" s="16"/>
      <c r="F1671" s="16"/>
      <c r="G1671" s="16"/>
      <c r="H1671" s="24"/>
      <c r="I1671" s="24"/>
      <c r="L1671"/>
    </row>
    <row r="1672" spans="1:12" x14ac:dyDescent="0.25">
      <c r="A1672" s="16"/>
      <c r="D1672" s="16"/>
      <c r="F1672" s="16"/>
      <c r="G1672" s="16"/>
      <c r="H1672" s="24"/>
      <c r="I1672" s="24"/>
      <c r="L1672"/>
    </row>
    <row r="1673" spans="1:12" x14ac:dyDescent="0.25">
      <c r="A1673" s="16"/>
      <c r="D1673" s="16"/>
      <c r="F1673" s="16"/>
      <c r="G1673" s="16"/>
      <c r="H1673" s="24"/>
      <c r="I1673" s="24"/>
      <c r="L1673"/>
    </row>
    <row r="1674" spans="1:12" x14ac:dyDescent="0.25">
      <c r="A1674" s="16"/>
      <c r="D1674" s="16"/>
      <c r="F1674" s="16"/>
      <c r="G1674" s="16"/>
      <c r="H1674" s="24"/>
      <c r="I1674" s="24"/>
      <c r="L1674"/>
    </row>
    <row r="1675" spans="1:12" x14ac:dyDescent="0.25">
      <c r="A1675" s="16"/>
      <c r="D1675" s="16"/>
      <c r="F1675" s="16"/>
      <c r="G1675" s="16"/>
      <c r="H1675" s="24"/>
      <c r="I1675" s="24"/>
      <c r="L1675"/>
    </row>
    <row r="1676" spans="1:12" x14ac:dyDescent="0.25">
      <c r="A1676" s="16"/>
      <c r="D1676" s="16"/>
      <c r="F1676" s="16"/>
      <c r="G1676" s="16"/>
      <c r="H1676" s="24"/>
      <c r="I1676" s="24"/>
      <c r="L1676"/>
    </row>
    <row r="1677" spans="1:12" x14ac:dyDescent="0.25">
      <c r="A1677" s="16"/>
      <c r="D1677" s="16"/>
      <c r="F1677" s="16"/>
      <c r="G1677" s="16"/>
      <c r="H1677" s="24"/>
      <c r="I1677" s="24"/>
      <c r="L1677"/>
    </row>
    <row r="1678" spans="1:12" x14ac:dyDescent="0.25">
      <c r="A1678" s="16"/>
      <c r="D1678" s="16"/>
      <c r="F1678" s="16"/>
      <c r="G1678" s="16"/>
      <c r="H1678" s="24"/>
      <c r="I1678" s="24"/>
      <c r="L1678"/>
    </row>
    <row r="1679" spans="1:12" x14ac:dyDescent="0.25">
      <c r="A1679" s="16"/>
      <c r="D1679" s="16"/>
      <c r="F1679" s="16"/>
      <c r="G1679" s="16"/>
      <c r="H1679" s="24"/>
      <c r="I1679" s="24"/>
      <c r="L1679"/>
    </row>
    <row r="1680" spans="1:12" x14ac:dyDescent="0.25">
      <c r="A1680" s="16"/>
      <c r="D1680" s="16"/>
      <c r="F1680" s="16"/>
      <c r="G1680" s="16"/>
      <c r="H1680" s="24"/>
      <c r="I1680" s="24"/>
      <c r="L1680"/>
    </row>
    <row r="1681" spans="1:12" x14ac:dyDescent="0.25">
      <c r="A1681" s="16"/>
      <c r="D1681" s="16"/>
      <c r="F1681" s="16"/>
      <c r="G1681" s="16"/>
      <c r="H1681" s="24"/>
      <c r="I1681" s="24"/>
      <c r="L1681"/>
    </row>
    <row r="1682" spans="1:12" x14ac:dyDescent="0.25">
      <c r="A1682" s="16"/>
      <c r="D1682" s="16"/>
      <c r="F1682" s="16"/>
      <c r="G1682" s="16"/>
      <c r="H1682" s="24"/>
      <c r="I1682" s="24"/>
      <c r="L1682"/>
    </row>
    <row r="1683" spans="1:12" x14ac:dyDescent="0.25">
      <c r="A1683" s="16"/>
      <c r="D1683" s="16"/>
      <c r="F1683" s="16"/>
      <c r="G1683" s="16"/>
      <c r="H1683" s="24"/>
      <c r="I1683" s="24"/>
      <c r="L1683"/>
    </row>
    <row r="1684" spans="1:12" x14ac:dyDescent="0.25">
      <c r="A1684" s="16"/>
      <c r="D1684" s="16"/>
      <c r="F1684" s="16"/>
      <c r="G1684" s="16"/>
      <c r="H1684" s="24"/>
      <c r="I1684" s="24"/>
      <c r="L1684"/>
    </row>
    <row r="1685" spans="1:12" x14ac:dyDescent="0.25">
      <c r="A1685" s="16"/>
      <c r="D1685" s="16"/>
      <c r="F1685" s="16"/>
      <c r="G1685" s="16"/>
      <c r="H1685" s="24"/>
      <c r="I1685" s="24"/>
      <c r="L1685"/>
    </row>
    <row r="1686" spans="1:12" x14ac:dyDescent="0.25">
      <c r="A1686" s="16"/>
      <c r="D1686" s="16"/>
      <c r="F1686" s="16"/>
      <c r="G1686" s="16"/>
      <c r="H1686" s="24"/>
      <c r="I1686" s="24"/>
      <c r="L1686"/>
    </row>
    <row r="1687" spans="1:12" x14ac:dyDescent="0.25">
      <c r="A1687" s="16"/>
      <c r="D1687" s="16"/>
      <c r="F1687" s="16"/>
      <c r="G1687" s="16"/>
      <c r="H1687" s="24"/>
      <c r="I1687" s="24"/>
      <c r="L1687"/>
    </row>
    <row r="1688" spans="1:12" x14ac:dyDescent="0.25">
      <c r="A1688" s="16"/>
      <c r="D1688" s="16"/>
      <c r="F1688" s="16"/>
      <c r="G1688" s="16"/>
      <c r="H1688" s="24"/>
      <c r="I1688" s="24"/>
      <c r="L1688"/>
    </row>
    <row r="1689" spans="1:12" x14ac:dyDescent="0.25">
      <c r="A1689" s="16"/>
      <c r="D1689" s="16"/>
      <c r="F1689" s="16"/>
      <c r="G1689" s="16"/>
      <c r="H1689" s="24"/>
      <c r="I1689" s="24"/>
      <c r="L1689"/>
    </row>
    <row r="1690" spans="1:12" x14ac:dyDescent="0.25">
      <c r="A1690" s="16"/>
      <c r="D1690" s="16"/>
      <c r="F1690" s="16"/>
      <c r="G1690" s="16"/>
      <c r="H1690" s="24"/>
      <c r="I1690" s="24"/>
      <c r="L1690"/>
    </row>
    <row r="1691" spans="1:12" x14ac:dyDescent="0.25">
      <c r="A1691" s="16"/>
      <c r="D1691" s="16"/>
      <c r="F1691" s="16"/>
      <c r="G1691" s="16"/>
      <c r="H1691" s="24"/>
      <c r="I1691" s="24"/>
      <c r="L1691"/>
    </row>
    <row r="1692" spans="1:12" x14ac:dyDescent="0.25">
      <c r="A1692" s="16"/>
      <c r="D1692" s="16"/>
      <c r="F1692" s="16"/>
      <c r="G1692" s="16"/>
      <c r="H1692" s="24"/>
      <c r="I1692" s="24"/>
      <c r="L1692"/>
    </row>
    <row r="1693" spans="1:12" x14ac:dyDescent="0.25">
      <c r="A1693" s="16"/>
      <c r="D1693" s="16"/>
      <c r="F1693" s="16"/>
      <c r="G1693" s="16"/>
      <c r="H1693" s="24"/>
      <c r="I1693" s="24"/>
      <c r="L1693"/>
    </row>
    <row r="1694" spans="1:12" x14ac:dyDescent="0.25">
      <c r="A1694" s="16"/>
      <c r="D1694" s="16"/>
      <c r="F1694" s="16"/>
      <c r="G1694" s="16"/>
      <c r="H1694" s="24"/>
      <c r="I1694" s="24"/>
      <c r="L1694"/>
    </row>
    <row r="1695" spans="1:12" x14ac:dyDescent="0.25">
      <c r="A1695" s="16"/>
      <c r="D1695" s="16"/>
      <c r="F1695" s="16"/>
      <c r="G1695" s="16"/>
      <c r="H1695" s="24"/>
      <c r="I1695" s="24"/>
      <c r="L1695"/>
    </row>
    <row r="1696" spans="1:12" x14ac:dyDescent="0.25">
      <c r="A1696" s="16"/>
      <c r="D1696" s="16"/>
      <c r="F1696" s="16"/>
      <c r="G1696" s="16"/>
      <c r="H1696" s="24"/>
      <c r="I1696" s="24"/>
      <c r="L1696"/>
    </row>
    <row r="1697" spans="1:12" x14ac:dyDescent="0.25">
      <c r="A1697" s="16"/>
      <c r="D1697" s="16"/>
      <c r="F1697" s="16"/>
      <c r="G1697" s="16"/>
      <c r="H1697" s="24"/>
      <c r="I1697" s="24"/>
      <c r="L1697"/>
    </row>
    <row r="1698" spans="1:12" x14ac:dyDescent="0.25">
      <c r="A1698" s="16"/>
      <c r="D1698" s="16"/>
      <c r="F1698" s="16"/>
      <c r="G1698" s="16"/>
      <c r="H1698" s="24"/>
      <c r="I1698" s="24"/>
      <c r="L1698"/>
    </row>
    <row r="1699" spans="1:12" x14ac:dyDescent="0.25">
      <c r="A1699" s="16"/>
      <c r="D1699" s="16"/>
      <c r="F1699" s="16"/>
      <c r="G1699" s="16"/>
      <c r="H1699" s="24"/>
      <c r="I1699" s="24"/>
      <c r="L1699"/>
    </row>
    <row r="1700" spans="1:12" x14ac:dyDescent="0.25">
      <c r="A1700" s="16"/>
      <c r="D1700" s="16"/>
      <c r="F1700" s="16"/>
      <c r="G1700" s="16"/>
      <c r="H1700" s="24"/>
      <c r="I1700" s="24"/>
      <c r="L1700"/>
    </row>
    <row r="1701" spans="1:12" x14ac:dyDescent="0.25">
      <c r="A1701" s="16"/>
      <c r="D1701" s="16"/>
      <c r="F1701" s="16"/>
      <c r="G1701" s="16"/>
      <c r="H1701" s="24"/>
      <c r="I1701" s="24"/>
      <c r="L1701"/>
    </row>
    <row r="1702" spans="1:12" x14ac:dyDescent="0.25">
      <c r="A1702" s="16"/>
      <c r="D1702" s="16"/>
      <c r="F1702" s="16"/>
      <c r="G1702" s="16"/>
      <c r="H1702" s="24"/>
      <c r="I1702" s="24"/>
      <c r="L1702"/>
    </row>
    <row r="1703" spans="1:12" x14ac:dyDescent="0.25">
      <c r="A1703" s="16"/>
      <c r="D1703" s="16"/>
      <c r="F1703" s="16"/>
      <c r="G1703" s="16"/>
      <c r="H1703" s="24"/>
      <c r="I1703" s="24"/>
      <c r="L1703"/>
    </row>
    <row r="1704" spans="1:12" x14ac:dyDescent="0.25">
      <c r="A1704" s="16"/>
      <c r="D1704" s="16"/>
      <c r="F1704" s="16"/>
      <c r="G1704" s="16"/>
      <c r="H1704" s="24"/>
      <c r="I1704" s="24"/>
      <c r="L1704"/>
    </row>
    <row r="1705" spans="1:12" x14ac:dyDescent="0.25">
      <c r="A1705" s="16"/>
      <c r="D1705" s="16"/>
      <c r="F1705" s="16"/>
      <c r="G1705" s="16"/>
      <c r="H1705" s="24"/>
      <c r="I1705" s="24"/>
      <c r="L1705"/>
    </row>
    <row r="1706" spans="1:12" x14ac:dyDescent="0.25">
      <c r="A1706" s="16"/>
      <c r="D1706" s="16"/>
      <c r="F1706" s="16"/>
      <c r="G1706" s="16"/>
      <c r="H1706" s="24"/>
      <c r="I1706" s="24"/>
      <c r="L1706"/>
    </row>
    <row r="1707" spans="1:12" x14ac:dyDescent="0.25">
      <c r="A1707" s="16"/>
      <c r="D1707" s="16"/>
      <c r="F1707" s="16"/>
      <c r="G1707" s="16"/>
      <c r="H1707" s="24"/>
      <c r="I1707" s="24"/>
      <c r="L1707"/>
    </row>
    <row r="1708" spans="1:12" x14ac:dyDescent="0.25">
      <c r="A1708" s="16"/>
      <c r="D1708" s="16"/>
      <c r="F1708" s="16"/>
      <c r="G1708" s="16"/>
      <c r="H1708" s="24"/>
      <c r="I1708" s="24"/>
      <c r="L1708"/>
    </row>
    <row r="1709" spans="1:12" x14ac:dyDescent="0.25">
      <c r="A1709" s="16"/>
      <c r="D1709" s="16"/>
      <c r="F1709" s="16"/>
      <c r="G1709" s="16"/>
      <c r="H1709" s="24"/>
      <c r="I1709" s="24"/>
      <c r="L1709"/>
    </row>
    <row r="1710" spans="1:12" x14ac:dyDescent="0.25">
      <c r="A1710" s="16"/>
      <c r="D1710" s="16"/>
      <c r="F1710" s="16"/>
      <c r="G1710" s="16"/>
      <c r="H1710" s="24"/>
      <c r="I1710" s="24"/>
      <c r="L1710"/>
    </row>
    <row r="1711" spans="1:12" x14ac:dyDescent="0.25">
      <c r="A1711" s="16"/>
      <c r="D1711" s="16"/>
      <c r="F1711" s="16"/>
      <c r="G1711" s="16"/>
      <c r="H1711" s="24"/>
      <c r="I1711" s="24"/>
      <c r="L1711"/>
    </row>
    <row r="1712" spans="1:12" x14ac:dyDescent="0.25">
      <c r="A1712" s="16"/>
      <c r="D1712" s="16"/>
      <c r="F1712" s="16"/>
      <c r="G1712" s="16"/>
      <c r="H1712" s="24"/>
      <c r="I1712" s="24"/>
      <c r="L1712"/>
    </row>
    <row r="1713" spans="1:12" x14ac:dyDescent="0.25">
      <c r="A1713" s="16"/>
      <c r="D1713" s="16"/>
      <c r="F1713" s="16"/>
      <c r="G1713" s="16"/>
      <c r="H1713" s="24"/>
      <c r="I1713" s="24"/>
      <c r="L1713"/>
    </row>
    <row r="1714" spans="1:12" x14ac:dyDescent="0.25">
      <c r="A1714" s="16"/>
      <c r="D1714" s="16"/>
      <c r="F1714" s="16"/>
      <c r="G1714" s="16"/>
      <c r="H1714" s="24"/>
      <c r="I1714" s="24"/>
      <c r="L1714"/>
    </row>
    <row r="1715" spans="1:12" x14ac:dyDescent="0.25">
      <c r="A1715" s="16"/>
      <c r="D1715" s="16"/>
      <c r="F1715" s="16"/>
      <c r="G1715" s="16"/>
      <c r="H1715" s="24"/>
      <c r="I1715" s="24"/>
      <c r="L1715"/>
    </row>
    <row r="1716" spans="1:12" x14ac:dyDescent="0.25">
      <c r="A1716" s="16"/>
      <c r="D1716" s="16"/>
      <c r="F1716" s="16"/>
      <c r="G1716" s="16"/>
      <c r="H1716" s="24"/>
      <c r="I1716" s="24"/>
      <c r="L1716"/>
    </row>
    <row r="1717" spans="1:12" x14ac:dyDescent="0.25">
      <c r="A1717" s="16"/>
      <c r="D1717" s="16"/>
      <c r="F1717" s="16"/>
      <c r="G1717" s="16"/>
      <c r="H1717" s="24"/>
      <c r="I1717" s="24"/>
      <c r="L1717"/>
    </row>
    <row r="1718" spans="1:12" x14ac:dyDescent="0.25">
      <c r="A1718" s="16"/>
      <c r="D1718" s="16"/>
      <c r="F1718" s="16"/>
      <c r="G1718" s="16"/>
      <c r="H1718" s="24"/>
      <c r="I1718" s="24"/>
      <c r="L1718"/>
    </row>
    <row r="1719" spans="1:12" x14ac:dyDescent="0.25">
      <c r="A1719" s="16"/>
      <c r="D1719" s="16"/>
      <c r="F1719" s="16"/>
      <c r="G1719" s="16"/>
      <c r="H1719" s="24"/>
      <c r="I1719" s="24"/>
      <c r="L1719"/>
    </row>
    <row r="1720" spans="1:12" x14ac:dyDescent="0.25">
      <c r="A1720" s="16"/>
      <c r="D1720" s="16"/>
      <c r="F1720" s="16"/>
      <c r="G1720" s="16"/>
      <c r="H1720" s="24"/>
      <c r="I1720" s="24"/>
      <c r="L1720"/>
    </row>
    <row r="1721" spans="1:12" x14ac:dyDescent="0.25">
      <c r="A1721" s="16"/>
      <c r="D1721" s="16"/>
      <c r="F1721" s="16"/>
      <c r="G1721" s="16"/>
      <c r="H1721" s="24"/>
      <c r="I1721" s="24"/>
      <c r="L1721"/>
    </row>
    <row r="1722" spans="1:12" x14ac:dyDescent="0.25">
      <c r="A1722" s="16"/>
      <c r="D1722" s="16"/>
      <c r="F1722" s="16"/>
      <c r="G1722" s="16"/>
      <c r="H1722" s="24"/>
      <c r="I1722" s="24"/>
      <c r="L1722"/>
    </row>
    <row r="1723" spans="1:12" x14ac:dyDescent="0.25">
      <c r="A1723" s="16"/>
      <c r="D1723" s="16"/>
      <c r="F1723" s="16"/>
      <c r="G1723" s="16"/>
      <c r="H1723" s="24"/>
      <c r="I1723" s="24"/>
      <c r="L1723"/>
    </row>
    <row r="1724" spans="1:12" x14ac:dyDescent="0.25">
      <c r="A1724" s="16"/>
      <c r="D1724" s="16"/>
      <c r="F1724" s="16"/>
      <c r="G1724" s="16"/>
      <c r="H1724" s="24"/>
      <c r="I1724" s="24"/>
      <c r="L1724"/>
    </row>
    <row r="1725" spans="1:12" x14ac:dyDescent="0.25">
      <c r="A1725" s="16"/>
      <c r="D1725" s="16"/>
      <c r="F1725" s="16"/>
      <c r="G1725" s="16"/>
      <c r="H1725" s="24"/>
      <c r="I1725" s="24"/>
      <c r="L1725"/>
    </row>
    <row r="1726" spans="1:12" x14ac:dyDescent="0.25">
      <c r="A1726" s="16"/>
      <c r="D1726" s="16"/>
      <c r="F1726" s="16"/>
      <c r="G1726" s="16"/>
      <c r="H1726" s="24"/>
      <c r="I1726" s="24"/>
      <c r="L1726"/>
    </row>
    <row r="1727" spans="1:12" x14ac:dyDescent="0.25">
      <c r="A1727" s="16"/>
      <c r="D1727" s="16"/>
      <c r="F1727" s="16"/>
      <c r="G1727" s="16"/>
      <c r="H1727" s="24"/>
      <c r="I1727" s="24"/>
      <c r="L1727"/>
    </row>
    <row r="1728" spans="1:12" x14ac:dyDescent="0.25">
      <c r="A1728" s="16"/>
      <c r="D1728" s="16"/>
      <c r="F1728" s="16"/>
      <c r="G1728" s="16"/>
      <c r="H1728" s="24"/>
      <c r="I1728" s="24"/>
      <c r="L1728"/>
    </row>
    <row r="1729" spans="1:12" x14ac:dyDescent="0.25">
      <c r="A1729" s="16"/>
      <c r="D1729" s="16"/>
      <c r="F1729" s="16"/>
      <c r="G1729" s="16"/>
      <c r="H1729" s="24"/>
      <c r="I1729" s="24"/>
      <c r="L1729"/>
    </row>
    <row r="1730" spans="1:12" x14ac:dyDescent="0.25">
      <c r="A1730" s="16"/>
      <c r="D1730" s="16"/>
      <c r="F1730" s="16"/>
      <c r="G1730" s="16"/>
      <c r="H1730" s="24"/>
      <c r="I1730" s="24"/>
      <c r="L1730"/>
    </row>
    <row r="1731" spans="1:12" x14ac:dyDescent="0.25">
      <c r="A1731" s="16"/>
      <c r="D1731" s="16"/>
      <c r="F1731" s="16"/>
      <c r="G1731" s="16"/>
      <c r="H1731" s="24"/>
      <c r="I1731" s="24"/>
      <c r="L1731"/>
    </row>
    <row r="1732" spans="1:12" x14ac:dyDescent="0.25">
      <c r="A1732" s="16"/>
      <c r="D1732" s="16"/>
      <c r="F1732" s="16"/>
      <c r="G1732" s="16"/>
      <c r="H1732" s="24"/>
      <c r="I1732" s="24"/>
      <c r="L1732"/>
    </row>
    <row r="1733" spans="1:12" x14ac:dyDescent="0.25">
      <c r="A1733" s="16"/>
      <c r="D1733" s="16"/>
      <c r="F1733" s="16"/>
      <c r="G1733" s="16"/>
      <c r="H1733" s="24"/>
      <c r="I1733" s="24"/>
      <c r="L1733"/>
    </row>
    <row r="1734" spans="1:12" x14ac:dyDescent="0.25">
      <c r="A1734" s="16"/>
      <c r="D1734" s="16"/>
      <c r="F1734" s="16"/>
      <c r="G1734" s="16"/>
      <c r="H1734" s="24"/>
      <c r="I1734" s="24"/>
      <c r="L1734"/>
    </row>
    <row r="1735" spans="1:12" x14ac:dyDescent="0.25">
      <c r="A1735" s="16"/>
      <c r="D1735" s="16"/>
      <c r="F1735" s="16"/>
      <c r="G1735" s="16"/>
      <c r="H1735" s="24"/>
      <c r="I1735" s="24"/>
      <c r="L1735"/>
    </row>
    <row r="1736" spans="1:12" x14ac:dyDescent="0.25">
      <c r="A1736" s="16"/>
      <c r="D1736" s="16"/>
      <c r="F1736" s="16"/>
      <c r="G1736" s="16"/>
      <c r="H1736" s="24"/>
      <c r="I1736" s="24"/>
      <c r="L1736"/>
    </row>
    <row r="1737" spans="1:12" x14ac:dyDescent="0.25">
      <c r="A1737" s="16"/>
      <c r="D1737" s="16"/>
      <c r="F1737" s="16"/>
      <c r="G1737" s="16"/>
      <c r="H1737" s="24"/>
      <c r="I1737" s="24"/>
      <c r="L1737"/>
    </row>
    <row r="1738" spans="1:12" x14ac:dyDescent="0.25">
      <c r="A1738" s="16"/>
      <c r="D1738" s="16"/>
      <c r="F1738" s="16"/>
      <c r="G1738" s="16"/>
      <c r="H1738" s="24"/>
      <c r="I1738" s="24"/>
      <c r="L1738"/>
    </row>
    <row r="1739" spans="1:12" x14ac:dyDescent="0.25">
      <c r="A1739" s="16"/>
      <c r="D1739" s="16"/>
      <c r="F1739" s="16"/>
      <c r="G1739" s="16"/>
      <c r="H1739" s="24"/>
      <c r="I1739" s="24"/>
      <c r="L1739"/>
    </row>
    <row r="1740" spans="1:12" x14ac:dyDescent="0.25">
      <c r="A1740" s="16"/>
      <c r="D1740" s="16"/>
      <c r="F1740" s="16"/>
      <c r="G1740" s="16"/>
      <c r="H1740" s="24"/>
      <c r="I1740" s="24"/>
      <c r="L1740"/>
    </row>
    <row r="1741" spans="1:12" x14ac:dyDescent="0.25">
      <c r="A1741" s="16"/>
      <c r="D1741" s="16"/>
      <c r="F1741" s="16"/>
      <c r="G1741" s="16"/>
      <c r="H1741" s="24"/>
      <c r="I1741" s="24"/>
      <c r="L1741"/>
    </row>
    <row r="1742" spans="1:12" x14ac:dyDescent="0.25">
      <c r="A1742" s="16"/>
      <c r="D1742" s="16"/>
      <c r="F1742" s="16"/>
      <c r="G1742" s="16"/>
      <c r="H1742" s="24"/>
      <c r="I1742" s="24"/>
      <c r="L1742"/>
    </row>
    <row r="1743" spans="1:12" x14ac:dyDescent="0.25">
      <c r="A1743" s="16"/>
      <c r="D1743" s="16"/>
      <c r="F1743" s="16"/>
      <c r="G1743" s="16"/>
      <c r="H1743" s="24"/>
      <c r="I1743" s="24"/>
      <c r="L1743"/>
    </row>
    <row r="1744" spans="1:12" x14ac:dyDescent="0.25">
      <c r="A1744" s="16"/>
      <c r="D1744" s="16"/>
      <c r="F1744" s="16"/>
      <c r="G1744" s="16"/>
      <c r="H1744" s="24"/>
      <c r="I1744" s="24"/>
      <c r="L1744"/>
    </row>
    <row r="1745" spans="1:12" x14ac:dyDescent="0.25">
      <c r="A1745" s="16"/>
      <c r="D1745" s="16"/>
      <c r="F1745" s="16"/>
      <c r="G1745" s="16"/>
      <c r="H1745" s="24"/>
      <c r="I1745" s="24"/>
      <c r="L1745"/>
    </row>
    <row r="1746" spans="1:12" x14ac:dyDescent="0.25">
      <c r="A1746" s="16"/>
      <c r="D1746" s="16"/>
      <c r="F1746" s="16"/>
      <c r="G1746" s="16"/>
      <c r="H1746" s="24"/>
      <c r="I1746" s="24"/>
      <c r="L1746"/>
    </row>
    <row r="1747" spans="1:12" x14ac:dyDescent="0.25">
      <c r="A1747" s="16"/>
      <c r="D1747" s="16"/>
      <c r="F1747" s="16"/>
      <c r="G1747" s="16"/>
      <c r="H1747" s="24"/>
      <c r="I1747" s="24"/>
      <c r="L1747"/>
    </row>
    <row r="1748" spans="1:12" x14ac:dyDescent="0.25">
      <c r="A1748" s="16"/>
      <c r="D1748" s="16"/>
      <c r="F1748" s="16"/>
      <c r="G1748" s="16"/>
      <c r="H1748" s="24"/>
      <c r="I1748" s="24"/>
      <c r="L1748"/>
    </row>
    <row r="1749" spans="1:12" x14ac:dyDescent="0.25">
      <c r="A1749" s="16"/>
      <c r="D1749" s="16"/>
      <c r="F1749" s="16"/>
      <c r="G1749" s="16"/>
      <c r="H1749" s="24"/>
      <c r="I1749" s="24"/>
      <c r="L1749"/>
    </row>
    <row r="1750" spans="1:12" x14ac:dyDescent="0.25">
      <c r="A1750" s="16"/>
      <c r="D1750" s="16"/>
      <c r="F1750" s="16"/>
      <c r="G1750" s="16"/>
      <c r="H1750" s="24"/>
      <c r="I1750" s="24"/>
      <c r="L1750"/>
    </row>
    <row r="1751" spans="1:12" x14ac:dyDescent="0.25">
      <c r="A1751" s="16"/>
      <c r="D1751" s="16"/>
      <c r="F1751" s="16"/>
      <c r="G1751" s="16"/>
      <c r="H1751" s="24"/>
      <c r="I1751" s="24"/>
      <c r="L1751"/>
    </row>
    <row r="1752" spans="1:12" x14ac:dyDescent="0.25">
      <c r="A1752" s="16"/>
      <c r="D1752" s="16"/>
      <c r="F1752" s="16"/>
      <c r="G1752" s="16"/>
      <c r="H1752" s="24"/>
      <c r="I1752" s="24"/>
      <c r="L1752"/>
    </row>
    <row r="1753" spans="1:12" x14ac:dyDescent="0.25">
      <c r="A1753" s="16"/>
      <c r="D1753" s="16"/>
      <c r="F1753" s="16"/>
      <c r="G1753" s="16"/>
      <c r="H1753" s="24"/>
      <c r="I1753" s="24"/>
      <c r="L1753"/>
    </row>
    <row r="1754" spans="1:12" x14ac:dyDescent="0.25">
      <c r="A1754" s="16"/>
      <c r="D1754" s="16"/>
      <c r="F1754" s="16"/>
      <c r="G1754" s="16"/>
      <c r="H1754" s="24"/>
      <c r="I1754" s="24"/>
      <c r="L1754"/>
    </row>
    <row r="1755" spans="1:12" x14ac:dyDescent="0.25">
      <c r="A1755" s="16"/>
      <c r="D1755" s="16"/>
      <c r="F1755" s="16"/>
      <c r="G1755" s="16"/>
      <c r="H1755" s="24"/>
      <c r="I1755" s="24"/>
      <c r="L1755"/>
    </row>
    <row r="1756" spans="1:12" x14ac:dyDescent="0.25">
      <c r="A1756" s="16"/>
      <c r="D1756" s="16"/>
      <c r="F1756" s="16"/>
      <c r="G1756" s="16"/>
      <c r="H1756" s="24"/>
      <c r="I1756" s="24"/>
      <c r="L1756"/>
    </row>
    <row r="1757" spans="1:12" x14ac:dyDescent="0.25">
      <c r="A1757" s="16"/>
      <c r="D1757" s="16"/>
      <c r="F1757" s="16"/>
      <c r="G1757" s="16"/>
      <c r="H1757" s="24"/>
      <c r="I1757" s="24"/>
      <c r="L1757"/>
    </row>
    <row r="1758" spans="1:12" x14ac:dyDescent="0.25">
      <c r="A1758" s="16"/>
      <c r="D1758" s="16"/>
      <c r="F1758" s="16"/>
      <c r="G1758" s="16"/>
      <c r="H1758" s="24"/>
      <c r="I1758" s="24"/>
      <c r="L1758"/>
    </row>
    <row r="1759" spans="1:12" x14ac:dyDescent="0.25">
      <c r="A1759" s="16"/>
      <c r="D1759" s="16"/>
      <c r="F1759" s="16"/>
      <c r="G1759" s="16"/>
      <c r="H1759" s="24"/>
      <c r="I1759" s="24"/>
      <c r="L1759"/>
    </row>
    <row r="1760" spans="1:12" x14ac:dyDescent="0.25">
      <c r="A1760" s="16"/>
      <c r="D1760" s="16"/>
      <c r="F1760" s="16"/>
      <c r="G1760" s="16"/>
      <c r="H1760" s="24"/>
      <c r="I1760" s="24"/>
      <c r="L1760"/>
    </row>
    <row r="1761" spans="1:12" x14ac:dyDescent="0.25">
      <c r="A1761" s="16"/>
      <c r="D1761" s="16"/>
      <c r="F1761" s="16"/>
      <c r="G1761" s="16"/>
      <c r="H1761" s="24"/>
      <c r="I1761" s="24"/>
      <c r="L1761"/>
    </row>
    <row r="1762" spans="1:12" x14ac:dyDescent="0.25">
      <c r="A1762" s="16"/>
      <c r="D1762" s="16"/>
      <c r="F1762" s="16"/>
      <c r="G1762" s="16"/>
      <c r="H1762" s="24"/>
      <c r="I1762" s="24"/>
      <c r="L1762"/>
    </row>
    <row r="1763" spans="1:12" x14ac:dyDescent="0.25">
      <c r="A1763" s="16"/>
      <c r="D1763" s="16"/>
      <c r="F1763" s="16"/>
      <c r="G1763" s="16"/>
      <c r="H1763" s="24"/>
      <c r="I1763" s="24"/>
      <c r="L1763"/>
    </row>
    <row r="1764" spans="1:12" x14ac:dyDescent="0.25">
      <c r="A1764" s="16"/>
      <c r="D1764" s="16"/>
      <c r="F1764" s="16"/>
      <c r="G1764" s="16"/>
      <c r="H1764" s="24"/>
      <c r="I1764" s="24"/>
      <c r="L1764"/>
    </row>
    <row r="1765" spans="1:12" x14ac:dyDescent="0.25">
      <c r="A1765" s="16"/>
      <c r="D1765" s="16"/>
      <c r="F1765" s="16"/>
      <c r="G1765" s="16"/>
      <c r="H1765" s="24"/>
      <c r="I1765" s="24"/>
      <c r="L1765"/>
    </row>
    <row r="1766" spans="1:12" x14ac:dyDescent="0.25">
      <c r="A1766" s="16"/>
      <c r="D1766" s="16"/>
      <c r="F1766" s="16"/>
      <c r="G1766" s="16"/>
      <c r="H1766" s="24"/>
      <c r="I1766" s="24"/>
      <c r="L1766"/>
    </row>
    <row r="1767" spans="1:12" x14ac:dyDescent="0.25">
      <c r="A1767" s="16"/>
      <c r="D1767" s="16"/>
      <c r="F1767" s="16"/>
      <c r="G1767" s="16"/>
      <c r="H1767" s="24"/>
      <c r="I1767" s="24"/>
      <c r="L1767"/>
    </row>
    <row r="1768" spans="1:12" x14ac:dyDescent="0.25">
      <c r="A1768" s="16"/>
      <c r="D1768" s="16"/>
      <c r="F1768" s="16"/>
      <c r="G1768" s="16"/>
      <c r="H1768" s="24"/>
      <c r="I1768" s="24"/>
      <c r="L1768"/>
    </row>
    <row r="1769" spans="1:12" x14ac:dyDescent="0.25">
      <c r="A1769" s="16"/>
      <c r="D1769" s="16"/>
      <c r="F1769" s="16"/>
      <c r="G1769" s="16"/>
      <c r="H1769" s="24"/>
      <c r="I1769" s="24"/>
      <c r="L1769"/>
    </row>
    <row r="1770" spans="1:12" x14ac:dyDescent="0.25">
      <c r="A1770" s="16"/>
      <c r="D1770" s="16"/>
      <c r="F1770" s="16"/>
      <c r="G1770" s="16"/>
      <c r="H1770" s="24"/>
      <c r="I1770" s="24"/>
      <c r="L1770"/>
    </row>
    <row r="1771" spans="1:12" x14ac:dyDescent="0.25">
      <c r="A1771" s="16"/>
      <c r="D1771" s="16"/>
      <c r="F1771" s="16"/>
      <c r="G1771" s="16"/>
      <c r="H1771" s="24"/>
      <c r="I1771" s="24"/>
      <c r="L1771"/>
    </row>
    <row r="1772" spans="1:12" x14ac:dyDescent="0.25">
      <c r="A1772" s="16"/>
      <c r="D1772" s="16"/>
      <c r="F1772" s="16"/>
      <c r="G1772" s="16"/>
      <c r="H1772" s="24"/>
      <c r="I1772" s="24"/>
      <c r="L1772"/>
    </row>
    <row r="1773" spans="1:12" x14ac:dyDescent="0.25">
      <c r="A1773" s="16"/>
      <c r="D1773" s="16"/>
      <c r="F1773" s="16"/>
      <c r="G1773" s="16"/>
      <c r="H1773" s="24"/>
      <c r="I1773" s="24"/>
      <c r="L1773"/>
    </row>
    <row r="1774" spans="1:12" x14ac:dyDescent="0.25">
      <c r="A1774" s="16"/>
      <c r="D1774" s="16"/>
      <c r="F1774" s="16"/>
      <c r="G1774" s="16"/>
      <c r="H1774" s="24"/>
      <c r="I1774" s="24"/>
      <c r="L1774"/>
    </row>
    <row r="1775" spans="1:12" x14ac:dyDescent="0.25">
      <c r="A1775" s="16"/>
      <c r="D1775" s="16"/>
      <c r="F1775" s="16"/>
      <c r="G1775" s="16"/>
      <c r="H1775" s="24"/>
      <c r="I1775" s="24"/>
      <c r="L1775"/>
    </row>
    <row r="1776" spans="1:12" x14ac:dyDescent="0.25">
      <c r="A1776" s="16"/>
      <c r="D1776" s="16"/>
      <c r="F1776" s="16"/>
      <c r="G1776" s="16"/>
      <c r="H1776" s="24"/>
      <c r="I1776" s="24"/>
      <c r="L1776"/>
    </row>
    <row r="1777" spans="1:12" x14ac:dyDescent="0.25">
      <c r="A1777" s="16"/>
      <c r="D1777" s="16"/>
      <c r="F1777" s="16"/>
      <c r="G1777" s="16"/>
      <c r="H1777" s="24"/>
      <c r="I1777" s="24"/>
      <c r="L1777"/>
    </row>
    <row r="1778" spans="1:12" x14ac:dyDescent="0.25">
      <c r="A1778" s="16"/>
      <c r="D1778" s="16"/>
      <c r="F1778" s="16"/>
      <c r="G1778" s="16"/>
      <c r="H1778" s="24"/>
      <c r="I1778" s="24"/>
      <c r="L1778"/>
    </row>
    <row r="1779" spans="1:12" x14ac:dyDescent="0.25">
      <c r="A1779" s="16"/>
      <c r="D1779" s="16"/>
      <c r="F1779" s="16"/>
      <c r="G1779" s="16"/>
      <c r="H1779" s="24"/>
      <c r="I1779" s="24"/>
      <c r="L1779"/>
    </row>
    <row r="1780" spans="1:12" x14ac:dyDescent="0.25">
      <c r="A1780" s="16"/>
      <c r="D1780" s="16"/>
      <c r="F1780" s="16"/>
      <c r="G1780" s="16"/>
      <c r="H1780" s="24"/>
      <c r="I1780" s="24"/>
      <c r="L1780"/>
    </row>
    <row r="1781" spans="1:12" x14ac:dyDescent="0.25">
      <c r="A1781" s="16"/>
      <c r="D1781" s="16"/>
      <c r="F1781" s="16"/>
      <c r="G1781" s="16"/>
      <c r="H1781" s="24"/>
      <c r="I1781" s="24"/>
      <c r="L1781"/>
    </row>
    <row r="1782" spans="1:12" x14ac:dyDescent="0.25">
      <c r="A1782" s="16"/>
      <c r="D1782" s="16"/>
      <c r="F1782" s="16"/>
      <c r="G1782" s="16"/>
      <c r="H1782" s="24"/>
      <c r="I1782" s="24"/>
      <c r="L1782"/>
    </row>
    <row r="1783" spans="1:12" x14ac:dyDescent="0.25">
      <c r="A1783" s="16"/>
      <c r="D1783" s="16"/>
      <c r="F1783" s="16"/>
      <c r="G1783" s="16"/>
      <c r="H1783" s="24"/>
      <c r="I1783" s="24"/>
      <c r="L1783"/>
    </row>
    <row r="1784" spans="1:12" x14ac:dyDescent="0.25">
      <c r="A1784" s="16"/>
      <c r="D1784" s="16"/>
      <c r="F1784" s="16"/>
      <c r="G1784" s="16"/>
      <c r="H1784" s="24"/>
      <c r="I1784" s="24"/>
      <c r="L1784"/>
    </row>
    <row r="1785" spans="1:12" x14ac:dyDescent="0.25">
      <c r="A1785" s="16"/>
      <c r="D1785" s="16"/>
      <c r="F1785" s="16"/>
      <c r="G1785" s="16"/>
      <c r="H1785" s="24"/>
      <c r="I1785" s="24"/>
      <c r="L1785"/>
    </row>
    <row r="1786" spans="1:12" x14ac:dyDescent="0.25">
      <c r="A1786" s="16"/>
      <c r="D1786" s="16"/>
      <c r="F1786" s="16"/>
      <c r="G1786" s="16"/>
      <c r="H1786" s="24"/>
      <c r="I1786" s="24"/>
      <c r="L1786"/>
    </row>
    <row r="1787" spans="1:12" x14ac:dyDescent="0.25">
      <c r="A1787" s="16"/>
      <c r="D1787" s="16"/>
      <c r="F1787" s="16"/>
      <c r="G1787" s="16"/>
      <c r="H1787" s="24"/>
      <c r="I1787" s="24"/>
      <c r="L1787"/>
    </row>
    <row r="1788" spans="1:12" x14ac:dyDescent="0.25">
      <c r="A1788" s="16"/>
      <c r="D1788" s="16"/>
      <c r="F1788" s="16"/>
      <c r="G1788" s="16"/>
      <c r="H1788" s="24"/>
      <c r="I1788" s="24"/>
      <c r="L1788"/>
    </row>
    <row r="1789" spans="1:12" x14ac:dyDescent="0.25">
      <c r="A1789" s="16"/>
      <c r="D1789" s="16"/>
      <c r="F1789" s="16"/>
      <c r="G1789" s="16"/>
      <c r="H1789" s="24"/>
      <c r="I1789" s="24"/>
      <c r="L1789"/>
    </row>
    <row r="1790" spans="1:12" x14ac:dyDescent="0.25">
      <c r="A1790" s="16"/>
      <c r="D1790" s="16"/>
      <c r="F1790" s="16"/>
      <c r="G1790" s="16"/>
      <c r="H1790" s="24"/>
      <c r="I1790" s="24"/>
      <c r="L1790"/>
    </row>
    <row r="1791" spans="1:12" x14ac:dyDescent="0.25">
      <c r="A1791" s="16"/>
      <c r="D1791" s="16"/>
      <c r="F1791" s="16"/>
      <c r="G1791" s="16"/>
      <c r="H1791" s="24"/>
      <c r="I1791" s="24"/>
      <c r="L1791"/>
    </row>
    <row r="1792" spans="1:12" x14ac:dyDescent="0.25">
      <c r="A1792" s="16"/>
      <c r="D1792" s="16"/>
      <c r="F1792" s="16"/>
      <c r="G1792" s="16"/>
      <c r="H1792" s="24"/>
      <c r="I1792" s="24"/>
      <c r="L1792"/>
    </row>
    <row r="1793" spans="1:12" x14ac:dyDescent="0.25">
      <c r="A1793" s="16"/>
      <c r="D1793" s="16"/>
      <c r="F1793" s="16"/>
      <c r="G1793" s="16"/>
      <c r="H1793" s="24"/>
      <c r="I1793" s="24"/>
      <c r="L1793"/>
    </row>
    <row r="1794" spans="1:12" x14ac:dyDescent="0.25">
      <c r="A1794" s="16"/>
      <c r="D1794" s="16"/>
      <c r="F1794" s="16"/>
      <c r="G1794" s="16"/>
      <c r="H1794" s="24"/>
      <c r="I1794" s="24"/>
      <c r="L1794"/>
    </row>
    <row r="1795" spans="1:12" x14ac:dyDescent="0.25">
      <c r="A1795" s="16"/>
      <c r="D1795" s="16"/>
      <c r="F1795" s="16"/>
      <c r="G1795" s="16"/>
      <c r="H1795" s="24"/>
      <c r="I1795" s="24"/>
      <c r="L1795"/>
    </row>
    <row r="1796" spans="1:12" x14ac:dyDescent="0.25">
      <c r="A1796" s="16"/>
      <c r="D1796" s="16"/>
      <c r="F1796" s="16"/>
      <c r="G1796" s="16"/>
      <c r="H1796" s="24"/>
      <c r="I1796" s="24"/>
      <c r="L1796"/>
    </row>
    <row r="1797" spans="1:12" x14ac:dyDescent="0.25">
      <c r="A1797" s="16"/>
      <c r="D1797" s="16"/>
      <c r="F1797" s="16"/>
      <c r="G1797" s="16"/>
      <c r="H1797" s="24"/>
      <c r="I1797" s="24"/>
      <c r="L1797"/>
    </row>
    <row r="1798" spans="1:12" x14ac:dyDescent="0.25">
      <c r="A1798" s="16"/>
      <c r="D1798" s="16"/>
      <c r="F1798" s="16"/>
      <c r="G1798" s="16"/>
      <c r="H1798" s="24"/>
      <c r="I1798" s="24"/>
      <c r="L1798"/>
    </row>
    <row r="1799" spans="1:12" x14ac:dyDescent="0.25">
      <c r="A1799" s="16"/>
      <c r="D1799" s="16"/>
      <c r="F1799" s="16"/>
      <c r="G1799" s="16"/>
      <c r="H1799" s="24"/>
      <c r="I1799" s="24"/>
      <c r="L1799"/>
    </row>
    <row r="1800" spans="1:12" x14ac:dyDescent="0.25">
      <c r="A1800" s="16"/>
      <c r="D1800" s="16"/>
      <c r="F1800" s="16"/>
      <c r="G1800" s="16"/>
      <c r="H1800" s="24"/>
      <c r="I1800" s="24"/>
      <c r="L1800"/>
    </row>
    <row r="1801" spans="1:12" x14ac:dyDescent="0.25">
      <c r="A1801" s="16"/>
      <c r="D1801" s="16"/>
      <c r="F1801" s="16"/>
      <c r="G1801" s="16"/>
      <c r="H1801" s="24"/>
      <c r="I1801" s="24"/>
      <c r="L1801"/>
    </row>
    <row r="1802" spans="1:12" x14ac:dyDescent="0.25">
      <c r="A1802" s="16"/>
      <c r="D1802" s="16"/>
      <c r="F1802" s="16"/>
      <c r="G1802" s="16"/>
      <c r="H1802" s="24"/>
      <c r="I1802" s="24"/>
      <c r="L1802"/>
    </row>
    <row r="1803" spans="1:12" x14ac:dyDescent="0.25">
      <c r="A1803" s="16"/>
      <c r="D1803" s="16"/>
      <c r="F1803" s="16"/>
      <c r="G1803" s="16"/>
      <c r="H1803" s="24"/>
      <c r="I1803" s="24"/>
      <c r="L1803"/>
    </row>
    <row r="1804" spans="1:12" x14ac:dyDescent="0.25">
      <c r="A1804" s="16"/>
      <c r="D1804" s="16"/>
      <c r="F1804" s="16"/>
      <c r="G1804" s="16"/>
      <c r="H1804" s="24"/>
      <c r="I1804" s="24"/>
      <c r="L1804"/>
    </row>
    <row r="1805" spans="1:12" x14ac:dyDescent="0.25">
      <c r="A1805" s="16"/>
      <c r="D1805" s="16"/>
      <c r="F1805" s="16"/>
      <c r="G1805" s="16"/>
      <c r="H1805" s="24"/>
      <c r="I1805" s="24"/>
      <c r="L1805"/>
    </row>
    <row r="1806" spans="1:12" x14ac:dyDescent="0.25">
      <c r="A1806" s="16"/>
      <c r="D1806" s="16"/>
      <c r="F1806" s="16"/>
      <c r="G1806" s="16"/>
      <c r="H1806" s="24"/>
      <c r="I1806" s="24"/>
      <c r="L1806"/>
    </row>
    <row r="1807" spans="1:12" x14ac:dyDescent="0.25">
      <c r="A1807" s="16"/>
      <c r="D1807" s="16"/>
      <c r="F1807" s="16"/>
      <c r="G1807" s="16"/>
      <c r="H1807" s="24"/>
      <c r="I1807" s="24"/>
      <c r="L1807"/>
    </row>
    <row r="1808" spans="1:12" x14ac:dyDescent="0.25">
      <c r="A1808" s="16"/>
      <c r="D1808" s="16"/>
      <c r="F1808" s="16"/>
      <c r="G1808" s="16"/>
      <c r="H1808" s="24"/>
      <c r="I1808" s="24"/>
      <c r="L1808"/>
    </row>
    <row r="1809" spans="1:12" x14ac:dyDescent="0.25">
      <c r="A1809" s="16"/>
      <c r="D1809" s="16"/>
      <c r="F1809" s="16"/>
      <c r="G1809" s="16"/>
      <c r="H1809" s="24"/>
      <c r="I1809" s="24"/>
      <c r="L1809"/>
    </row>
    <row r="1810" spans="1:12" x14ac:dyDescent="0.25">
      <c r="A1810" s="16"/>
      <c r="D1810" s="16"/>
      <c r="F1810" s="16"/>
      <c r="G1810" s="16"/>
      <c r="H1810" s="24"/>
      <c r="I1810" s="24"/>
      <c r="L1810"/>
    </row>
    <row r="1811" spans="1:12" x14ac:dyDescent="0.25">
      <c r="A1811" s="16"/>
      <c r="D1811" s="16"/>
      <c r="F1811" s="16"/>
      <c r="G1811" s="16"/>
      <c r="H1811" s="24"/>
      <c r="I1811" s="24"/>
      <c r="L1811"/>
    </row>
    <row r="1812" spans="1:12" x14ac:dyDescent="0.25">
      <c r="A1812" s="16"/>
      <c r="D1812" s="16"/>
      <c r="F1812" s="16"/>
      <c r="G1812" s="16"/>
      <c r="H1812" s="24"/>
      <c r="I1812" s="24"/>
      <c r="L1812"/>
    </row>
    <row r="1813" spans="1:12" x14ac:dyDescent="0.25">
      <c r="A1813" s="16"/>
      <c r="D1813" s="16"/>
      <c r="F1813" s="16"/>
      <c r="G1813" s="16"/>
      <c r="H1813" s="24"/>
      <c r="I1813" s="24"/>
      <c r="L1813"/>
    </row>
    <row r="1814" spans="1:12" x14ac:dyDescent="0.25">
      <c r="A1814" s="16"/>
      <c r="D1814" s="16"/>
      <c r="F1814" s="16"/>
      <c r="G1814" s="16"/>
      <c r="H1814" s="24"/>
      <c r="I1814" s="24"/>
      <c r="L1814"/>
    </row>
    <row r="1815" spans="1:12" x14ac:dyDescent="0.25">
      <c r="A1815" s="16"/>
      <c r="D1815" s="16"/>
      <c r="F1815" s="16"/>
      <c r="G1815" s="16"/>
      <c r="H1815" s="24"/>
      <c r="I1815" s="24"/>
      <c r="L1815"/>
    </row>
    <row r="1816" spans="1:12" x14ac:dyDescent="0.25">
      <c r="A1816" s="16"/>
      <c r="D1816" s="16"/>
      <c r="F1816" s="16"/>
      <c r="G1816" s="16"/>
      <c r="H1816" s="24"/>
      <c r="I1816" s="24"/>
      <c r="L1816"/>
    </row>
    <row r="1817" spans="1:12" x14ac:dyDescent="0.25">
      <c r="A1817" s="16"/>
      <c r="D1817" s="16"/>
      <c r="F1817" s="16"/>
      <c r="G1817" s="16"/>
      <c r="H1817" s="24"/>
      <c r="I1817" s="24"/>
      <c r="L1817"/>
    </row>
    <row r="1818" spans="1:12" x14ac:dyDescent="0.25">
      <c r="A1818" s="16"/>
      <c r="D1818" s="16"/>
      <c r="F1818" s="16"/>
      <c r="G1818" s="16"/>
      <c r="H1818" s="24"/>
      <c r="I1818" s="24"/>
      <c r="L1818"/>
    </row>
    <row r="1819" spans="1:12" x14ac:dyDescent="0.25">
      <c r="A1819" s="16"/>
      <c r="D1819" s="16"/>
      <c r="F1819" s="16"/>
      <c r="G1819" s="16"/>
      <c r="H1819" s="24"/>
      <c r="I1819" s="24"/>
      <c r="L1819"/>
    </row>
    <row r="1820" spans="1:12" x14ac:dyDescent="0.25">
      <c r="A1820" s="16"/>
      <c r="D1820" s="16"/>
      <c r="F1820" s="16"/>
      <c r="G1820" s="16"/>
      <c r="H1820" s="24"/>
      <c r="I1820" s="24"/>
      <c r="L1820"/>
    </row>
    <row r="1821" spans="1:12" x14ac:dyDescent="0.25">
      <c r="A1821" s="16"/>
      <c r="D1821" s="16"/>
      <c r="F1821" s="16"/>
      <c r="G1821" s="16"/>
      <c r="H1821" s="24"/>
      <c r="I1821" s="24"/>
      <c r="L1821"/>
    </row>
    <row r="1822" spans="1:12" x14ac:dyDescent="0.25">
      <c r="A1822" s="16"/>
      <c r="D1822" s="16"/>
      <c r="F1822" s="16"/>
      <c r="G1822" s="16"/>
      <c r="H1822" s="24"/>
      <c r="I1822" s="24"/>
      <c r="L1822"/>
    </row>
    <row r="1823" spans="1:12" x14ac:dyDescent="0.25">
      <c r="A1823" s="16"/>
      <c r="D1823" s="16"/>
      <c r="F1823" s="16"/>
      <c r="G1823" s="16"/>
      <c r="H1823" s="24"/>
      <c r="I1823" s="24"/>
      <c r="L1823"/>
    </row>
    <row r="1824" spans="1:12" x14ac:dyDescent="0.25">
      <c r="A1824" s="16"/>
      <c r="D1824" s="16"/>
      <c r="F1824" s="16"/>
      <c r="G1824" s="16"/>
      <c r="H1824" s="24"/>
      <c r="I1824" s="24"/>
      <c r="L1824"/>
    </row>
    <row r="1825" spans="1:12" x14ac:dyDescent="0.25">
      <c r="A1825" s="16"/>
      <c r="D1825" s="16"/>
      <c r="F1825" s="16"/>
      <c r="G1825" s="16"/>
      <c r="H1825" s="24"/>
      <c r="I1825" s="24"/>
      <c r="L1825"/>
    </row>
    <row r="1826" spans="1:12" x14ac:dyDescent="0.25">
      <c r="A1826" s="16"/>
      <c r="D1826" s="16"/>
      <c r="F1826" s="16"/>
      <c r="G1826" s="16"/>
      <c r="H1826" s="24"/>
      <c r="I1826" s="24"/>
      <c r="L1826"/>
    </row>
    <row r="1827" spans="1:12" x14ac:dyDescent="0.25">
      <c r="A1827" s="16"/>
      <c r="D1827" s="16"/>
      <c r="F1827" s="16"/>
      <c r="G1827" s="16"/>
      <c r="H1827" s="24"/>
      <c r="I1827" s="24"/>
      <c r="L1827"/>
    </row>
    <row r="1828" spans="1:12" x14ac:dyDescent="0.25">
      <c r="A1828" s="16"/>
      <c r="D1828" s="16"/>
      <c r="F1828" s="16"/>
      <c r="G1828" s="16"/>
      <c r="H1828" s="24"/>
      <c r="I1828" s="24"/>
      <c r="L1828"/>
    </row>
    <row r="1829" spans="1:12" x14ac:dyDescent="0.25">
      <c r="A1829" s="16"/>
      <c r="D1829" s="16"/>
      <c r="F1829" s="16"/>
      <c r="G1829" s="16"/>
      <c r="H1829" s="24"/>
      <c r="I1829" s="24"/>
      <c r="L1829"/>
    </row>
    <row r="1830" spans="1:12" x14ac:dyDescent="0.25">
      <c r="A1830" s="16"/>
      <c r="D1830" s="16"/>
      <c r="F1830" s="16"/>
      <c r="G1830" s="16"/>
      <c r="H1830" s="24"/>
      <c r="I1830" s="24"/>
      <c r="L1830"/>
    </row>
    <row r="1831" spans="1:12" x14ac:dyDescent="0.25">
      <c r="A1831" s="16"/>
      <c r="D1831" s="16"/>
      <c r="F1831" s="16"/>
      <c r="G1831" s="16"/>
      <c r="H1831" s="24"/>
      <c r="I1831" s="24"/>
      <c r="L1831"/>
    </row>
    <row r="1832" spans="1:12" x14ac:dyDescent="0.25">
      <c r="A1832" s="16"/>
      <c r="D1832" s="16"/>
      <c r="F1832" s="16"/>
      <c r="G1832" s="16"/>
      <c r="H1832" s="24"/>
      <c r="I1832" s="24"/>
      <c r="L1832"/>
    </row>
    <row r="1833" spans="1:12" x14ac:dyDescent="0.25">
      <c r="A1833" s="16"/>
      <c r="D1833" s="16"/>
      <c r="F1833" s="16"/>
      <c r="G1833" s="16"/>
      <c r="H1833" s="24"/>
      <c r="I1833" s="24"/>
      <c r="L1833"/>
    </row>
    <row r="1834" spans="1:12" x14ac:dyDescent="0.25">
      <c r="A1834" s="16"/>
      <c r="D1834" s="16"/>
      <c r="F1834" s="16"/>
      <c r="G1834" s="16"/>
      <c r="H1834" s="24"/>
      <c r="I1834" s="24"/>
      <c r="L1834"/>
    </row>
    <row r="1835" spans="1:12" x14ac:dyDescent="0.25">
      <c r="A1835" s="16"/>
      <c r="D1835" s="16"/>
      <c r="F1835" s="16"/>
      <c r="G1835" s="16"/>
      <c r="H1835" s="24"/>
      <c r="I1835" s="24"/>
      <c r="L1835"/>
    </row>
    <row r="1836" spans="1:12" x14ac:dyDescent="0.25">
      <c r="A1836" s="16"/>
      <c r="D1836" s="16"/>
      <c r="F1836" s="16"/>
      <c r="G1836" s="16"/>
      <c r="H1836" s="24"/>
      <c r="I1836" s="24"/>
      <c r="L1836"/>
    </row>
    <row r="1837" spans="1:12" x14ac:dyDescent="0.25">
      <c r="A1837" s="16"/>
      <c r="D1837" s="16"/>
      <c r="F1837" s="16"/>
      <c r="G1837" s="16"/>
      <c r="H1837" s="24"/>
      <c r="I1837" s="24"/>
      <c r="L1837"/>
    </row>
    <row r="1838" spans="1:12" x14ac:dyDescent="0.25">
      <c r="A1838" s="16"/>
      <c r="D1838" s="16"/>
      <c r="F1838" s="16"/>
      <c r="G1838" s="16"/>
      <c r="H1838" s="24"/>
      <c r="I1838" s="24"/>
      <c r="L1838"/>
    </row>
    <row r="1839" spans="1:12" x14ac:dyDescent="0.25">
      <c r="A1839" s="16"/>
      <c r="D1839" s="16"/>
      <c r="F1839" s="16"/>
      <c r="G1839" s="16"/>
      <c r="H1839" s="24"/>
      <c r="I1839" s="24"/>
      <c r="L1839"/>
    </row>
    <row r="1840" spans="1:12" x14ac:dyDescent="0.25">
      <c r="A1840" s="16"/>
      <c r="D1840" s="16"/>
      <c r="F1840" s="16"/>
      <c r="G1840" s="16"/>
      <c r="H1840" s="24"/>
      <c r="I1840" s="24"/>
      <c r="L1840"/>
    </row>
    <row r="1841" spans="1:12" x14ac:dyDescent="0.25">
      <c r="A1841" s="16"/>
      <c r="D1841" s="16"/>
      <c r="F1841" s="16"/>
      <c r="G1841" s="16"/>
      <c r="H1841" s="24"/>
      <c r="I1841" s="24"/>
      <c r="L1841"/>
    </row>
    <row r="1842" spans="1:12" x14ac:dyDescent="0.25">
      <c r="A1842" s="16"/>
      <c r="D1842" s="16"/>
      <c r="F1842" s="16"/>
      <c r="G1842" s="16"/>
      <c r="H1842" s="24"/>
      <c r="I1842" s="24"/>
      <c r="L1842"/>
    </row>
    <row r="1843" spans="1:12" x14ac:dyDescent="0.25">
      <c r="A1843" s="16"/>
      <c r="D1843" s="16"/>
      <c r="F1843" s="16"/>
      <c r="G1843" s="16"/>
      <c r="H1843" s="24"/>
      <c r="I1843" s="24"/>
      <c r="L1843"/>
    </row>
    <row r="1844" spans="1:12" x14ac:dyDescent="0.25">
      <c r="A1844" s="16"/>
      <c r="D1844" s="16"/>
      <c r="F1844" s="16"/>
      <c r="G1844" s="16"/>
      <c r="H1844" s="24"/>
      <c r="I1844" s="24"/>
      <c r="L1844"/>
    </row>
    <row r="1845" spans="1:12" x14ac:dyDescent="0.25">
      <c r="A1845" s="16"/>
      <c r="D1845" s="16"/>
      <c r="F1845" s="16"/>
      <c r="G1845" s="16"/>
      <c r="H1845" s="24"/>
      <c r="I1845" s="24"/>
      <c r="L1845"/>
    </row>
    <row r="1846" spans="1:12" x14ac:dyDescent="0.25">
      <c r="A1846" s="16"/>
      <c r="D1846" s="16"/>
      <c r="F1846" s="16"/>
      <c r="G1846" s="16"/>
      <c r="H1846" s="24"/>
      <c r="I1846" s="24"/>
      <c r="L1846"/>
    </row>
    <row r="1847" spans="1:12" x14ac:dyDescent="0.25">
      <c r="A1847" s="16"/>
      <c r="D1847" s="16"/>
      <c r="F1847" s="16"/>
      <c r="G1847" s="16"/>
      <c r="H1847" s="24"/>
      <c r="I1847" s="24"/>
      <c r="L1847"/>
    </row>
    <row r="1848" spans="1:12" x14ac:dyDescent="0.25">
      <c r="A1848" s="16"/>
      <c r="D1848" s="16"/>
      <c r="F1848" s="16"/>
      <c r="G1848" s="16"/>
      <c r="H1848" s="24"/>
      <c r="I1848" s="24"/>
      <c r="L1848"/>
    </row>
    <row r="1849" spans="1:12" x14ac:dyDescent="0.25">
      <c r="A1849" s="16"/>
      <c r="D1849" s="16"/>
      <c r="F1849" s="16"/>
      <c r="G1849" s="16"/>
      <c r="H1849" s="24"/>
      <c r="I1849" s="24"/>
      <c r="L1849"/>
    </row>
    <row r="1850" spans="1:12" x14ac:dyDescent="0.25">
      <c r="A1850" s="16"/>
      <c r="D1850" s="16"/>
      <c r="F1850" s="16"/>
      <c r="G1850" s="16"/>
      <c r="H1850" s="24"/>
      <c r="I1850" s="24"/>
      <c r="L1850"/>
    </row>
    <row r="1851" spans="1:12" x14ac:dyDescent="0.25">
      <c r="A1851" s="16"/>
      <c r="D1851" s="16"/>
      <c r="F1851" s="16"/>
      <c r="G1851" s="16"/>
      <c r="H1851" s="24"/>
      <c r="I1851" s="24"/>
      <c r="L1851"/>
    </row>
    <row r="1852" spans="1:12" x14ac:dyDescent="0.25">
      <c r="A1852" s="16"/>
      <c r="D1852" s="16"/>
      <c r="F1852" s="16"/>
      <c r="G1852" s="16"/>
      <c r="H1852" s="24"/>
      <c r="I1852" s="24"/>
      <c r="L1852"/>
    </row>
    <row r="1853" spans="1:12" x14ac:dyDescent="0.25">
      <c r="A1853" s="16"/>
      <c r="D1853" s="16"/>
      <c r="F1853" s="16"/>
      <c r="G1853" s="16"/>
      <c r="H1853" s="24"/>
      <c r="I1853" s="24"/>
      <c r="L1853"/>
    </row>
    <row r="1854" spans="1:12" x14ac:dyDescent="0.25">
      <c r="A1854" s="16"/>
      <c r="D1854" s="16"/>
      <c r="F1854" s="16"/>
      <c r="G1854" s="16"/>
      <c r="H1854" s="24"/>
      <c r="I1854" s="24"/>
      <c r="L1854"/>
    </row>
    <row r="1855" spans="1:12" x14ac:dyDescent="0.25">
      <c r="A1855" s="16"/>
      <c r="D1855" s="16"/>
      <c r="F1855" s="16"/>
      <c r="G1855" s="16"/>
      <c r="H1855" s="24"/>
      <c r="I1855" s="24"/>
      <c r="L1855"/>
    </row>
    <row r="1856" spans="1:12" x14ac:dyDescent="0.25">
      <c r="A1856" s="16"/>
      <c r="D1856" s="16"/>
      <c r="F1856" s="16"/>
      <c r="G1856" s="16"/>
      <c r="H1856" s="24"/>
      <c r="I1856" s="24"/>
      <c r="L1856"/>
    </row>
    <row r="1857" spans="1:12" x14ac:dyDescent="0.25">
      <c r="A1857" s="16"/>
      <c r="D1857" s="16"/>
      <c r="F1857" s="16"/>
      <c r="G1857" s="16"/>
      <c r="H1857" s="24"/>
      <c r="I1857" s="24"/>
      <c r="L1857"/>
    </row>
    <row r="1858" spans="1:12" x14ac:dyDescent="0.25">
      <c r="A1858" s="16"/>
      <c r="D1858" s="16"/>
      <c r="F1858" s="16"/>
      <c r="G1858" s="16"/>
      <c r="H1858" s="24"/>
      <c r="I1858" s="24"/>
      <c r="L1858"/>
    </row>
    <row r="1859" spans="1:12" x14ac:dyDescent="0.25">
      <c r="A1859" s="16"/>
      <c r="D1859" s="16"/>
      <c r="F1859" s="16"/>
      <c r="G1859" s="16"/>
      <c r="H1859" s="24"/>
      <c r="I1859" s="24"/>
      <c r="L1859"/>
    </row>
    <row r="1860" spans="1:12" x14ac:dyDescent="0.25">
      <c r="A1860" s="16"/>
      <c r="D1860" s="16"/>
      <c r="F1860" s="16"/>
      <c r="G1860" s="16"/>
      <c r="H1860" s="24"/>
      <c r="I1860" s="24"/>
      <c r="L1860"/>
    </row>
    <row r="1861" spans="1:12" x14ac:dyDescent="0.25">
      <c r="A1861" s="16"/>
      <c r="D1861" s="16"/>
      <c r="F1861" s="16"/>
      <c r="G1861" s="16"/>
      <c r="H1861" s="24"/>
      <c r="I1861" s="24"/>
      <c r="L1861"/>
    </row>
    <row r="1862" spans="1:12" x14ac:dyDescent="0.25">
      <c r="A1862" s="16"/>
      <c r="D1862" s="16"/>
      <c r="F1862" s="16"/>
      <c r="G1862" s="16"/>
      <c r="H1862" s="24"/>
      <c r="I1862" s="24"/>
      <c r="L1862"/>
    </row>
    <row r="1863" spans="1:12" x14ac:dyDescent="0.25">
      <c r="A1863" s="16"/>
      <c r="D1863" s="16"/>
      <c r="F1863" s="16"/>
      <c r="G1863" s="16"/>
      <c r="H1863" s="24"/>
      <c r="I1863" s="24"/>
      <c r="L1863"/>
    </row>
    <row r="1864" spans="1:12" x14ac:dyDescent="0.25">
      <c r="A1864" s="16"/>
      <c r="D1864" s="16"/>
      <c r="F1864" s="16"/>
      <c r="G1864" s="16"/>
      <c r="H1864" s="24"/>
      <c r="I1864" s="24"/>
      <c r="L1864"/>
    </row>
    <row r="1865" spans="1:12" x14ac:dyDescent="0.25">
      <c r="A1865" s="16"/>
      <c r="D1865" s="16"/>
      <c r="F1865" s="16"/>
      <c r="G1865" s="16"/>
      <c r="H1865" s="24"/>
      <c r="I1865" s="24"/>
      <c r="L1865"/>
    </row>
    <row r="1866" spans="1:12" x14ac:dyDescent="0.25">
      <c r="A1866" s="16"/>
      <c r="D1866" s="16"/>
      <c r="F1866" s="16"/>
      <c r="G1866" s="16"/>
      <c r="H1866" s="24"/>
      <c r="I1866" s="24"/>
      <c r="L1866"/>
    </row>
    <row r="1867" spans="1:12" x14ac:dyDescent="0.25">
      <c r="A1867" s="16"/>
      <c r="D1867" s="16"/>
      <c r="F1867" s="16"/>
      <c r="G1867" s="16"/>
      <c r="H1867" s="24"/>
      <c r="I1867" s="24"/>
      <c r="L1867"/>
    </row>
    <row r="1868" spans="1:12" x14ac:dyDescent="0.25">
      <c r="A1868" s="16"/>
      <c r="D1868" s="16"/>
      <c r="F1868" s="16"/>
      <c r="G1868" s="16"/>
      <c r="H1868" s="24"/>
      <c r="I1868" s="24"/>
      <c r="L1868"/>
    </row>
    <row r="1869" spans="1:12" x14ac:dyDescent="0.25">
      <c r="A1869" s="16"/>
      <c r="D1869" s="16"/>
      <c r="F1869" s="16"/>
      <c r="G1869" s="16"/>
      <c r="H1869" s="24"/>
      <c r="I1869" s="24"/>
      <c r="L1869"/>
    </row>
    <row r="1870" spans="1:12" x14ac:dyDescent="0.25">
      <c r="A1870" s="16"/>
      <c r="D1870" s="16"/>
      <c r="F1870" s="16"/>
      <c r="G1870" s="16"/>
      <c r="H1870" s="24"/>
      <c r="I1870" s="24"/>
      <c r="L1870"/>
    </row>
    <row r="1871" spans="1:12" x14ac:dyDescent="0.25">
      <c r="A1871" s="16"/>
      <c r="D1871" s="16"/>
      <c r="F1871" s="16"/>
      <c r="G1871" s="16"/>
      <c r="H1871" s="24"/>
      <c r="I1871" s="24"/>
      <c r="L1871"/>
    </row>
    <row r="1872" spans="1:12" x14ac:dyDescent="0.25">
      <c r="A1872" s="16"/>
      <c r="D1872" s="16"/>
      <c r="F1872" s="16"/>
      <c r="G1872" s="16"/>
      <c r="H1872" s="24"/>
      <c r="I1872" s="24"/>
      <c r="L1872"/>
    </row>
    <row r="1873" spans="1:12" x14ac:dyDescent="0.25">
      <c r="A1873" s="16"/>
      <c r="D1873" s="16"/>
      <c r="F1873" s="16"/>
      <c r="G1873" s="16"/>
      <c r="H1873" s="24"/>
      <c r="I1873" s="24"/>
      <c r="L1873"/>
    </row>
    <row r="1874" spans="1:12" x14ac:dyDescent="0.25">
      <c r="A1874" s="16"/>
      <c r="D1874" s="16"/>
      <c r="F1874" s="16"/>
      <c r="G1874" s="16"/>
      <c r="H1874" s="24"/>
      <c r="I1874" s="24"/>
      <c r="L1874"/>
    </row>
    <row r="1875" spans="1:12" x14ac:dyDescent="0.25">
      <c r="A1875" s="16"/>
      <c r="D1875" s="16"/>
      <c r="F1875" s="16"/>
      <c r="G1875" s="16"/>
      <c r="H1875" s="24"/>
      <c r="I1875" s="24"/>
      <c r="L1875"/>
    </row>
    <row r="1876" spans="1:12" x14ac:dyDescent="0.25">
      <c r="A1876" s="16"/>
      <c r="D1876" s="16"/>
      <c r="F1876" s="16"/>
      <c r="G1876" s="16"/>
      <c r="H1876" s="24"/>
      <c r="I1876" s="24"/>
      <c r="L1876"/>
    </row>
    <row r="1877" spans="1:12" x14ac:dyDescent="0.25">
      <c r="A1877" s="16"/>
      <c r="D1877" s="16"/>
      <c r="F1877" s="16"/>
      <c r="G1877" s="16"/>
      <c r="H1877" s="24"/>
      <c r="I1877" s="24"/>
      <c r="L1877"/>
    </row>
    <row r="1878" spans="1:12" x14ac:dyDescent="0.25">
      <c r="A1878" s="16"/>
      <c r="D1878" s="16"/>
      <c r="F1878" s="16"/>
      <c r="G1878" s="16"/>
      <c r="H1878" s="24"/>
      <c r="I1878" s="24"/>
      <c r="L1878"/>
    </row>
    <row r="1879" spans="1:12" x14ac:dyDescent="0.25">
      <c r="A1879" s="16"/>
      <c r="D1879" s="16"/>
      <c r="F1879" s="16"/>
      <c r="G1879" s="16"/>
      <c r="H1879" s="24"/>
      <c r="I1879" s="24"/>
      <c r="L1879"/>
    </row>
    <row r="1880" spans="1:12" x14ac:dyDescent="0.25">
      <c r="A1880" s="16"/>
      <c r="D1880" s="16"/>
      <c r="F1880" s="16"/>
      <c r="G1880" s="16"/>
      <c r="H1880" s="24"/>
      <c r="I1880" s="24"/>
      <c r="L1880"/>
    </row>
    <row r="1881" spans="1:12" x14ac:dyDescent="0.25">
      <c r="A1881" s="16"/>
      <c r="D1881" s="16"/>
      <c r="F1881" s="16"/>
      <c r="G1881" s="16"/>
      <c r="H1881" s="24"/>
      <c r="I1881" s="24"/>
      <c r="L1881"/>
    </row>
    <row r="1882" spans="1:12" x14ac:dyDescent="0.25">
      <c r="A1882" s="16"/>
      <c r="D1882" s="16"/>
      <c r="F1882" s="16"/>
      <c r="G1882" s="16"/>
      <c r="H1882" s="24"/>
      <c r="I1882" s="24"/>
      <c r="L1882"/>
    </row>
    <row r="1883" spans="1:12" x14ac:dyDescent="0.25">
      <c r="A1883" s="16"/>
      <c r="D1883" s="16"/>
      <c r="F1883" s="16"/>
      <c r="G1883" s="16"/>
      <c r="H1883" s="24"/>
      <c r="I1883" s="24"/>
      <c r="L1883"/>
    </row>
    <row r="1884" spans="1:12" x14ac:dyDescent="0.25">
      <c r="A1884" s="16"/>
      <c r="D1884" s="16"/>
      <c r="F1884" s="16"/>
      <c r="G1884" s="16"/>
      <c r="H1884" s="24"/>
      <c r="I1884" s="24"/>
      <c r="L1884"/>
    </row>
    <row r="1885" spans="1:12" x14ac:dyDescent="0.25">
      <c r="A1885" s="16"/>
      <c r="D1885" s="16"/>
      <c r="F1885" s="16"/>
      <c r="G1885" s="16"/>
      <c r="H1885" s="24"/>
      <c r="I1885" s="24"/>
      <c r="L1885"/>
    </row>
    <row r="1886" spans="1:12" x14ac:dyDescent="0.25">
      <c r="A1886" s="16"/>
      <c r="D1886" s="16"/>
      <c r="F1886" s="16"/>
      <c r="G1886" s="16"/>
      <c r="H1886" s="24"/>
      <c r="I1886" s="24"/>
      <c r="L1886"/>
    </row>
    <row r="1887" spans="1:12" x14ac:dyDescent="0.25">
      <c r="A1887" s="16"/>
      <c r="D1887" s="16"/>
      <c r="F1887" s="16"/>
      <c r="G1887" s="16"/>
      <c r="H1887" s="24"/>
      <c r="I1887" s="24"/>
      <c r="L1887"/>
    </row>
    <row r="1888" spans="1:12" x14ac:dyDescent="0.25">
      <c r="A1888" s="16"/>
      <c r="D1888" s="16"/>
      <c r="F1888" s="16"/>
      <c r="G1888" s="16"/>
      <c r="H1888" s="24"/>
      <c r="I1888" s="24"/>
      <c r="L1888"/>
    </row>
    <row r="1889" spans="1:12" x14ac:dyDescent="0.25">
      <c r="A1889" s="16"/>
      <c r="D1889" s="16"/>
      <c r="F1889" s="16"/>
      <c r="G1889" s="16"/>
      <c r="H1889" s="24"/>
      <c r="I1889" s="24"/>
      <c r="L1889"/>
    </row>
    <row r="1890" spans="1:12" x14ac:dyDescent="0.25">
      <c r="A1890" s="16"/>
      <c r="D1890" s="16"/>
      <c r="F1890" s="16"/>
      <c r="G1890" s="16"/>
      <c r="H1890" s="24"/>
      <c r="I1890" s="24"/>
      <c r="L1890"/>
    </row>
    <row r="1891" spans="1:12" x14ac:dyDescent="0.25">
      <c r="A1891" s="16"/>
      <c r="D1891" s="16"/>
      <c r="F1891" s="16"/>
      <c r="G1891" s="16"/>
      <c r="H1891" s="24"/>
      <c r="I1891" s="24"/>
      <c r="L1891"/>
    </row>
    <row r="1892" spans="1:12" x14ac:dyDescent="0.25">
      <c r="A1892" s="16"/>
      <c r="D1892" s="16"/>
      <c r="F1892" s="16"/>
      <c r="G1892" s="16"/>
      <c r="H1892" s="24"/>
      <c r="I1892" s="24"/>
      <c r="L1892"/>
    </row>
    <row r="1893" spans="1:12" x14ac:dyDescent="0.25">
      <c r="A1893" s="16"/>
      <c r="D1893" s="16"/>
      <c r="F1893" s="16"/>
      <c r="G1893" s="16"/>
      <c r="H1893" s="24"/>
      <c r="I1893" s="24"/>
      <c r="L1893"/>
    </row>
    <row r="1894" spans="1:12" x14ac:dyDescent="0.25">
      <c r="A1894" s="16"/>
      <c r="D1894" s="16"/>
      <c r="F1894" s="16"/>
      <c r="G1894" s="16"/>
      <c r="H1894" s="24"/>
      <c r="I1894" s="24"/>
      <c r="L1894"/>
    </row>
    <row r="1895" spans="1:12" x14ac:dyDescent="0.25">
      <c r="A1895" s="16"/>
      <c r="D1895" s="16"/>
      <c r="F1895" s="16"/>
      <c r="G1895" s="16"/>
      <c r="H1895" s="24"/>
      <c r="I1895" s="24"/>
      <c r="L1895"/>
    </row>
    <row r="1896" spans="1:12" x14ac:dyDescent="0.25">
      <c r="A1896" s="16"/>
      <c r="D1896" s="16"/>
      <c r="F1896" s="16"/>
      <c r="G1896" s="16"/>
      <c r="H1896" s="24"/>
      <c r="I1896" s="24"/>
      <c r="L1896"/>
    </row>
    <row r="1897" spans="1:12" x14ac:dyDescent="0.25">
      <c r="A1897" s="16"/>
      <c r="D1897" s="16"/>
      <c r="F1897" s="16"/>
      <c r="G1897" s="16"/>
      <c r="H1897" s="24"/>
      <c r="I1897" s="24"/>
      <c r="L1897"/>
    </row>
    <row r="1898" spans="1:12" x14ac:dyDescent="0.25">
      <c r="A1898" s="16"/>
      <c r="D1898" s="16"/>
      <c r="F1898" s="16"/>
      <c r="G1898" s="16"/>
      <c r="H1898" s="24"/>
      <c r="I1898" s="24"/>
      <c r="L1898"/>
    </row>
    <row r="1899" spans="1:12" x14ac:dyDescent="0.25">
      <c r="A1899" s="16"/>
      <c r="D1899" s="16"/>
      <c r="F1899" s="16"/>
      <c r="G1899" s="16"/>
      <c r="H1899" s="24"/>
      <c r="I1899" s="24"/>
      <c r="L1899"/>
    </row>
    <row r="1900" spans="1:12" x14ac:dyDescent="0.25">
      <c r="A1900" s="16"/>
      <c r="D1900" s="16"/>
      <c r="F1900" s="16"/>
      <c r="G1900" s="16"/>
      <c r="H1900" s="24"/>
      <c r="I1900" s="24"/>
      <c r="L1900"/>
    </row>
    <row r="1901" spans="1:12" x14ac:dyDescent="0.25">
      <c r="A1901" s="16"/>
      <c r="D1901" s="16"/>
      <c r="F1901" s="16"/>
      <c r="G1901" s="16"/>
      <c r="H1901" s="24"/>
      <c r="I1901" s="24"/>
      <c r="L1901"/>
    </row>
    <row r="1902" spans="1:12" x14ac:dyDescent="0.25">
      <c r="A1902" s="16"/>
      <c r="D1902" s="16"/>
      <c r="F1902" s="16"/>
      <c r="G1902" s="16"/>
      <c r="H1902" s="24"/>
      <c r="I1902" s="24"/>
      <c r="L1902"/>
    </row>
    <row r="1903" spans="1:12" x14ac:dyDescent="0.25">
      <c r="A1903" s="16"/>
      <c r="D1903" s="16"/>
      <c r="F1903" s="16"/>
      <c r="G1903" s="16"/>
      <c r="H1903" s="24"/>
      <c r="I1903" s="24"/>
      <c r="L1903"/>
    </row>
    <row r="1904" spans="1:12" x14ac:dyDescent="0.25">
      <c r="A1904" s="16"/>
      <c r="D1904" s="16"/>
      <c r="F1904" s="16"/>
      <c r="G1904" s="16"/>
      <c r="H1904" s="24"/>
      <c r="I1904" s="24"/>
      <c r="L1904"/>
    </row>
    <row r="1905" spans="1:12" x14ac:dyDescent="0.25">
      <c r="A1905" s="16"/>
      <c r="D1905" s="16"/>
      <c r="F1905" s="16"/>
      <c r="G1905" s="16"/>
      <c r="H1905" s="24"/>
      <c r="I1905" s="24"/>
      <c r="L1905"/>
    </row>
    <row r="1906" spans="1:12" x14ac:dyDescent="0.25">
      <c r="A1906" s="16"/>
      <c r="D1906" s="16"/>
      <c r="F1906" s="16"/>
      <c r="G1906" s="16"/>
      <c r="H1906" s="24"/>
      <c r="I1906" s="24"/>
      <c r="L1906"/>
    </row>
    <row r="1907" spans="1:12" x14ac:dyDescent="0.25">
      <c r="A1907" s="16"/>
      <c r="D1907" s="16"/>
      <c r="F1907" s="16"/>
      <c r="G1907" s="16"/>
      <c r="H1907" s="24"/>
      <c r="I1907" s="24"/>
      <c r="L1907"/>
    </row>
    <row r="1908" spans="1:12" x14ac:dyDescent="0.25">
      <c r="A1908" s="16"/>
      <c r="D1908" s="16"/>
      <c r="F1908" s="16"/>
      <c r="G1908" s="16"/>
      <c r="H1908" s="24"/>
      <c r="I1908" s="24"/>
      <c r="L1908"/>
    </row>
    <row r="1909" spans="1:12" x14ac:dyDescent="0.25">
      <c r="A1909" s="16"/>
      <c r="D1909" s="16"/>
      <c r="F1909" s="16"/>
      <c r="G1909" s="16"/>
      <c r="H1909" s="24"/>
      <c r="I1909" s="24"/>
      <c r="L1909"/>
    </row>
    <row r="1910" spans="1:12" x14ac:dyDescent="0.25">
      <c r="A1910" s="16"/>
      <c r="D1910" s="16"/>
      <c r="F1910" s="16"/>
      <c r="G1910" s="16"/>
      <c r="H1910" s="24"/>
      <c r="I1910" s="24"/>
      <c r="L1910"/>
    </row>
    <row r="1911" spans="1:12" x14ac:dyDescent="0.25">
      <c r="A1911" s="16"/>
      <c r="D1911" s="16"/>
      <c r="F1911" s="16"/>
      <c r="G1911" s="16"/>
      <c r="H1911" s="24"/>
      <c r="I1911" s="24"/>
      <c r="L1911"/>
    </row>
    <row r="1912" spans="1:12" x14ac:dyDescent="0.25">
      <c r="A1912" s="16"/>
      <c r="D1912" s="16"/>
      <c r="F1912" s="16"/>
      <c r="G1912" s="16"/>
      <c r="H1912" s="24"/>
      <c r="I1912" s="24"/>
      <c r="L1912"/>
    </row>
    <row r="1913" spans="1:12" x14ac:dyDescent="0.25">
      <c r="A1913" s="16"/>
      <c r="D1913" s="16"/>
      <c r="F1913" s="16"/>
      <c r="G1913" s="16"/>
      <c r="H1913" s="24"/>
      <c r="I1913" s="24"/>
      <c r="L1913"/>
    </row>
    <row r="1914" spans="1:12" x14ac:dyDescent="0.25">
      <c r="A1914" s="16"/>
      <c r="D1914" s="16"/>
      <c r="F1914" s="16"/>
      <c r="G1914" s="16"/>
      <c r="H1914" s="24"/>
      <c r="I1914" s="24"/>
      <c r="L1914"/>
    </row>
    <row r="1915" spans="1:12" x14ac:dyDescent="0.25">
      <c r="A1915" s="16"/>
      <c r="D1915" s="16"/>
      <c r="F1915" s="16"/>
      <c r="G1915" s="16"/>
      <c r="H1915" s="24"/>
      <c r="I1915" s="24"/>
      <c r="L1915"/>
    </row>
    <row r="1916" spans="1:12" x14ac:dyDescent="0.25">
      <c r="A1916" s="16"/>
      <c r="D1916" s="16"/>
      <c r="F1916" s="16"/>
      <c r="G1916" s="16"/>
      <c r="H1916" s="24"/>
      <c r="I1916" s="24"/>
      <c r="L1916"/>
    </row>
    <row r="1917" spans="1:12" x14ac:dyDescent="0.25">
      <c r="A1917" s="16"/>
      <c r="D1917" s="16"/>
      <c r="F1917" s="16"/>
      <c r="G1917" s="16"/>
      <c r="H1917" s="24"/>
      <c r="I1917" s="24"/>
      <c r="L1917"/>
    </row>
    <row r="1918" spans="1:12" x14ac:dyDescent="0.25">
      <c r="A1918" s="16"/>
      <c r="D1918" s="16"/>
      <c r="F1918" s="16"/>
      <c r="G1918" s="16"/>
      <c r="H1918" s="24"/>
      <c r="I1918" s="24"/>
      <c r="L1918"/>
    </row>
    <row r="1919" spans="1:12" x14ac:dyDescent="0.25">
      <c r="A1919" s="16"/>
      <c r="D1919" s="16"/>
      <c r="F1919" s="16"/>
      <c r="G1919" s="16"/>
      <c r="H1919" s="24"/>
      <c r="I1919" s="24"/>
      <c r="L1919"/>
    </row>
    <row r="1920" spans="1:12" x14ac:dyDescent="0.25">
      <c r="A1920" s="16"/>
      <c r="D1920" s="16"/>
      <c r="F1920" s="16"/>
      <c r="G1920" s="16"/>
      <c r="H1920" s="24"/>
      <c r="I1920" s="24"/>
      <c r="L1920"/>
    </row>
    <row r="1921" spans="1:12" x14ac:dyDescent="0.25">
      <c r="A1921" s="16"/>
      <c r="D1921" s="16"/>
      <c r="F1921" s="16"/>
      <c r="G1921" s="16"/>
      <c r="H1921" s="24"/>
      <c r="I1921" s="24"/>
      <c r="L1921"/>
    </row>
    <row r="1922" spans="1:12" x14ac:dyDescent="0.25">
      <c r="A1922" s="16"/>
      <c r="D1922" s="16"/>
      <c r="F1922" s="16"/>
      <c r="G1922" s="16"/>
      <c r="H1922" s="24"/>
      <c r="I1922" s="24"/>
      <c r="L1922"/>
    </row>
    <row r="1923" spans="1:12" x14ac:dyDescent="0.25">
      <c r="A1923" s="16"/>
      <c r="D1923" s="16"/>
      <c r="F1923" s="16"/>
      <c r="G1923" s="16"/>
      <c r="H1923" s="24"/>
      <c r="I1923" s="24"/>
      <c r="L1923"/>
    </row>
    <row r="1924" spans="1:12" x14ac:dyDescent="0.25">
      <c r="A1924" s="16"/>
      <c r="D1924" s="16"/>
      <c r="F1924" s="16"/>
      <c r="G1924" s="16"/>
      <c r="H1924" s="24"/>
      <c r="I1924" s="24"/>
      <c r="L1924"/>
    </row>
    <row r="1925" spans="1:12" x14ac:dyDescent="0.25">
      <c r="A1925" s="16"/>
      <c r="D1925" s="16"/>
      <c r="F1925" s="16"/>
      <c r="G1925" s="16"/>
      <c r="H1925" s="24"/>
      <c r="I1925" s="24"/>
      <c r="L1925"/>
    </row>
    <row r="1926" spans="1:12" x14ac:dyDescent="0.25">
      <c r="A1926" s="16"/>
      <c r="D1926" s="16"/>
      <c r="F1926" s="16"/>
      <c r="G1926" s="16"/>
      <c r="H1926" s="24"/>
      <c r="I1926" s="24"/>
      <c r="L1926"/>
    </row>
    <row r="1927" spans="1:12" x14ac:dyDescent="0.25">
      <c r="A1927" s="16"/>
      <c r="D1927" s="16"/>
      <c r="F1927" s="16"/>
      <c r="G1927" s="16"/>
      <c r="H1927" s="24"/>
      <c r="I1927" s="24"/>
      <c r="L1927"/>
    </row>
    <row r="1928" spans="1:12" x14ac:dyDescent="0.25">
      <c r="A1928" s="16"/>
      <c r="D1928" s="16"/>
      <c r="F1928" s="16"/>
      <c r="G1928" s="16"/>
      <c r="H1928" s="24"/>
      <c r="I1928" s="24"/>
      <c r="L1928"/>
    </row>
    <row r="1929" spans="1:12" x14ac:dyDescent="0.25">
      <c r="A1929" s="16"/>
      <c r="D1929" s="16"/>
      <c r="F1929" s="16"/>
      <c r="G1929" s="16"/>
      <c r="H1929" s="24"/>
      <c r="I1929" s="24"/>
      <c r="L1929"/>
    </row>
    <row r="1930" spans="1:12" x14ac:dyDescent="0.25">
      <c r="A1930" s="16"/>
      <c r="D1930" s="16"/>
      <c r="F1930" s="16"/>
      <c r="G1930" s="16"/>
      <c r="H1930" s="24"/>
      <c r="I1930" s="24"/>
      <c r="L1930"/>
    </row>
    <row r="1931" spans="1:12" x14ac:dyDescent="0.25">
      <c r="A1931" s="16"/>
      <c r="D1931" s="16"/>
      <c r="F1931" s="16"/>
      <c r="G1931" s="16"/>
      <c r="H1931" s="24"/>
      <c r="I1931" s="24"/>
      <c r="L1931"/>
    </row>
    <row r="1932" spans="1:12" x14ac:dyDescent="0.25">
      <c r="A1932" s="16"/>
      <c r="D1932" s="16"/>
      <c r="F1932" s="16"/>
      <c r="G1932" s="16"/>
      <c r="H1932" s="24"/>
      <c r="I1932" s="24"/>
      <c r="L1932"/>
    </row>
    <row r="1933" spans="1:12" x14ac:dyDescent="0.25">
      <c r="A1933" s="16"/>
      <c r="D1933" s="16"/>
      <c r="F1933" s="16"/>
      <c r="G1933" s="16"/>
      <c r="H1933" s="24"/>
      <c r="I1933" s="24"/>
      <c r="L1933"/>
    </row>
    <row r="1934" spans="1:12" x14ac:dyDescent="0.25">
      <c r="A1934" s="16"/>
      <c r="D1934" s="16"/>
      <c r="F1934" s="16"/>
      <c r="G1934" s="16"/>
      <c r="H1934" s="24"/>
      <c r="I1934" s="24"/>
      <c r="L1934"/>
    </row>
    <row r="1935" spans="1:12" x14ac:dyDescent="0.25">
      <c r="A1935" s="16"/>
      <c r="D1935" s="16"/>
      <c r="F1935" s="16"/>
      <c r="G1935" s="16"/>
      <c r="H1935" s="24"/>
      <c r="I1935" s="24"/>
      <c r="L1935"/>
    </row>
    <row r="1936" spans="1:12" x14ac:dyDescent="0.25">
      <c r="A1936" s="16"/>
      <c r="D1936" s="16"/>
      <c r="F1936" s="16"/>
      <c r="G1936" s="16"/>
      <c r="H1936" s="24"/>
      <c r="I1936" s="24"/>
      <c r="L1936"/>
    </row>
    <row r="1937" spans="1:12" x14ac:dyDescent="0.25">
      <c r="A1937" s="16"/>
      <c r="D1937" s="16"/>
      <c r="F1937" s="16"/>
      <c r="G1937" s="16"/>
      <c r="H1937" s="24"/>
      <c r="I1937" s="24"/>
      <c r="L1937"/>
    </row>
    <row r="1938" spans="1:12" x14ac:dyDescent="0.25">
      <c r="A1938" s="16"/>
      <c r="D1938" s="16"/>
      <c r="F1938" s="16"/>
      <c r="G1938" s="16"/>
      <c r="H1938" s="24"/>
      <c r="I1938" s="24"/>
      <c r="L1938"/>
    </row>
    <row r="1939" spans="1:12" x14ac:dyDescent="0.25">
      <c r="A1939" s="16"/>
      <c r="D1939" s="16"/>
      <c r="F1939" s="16"/>
      <c r="G1939" s="16"/>
      <c r="H1939" s="24"/>
      <c r="I1939" s="24"/>
      <c r="L1939"/>
    </row>
    <row r="1940" spans="1:12" x14ac:dyDescent="0.25">
      <c r="A1940" s="16"/>
      <c r="D1940" s="16"/>
      <c r="F1940" s="16"/>
      <c r="G1940" s="16"/>
      <c r="H1940" s="24"/>
      <c r="I1940" s="24"/>
      <c r="L1940"/>
    </row>
    <row r="1941" spans="1:12" x14ac:dyDescent="0.25">
      <c r="A1941" s="16"/>
      <c r="D1941" s="16"/>
      <c r="F1941" s="16"/>
      <c r="G1941" s="16"/>
      <c r="H1941" s="24"/>
      <c r="I1941" s="24"/>
      <c r="L1941"/>
    </row>
    <row r="1942" spans="1:12" x14ac:dyDescent="0.25">
      <c r="A1942" s="16"/>
      <c r="D1942" s="16"/>
      <c r="F1942" s="16"/>
      <c r="G1942" s="16"/>
      <c r="H1942" s="24"/>
      <c r="I1942" s="24"/>
      <c r="L1942"/>
    </row>
    <row r="1943" spans="1:12" x14ac:dyDescent="0.25">
      <c r="A1943" s="16"/>
      <c r="D1943" s="16"/>
      <c r="F1943" s="16"/>
      <c r="G1943" s="16"/>
      <c r="H1943" s="24"/>
      <c r="I1943" s="24"/>
      <c r="L1943"/>
    </row>
    <row r="1944" spans="1:12" x14ac:dyDescent="0.25">
      <c r="A1944" s="16"/>
      <c r="D1944" s="16"/>
      <c r="F1944" s="16"/>
      <c r="G1944" s="16"/>
      <c r="H1944" s="24"/>
      <c r="I1944" s="24"/>
      <c r="L1944"/>
    </row>
    <row r="1945" spans="1:12" x14ac:dyDescent="0.25">
      <c r="A1945" s="16"/>
      <c r="D1945" s="16"/>
      <c r="F1945" s="16"/>
      <c r="G1945" s="16"/>
      <c r="H1945" s="24"/>
      <c r="I1945" s="24"/>
      <c r="L1945"/>
    </row>
    <row r="1946" spans="1:12" x14ac:dyDescent="0.25">
      <c r="A1946" s="16"/>
      <c r="D1946" s="16"/>
      <c r="F1946" s="16"/>
      <c r="G1946" s="16"/>
      <c r="H1946" s="24"/>
      <c r="I1946" s="24"/>
      <c r="L1946"/>
    </row>
    <row r="1947" spans="1:12" x14ac:dyDescent="0.25">
      <c r="A1947" s="16"/>
      <c r="D1947" s="16"/>
      <c r="F1947" s="16"/>
      <c r="G1947" s="16"/>
      <c r="H1947" s="24"/>
      <c r="I1947" s="24"/>
      <c r="L1947"/>
    </row>
    <row r="1948" spans="1:12" x14ac:dyDescent="0.25">
      <c r="A1948" s="16"/>
      <c r="D1948" s="16"/>
      <c r="F1948" s="16"/>
      <c r="G1948" s="16"/>
      <c r="H1948" s="24"/>
      <c r="I1948" s="24"/>
      <c r="L1948"/>
    </row>
    <row r="1949" spans="1:12" x14ac:dyDescent="0.25">
      <c r="A1949" s="16"/>
      <c r="D1949" s="16"/>
      <c r="F1949" s="16"/>
      <c r="G1949" s="16"/>
      <c r="H1949" s="24"/>
      <c r="I1949" s="24"/>
      <c r="L1949"/>
    </row>
    <row r="1950" spans="1:12" x14ac:dyDescent="0.25">
      <c r="A1950" s="16"/>
      <c r="D1950" s="16"/>
      <c r="F1950" s="16"/>
      <c r="G1950" s="16"/>
      <c r="H1950" s="24"/>
      <c r="I1950" s="24"/>
      <c r="L1950"/>
    </row>
    <row r="1951" spans="1:12" x14ac:dyDescent="0.25">
      <c r="A1951" s="16"/>
      <c r="D1951" s="16"/>
      <c r="F1951" s="16"/>
      <c r="G1951" s="16"/>
      <c r="H1951" s="24"/>
      <c r="I1951" s="24"/>
      <c r="L1951"/>
    </row>
    <row r="1952" spans="1:12" x14ac:dyDescent="0.25">
      <c r="A1952" s="16"/>
      <c r="D1952" s="16"/>
      <c r="F1952" s="16"/>
      <c r="G1952" s="16"/>
      <c r="H1952" s="24"/>
      <c r="I1952" s="24"/>
      <c r="L1952"/>
    </row>
    <row r="1953" spans="1:12" x14ac:dyDescent="0.25">
      <c r="A1953" s="16"/>
      <c r="D1953" s="16"/>
      <c r="F1953" s="16"/>
      <c r="G1953" s="16"/>
      <c r="H1953" s="24"/>
      <c r="I1953" s="24"/>
      <c r="L1953"/>
    </row>
    <row r="1954" spans="1:12" x14ac:dyDescent="0.25">
      <c r="A1954" s="16"/>
      <c r="D1954" s="16"/>
      <c r="F1954" s="16"/>
      <c r="G1954" s="16"/>
      <c r="H1954" s="24"/>
      <c r="I1954" s="24"/>
      <c r="L1954"/>
    </row>
    <row r="1955" spans="1:12" x14ac:dyDescent="0.25">
      <c r="A1955" s="16"/>
      <c r="D1955" s="16"/>
      <c r="F1955" s="16"/>
      <c r="G1955" s="16"/>
      <c r="H1955" s="24"/>
      <c r="I1955" s="24"/>
      <c r="L1955"/>
    </row>
    <row r="1956" spans="1:12" x14ac:dyDescent="0.25">
      <c r="A1956" s="16"/>
      <c r="D1956" s="16"/>
      <c r="F1956" s="16"/>
      <c r="G1956" s="16"/>
      <c r="H1956" s="24"/>
      <c r="I1956" s="24"/>
      <c r="L1956"/>
    </row>
    <row r="1957" spans="1:12" x14ac:dyDescent="0.25">
      <c r="A1957" s="16"/>
      <c r="D1957" s="16"/>
      <c r="F1957" s="16"/>
      <c r="G1957" s="16"/>
      <c r="H1957" s="24"/>
      <c r="I1957" s="24"/>
      <c r="L1957"/>
    </row>
    <row r="1958" spans="1:12" x14ac:dyDescent="0.25">
      <c r="A1958" s="16"/>
      <c r="D1958" s="16"/>
      <c r="F1958" s="16"/>
      <c r="G1958" s="16"/>
      <c r="H1958" s="24"/>
      <c r="I1958" s="24"/>
      <c r="L1958"/>
    </row>
    <row r="1959" spans="1:12" x14ac:dyDescent="0.25">
      <c r="A1959" s="16"/>
      <c r="D1959" s="16"/>
      <c r="F1959" s="16"/>
      <c r="G1959" s="16"/>
      <c r="H1959" s="24"/>
      <c r="I1959" s="24"/>
      <c r="L1959"/>
    </row>
    <row r="1960" spans="1:12" x14ac:dyDescent="0.25">
      <c r="A1960" s="16"/>
      <c r="D1960" s="16"/>
      <c r="F1960" s="16"/>
      <c r="G1960" s="16"/>
      <c r="H1960" s="24"/>
      <c r="I1960" s="24"/>
      <c r="L1960"/>
    </row>
    <row r="1961" spans="1:12" x14ac:dyDescent="0.25">
      <c r="A1961" s="16"/>
      <c r="D1961" s="16"/>
      <c r="F1961" s="16"/>
      <c r="G1961" s="16"/>
      <c r="H1961" s="24"/>
      <c r="I1961" s="24"/>
      <c r="L1961"/>
    </row>
    <row r="1962" spans="1:12" x14ac:dyDescent="0.25">
      <c r="A1962" s="16"/>
      <c r="D1962" s="16"/>
      <c r="F1962" s="16"/>
      <c r="G1962" s="16"/>
      <c r="H1962" s="24"/>
      <c r="I1962" s="24"/>
      <c r="L1962"/>
    </row>
    <row r="1963" spans="1:12" x14ac:dyDescent="0.25">
      <c r="A1963" s="16"/>
      <c r="D1963" s="16"/>
      <c r="F1963" s="16"/>
      <c r="G1963" s="16"/>
      <c r="H1963" s="24"/>
      <c r="I1963" s="24"/>
      <c r="L1963"/>
    </row>
    <row r="1964" spans="1:12" x14ac:dyDescent="0.25">
      <c r="A1964" s="16"/>
      <c r="D1964" s="16"/>
      <c r="F1964" s="16"/>
      <c r="G1964" s="16"/>
      <c r="H1964" s="24"/>
      <c r="I1964" s="24"/>
      <c r="L1964"/>
    </row>
    <row r="1965" spans="1:12" x14ac:dyDescent="0.25">
      <c r="A1965" s="16"/>
      <c r="D1965" s="16"/>
      <c r="F1965" s="16"/>
      <c r="G1965" s="16"/>
      <c r="H1965" s="24"/>
      <c r="I1965" s="24"/>
      <c r="L1965"/>
    </row>
    <row r="1966" spans="1:12" x14ac:dyDescent="0.25">
      <c r="A1966" s="16"/>
      <c r="D1966" s="16"/>
      <c r="F1966" s="16"/>
      <c r="G1966" s="16"/>
      <c r="H1966" s="24"/>
      <c r="I1966" s="24"/>
      <c r="L1966"/>
    </row>
    <row r="1967" spans="1:12" x14ac:dyDescent="0.25">
      <c r="A1967" s="16"/>
      <c r="D1967" s="16"/>
      <c r="F1967" s="16"/>
      <c r="G1967" s="16"/>
      <c r="H1967" s="24"/>
      <c r="I1967" s="24"/>
      <c r="L1967"/>
    </row>
    <row r="1968" spans="1:12" x14ac:dyDescent="0.25">
      <c r="A1968" s="16"/>
      <c r="D1968" s="16"/>
      <c r="F1968" s="16"/>
      <c r="G1968" s="16"/>
      <c r="H1968" s="24"/>
      <c r="I1968" s="24"/>
      <c r="L1968"/>
    </row>
    <row r="1969" spans="1:12" x14ac:dyDescent="0.25">
      <c r="A1969" s="16"/>
      <c r="D1969" s="16"/>
      <c r="F1969" s="16"/>
      <c r="G1969" s="16"/>
      <c r="H1969" s="24"/>
      <c r="I1969" s="24"/>
      <c r="L1969"/>
    </row>
    <row r="1970" spans="1:12" x14ac:dyDescent="0.25">
      <c r="A1970" s="16"/>
      <c r="D1970" s="16"/>
      <c r="F1970" s="16"/>
      <c r="G1970" s="16"/>
      <c r="H1970" s="24"/>
      <c r="I1970" s="24"/>
      <c r="L1970"/>
    </row>
    <row r="1971" spans="1:12" x14ac:dyDescent="0.25">
      <c r="A1971" s="16"/>
      <c r="D1971" s="16"/>
      <c r="F1971" s="16"/>
      <c r="G1971" s="16"/>
      <c r="H1971" s="24"/>
      <c r="I1971" s="24"/>
      <c r="L1971"/>
    </row>
    <row r="1972" spans="1:12" x14ac:dyDescent="0.25">
      <c r="A1972" s="16"/>
      <c r="D1972" s="16"/>
      <c r="F1972" s="16"/>
      <c r="G1972" s="16"/>
      <c r="H1972" s="24"/>
      <c r="I1972" s="24"/>
      <c r="L1972"/>
    </row>
    <row r="1973" spans="1:12" x14ac:dyDescent="0.25">
      <c r="A1973" s="16"/>
      <c r="D1973" s="16"/>
      <c r="F1973" s="16"/>
      <c r="G1973" s="16"/>
      <c r="H1973" s="24"/>
      <c r="I1973" s="24"/>
      <c r="L1973"/>
    </row>
    <row r="1974" spans="1:12" x14ac:dyDescent="0.25">
      <c r="A1974" s="16"/>
      <c r="D1974" s="16"/>
      <c r="F1974" s="16"/>
      <c r="G1974" s="16"/>
      <c r="H1974" s="24"/>
      <c r="I1974" s="24"/>
      <c r="L1974"/>
    </row>
    <row r="1975" spans="1:12" x14ac:dyDescent="0.25">
      <c r="A1975" s="16"/>
      <c r="D1975" s="16"/>
      <c r="F1975" s="16"/>
      <c r="G1975" s="16"/>
      <c r="H1975" s="24"/>
      <c r="I1975" s="24"/>
      <c r="L1975"/>
    </row>
    <row r="1976" spans="1:12" x14ac:dyDescent="0.25">
      <c r="A1976" s="16"/>
      <c r="D1976" s="16"/>
      <c r="F1976" s="16"/>
      <c r="G1976" s="16"/>
      <c r="H1976" s="24"/>
      <c r="I1976" s="24"/>
      <c r="L1976"/>
    </row>
    <row r="1977" spans="1:12" x14ac:dyDescent="0.25">
      <c r="A1977" s="16"/>
      <c r="D1977" s="16"/>
      <c r="F1977" s="16"/>
      <c r="G1977" s="16"/>
      <c r="H1977" s="24"/>
      <c r="I1977" s="24"/>
      <c r="L1977"/>
    </row>
    <row r="1978" spans="1:12" x14ac:dyDescent="0.25">
      <c r="A1978" s="16"/>
      <c r="D1978" s="16"/>
      <c r="F1978" s="16"/>
      <c r="G1978" s="16"/>
      <c r="H1978" s="24"/>
      <c r="I1978" s="24"/>
      <c r="L1978"/>
    </row>
    <row r="1979" spans="1:12" x14ac:dyDescent="0.25">
      <c r="A1979" s="16"/>
      <c r="D1979" s="16"/>
      <c r="F1979" s="16"/>
      <c r="G1979" s="16"/>
      <c r="H1979" s="24"/>
      <c r="I1979" s="24"/>
      <c r="L1979"/>
    </row>
    <row r="1980" spans="1:12" x14ac:dyDescent="0.25">
      <c r="A1980" s="16"/>
      <c r="D1980" s="16"/>
      <c r="F1980" s="16"/>
      <c r="G1980" s="16"/>
      <c r="H1980" s="24"/>
      <c r="I1980" s="24"/>
      <c r="L1980"/>
    </row>
    <row r="1981" spans="1:12" x14ac:dyDescent="0.25">
      <c r="A1981" s="16"/>
      <c r="D1981" s="16"/>
      <c r="F1981" s="16"/>
      <c r="G1981" s="16"/>
      <c r="H1981" s="24"/>
      <c r="I1981" s="24"/>
      <c r="L1981"/>
    </row>
    <row r="1982" spans="1:12" x14ac:dyDescent="0.25">
      <c r="A1982" s="16"/>
      <c r="D1982" s="16"/>
      <c r="F1982" s="16"/>
      <c r="G1982" s="16"/>
      <c r="H1982" s="24"/>
      <c r="I1982" s="24"/>
      <c r="L1982"/>
    </row>
    <row r="1983" spans="1:12" x14ac:dyDescent="0.25">
      <c r="A1983" s="16"/>
      <c r="D1983" s="16"/>
      <c r="F1983" s="16"/>
      <c r="G1983" s="16"/>
      <c r="H1983" s="24"/>
      <c r="I1983" s="24"/>
      <c r="L1983"/>
    </row>
    <row r="1984" spans="1:12" x14ac:dyDescent="0.25">
      <c r="A1984" s="16"/>
      <c r="D1984" s="16"/>
      <c r="F1984" s="16"/>
      <c r="G1984" s="16"/>
      <c r="H1984" s="24"/>
      <c r="I1984" s="24"/>
      <c r="L1984"/>
    </row>
    <row r="1985" spans="1:12" x14ac:dyDescent="0.25">
      <c r="A1985" s="16"/>
      <c r="D1985" s="16"/>
      <c r="F1985" s="16"/>
      <c r="G1985" s="16"/>
      <c r="H1985" s="24"/>
      <c r="I1985" s="24"/>
      <c r="L1985"/>
    </row>
    <row r="1986" spans="1:12" x14ac:dyDescent="0.25">
      <c r="A1986" s="16"/>
      <c r="D1986" s="16"/>
      <c r="F1986" s="16"/>
      <c r="G1986" s="16"/>
      <c r="H1986" s="24"/>
      <c r="I1986" s="24"/>
      <c r="L1986"/>
    </row>
    <row r="1987" spans="1:12" x14ac:dyDescent="0.25">
      <c r="A1987" s="16"/>
      <c r="D1987" s="16"/>
      <c r="F1987" s="16"/>
      <c r="G1987" s="16"/>
      <c r="H1987" s="24"/>
      <c r="I1987" s="24"/>
      <c r="L1987"/>
    </row>
    <row r="1988" spans="1:12" x14ac:dyDescent="0.25">
      <c r="A1988" s="16"/>
      <c r="D1988" s="16"/>
      <c r="F1988" s="16"/>
      <c r="G1988" s="16"/>
      <c r="H1988" s="24"/>
      <c r="I1988" s="24"/>
      <c r="L1988"/>
    </row>
    <row r="1989" spans="1:12" x14ac:dyDescent="0.25">
      <c r="A1989" s="16"/>
      <c r="D1989" s="16"/>
      <c r="F1989" s="16"/>
      <c r="G1989" s="16"/>
      <c r="H1989" s="24"/>
      <c r="I1989" s="24"/>
      <c r="L1989"/>
    </row>
    <row r="1990" spans="1:12" x14ac:dyDescent="0.25">
      <c r="A1990" s="16"/>
      <c r="D1990" s="16"/>
      <c r="F1990" s="16"/>
      <c r="G1990" s="16"/>
      <c r="H1990" s="24"/>
      <c r="I1990" s="24"/>
      <c r="L1990"/>
    </row>
    <row r="1991" spans="1:12" x14ac:dyDescent="0.25">
      <c r="A1991" s="16"/>
      <c r="D1991" s="16"/>
      <c r="F1991" s="16"/>
      <c r="G1991" s="16"/>
      <c r="H1991" s="24"/>
      <c r="I1991" s="24"/>
      <c r="L1991"/>
    </row>
    <row r="1992" spans="1:12" x14ac:dyDescent="0.25">
      <c r="A1992" s="16"/>
      <c r="D1992" s="16"/>
      <c r="F1992" s="16"/>
      <c r="G1992" s="16"/>
      <c r="H1992" s="24"/>
      <c r="I1992" s="24"/>
      <c r="L1992"/>
    </row>
    <row r="1993" spans="1:12" x14ac:dyDescent="0.25">
      <c r="A1993" s="16"/>
      <c r="D1993" s="16"/>
      <c r="F1993" s="16"/>
      <c r="G1993" s="16"/>
      <c r="H1993" s="24"/>
      <c r="I1993" s="24"/>
      <c r="L1993"/>
    </row>
    <row r="1994" spans="1:12" x14ac:dyDescent="0.25">
      <c r="A1994" s="16"/>
      <c r="D1994" s="16"/>
      <c r="F1994" s="16"/>
      <c r="G1994" s="16"/>
      <c r="H1994" s="24"/>
      <c r="I1994" s="24"/>
      <c r="L1994"/>
    </row>
    <row r="1995" spans="1:12" x14ac:dyDescent="0.25">
      <c r="A1995" s="16"/>
      <c r="D1995" s="16"/>
      <c r="F1995" s="16"/>
      <c r="G1995" s="16"/>
      <c r="H1995" s="24"/>
      <c r="I1995" s="24"/>
      <c r="L1995"/>
    </row>
    <row r="1996" spans="1:12" x14ac:dyDescent="0.25">
      <c r="A1996" s="16"/>
      <c r="D1996" s="16"/>
      <c r="F1996" s="16"/>
      <c r="G1996" s="16"/>
      <c r="H1996" s="24"/>
      <c r="I1996" s="24"/>
      <c r="L1996"/>
    </row>
    <row r="1997" spans="1:12" x14ac:dyDescent="0.25">
      <c r="A1997" s="16"/>
      <c r="D1997" s="16"/>
      <c r="F1997" s="16"/>
      <c r="G1997" s="16"/>
      <c r="H1997" s="24"/>
      <c r="I1997" s="24"/>
      <c r="L1997"/>
    </row>
    <row r="1998" spans="1:12" x14ac:dyDescent="0.25">
      <c r="A1998" s="16"/>
      <c r="D1998" s="16"/>
      <c r="F1998" s="16"/>
      <c r="G1998" s="16"/>
      <c r="H1998" s="24"/>
      <c r="I1998" s="24"/>
      <c r="L1998"/>
    </row>
    <row r="1999" spans="1:12" x14ac:dyDescent="0.25">
      <c r="A1999" s="16"/>
      <c r="D1999" s="16"/>
      <c r="F1999" s="16"/>
      <c r="G1999" s="16"/>
      <c r="H1999" s="24"/>
      <c r="I1999" s="24"/>
      <c r="L1999"/>
    </row>
    <row r="2000" spans="1:12" x14ac:dyDescent="0.25">
      <c r="A2000" s="16"/>
      <c r="D2000" s="16"/>
      <c r="F2000" s="16"/>
      <c r="G2000" s="16"/>
      <c r="H2000" s="24"/>
      <c r="I2000" s="24"/>
      <c r="L2000"/>
    </row>
    <row r="2001" spans="1:12" x14ac:dyDescent="0.25">
      <c r="A2001" s="16"/>
      <c r="D2001" s="16"/>
      <c r="F2001" s="16"/>
      <c r="G2001" s="16"/>
      <c r="H2001" s="24"/>
      <c r="I2001" s="24"/>
      <c r="L2001"/>
    </row>
    <row r="2002" spans="1:12" x14ac:dyDescent="0.25">
      <c r="A2002" s="16"/>
      <c r="D2002" s="16"/>
      <c r="F2002" s="16"/>
      <c r="G2002" s="16"/>
      <c r="H2002" s="24"/>
      <c r="I2002" s="24"/>
      <c r="L2002"/>
    </row>
    <row r="2003" spans="1:12" x14ac:dyDescent="0.25">
      <c r="A2003" s="16"/>
      <c r="D2003" s="16"/>
      <c r="F2003" s="16"/>
      <c r="G2003" s="16"/>
      <c r="H2003" s="24"/>
      <c r="I2003" s="24"/>
      <c r="L2003"/>
    </row>
    <row r="2004" spans="1:12" x14ac:dyDescent="0.25">
      <c r="A2004" s="16"/>
      <c r="D2004" s="16"/>
      <c r="F2004" s="16"/>
      <c r="G2004" s="16"/>
      <c r="H2004" s="24"/>
      <c r="I2004" s="24"/>
      <c r="L2004"/>
    </row>
    <row r="2005" spans="1:12" x14ac:dyDescent="0.25">
      <c r="A2005" s="16"/>
      <c r="D2005" s="16"/>
      <c r="F2005" s="16"/>
      <c r="G2005" s="16"/>
      <c r="H2005" s="24"/>
      <c r="I2005" s="24"/>
      <c r="L2005"/>
    </row>
    <row r="2006" spans="1:12" x14ac:dyDescent="0.25">
      <c r="A2006" s="16"/>
      <c r="D2006" s="16"/>
      <c r="F2006" s="16"/>
      <c r="G2006" s="16"/>
      <c r="H2006" s="24"/>
      <c r="I2006" s="24"/>
      <c r="L2006"/>
    </row>
    <row r="2007" spans="1:12" x14ac:dyDescent="0.25">
      <c r="A2007" s="16"/>
      <c r="D2007" s="16"/>
      <c r="F2007" s="16"/>
      <c r="G2007" s="16"/>
      <c r="H2007" s="24"/>
      <c r="I2007" s="24"/>
      <c r="L2007"/>
    </row>
    <row r="2008" spans="1:12" x14ac:dyDescent="0.25">
      <c r="A2008" s="16"/>
      <c r="D2008" s="16"/>
      <c r="F2008" s="16"/>
      <c r="G2008" s="16"/>
      <c r="H2008" s="24"/>
      <c r="I2008" s="24"/>
      <c r="L2008"/>
    </row>
    <row r="2009" spans="1:12" x14ac:dyDescent="0.25">
      <c r="A2009" s="16"/>
      <c r="D2009" s="16"/>
      <c r="F2009" s="16"/>
      <c r="G2009" s="16"/>
      <c r="H2009" s="24"/>
      <c r="I2009" s="24"/>
      <c r="L2009"/>
    </row>
    <row r="2010" spans="1:12" x14ac:dyDescent="0.25">
      <c r="A2010" s="16"/>
      <c r="D2010" s="16"/>
      <c r="F2010" s="16"/>
      <c r="G2010" s="16"/>
      <c r="H2010" s="24"/>
      <c r="I2010" s="24"/>
      <c r="L2010"/>
    </row>
    <row r="2011" spans="1:12" x14ac:dyDescent="0.25">
      <c r="A2011" s="16"/>
      <c r="D2011" s="16"/>
      <c r="F2011" s="16"/>
      <c r="G2011" s="16"/>
      <c r="H2011" s="24"/>
      <c r="I2011" s="24"/>
      <c r="L2011"/>
    </row>
    <row r="2012" spans="1:12" x14ac:dyDescent="0.25">
      <c r="A2012" s="16"/>
      <c r="D2012" s="16"/>
      <c r="F2012" s="16"/>
      <c r="G2012" s="16"/>
      <c r="H2012" s="24"/>
      <c r="I2012" s="24"/>
      <c r="L2012"/>
    </row>
    <row r="2013" spans="1:12" x14ac:dyDescent="0.25">
      <c r="A2013" s="16"/>
      <c r="D2013" s="16"/>
      <c r="F2013" s="16"/>
      <c r="G2013" s="16"/>
      <c r="H2013" s="24"/>
      <c r="I2013" s="24"/>
      <c r="L2013"/>
    </row>
    <row r="2014" spans="1:12" x14ac:dyDescent="0.25">
      <c r="A2014" s="16"/>
      <c r="D2014" s="16"/>
      <c r="F2014" s="16"/>
      <c r="G2014" s="16"/>
      <c r="H2014" s="24"/>
      <c r="I2014" s="24"/>
      <c r="L2014"/>
    </row>
    <row r="2015" spans="1:12" x14ac:dyDescent="0.25">
      <c r="A2015" s="16"/>
      <c r="D2015" s="16"/>
      <c r="F2015" s="16"/>
      <c r="G2015" s="16"/>
      <c r="H2015" s="24"/>
      <c r="I2015" s="24"/>
      <c r="L2015"/>
    </row>
    <row r="2016" spans="1:12" x14ac:dyDescent="0.25">
      <c r="A2016" s="16"/>
      <c r="D2016" s="16"/>
      <c r="F2016" s="16"/>
      <c r="G2016" s="16"/>
      <c r="H2016" s="24"/>
      <c r="I2016" s="24"/>
      <c r="L2016"/>
    </row>
    <row r="2017" spans="1:12" x14ac:dyDescent="0.25">
      <c r="A2017" s="16"/>
      <c r="D2017" s="16"/>
      <c r="F2017" s="16"/>
      <c r="G2017" s="16"/>
      <c r="H2017" s="24"/>
      <c r="I2017" s="24"/>
      <c r="L2017"/>
    </row>
    <row r="2018" spans="1:12" x14ac:dyDescent="0.25">
      <c r="A2018" s="16"/>
      <c r="D2018" s="16"/>
      <c r="F2018" s="16"/>
      <c r="G2018" s="16"/>
      <c r="H2018" s="24"/>
      <c r="I2018" s="24"/>
      <c r="L2018"/>
    </row>
    <row r="2019" spans="1:12" x14ac:dyDescent="0.25">
      <c r="A2019" s="16"/>
      <c r="D2019" s="16"/>
      <c r="F2019" s="16"/>
      <c r="G2019" s="16"/>
      <c r="H2019" s="24"/>
      <c r="I2019" s="24"/>
      <c r="L2019"/>
    </row>
    <row r="2020" spans="1:12" x14ac:dyDescent="0.25">
      <c r="A2020" s="16"/>
      <c r="D2020" s="16"/>
      <c r="F2020" s="16"/>
      <c r="G2020" s="16"/>
      <c r="H2020" s="24"/>
      <c r="I2020" s="24"/>
      <c r="L2020"/>
    </row>
    <row r="2021" spans="1:12" x14ac:dyDescent="0.25">
      <c r="A2021" s="16"/>
      <c r="D2021" s="16"/>
      <c r="F2021" s="16"/>
      <c r="G2021" s="16"/>
      <c r="H2021" s="24"/>
      <c r="I2021" s="24"/>
      <c r="L2021"/>
    </row>
    <row r="2022" spans="1:12" x14ac:dyDescent="0.25">
      <c r="A2022" s="16"/>
      <c r="D2022" s="16"/>
      <c r="F2022" s="16"/>
      <c r="G2022" s="16"/>
      <c r="H2022" s="24"/>
      <c r="I2022" s="24"/>
      <c r="L2022"/>
    </row>
    <row r="2023" spans="1:12" x14ac:dyDescent="0.25">
      <c r="A2023" s="16"/>
      <c r="D2023" s="16"/>
      <c r="F2023" s="16"/>
      <c r="G2023" s="16"/>
      <c r="H2023" s="24"/>
      <c r="I2023" s="24"/>
      <c r="L2023"/>
    </row>
    <row r="2024" spans="1:12" x14ac:dyDescent="0.25">
      <c r="A2024" s="16"/>
      <c r="D2024" s="16"/>
      <c r="F2024" s="16"/>
      <c r="G2024" s="16"/>
      <c r="H2024" s="24"/>
      <c r="I2024" s="24"/>
      <c r="L2024"/>
    </row>
    <row r="2025" spans="1:12" x14ac:dyDescent="0.25">
      <c r="A2025" s="16"/>
      <c r="D2025" s="16"/>
      <c r="F2025" s="16"/>
      <c r="G2025" s="16"/>
      <c r="H2025" s="24"/>
      <c r="I2025" s="24"/>
      <c r="L2025"/>
    </row>
    <row r="2026" spans="1:12" x14ac:dyDescent="0.25">
      <c r="A2026" s="16"/>
      <c r="D2026" s="16"/>
      <c r="F2026" s="16"/>
      <c r="G2026" s="16"/>
      <c r="H2026" s="24"/>
      <c r="I2026" s="24"/>
      <c r="L2026"/>
    </row>
    <row r="2027" spans="1:12" x14ac:dyDescent="0.25">
      <c r="A2027" s="16"/>
      <c r="D2027" s="16"/>
      <c r="F2027" s="16"/>
      <c r="G2027" s="16"/>
      <c r="H2027" s="24"/>
      <c r="I2027" s="24"/>
      <c r="L2027"/>
    </row>
    <row r="2028" spans="1:12" x14ac:dyDescent="0.25">
      <c r="A2028" s="16"/>
      <c r="D2028" s="16"/>
      <c r="F2028" s="16"/>
      <c r="G2028" s="16"/>
      <c r="H2028" s="24"/>
      <c r="I2028" s="24"/>
      <c r="L2028"/>
    </row>
    <row r="2029" spans="1:12" x14ac:dyDescent="0.25">
      <c r="A2029" s="16"/>
      <c r="D2029" s="16"/>
      <c r="F2029" s="16"/>
      <c r="G2029" s="16"/>
      <c r="H2029" s="24"/>
      <c r="I2029" s="24"/>
      <c r="L2029"/>
    </row>
    <row r="2030" spans="1:12" x14ac:dyDescent="0.25">
      <c r="A2030" s="16"/>
      <c r="D2030" s="16"/>
      <c r="F2030" s="16"/>
      <c r="G2030" s="16"/>
      <c r="H2030" s="24"/>
      <c r="I2030" s="24"/>
      <c r="L2030"/>
    </row>
    <row r="2031" spans="1:12" x14ac:dyDescent="0.25">
      <c r="A2031" s="16"/>
      <c r="D2031" s="16"/>
      <c r="F2031" s="16"/>
      <c r="G2031" s="16"/>
      <c r="H2031" s="24"/>
      <c r="I2031" s="24"/>
      <c r="L2031"/>
    </row>
    <row r="2032" spans="1:12" x14ac:dyDescent="0.25">
      <c r="A2032" s="16"/>
      <c r="D2032" s="16"/>
      <c r="F2032" s="16"/>
      <c r="G2032" s="16"/>
      <c r="H2032" s="24"/>
      <c r="I2032" s="24"/>
      <c r="L2032"/>
    </row>
    <row r="2033" spans="1:12" x14ac:dyDescent="0.25">
      <c r="A2033" s="16"/>
      <c r="D2033" s="16"/>
      <c r="F2033" s="16"/>
      <c r="G2033" s="16"/>
      <c r="H2033" s="24"/>
      <c r="I2033" s="24"/>
      <c r="L2033"/>
    </row>
    <row r="2034" spans="1:12" x14ac:dyDescent="0.25">
      <c r="A2034" s="16"/>
      <c r="D2034" s="16"/>
      <c r="F2034" s="16"/>
      <c r="G2034" s="16"/>
      <c r="H2034" s="24"/>
      <c r="I2034" s="24"/>
      <c r="L2034"/>
    </row>
    <row r="2035" spans="1:12" x14ac:dyDescent="0.25">
      <c r="A2035" s="16"/>
      <c r="D2035" s="16"/>
      <c r="F2035" s="16"/>
      <c r="G2035" s="16"/>
      <c r="H2035" s="24"/>
      <c r="I2035" s="24"/>
      <c r="L2035"/>
    </row>
    <row r="2036" spans="1:12" x14ac:dyDescent="0.25">
      <c r="A2036" s="16"/>
      <c r="D2036" s="16"/>
      <c r="F2036" s="16"/>
      <c r="G2036" s="16"/>
      <c r="H2036" s="24"/>
      <c r="I2036" s="24"/>
      <c r="L2036"/>
    </row>
    <row r="2037" spans="1:12" x14ac:dyDescent="0.25">
      <c r="A2037" s="16"/>
      <c r="D2037" s="16"/>
      <c r="F2037" s="16"/>
      <c r="G2037" s="16"/>
      <c r="H2037" s="24"/>
      <c r="I2037" s="24"/>
      <c r="L2037"/>
    </row>
    <row r="2038" spans="1:12" x14ac:dyDescent="0.25">
      <c r="A2038" s="16"/>
      <c r="D2038" s="16"/>
      <c r="F2038" s="16"/>
      <c r="G2038" s="16"/>
      <c r="H2038" s="24"/>
      <c r="I2038" s="24"/>
      <c r="L2038"/>
    </row>
    <row r="2039" spans="1:12" x14ac:dyDescent="0.25">
      <c r="A2039" s="16"/>
      <c r="D2039" s="16"/>
      <c r="F2039" s="16"/>
      <c r="G2039" s="16"/>
      <c r="H2039" s="24"/>
      <c r="I2039" s="24"/>
      <c r="L2039"/>
    </row>
    <row r="2040" spans="1:12" x14ac:dyDescent="0.25">
      <c r="A2040" s="16"/>
      <c r="D2040" s="16"/>
      <c r="F2040" s="16"/>
      <c r="G2040" s="16"/>
      <c r="H2040" s="24"/>
      <c r="I2040" s="24"/>
      <c r="L2040"/>
    </row>
    <row r="2041" spans="1:12" x14ac:dyDescent="0.25">
      <c r="A2041" s="16"/>
      <c r="D2041" s="16"/>
      <c r="F2041" s="16"/>
      <c r="G2041" s="16"/>
      <c r="H2041" s="24"/>
      <c r="I2041" s="24"/>
      <c r="L2041"/>
    </row>
    <row r="2042" spans="1:12" x14ac:dyDescent="0.25">
      <c r="A2042" s="16"/>
      <c r="D2042" s="16"/>
      <c r="F2042" s="16"/>
      <c r="G2042" s="16"/>
      <c r="H2042" s="24"/>
      <c r="I2042" s="24"/>
      <c r="L2042"/>
    </row>
    <row r="2043" spans="1:12" x14ac:dyDescent="0.25">
      <c r="A2043" s="16"/>
      <c r="D2043" s="16"/>
      <c r="F2043" s="16"/>
      <c r="G2043" s="16"/>
      <c r="H2043" s="24"/>
      <c r="I2043" s="24"/>
      <c r="L2043"/>
    </row>
    <row r="2044" spans="1:12" x14ac:dyDescent="0.25">
      <c r="A2044" s="16"/>
      <c r="D2044" s="16"/>
      <c r="F2044" s="16"/>
      <c r="G2044" s="16"/>
      <c r="H2044" s="24"/>
      <c r="I2044" s="24"/>
      <c r="L2044"/>
    </row>
    <row r="2045" spans="1:12" x14ac:dyDescent="0.25">
      <c r="A2045" s="16"/>
      <c r="D2045" s="16"/>
      <c r="F2045" s="16"/>
      <c r="G2045" s="16"/>
      <c r="H2045" s="24"/>
      <c r="I2045" s="24"/>
      <c r="L2045"/>
    </row>
    <row r="2046" spans="1:12" x14ac:dyDescent="0.25">
      <c r="A2046" s="16"/>
      <c r="D2046" s="16"/>
      <c r="F2046" s="16"/>
      <c r="G2046" s="16"/>
      <c r="H2046" s="24"/>
      <c r="I2046" s="24"/>
      <c r="L2046"/>
    </row>
    <row r="2047" spans="1:12" x14ac:dyDescent="0.25">
      <c r="A2047" s="16"/>
      <c r="D2047" s="16"/>
      <c r="F2047" s="16"/>
      <c r="G2047" s="16"/>
      <c r="H2047" s="24"/>
      <c r="I2047" s="24"/>
      <c r="L2047"/>
    </row>
    <row r="2048" spans="1:12" x14ac:dyDescent="0.25">
      <c r="A2048" s="16"/>
      <c r="D2048" s="16"/>
      <c r="F2048" s="16"/>
      <c r="G2048" s="16"/>
      <c r="H2048" s="24"/>
      <c r="I2048" s="24"/>
      <c r="L2048"/>
    </row>
    <row r="2049" spans="1:12" x14ac:dyDescent="0.25">
      <c r="A2049" s="16"/>
      <c r="D2049" s="16"/>
      <c r="F2049" s="16"/>
      <c r="G2049" s="16"/>
      <c r="H2049" s="24"/>
      <c r="I2049" s="24"/>
      <c r="L2049"/>
    </row>
    <row r="2050" spans="1:12" x14ac:dyDescent="0.25">
      <c r="A2050" s="16"/>
      <c r="D2050" s="16"/>
      <c r="F2050" s="16"/>
      <c r="G2050" s="16"/>
      <c r="H2050" s="24"/>
      <c r="I2050" s="24"/>
      <c r="L2050"/>
    </row>
    <row r="2051" spans="1:12" x14ac:dyDescent="0.25">
      <c r="A2051" s="16"/>
      <c r="D2051" s="16"/>
      <c r="F2051" s="16"/>
      <c r="G2051" s="16"/>
      <c r="H2051" s="24"/>
      <c r="I2051" s="24"/>
      <c r="L2051"/>
    </row>
    <row r="2052" spans="1:12" x14ac:dyDescent="0.25">
      <c r="A2052" s="16"/>
      <c r="D2052" s="16"/>
      <c r="F2052" s="16"/>
      <c r="G2052" s="16"/>
      <c r="H2052" s="24"/>
      <c r="I2052" s="24"/>
      <c r="L2052"/>
    </row>
    <row r="2053" spans="1:12" x14ac:dyDescent="0.25">
      <c r="A2053" s="16"/>
      <c r="D2053" s="16"/>
      <c r="F2053" s="16"/>
      <c r="G2053" s="16"/>
      <c r="H2053" s="24"/>
      <c r="I2053" s="24"/>
      <c r="L2053"/>
    </row>
    <row r="2054" spans="1:12" x14ac:dyDescent="0.25">
      <c r="A2054" s="16"/>
      <c r="D2054" s="16"/>
      <c r="F2054" s="16"/>
      <c r="G2054" s="16"/>
      <c r="H2054" s="24"/>
      <c r="I2054" s="24"/>
      <c r="L2054"/>
    </row>
    <row r="2055" spans="1:12" x14ac:dyDescent="0.25">
      <c r="A2055" s="16"/>
      <c r="D2055" s="16"/>
      <c r="F2055" s="16"/>
      <c r="G2055" s="16"/>
      <c r="H2055" s="24"/>
      <c r="I2055" s="24"/>
      <c r="L2055"/>
    </row>
    <row r="2056" spans="1:12" x14ac:dyDescent="0.25">
      <c r="A2056" s="16"/>
      <c r="D2056" s="16"/>
      <c r="F2056" s="16"/>
      <c r="G2056" s="16"/>
      <c r="H2056" s="24"/>
      <c r="I2056" s="24"/>
      <c r="L2056"/>
    </row>
    <row r="2057" spans="1:12" x14ac:dyDescent="0.25">
      <c r="A2057" s="16"/>
      <c r="D2057" s="16"/>
      <c r="F2057" s="16"/>
      <c r="G2057" s="16"/>
      <c r="H2057" s="24"/>
      <c r="I2057" s="24"/>
      <c r="L2057"/>
    </row>
    <row r="2058" spans="1:12" x14ac:dyDescent="0.25">
      <c r="A2058" s="16"/>
      <c r="D2058" s="16"/>
      <c r="F2058" s="16"/>
      <c r="G2058" s="16"/>
      <c r="H2058" s="24"/>
      <c r="I2058" s="24"/>
      <c r="L2058"/>
    </row>
    <row r="2059" spans="1:12" x14ac:dyDescent="0.25">
      <c r="A2059" s="16"/>
      <c r="D2059" s="16"/>
      <c r="F2059" s="16"/>
      <c r="G2059" s="16"/>
      <c r="H2059" s="24"/>
      <c r="I2059" s="24"/>
      <c r="L2059"/>
    </row>
    <row r="2060" spans="1:12" x14ac:dyDescent="0.25">
      <c r="A2060" s="16"/>
      <c r="D2060" s="16"/>
      <c r="F2060" s="16"/>
      <c r="G2060" s="16"/>
      <c r="H2060" s="24"/>
      <c r="I2060" s="24"/>
      <c r="L2060"/>
    </row>
    <row r="2061" spans="1:12" x14ac:dyDescent="0.25">
      <c r="A2061" s="16"/>
      <c r="D2061" s="16"/>
      <c r="F2061" s="16"/>
      <c r="G2061" s="16"/>
      <c r="H2061" s="24"/>
      <c r="I2061" s="24"/>
      <c r="L2061"/>
    </row>
    <row r="2062" spans="1:12" x14ac:dyDescent="0.25">
      <c r="A2062" s="16"/>
      <c r="D2062" s="16"/>
      <c r="F2062" s="16"/>
      <c r="G2062" s="16"/>
      <c r="H2062" s="24"/>
      <c r="I2062" s="24"/>
      <c r="L2062"/>
    </row>
    <row r="2063" spans="1:12" x14ac:dyDescent="0.25">
      <c r="A2063" s="16"/>
      <c r="D2063" s="16"/>
      <c r="F2063" s="16"/>
      <c r="G2063" s="16"/>
      <c r="H2063" s="24"/>
      <c r="I2063" s="24"/>
      <c r="L2063"/>
    </row>
    <row r="2064" spans="1:12" x14ac:dyDescent="0.25">
      <c r="A2064" s="16"/>
      <c r="D2064" s="16"/>
      <c r="F2064" s="16"/>
      <c r="G2064" s="16"/>
      <c r="H2064" s="24"/>
      <c r="I2064" s="24"/>
      <c r="L2064"/>
    </row>
    <row r="2065" spans="1:12" x14ac:dyDescent="0.25">
      <c r="A2065" s="16"/>
      <c r="D2065" s="16"/>
      <c r="F2065" s="16"/>
      <c r="G2065" s="16"/>
      <c r="H2065" s="24"/>
      <c r="I2065" s="24"/>
      <c r="L2065"/>
    </row>
    <row r="2066" spans="1:12" x14ac:dyDescent="0.25">
      <c r="A2066" s="16"/>
      <c r="D2066" s="16"/>
      <c r="F2066" s="16"/>
      <c r="G2066" s="16"/>
      <c r="H2066" s="24"/>
      <c r="I2066" s="24"/>
      <c r="L2066"/>
    </row>
    <row r="2067" spans="1:12" x14ac:dyDescent="0.25">
      <c r="A2067" s="16"/>
      <c r="D2067" s="16"/>
      <c r="F2067" s="16"/>
      <c r="G2067" s="16"/>
      <c r="H2067" s="24"/>
      <c r="I2067" s="24"/>
      <c r="L2067"/>
    </row>
    <row r="2068" spans="1:12" x14ac:dyDescent="0.25">
      <c r="A2068" s="16"/>
      <c r="D2068" s="16"/>
      <c r="F2068" s="16"/>
      <c r="G2068" s="16"/>
      <c r="H2068" s="24"/>
      <c r="I2068" s="24"/>
      <c r="L2068"/>
    </row>
    <row r="2069" spans="1:12" x14ac:dyDescent="0.25">
      <c r="A2069" s="16"/>
      <c r="D2069" s="16"/>
      <c r="F2069" s="16"/>
      <c r="G2069" s="16"/>
      <c r="H2069" s="24"/>
      <c r="I2069" s="24"/>
      <c r="L2069"/>
    </row>
    <row r="2070" spans="1:12" x14ac:dyDescent="0.25">
      <c r="A2070" s="16"/>
      <c r="D2070" s="16"/>
      <c r="F2070" s="16"/>
      <c r="G2070" s="16"/>
      <c r="H2070" s="24"/>
      <c r="I2070" s="24"/>
      <c r="L2070"/>
    </row>
    <row r="2071" spans="1:12" x14ac:dyDescent="0.25">
      <c r="A2071" s="16"/>
      <c r="D2071" s="16"/>
      <c r="F2071" s="16"/>
      <c r="G2071" s="16"/>
      <c r="H2071" s="24"/>
      <c r="I2071" s="24"/>
      <c r="L2071"/>
    </row>
    <row r="2072" spans="1:12" x14ac:dyDescent="0.25">
      <c r="A2072" s="16"/>
      <c r="D2072" s="16"/>
      <c r="F2072" s="16"/>
      <c r="G2072" s="16"/>
      <c r="H2072" s="24"/>
      <c r="I2072" s="24"/>
      <c r="L2072"/>
    </row>
    <row r="2073" spans="1:12" x14ac:dyDescent="0.25">
      <c r="A2073" s="16"/>
      <c r="D2073" s="16"/>
      <c r="F2073" s="16"/>
      <c r="G2073" s="16"/>
      <c r="H2073" s="24"/>
      <c r="I2073" s="24"/>
      <c r="L2073"/>
    </row>
    <row r="2074" spans="1:12" x14ac:dyDescent="0.25">
      <c r="A2074" s="16"/>
      <c r="D2074" s="16"/>
      <c r="F2074" s="16"/>
      <c r="G2074" s="16"/>
      <c r="H2074" s="24"/>
      <c r="I2074" s="24"/>
      <c r="L2074"/>
    </row>
    <row r="2075" spans="1:12" x14ac:dyDescent="0.25">
      <c r="A2075" s="16"/>
      <c r="D2075" s="16"/>
      <c r="F2075" s="16"/>
      <c r="G2075" s="16"/>
      <c r="H2075" s="24"/>
      <c r="I2075" s="24"/>
      <c r="L2075"/>
    </row>
    <row r="2076" spans="1:12" x14ac:dyDescent="0.25">
      <c r="A2076" s="16"/>
      <c r="D2076" s="16"/>
      <c r="F2076" s="16"/>
      <c r="G2076" s="16"/>
      <c r="H2076" s="24"/>
      <c r="I2076" s="24"/>
      <c r="L2076"/>
    </row>
    <row r="2077" spans="1:12" x14ac:dyDescent="0.25">
      <c r="A2077" s="16"/>
      <c r="D2077" s="16"/>
      <c r="F2077" s="16"/>
      <c r="G2077" s="16"/>
      <c r="H2077" s="24"/>
      <c r="I2077" s="24"/>
      <c r="L2077"/>
    </row>
    <row r="2078" spans="1:12" x14ac:dyDescent="0.25">
      <c r="A2078" s="16"/>
      <c r="D2078" s="16"/>
      <c r="F2078" s="16"/>
      <c r="G2078" s="16"/>
      <c r="H2078" s="24"/>
      <c r="I2078" s="24"/>
      <c r="L2078"/>
    </row>
    <row r="2079" spans="1:12" x14ac:dyDescent="0.25">
      <c r="A2079" s="16"/>
      <c r="D2079" s="16"/>
      <c r="F2079" s="16"/>
      <c r="G2079" s="16"/>
      <c r="H2079" s="24"/>
      <c r="I2079" s="24"/>
      <c r="L2079"/>
    </row>
    <row r="2080" spans="1:12" x14ac:dyDescent="0.25">
      <c r="A2080" s="16"/>
      <c r="D2080" s="16"/>
      <c r="F2080" s="16"/>
      <c r="G2080" s="16"/>
      <c r="H2080" s="24"/>
      <c r="I2080" s="24"/>
      <c r="L2080"/>
    </row>
    <row r="2081" spans="1:12" x14ac:dyDescent="0.25">
      <c r="A2081" s="16"/>
      <c r="D2081" s="16"/>
      <c r="F2081" s="16"/>
      <c r="G2081" s="16"/>
      <c r="H2081" s="24"/>
      <c r="I2081" s="24"/>
      <c r="L2081"/>
    </row>
    <row r="2082" spans="1:12" x14ac:dyDescent="0.25">
      <c r="A2082" s="16"/>
      <c r="D2082" s="16"/>
      <c r="F2082" s="16"/>
      <c r="G2082" s="16"/>
      <c r="H2082" s="24"/>
      <c r="I2082" s="24"/>
      <c r="L2082"/>
    </row>
    <row r="2083" spans="1:12" x14ac:dyDescent="0.25">
      <c r="A2083" s="16"/>
      <c r="D2083" s="16"/>
      <c r="F2083" s="16"/>
      <c r="G2083" s="16"/>
      <c r="H2083" s="24"/>
      <c r="I2083" s="24"/>
      <c r="L2083"/>
    </row>
    <row r="2084" spans="1:12" x14ac:dyDescent="0.25">
      <c r="A2084" s="16"/>
      <c r="D2084" s="16"/>
      <c r="F2084" s="16"/>
      <c r="G2084" s="16"/>
      <c r="H2084" s="24"/>
      <c r="I2084" s="24"/>
      <c r="L2084"/>
    </row>
    <row r="2085" spans="1:12" x14ac:dyDescent="0.25">
      <c r="A2085" s="16"/>
      <c r="D2085" s="16"/>
      <c r="F2085" s="16"/>
      <c r="G2085" s="16"/>
      <c r="H2085" s="24"/>
      <c r="I2085" s="24"/>
      <c r="L2085"/>
    </row>
    <row r="2086" spans="1:12" x14ac:dyDescent="0.25">
      <c r="A2086" s="16"/>
      <c r="D2086" s="16"/>
      <c r="F2086" s="16"/>
      <c r="G2086" s="16"/>
      <c r="H2086" s="24"/>
      <c r="I2086" s="24"/>
      <c r="L2086"/>
    </row>
    <row r="2087" spans="1:12" x14ac:dyDescent="0.25">
      <c r="A2087" s="16"/>
      <c r="D2087" s="16"/>
      <c r="F2087" s="16"/>
      <c r="G2087" s="16"/>
      <c r="H2087" s="24"/>
      <c r="I2087" s="24"/>
      <c r="L2087"/>
    </row>
    <row r="2088" spans="1:12" x14ac:dyDescent="0.25">
      <c r="A2088" s="16"/>
      <c r="D2088" s="16"/>
      <c r="F2088" s="16"/>
      <c r="G2088" s="16"/>
      <c r="H2088" s="24"/>
      <c r="I2088" s="24"/>
      <c r="L2088"/>
    </row>
    <row r="2089" spans="1:12" x14ac:dyDescent="0.25">
      <c r="A2089" s="16"/>
      <c r="D2089" s="16"/>
      <c r="F2089" s="16"/>
      <c r="G2089" s="16"/>
      <c r="H2089" s="24"/>
      <c r="I2089" s="24"/>
      <c r="L2089"/>
    </row>
    <row r="2090" spans="1:12" x14ac:dyDescent="0.25">
      <c r="A2090" s="16"/>
      <c r="D2090" s="16"/>
      <c r="F2090" s="16"/>
      <c r="G2090" s="16"/>
      <c r="H2090" s="24"/>
      <c r="I2090" s="24"/>
      <c r="L2090"/>
    </row>
    <row r="2091" spans="1:12" x14ac:dyDescent="0.25">
      <c r="A2091" s="16"/>
      <c r="D2091" s="16"/>
      <c r="F2091" s="16"/>
      <c r="G2091" s="16"/>
      <c r="H2091" s="24"/>
      <c r="I2091" s="24"/>
      <c r="L2091"/>
    </row>
    <row r="2092" spans="1:12" x14ac:dyDescent="0.25">
      <c r="A2092" s="16"/>
      <c r="D2092" s="16"/>
      <c r="F2092" s="16"/>
      <c r="G2092" s="16"/>
      <c r="H2092" s="24"/>
      <c r="I2092" s="24"/>
      <c r="L2092"/>
    </row>
    <row r="2093" spans="1:12" x14ac:dyDescent="0.25">
      <c r="A2093" s="16"/>
      <c r="D2093" s="16"/>
      <c r="F2093" s="16"/>
      <c r="G2093" s="16"/>
      <c r="H2093" s="24"/>
      <c r="I2093" s="24"/>
      <c r="L2093"/>
    </row>
    <row r="2094" spans="1:12" x14ac:dyDescent="0.25">
      <c r="A2094" s="16"/>
      <c r="D2094" s="16"/>
      <c r="F2094" s="16"/>
      <c r="G2094" s="16"/>
      <c r="H2094" s="24"/>
      <c r="I2094" s="24"/>
      <c r="L2094"/>
    </row>
    <row r="2095" spans="1:12" x14ac:dyDescent="0.25">
      <c r="A2095" s="16"/>
      <c r="D2095" s="16"/>
      <c r="F2095" s="16"/>
      <c r="G2095" s="16"/>
      <c r="H2095" s="24"/>
      <c r="I2095" s="24"/>
      <c r="L2095"/>
    </row>
    <row r="2096" spans="1:12" x14ac:dyDescent="0.25">
      <c r="A2096" s="16"/>
      <c r="D2096" s="16"/>
      <c r="F2096" s="16"/>
      <c r="G2096" s="16"/>
      <c r="H2096" s="24"/>
      <c r="I2096" s="24"/>
      <c r="L2096"/>
    </row>
    <row r="2097" spans="1:12" x14ac:dyDescent="0.25">
      <c r="A2097" s="16"/>
      <c r="D2097" s="16"/>
      <c r="F2097" s="16"/>
      <c r="G2097" s="16"/>
      <c r="H2097" s="24"/>
      <c r="I2097" s="24"/>
      <c r="L2097"/>
    </row>
    <row r="2098" spans="1:12" x14ac:dyDescent="0.25">
      <c r="A2098" s="16"/>
      <c r="D2098" s="16"/>
      <c r="F2098" s="16"/>
      <c r="G2098" s="16"/>
      <c r="H2098" s="24"/>
      <c r="I2098" s="24"/>
      <c r="L2098"/>
    </row>
    <row r="2099" spans="1:12" x14ac:dyDescent="0.25">
      <c r="A2099" s="16"/>
      <c r="D2099" s="16"/>
      <c r="F2099" s="16"/>
      <c r="G2099" s="16"/>
      <c r="H2099" s="24"/>
      <c r="I2099" s="24"/>
      <c r="L2099"/>
    </row>
    <row r="2100" spans="1:12" x14ac:dyDescent="0.25">
      <c r="A2100" s="16"/>
      <c r="D2100" s="16"/>
      <c r="F2100" s="16"/>
      <c r="G2100" s="16"/>
      <c r="H2100" s="24"/>
      <c r="I2100" s="24"/>
      <c r="L2100"/>
    </row>
    <row r="2101" spans="1:12" x14ac:dyDescent="0.25">
      <c r="A2101" s="16"/>
      <c r="D2101" s="16"/>
      <c r="F2101" s="16"/>
      <c r="G2101" s="16"/>
      <c r="H2101" s="24"/>
      <c r="I2101" s="24"/>
      <c r="L2101"/>
    </row>
    <row r="2102" spans="1:12" x14ac:dyDescent="0.25">
      <c r="A2102" s="16"/>
      <c r="D2102" s="16"/>
      <c r="F2102" s="16"/>
      <c r="G2102" s="16"/>
      <c r="H2102" s="24"/>
      <c r="I2102" s="24"/>
      <c r="L2102"/>
    </row>
    <row r="2103" spans="1:12" x14ac:dyDescent="0.25">
      <c r="A2103" s="16"/>
      <c r="D2103" s="16"/>
      <c r="F2103" s="16"/>
      <c r="G2103" s="16"/>
      <c r="H2103" s="24"/>
      <c r="I2103" s="24"/>
      <c r="L2103"/>
    </row>
    <row r="2104" spans="1:12" x14ac:dyDescent="0.25">
      <c r="A2104" s="16"/>
      <c r="D2104" s="16"/>
      <c r="F2104" s="16"/>
      <c r="G2104" s="16"/>
      <c r="H2104" s="24"/>
      <c r="I2104" s="24"/>
      <c r="L2104"/>
    </row>
    <row r="2105" spans="1:12" x14ac:dyDescent="0.25">
      <c r="A2105" s="16"/>
      <c r="D2105" s="16"/>
      <c r="F2105" s="16"/>
      <c r="G2105" s="16"/>
      <c r="H2105" s="24"/>
      <c r="I2105" s="24"/>
      <c r="L2105"/>
    </row>
    <row r="2106" spans="1:12" x14ac:dyDescent="0.25">
      <c r="A2106" s="16"/>
      <c r="D2106" s="16"/>
      <c r="F2106" s="16"/>
      <c r="G2106" s="16"/>
      <c r="H2106" s="24"/>
      <c r="I2106" s="24"/>
      <c r="L2106"/>
    </row>
    <row r="2107" spans="1:12" x14ac:dyDescent="0.25">
      <c r="A2107" s="16"/>
      <c r="D2107" s="16"/>
      <c r="F2107" s="16"/>
      <c r="G2107" s="16"/>
      <c r="H2107" s="24"/>
      <c r="I2107" s="24"/>
      <c r="L2107"/>
    </row>
    <row r="2108" spans="1:12" x14ac:dyDescent="0.25">
      <c r="A2108" s="16"/>
      <c r="D2108" s="16"/>
      <c r="F2108" s="16"/>
      <c r="G2108" s="16"/>
      <c r="H2108" s="24"/>
      <c r="I2108" s="24"/>
      <c r="L2108"/>
    </row>
    <row r="2109" spans="1:12" x14ac:dyDescent="0.25">
      <c r="A2109" s="16"/>
      <c r="D2109" s="16"/>
      <c r="F2109" s="16"/>
      <c r="G2109" s="16"/>
      <c r="H2109" s="24"/>
      <c r="I2109" s="24"/>
      <c r="L2109"/>
    </row>
    <row r="2110" spans="1:12" x14ac:dyDescent="0.25">
      <c r="A2110" s="16"/>
      <c r="D2110" s="16"/>
      <c r="F2110" s="16"/>
      <c r="G2110" s="16"/>
      <c r="H2110" s="24"/>
      <c r="I2110" s="24"/>
      <c r="L2110"/>
    </row>
    <row r="2111" spans="1:12" x14ac:dyDescent="0.25">
      <c r="A2111" s="16"/>
      <c r="D2111" s="16"/>
      <c r="F2111" s="16"/>
      <c r="G2111" s="16"/>
      <c r="H2111" s="24"/>
      <c r="I2111" s="24"/>
      <c r="L2111"/>
    </row>
    <row r="2112" spans="1:12" x14ac:dyDescent="0.25">
      <c r="A2112" s="16"/>
      <c r="D2112" s="16"/>
      <c r="F2112" s="16"/>
      <c r="G2112" s="16"/>
      <c r="H2112" s="24"/>
      <c r="I2112" s="24"/>
      <c r="L2112"/>
    </row>
    <row r="2113" spans="1:12" x14ac:dyDescent="0.25">
      <c r="A2113" s="16"/>
      <c r="D2113" s="16"/>
      <c r="F2113" s="16"/>
      <c r="G2113" s="16"/>
      <c r="H2113" s="24"/>
      <c r="I2113" s="24"/>
      <c r="L2113"/>
    </row>
    <row r="2114" spans="1:12" x14ac:dyDescent="0.25">
      <c r="A2114" s="16"/>
      <c r="D2114" s="16"/>
      <c r="F2114" s="16"/>
      <c r="G2114" s="16"/>
      <c r="H2114" s="24"/>
      <c r="I2114" s="24"/>
      <c r="L2114"/>
    </row>
    <row r="2115" spans="1:12" x14ac:dyDescent="0.25">
      <c r="A2115" s="16"/>
      <c r="D2115" s="16"/>
      <c r="F2115" s="16"/>
      <c r="G2115" s="16"/>
      <c r="H2115" s="24"/>
      <c r="I2115" s="24"/>
      <c r="L2115"/>
    </row>
    <row r="2116" spans="1:12" x14ac:dyDescent="0.25">
      <c r="A2116" s="16"/>
      <c r="D2116" s="16"/>
      <c r="F2116" s="16"/>
      <c r="G2116" s="16"/>
      <c r="H2116" s="24"/>
      <c r="I2116" s="24"/>
      <c r="L2116"/>
    </row>
    <row r="2117" spans="1:12" x14ac:dyDescent="0.25">
      <c r="A2117" s="16"/>
      <c r="D2117" s="16"/>
      <c r="F2117" s="16"/>
      <c r="G2117" s="16"/>
      <c r="H2117" s="24"/>
      <c r="I2117" s="24"/>
      <c r="L2117"/>
    </row>
    <row r="2118" spans="1:12" x14ac:dyDescent="0.25">
      <c r="A2118" s="16"/>
      <c r="D2118" s="16"/>
      <c r="F2118" s="16"/>
      <c r="G2118" s="16"/>
      <c r="H2118" s="24"/>
      <c r="I2118" s="24"/>
      <c r="L2118"/>
    </row>
    <row r="2119" spans="1:12" x14ac:dyDescent="0.25">
      <c r="A2119" s="16"/>
      <c r="D2119" s="16"/>
      <c r="F2119" s="16"/>
      <c r="G2119" s="16"/>
      <c r="H2119" s="24"/>
      <c r="I2119" s="24"/>
      <c r="L2119"/>
    </row>
    <row r="2120" spans="1:12" x14ac:dyDescent="0.25">
      <c r="A2120" s="16"/>
      <c r="D2120" s="16"/>
      <c r="F2120" s="16"/>
      <c r="G2120" s="16"/>
      <c r="H2120" s="24"/>
      <c r="I2120" s="24"/>
      <c r="L2120"/>
    </row>
    <row r="2121" spans="1:12" x14ac:dyDescent="0.25">
      <c r="A2121" s="16"/>
      <c r="D2121" s="16"/>
      <c r="F2121" s="16"/>
      <c r="G2121" s="16"/>
      <c r="H2121" s="24"/>
      <c r="I2121" s="24"/>
      <c r="L2121"/>
    </row>
    <row r="2122" spans="1:12" x14ac:dyDescent="0.25">
      <c r="A2122" s="16"/>
      <c r="D2122" s="16"/>
      <c r="F2122" s="16"/>
      <c r="G2122" s="16"/>
      <c r="H2122" s="24"/>
      <c r="I2122" s="24"/>
      <c r="L2122"/>
    </row>
    <row r="2123" spans="1:12" x14ac:dyDescent="0.25">
      <c r="A2123" s="16"/>
      <c r="D2123" s="16"/>
      <c r="F2123" s="16"/>
      <c r="G2123" s="16"/>
      <c r="H2123" s="24"/>
      <c r="I2123" s="24"/>
      <c r="L2123"/>
    </row>
    <row r="2124" spans="1:12" x14ac:dyDescent="0.25">
      <c r="A2124" s="16"/>
      <c r="D2124" s="16"/>
      <c r="F2124" s="16"/>
      <c r="G2124" s="16"/>
      <c r="H2124" s="24"/>
      <c r="I2124" s="24"/>
      <c r="L2124"/>
    </row>
    <row r="2125" spans="1:12" x14ac:dyDescent="0.25">
      <c r="A2125" s="16"/>
      <c r="D2125" s="16"/>
      <c r="F2125" s="16"/>
      <c r="G2125" s="16"/>
      <c r="H2125" s="24"/>
      <c r="I2125" s="24"/>
      <c r="L2125"/>
    </row>
    <row r="2126" spans="1:12" x14ac:dyDescent="0.25">
      <c r="A2126" s="16"/>
      <c r="D2126" s="16"/>
      <c r="F2126" s="16"/>
      <c r="G2126" s="16"/>
      <c r="H2126" s="24"/>
      <c r="I2126" s="24"/>
      <c r="L2126"/>
    </row>
    <row r="2127" spans="1:12" x14ac:dyDescent="0.25">
      <c r="A2127" s="16"/>
      <c r="D2127" s="16"/>
      <c r="F2127" s="16"/>
      <c r="G2127" s="16"/>
      <c r="H2127" s="24"/>
      <c r="I2127" s="24"/>
      <c r="L2127"/>
    </row>
    <row r="2128" spans="1:12" x14ac:dyDescent="0.25">
      <c r="A2128" s="16"/>
      <c r="D2128" s="16"/>
      <c r="F2128" s="16"/>
      <c r="G2128" s="16"/>
      <c r="H2128" s="24"/>
      <c r="I2128" s="24"/>
      <c r="L2128"/>
    </row>
    <row r="2129" spans="1:12" x14ac:dyDescent="0.25">
      <c r="A2129" s="16"/>
      <c r="D2129" s="16"/>
      <c r="F2129" s="16"/>
      <c r="G2129" s="16"/>
      <c r="H2129" s="24"/>
      <c r="I2129" s="24"/>
      <c r="L2129"/>
    </row>
    <row r="2130" spans="1:12" x14ac:dyDescent="0.25">
      <c r="A2130" s="16"/>
      <c r="D2130" s="16"/>
      <c r="F2130" s="16"/>
      <c r="G2130" s="16"/>
      <c r="H2130" s="24"/>
      <c r="I2130" s="24"/>
      <c r="L2130"/>
    </row>
    <row r="2131" spans="1:12" x14ac:dyDescent="0.25">
      <c r="A2131" s="16"/>
      <c r="D2131" s="16"/>
      <c r="F2131" s="16"/>
      <c r="G2131" s="16"/>
      <c r="H2131" s="24"/>
      <c r="I2131" s="24"/>
      <c r="L2131"/>
    </row>
    <row r="2132" spans="1:12" x14ac:dyDescent="0.25">
      <c r="A2132" s="16"/>
      <c r="D2132" s="16"/>
      <c r="F2132" s="16"/>
      <c r="G2132" s="16"/>
      <c r="H2132" s="24"/>
      <c r="I2132" s="24"/>
      <c r="L2132"/>
    </row>
    <row r="2133" spans="1:12" x14ac:dyDescent="0.25">
      <c r="A2133" s="16"/>
      <c r="D2133" s="16"/>
      <c r="F2133" s="16"/>
      <c r="G2133" s="16"/>
      <c r="H2133" s="24"/>
      <c r="I2133" s="24"/>
      <c r="L2133"/>
    </row>
    <row r="2134" spans="1:12" x14ac:dyDescent="0.25">
      <c r="A2134" s="16"/>
      <c r="D2134" s="16"/>
      <c r="F2134" s="16"/>
      <c r="G2134" s="16"/>
      <c r="H2134" s="24"/>
      <c r="I2134" s="24"/>
      <c r="L2134"/>
    </row>
    <row r="2135" spans="1:12" x14ac:dyDescent="0.25">
      <c r="A2135" s="16"/>
      <c r="D2135" s="16"/>
      <c r="F2135" s="16"/>
      <c r="G2135" s="16"/>
      <c r="H2135" s="24"/>
      <c r="I2135" s="24"/>
      <c r="L2135"/>
    </row>
    <row r="2136" spans="1:12" x14ac:dyDescent="0.25">
      <c r="A2136" s="16"/>
      <c r="D2136" s="16"/>
      <c r="F2136" s="16"/>
      <c r="G2136" s="16"/>
      <c r="H2136" s="24"/>
      <c r="I2136" s="24"/>
      <c r="L2136"/>
    </row>
    <row r="2137" spans="1:12" x14ac:dyDescent="0.25">
      <c r="A2137" s="16"/>
      <c r="D2137" s="16"/>
      <c r="F2137" s="16"/>
      <c r="G2137" s="16"/>
      <c r="H2137" s="24"/>
      <c r="I2137" s="24"/>
      <c r="L2137"/>
    </row>
    <row r="2138" spans="1:12" x14ac:dyDescent="0.25">
      <c r="A2138" s="16"/>
      <c r="D2138" s="16"/>
      <c r="F2138" s="16"/>
      <c r="G2138" s="16"/>
      <c r="H2138" s="24"/>
      <c r="I2138" s="24"/>
      <c r="L2138"/>
    </row>
    <row r="2139" spans="1:12" x14ac:dyDescent="0.25">
      <c r="A2139" s="16"/>
      <c r="D2139" s="16"/>
      <c r="F2139" s="16"/>
      <c r="G2139" s="16"/>
      <c r="H2139" s="24"/>
      <c r="I2139" s="24"/>
      <c r="L2139"/>
    </row>
    <row r="2140" spans="1:12" x14ac:dyDescent="0.25">
      <c r="A2140" s="16"/>
      <c r="D2140" s="16"/>
      <c r="F2140" s="16"/>
      <c r="G2140" s="16"/>
      <c r="H2140" s="24"/>
      <c r="I2140" s="24"/>
      <c r="L2140"/>
    </row>
    <row r="2141" spans="1:12" x14ac:dyDescent="0.25">
      <c r="A2141" s="16"/>
      <c r="D2141" s="16"/>
      <c r="F2141" s="16"/>
      <c r="G2141" s="16"/>
      <c r="H2141" s="24"/>
      <c r="I2141" s="24"/>
      <c r="L2141"/>
    </row>
    <row r="2142" spans="1:12" x14ac:dyDescent="0.25">
      <c r="A2142" s="16"/>
      <c r="D2142" s="16"/>
      <c r="F2142" s="16"/>
      <c r="G2142" s="16"/>
      <c r="H2142" s="24"/>
      <c r="I2142" s="24"/>
      <c r="L2142"/>
    </row>
    <row r="2143" spans="1:12" x14ac:dyDescent="0.25">
      <c r="A2143" s="16"/>
      <c r="D2143" s="16"/>
      <c r="F2143" s="16"/>
      <c r="G2143" s="16"/>
      <c r="H2143" s="24"/>
      <c r="I2143" s="24"/>
      <c r="L2143"/>
    </row>
    <row r="2144" spans="1:12" x14ac:dyDescent="0.25">
      <c r="A2144" s="16"/>
      <c r="D2144" s="16"/>
      <c r="F2144" s="16"/>
      <c r="G2144" s="16"/>
      <c r="H2144" s="24"/>
      <c r="I2144" s="24"/>
      <c r="L2144"/>
    </row>
    <row r="2145" spans="1:12" x14ac:dyDescent="0.25">
      <c r="A2145" s="16"/>
      <c r="D2145" s="16"/>
      <c r="F2145" s="16"/>
      <c r="G2145" s="16"/>
      <c r="H2145" s="24"/>
      <c r="I2145" s="24"/>
      <c r="L2145"/>
    </row>
    <row r="2146" spans="1:12" x14ac:dyDescent="0.25">
      <c r="A2146" s="16"/>
      <c r="D2146" s="16"/>
      <c r="F2146" s="16"/>
      <c r="G2146" s="16"/>
      <c r="H2146" s="24"/>
      <c r="I2146" s="24"/>
      <c r="L2146"/>
    </row>
    <row r="2147" spans="1:12" x14ac:dyDescent="0.25">
      <c r="A2147" s="16"/>
      <c r="D2147" s="16"/>
      <c r="F2147" s="16"/>
      <c r="G2147" s="16"/>
      <c r="H2147" s="24"/>
      <c r="I2147" s="24"/>
      <c r="L2147"/>
    </row>
    <row r="2148" spans="1:12" x14ac:dyDescent="0.25">
      <c r="A2148" s="16"/>
      <c r="D2148" s="16"/>
      <c r="F2148" s="16"/>
      <c r="G2148" s="16"/>
      <c r="H2148" s="24"/>
      <c r="I2148" s="24"/>
      <c r="L2148"/>
    </row>
    <row r="2149" spans="1:12" x14ac:dyDescent="0.25">
      <c r="A2149" s="16"/>
      <c r="D2149" s="16"/>
      <c r="F2149" s="16"/>
      <c r="G2149" s="16"/>
      <c r="H2149" s="24"/>
      <c r="I2149" s="24"/>
      <c r="L2149"/>
    </row>
    <row r="2150" spans="1:12" x14ac:dyDescent="0.25">
      <c r="A2150" s="16"/>
      <c r="D2150" s="16"/>
      <c r="F2150" s="16"/>
      <c r="G2150" s="16"/>
      <c r="H2150" s="24"/>
      <c r="I2150" s="24"/>
      <c r="L2150"/>
    </row>
    <row r="2151" spans="1:12" x14ac:dyDescent="0.25">
      <c r="A2151" s="16"/>
      <c r="D2151" s="16"/>
      <c r="F2151" s="16"/>
      <c r="G2151" s="16"/>
      <c r="H2151" s="24"/>
      <c r="I2151" s="24"/>
      <c r="L2151"/>
    </row>
    <row r="2152" spans="1:12" x14ac:dyDescent="0.25">
      <c r="A2152" s="16"/>
      <c r="D2152" s="16"/>
      <c r="F2152" s="16"/>
      <c r="G2152" s="16"/>
      <c r="H2152" s="24"/>
      <c r="I2152" s="24"/>
      <c r="L2152"/>
    </row>
    <row r="2153" spans="1:12" x14ac:dyDescent="0.25">
      <c r="A2153" s="16"/>
      <c r="D2153" s="16"/>
      <c r="F2153" s="16"/>
      <c r="G2153" s="16"/>
      <c r="H2153" s="24"/>
      <c r="I2153" s="24"/>
      <c r="L2153"/>
    </row>
    <row r="2154" spans="1:12" x14ac:dyDescent="0.25">
      <c r="A2154" s="16"/>
      <c r="D2154" s="16"/>
      <c r="F2154" s="16"/>
      <c r="G2154" s="16"/>
      <c r="H2154" s="24"/>
      <c r="I2154" s="24"/>
      <c r="L2154"/>
    </row>
    <row r="2155" spans="1:12" x14ac:dyDescent="0.25">
      <c r="A2155" s="16"/>
      <c r="D2155" s="16"/>
      <c r="F2155" s="16"/>
      <c r="G2155" s="16"/>
      <c r="H2155" s="24"/>
      <c r="I2155" s="24"/>
      <c r="L2155"/>
    </row>
    <row r="2156" spans="1:12" x14ac:dyDescent="0.25">
      <c r="A2156" s="16"/>
      <c r="D2156" s="16"/>
      <c r="F2156" s="16"/>
      <c r="G2156" s="16"/>
      <c r="H2156" s="24"/>
      <c r="I2156" s="24"/>
      <c r="L2156"/>
    </row>
    <row r="2157" spans="1:12" x14ac:dyDescent="0.25">
      <c r="A2157" s="16"/>
      <c r="D2157" s="16"/>
      <c r="F2157" s="16"/>
      <c r="G2157" s="16"/>
      <c r="H2157" s="24"/>
      <c r="I2157" s="24"/>
      <c r="L2157"/>
    </row>
    <row r="2158" spans="1:12" x14ac:dyDescent="0.25">
      <c r="A2158" s="16"/>
      <c r="D2158" s="16"/>
      <c r="F2158" s="16"/>
      <c r="G2158" s="16"/>
      <c r="H2158" s="24"/>
      <c r="I2158" s="24"/>
      <c r="L2158"/>
    </row>
    <row r="2159" spans="1:12" x14ac:dyDescent="0.25">
      <c r="A2159" s="16"/>
      <c r="D2159" s="16"/>
      <c r="F2159" s="16"/>
      <c r="G2159" s="16"/>
      <c r="H2159" s="24"/>
      <c r="I2159" s="24"/>
      <c r="L2159"/>
    </row>
    <row r="2160" spans="1:12" x14ac:dyDescent="0.25">
      <c r="A2160" s="16"/>
      <c r="D2160" s="16"/>
      <c r="F2160" s="16"/>
      <c r="G2160" s="16"/>
      <c r="H2160" s="24"/>
      <c r="I2160" s="24"/>
      <c r="L2160"/>
    </row>
    <row r="2161" spans="1:12" x14ac:dyDescent="0.25">
      <c r="A2161" s="16"/>
      <c r="D2161" s="16"/>
      <c r="F2161" s="16"/>
      <c r="G2161" s="16"/>
      <c r="H2161" s="24"/>
      <c r="I2161" s="24"/>
      <c r="L2161"/>
    </row>
    <row r="2162" spans="1:12" x14ac:dyDescent="0.25">
      <c r="A2162" s="16"/>
      <c r="D2162" s="16"/>
      <c r="F2162" s="16"/>
      <c r="G2162" s="16"/>
      <c r="H2162" s="24"/>
      <c r="I2162" s="24"/>
      <c r="L2162"/>
    </row>
    <row r="2163" spans="1:12" x14ac:dyDescent="0.25">
      <c r="A2163" s="16"/>
      <c r="D2163" s="16"/>
      <c r="F2163" s="16"/>
      <c r="G2163" s="16"/>
      <c r="H2163" s="24"/>
      <c r="I2163" s="24"/>
      <c r="L2163"/>
    </row>
    <row r="2164" spans="1:12" x14ac:dyDescent="0.25">
      <c r="A2164" s="16"/>
      <c r="D2164" s="16"/>
      <c r="F2164" s="16"/>
      <c r="G2164" s="16"/>
      <c r="H2164" s="24"/>
      <c r="I2164" s="24"/>
      <c r="L2164"/>
    </row>
    <row r="2165" spans="1:12" x14ac:dyDescent="0.25">
      <c r="A2165" s="16"/>
      <c r="D2165" s="16"/>
      <c r="F2165" s="16"/>
      <c r="G2165" s="16"/>
      <c r="H2165" s="24"/>
      <c r="I2165" s="24"/>
      <c r="L2165"/>
    </row>
    <row r="2166" spans="1:12" x14ac:dyDescent="0.25">
      <c r="A2166" s="16"/>
      <c r="D2166" s="16"/>
      <c r="F2166" s="16"/>
      <c r="G2166" s="16"/>
      <c r="H2166" s="24"/>
      <c r="I2166" s="24"/>
      <c r="L2166"/>
    </row>
    <row r="2167" spans="1:12" x14ac:dyDescent="0.25">
      <c r="A2167" s="16"/>
      <c r="D2167" s="16"/>
      <c r="F2167" s="16"/>
      <c r="G2167" s="16"/>
      <c r="H2167" s="24"/>
      <c r="I2167" s="24"/>
      <c r="L2167"/>
    </row>
    <row r="2168" spans="1:12" x14ac:dyDescent="0.25">
      <c r="A2168" s="16"/>
      <c r="D2168" s="16"/>
      <c r="F2168" s="16"/>
      <c r="G2168" s="16"/>
      <c r="H2168" s="24"/>
      <c r="I2168" s="24"/>
      <c r="L2168"/>
    </row>
    <row r="2169" spans="1:12" x14ac:dyDescent="0.25">
      <c r="A2169" s="16"/>
      <c r="D2169" s="16"/>
      <c r="F2169" s="16"/>
      <c r="G2169" s="16"/>
      <c r="H2169" s="24"/>
      <c r="I2169" s="24"/>
      <c r="L2169"/>
    </row>
    <row r="2170" spans="1:12" x14ac:dyDescent="0.25">
      <c r="A2170" s="16"/>
      <c r="D2170" s="16"/>
      <c r="F2170" s="16"/>
      <c r="G2170" s="16"/>
      <c r="H2170" s="24"/>
      <c r="I2170" s="24"/>
      <c r="L2170"/>
    </row>
    <row r="2171" spans="1:12" x14ac:dyDescent="0.25">
      <c r="A2171" s="16"/>
      <c r="D2171" s="16"/>
      <c r="F2171" s="16"/>
      <c r="G2171" s="16"/>
      <c r="H2171" s="24"/>
      <c r="I2171" s="24"/>
      <c r="L2171"/>
    </row>
    <row r="2172" spans="1:12" x14ac:dyDescent="0.25">
      <c r="A2172" s="16"/>
      <c r="D2172" s="16"/>
      <c r="F2172" s="16"/>
      <c r="G2172" s="16"/>
      <c r="H2172" s="24"/>
      <c r="I2172" s="24"/>
      <c r="L2172"/>
    </row>
    <row r="2173" spans="1:12" x14ac:dyDescent="0.25">
      <c r="A2173" s="16"/>
      <c r="D2173" s="16"/>
      <c r="F2173" s="16"/>
      <c r="G2173" s="16"/>
      <c r="H2173" s="24"/>
      <c r="I2173" s="24"/>
      <c r="L2173"/>
    </row>
    <row r="2174" spans="1:12" x14ac:dyDescent="0.25">
      <c r="A2174" s="16"/>
      <c r="D2174" s="16"/>
      <c r="F2174" s="16"/>
      <c r="G2174" s="16"/>
      <c r="H2174" s="24"/>
      <c r="I2174" s="24"/>
      <c r="L2174"/>
    </row>
    <row r="2175" spans="1:12" x14ac:dyDescent="0.25">
      <c r="A2175" s="16"/>
      <c r="D2175" s="16"/>
      <c r="F2175" s="16"/>
      <c r="G2175" s="16"/>
      <c r="H2175" s="24"/>
      <c r="I2175" s="24"/>
      <c r="L2175"/>
    </row>
    <row r="2176" spans="1:12" x14ac:dyDescent="0.25">
      <c r="A2176" s="16"/>
      <c r="D2176" s="16"/>
      <c r="F2176" s="16"/>
      <c r="G2176" s="16"/>
      <c r="H2176" s="24"/>
      <c r="I2176" s="24"/>
      <c r="L2176"/>
    </row>
    <row r="2177" spans="1:12" x14ac:dyDescent="0.25">
      <c r="A2177" s="16"/>
      <c r="D2177" s="16"/>
      <c r="F2177" s="16"/>
      <c r="G2177" s="16"/>
      <c r="H2177" s="24"/>
      <c r="I2177" s="24"/>
      <c r="L2177"/>
    </row>
    <row r="2178" spans="1:12" x14ac:dyDescent="0.25">
      <c r="A2178" s="16"/>
      <c r="D2178" s="16"/>
      <c r="F2178" s="16"/>
      <c r="G2178" s="16"/>
      <c r="H2178" s="24"/>
      <c r="I2178" s="24"/>
      <c r="L2178"/>
    </row>
    <row r="2179" spans="1:12" x14ac:dyDescent="0.25">
      <c r="A2179" s="16"/>
      <c r="D2179" s="16"/>
      <c r="F2179" s="16"/>
      <c r="G2179" s="16"/>
      <c r="H2179" s="24"/>
      <c r="I2179" s="24"/>
      <c r="L2179"/>
    </row>
    <row r="2180" spans="1:12" x14ac:dyDescent="0.25">
      <c r="A2180" s="16"/>
      <c r="D2180" s="16"/>
      <c r="F2180" s="16"/>
      <c r="G2180" s="16"/>
      <c r="H2180" s="24"/>
      <c r="I2180" s="24"/>
      <c r="L2180"/>
    </row>
    <row r="2181" spans="1:12" x14ac:dyDescent="0.25">
      <c r="A2181" s="16"/>
      <c r="D2181" s="16"/>
      <c r="F2181" s="16"/>
      <c r="G2181" s="16"/>
      <c r="H2181" s="24"/>
      <c r="I2181" s="24"/>
      <c r="L2181"/>
    </row>
    <row r="2182" spans="1:12" x14ac:dyDescent="0.25">
      <c r="A2182" s="16"/>
      <c r="D2182" s="16"/>
      <c r="F2182" s="16"/>
      <c r="G2182" s="16"/>
      <c r="H2182" s="24"/>
      <c r="I2182" s="24"/>
      <c r="L2182"/>
    </row>
    <row r="2183" spans="1:12" x14ac:dyDescent="0.25">
      <c r="A2183" s="16"/>
      <c r="D2183" s="16"/>
      <c r="F2183" s="16"/>
      <c r="G2183" s="16"/>
      <c r="H2183" s="24"/>
      <c r="I2183" s="24"/>
      <c r="L2183"/>
    </row>
    <row r="2184" spans="1:12" x14ac:dyDescent="0.25">
      <c r="A2184" s="16"/>
      <c r="D2184" s="16"/>
      <c r="F2184" s="16"/>
      <c r="G2184" s="16"/>
      <c r="H2184" s="24"/>
      <c r="I2184" s="24"/>
      <c r="L2184"/>
    </row>
    <row r="2185" spans="1:12" x14ac:dyDescent="0.25">
      <c r="A2185" s="16"/>
      <c r="D2185" s="16"/>
      <c r="F2185" s="16"/>
      <c r="G2185" s="16"/>
      <c r="H2185" s="24"/>
      <c r="I2185" s="24"/>
      <c r="L2185"/>
    </row>
    <row r="2186" spans="1:12" x14ac:dyDescent="0.25">
      <c r="A2186" s="16"/>
      <c r="D2186" s="16"/>
      <c r="F2186" s="16"/>
      <c r="G2186" s="16"/>
      <c r="H2186" s="24"/>
      <c r="I2186" s="24"/>
      <c r="L2186"/>
    </row>
    <row r="2187" spans="1:12" x14ac:dyDescent="0.25">
      <c r="A2187" s="16"/>
      <c r="D2187" s="16"/>
      <c r="F2187" s="16"/>
      <c r="G2187" s="16"/>
      <c r="H2187" s="24"/>
      <c r="I2187" s="24"/>
      <c r="L2187"/>
    </row>
    <row r="2188" spans="1:12" x14ac:dyDescent="0.25">
      <c r="A2188" s="16"/>
      <c r="D2188" s="16"/>
      <c r="F2188" s="16"/>
      <c r="G2188" s="16"/>
      <c r="H2188" s="24"/>
      <c r="I2188" s="24"/>
      <c r="L2188"/>
    </row>
    <row r="2189" spans="1:12" x14ac:dyDescent="0.25">
      <c r="A2189" s="16"/>
      <c r="D2189" s="16"/>
      <c r="F2189" s="16"/>
      <c r="G2189" s="16"/>
      <c r="H2189" s="24"/>
      <c r="I2189" s="24"/>
      <c r="L2189"/>
    </row>
    <row r="2190" spans="1:12" x14ac:dyDescent="0.25">
      <c r="A2190" s="16"/>
      <c r="D2190" s="16"/>
      <c r="F2190" s="16"/>
      <c r="G2190" s="16"/>
      <c r="H2190" s="24"/>
      <c r="I2190" s="24"/>
      <c r="L2190"/>
    </row>
    <row r="2191" spans="1:12" x14ac:dyDescent="0.25">
      <c r="A2191" s="16"/>
      <c r="D2191" s="16"/>
      <c r="F2191" s="16"/>
      <c r="G2191" s="16"/>
      <c r="H2191" s="24"/>
      <c r="I2191" s="24"/>
      <c r="L2191"/>
    </row>
    <row r="2192" spans="1:12" x14ac:dyDescent="0.25">
      <c r="A2192" s="16"/>
      <c r="D2192" s="16"/>
      <c r="F2192" s="16"/>
      <c r="G2192" s="16"/>
      <c r="H2192" s="24"/>
      <c r="I2192" s="24"/>
      <c r="L2192"/>
    </row>
    <row r="2193" spans="1:12" x14ac:dyDescent="0.25">
      <c r="A2193" s="16"/>
      <c r="D2193" s="16"/>
      <c r="F2193" s="16"/>
      <c r="G2193" s="16"/>
      <c r="H2193" s="24"/>
      <c r="I2193" s="24"/>
      <c r="L2193"/>
    </row>
    <row r="2194" spans="1:12" x14ac:dyDescent="0.25">
      <c r="A2194" s="16"/>
      <c r="D2194" s="16"/>
      <c r="F2194" s="16"/>
      <c r="G2194" s="16"/>
      <c r="H2194" s="24"/>
      <c r="I2194" s="24"/>
      <c r="L2194"/>
    </row>
    <row r="2195" spans="1:12" x14ac:dyDescent="0.25">
      <c r="A2195" s="16"/>
      <c r="D2195" s="16"/>
      <c r="F2195" s="16"/>
      <c r="G2195" s="16"/>
      <c r="H2195" s="24"/>
      <c r="I2195" s="24"/>
      <c r="L2195"/>
    </row>
    <row r="2196" spans="1:12" x14ac:dyDescent="0.25">
      <c r="A2196" s="16"/>
      <c r="D2196" s="16"/>
      <c r="F2196" s="16"/>
      <c r="G2196" s="16"/>
      <c r="H2196" s="24"/>
      <c r="I2196" s="24"/>
      <c r="L2196"/>
    </row>
    <row r="2197" spans="1:12" x14ac:dyDescent="0.25">
      <c r="A2197" s="16"/>
      <c r="D2197" s="16"/>
      <c r="F2197" s="16"/>
      <c r="G2197" s="16"/>
      <c r="H2197" s="24"/>
      <c r="I2197" s="24"/>
      <c r="L2197"/>
    </row>
    <row r="2198" spans="1:12" x14ac:dyDescent="0.25">
      <c r="A2198" s="16"/>
      <c r="D2198" s="16"/>
      <c r="F2198" s="16"/>
      <c r="G2198" s="16"/>
      <c r="H2198" s="24"/>
      <c r="I2198" s="24"/>
      <c r="L2198"/>
    </row>
    <row r="2199" spans="1:12" x14ac:dyDescent="0.25">
      <c r="A2199" s="16"/>
      <c r="D2199" s="16"/>
      <c r="F2199" s="16"/>
      <c r="G2199" s="16"/>
      <c r="H2199" s="24"/>
      <c r="I2199" s="24"/>
      <c r="L2199"/>
    </row>
    <row r="2200" spans="1:12" x14ac:dyDescent="0.25">
      <c r="A2200" s="16"/>
      <c r="D2200" s="16"/>
      <c r="F2200" s="16"/>
      <c r="G2200" s="16"/>
      <c r="H2200" s="24"/>
      <c r="I2200" s="24"/>
      <c r="L2200"/>
    </row>
    <row r="2201" spans="1:12" x14ac:dyDescent="0.25">
      <c r="A2201" s="16"/>
      <c r="D2201" s="16"/>
      <c r="F2201" s="16"/>
      <c r="G2201" s="16"/>
      <c r="H2201" s="24"/>
      <c r="I2201" s="24"/>
      <c r="L2201"/>
    </row>
    <row r="2202" spans="1:12" x14ac:dyDescent="0.25">
      <c r="A2202" s="16"/>
      <c r="D2202" s="16"/>
      <c r="F2202" s="16"/>
      <c r="G2202" s="16"/>
      <c r="H2202" s="24"/>
      <c r="I2202" s="24"/>
      <c r="L2202"/>
    </row>
    <row r="2203" spans="1:12" x14ac:dyDescent="0.25">
      <c r="A2203" s="16"/>
      <c r="D2203" s="16"/>
      <c r="F2203" s="16"/>
      <c r="G2203" s="16"/>
      <c r="H2203" s="24"/>
      <c r="I2203" s="24"/>
      <c r="L2203"/>
    </row>
    <row r="2204" spans="1:12" x14ac:dyDescent="0.25">
      <c r="A2204" s="16"/>
      <c r="D2204" s="16"/>
      <c r="F2204" s="16"/>
      <c r="G2204" s="16"/>
      <c r="H2204" s="24"/>
      <c r="I2204" s="24"/>
      <c r="L2204"/>
    </row>
    <row r="2205" spans="1:12" x14ac:dyDescent="0.25">
      <c r="A2205" s="16"/>
      <c r="D2205" s="16"/>
      <c r="F2205" s="16"/>
      <c r="G2205" s="16"/>
      <c r="H2205" s="24"/>
      <c r="I2205" s="24"/>
      <c r="L2205"/>
    </row>
    <row r="2206" spans="1:12" x14ac:dyDescent="0.25">
      <c r="A2206" s="16"/>
      <c r="D2206" s="16"/>
      <c r="F2206" s="16"/>
      <c r="G2206" s="16"/>
      <c r="H2206" s="24"/>
      <c r="I2206" s="24"/>
      <c r="L2206"/>
    </row>
    <row r="2207" spans="1:12" x14ac:dyDescent="0.25">
      <c r="A2207" s="16"/>
      <c r="D2207" s="16"/>
      <c r="F2207" s="16"/>
      <c r="G2207" s="16"/>
      <c r="H2207" s="24"/>
      <c r="I2207" s="24"/>
      <c r="L2207"/>
    </row>
    <row r="2208" spans="1:12" x14ac:dyDescent="0.25">
      <c r="A2208" s="16"/>
      <c r="D2208" s="16"/>
      <c r="F2208" s="16"/>
      <c r="G2208" s="16"/>
      <c r="H2208" s="24"/>
      <c r="I2208" s="24"/>
      <c r="L2208"/>
    </row>
    <row r="2209" spans="1:12" x14ac:dyDescent="0.25">
      <c r="A2209" s="16"/>
      <c r="D2209" s="16"/>
      <c r="F2209" s="16"/>
      <c r="G2209" s="16"/>
      <c r="H2209" s="24"/>
      <c r="I2209" s="24"/>
      <c r="L2209"/>
    </row>
    <row r="2210" spans="1:12" x14ac:dyDescent="0.25">
      <c r="A2210" s="16"/>
      <c r="D2210" s="16"/>
      <c r="F2210" s="16"/>
      <c r="G2210" s="16"/>
      <c r="H2210" s="24"/>
      <c r="I2210" s="24"/>
      <c r="L2210"/>
    </row>
    <row r="2211" spans="1:12" x14ac:dyDescent="0.25">
      <c r="A2211" s="16"/>
      <c r="D2211" s="16"/>
      <c r="F2211" s="16"/>
      <c r="G2211" s="16"/>
      <c r="H2211" s="24"/>
      <c r="I2211" s="24"/>
      <c r="L2211"/>
    </row>
    <row r="2212" spans="1:12" x14ac:dyDescent="0.25">
      <c r="A2212" s="16"/>
      <c r="D2212" s="16"/>
      <c r="F2212" s="16"/>
      <c r="G2212" s="16"/>
      <c r="H2212" s="24"/>
      <c r="I2212" s="24"/>
      <c r="L2212"/>
    </row>
    <row r="2213" spans="1:12" x14ac:dyDescent="0.25">
      <c r="A2213" s="16"/>
      <c r="D2213" s="16"/>
      <c r="F2213" s="16"/>
      <c r="G2213" s="16"/>
      <c r="H2213" s="24"/>
      <c r="I2213" s="24"/>
      <c r="L2213"/>
    </row>
    <row r="2214" spans="1:12" x14ac:dyDescent="0.25">
      <c r="A2214" s="16"/>
      <c r="D2214" s="16"/>
      <c r="F2214" s="16"/>
      <c r="G2214" s="16"/>
      <c r="H2214" s="24"/>
      <c r="I2214" s="24"/>
      <c r="L2214"/>
    </row>
    <row r="2215" spans="1:12" x14ac:dyDescent="0.25">
      <c r="A2215" s="16"/>
      <c r="D2215" s="16"/>
      <c r="F2215" s="16"/>
      <c r="G2215" s="16"/>
      <c r="H2215" s="24"/>
      <c r="I2215" s="24"/>
      <c r="L2215"/>
    </row>
    <row r="2216" spans="1:12" x14ac:dyDescent="0.25">
      <c r="A2216" s="16"/>
      <c r="D2216" s="16"/>
      <c r="F2216" s="16"/>
      <c r="G2216" s="16"/>
      <c r="H2216" s="24"/>
      <c r="I2216" s="24"/>
      <c r="L2216"/>
    </row>
    <row r="2217" spans="1:12" x14ac:dyDescent="0.25">
      <c r="A2217" s="16"/>
      <c r="D2217" s="16"/>
      <c r="F2217" s="16"/>
      <c r="G2217" s="16"/>
      <c r="H2217" s="24"/>
      <c r="I2217" s="24"/>
      <c r="L2217"/>
    </row>
    <row r="2218" spans="1:12" x14ac:dyDescent="0.25">
      <c r="A2218" s="16"/>
      <c r="D2218" s="16"/>
      <c r="F2218" s="16"/>
      <c r="G2218" s="16"/>
      <c r="H2218" s="24"/>
      <c r="I2218" s="24"/>
      <c r="L2218"/>
    </row>
    <row r="2219" spans="1:12" x14ac:dyDescent="0.25">
      <c r="A2219" s="16"/>
      <c r="D2219" s="16"/>
      <c r="F2219" s="16"/>
      <c r="G2219" s="16"/>
      <c r="H2219" s="24"/>
      <c r="I2219" s="24"/>
      <c r="L2219"/>
    </row>
    <row r="2220" spans="1:12" x14ac:dyDescent="0.25">
      <c r="A2220" s="16"/>
      <c r="D2220" s="16"/>
      <c r="F2220" s="16"/>
      <c r="G2220" s="16"/>
      <c r="H2220" s="24"/>
      <c r="I2220" s="24"/>
      <c r="L2220"/>
    </row>
    <row r="2221" spans="1:12" x14ac:dyDescent="0.25">
      <c r="A2221" s="16"/>
      <c r="D2221" s="16"/>
      <c r="F2221" s="16"/>
      <c r="G2221" s="16"/>
      <c r="H2221" s="24"/>
      <c r="I2221" s="24"/>
      <c r="L2221"/>
    </row>
    <row r="2222" spans="1:12" x14ac:dyDescent="0.25">
      <c r="A2222" s="16"/>
      <c r="D2222" s="16"/>
      <c r="F2222" s="16"/>
      <c r="G2222" s="16"/>
      <c r="H2222" s="24"/>
      <c r="I2222" s="24"/>
      <c r="L2222"/>
    </row>
    <row r="2223" spans="1:12" x14ac:dyDescent="0.25">
      <c r="A2223" s="16"/>
      <c r="D2223" s="16"/>
      <c r="F2223" s="16"/>
      <c r="G2223" s="16"/>
      <c r="H2223" s="24"/>
      <c r="I2223" s="24"/>
      <c r="L2223"/>
    </row>
    <row r="2224" spans="1:12" x14ac:dyDescent="0.25">
      <c r="A2224" s="16"/>
      <c r="D2224" s="16"/>
      <c r="F2224" s="16"/>
      <c r="G2224" s="16"/>
      <c r="H2224" s="24"/>
      <c r="I2224" s="24"/>
      <c r="L2224"/>
    </row>
    <row r="2225" spans="1:12" x14ac:dyDescent="0.25">
      <c r="A2225" s="16"/>
      <c r="D2225" s="16"/>
      <c r="F2225" s="16"/>
      <c r="G2225" s="16"/>
      <c r="H2225" s="24"/>
      <c r="I2225" s="24"/>
      <c r="L2225"/>
    </row>
    <row r="2226" spans="1:12" x14ac:dyDescent="0.25">
      <c r="A2226" s="16"/>
      <c r="D2226" s="16"/>
      <c r="F2226" s="16"/>
      <c r="G2226" s="16"/>
      <c r="H2226" s="24"/>
      <c r="I2226" s="24"/>
      <c r="L2226"/>
    </row>
    <row r="2227" spans="1:12" x14ac:dyDescent="0.25">
      <c r="A2227" s="16"/>
      <c r="D2227" s="16"/>
      <c r="F2227" s="16"/>
      <c r="G2227" s="16"/>
      <c r="H2227" s="24"/>
      <c r="I2227" s="24"/>
      <c r="L2227"/>
    </row>
    <row r="2228" spans="1:12" x14ac:dyDescent="0.25">
      <c r="A2228" s="16"/>
      <c r="D2228" s="16"/>
      <c r="F2228" s="16"/>
      <c r="G2228" s="16"/>
      <c r="H2228" s="24"/>
      <c r="I2228" s="24"/>
      <c r="L2228"/>
    </row>
    <row r="2229" spans="1:12" x14ac:dyDescent="0.25">
      <c r="A2229" s="16"/>
      <c r="D2229" s="16"/>
      <c r="F2229" s="16"/>
      <c r="G2229" s="16"/>
      <c r="H2229" s="24"/>
      <c r="I2229" s="24"/>
      <c r="L2229"/>
    </row>
    <row r="2230" spans="1:12" x14ac:dyDescent="0.25">
      <c r="A2230" s="16"/>
      <c r="D2230" s="16"/>
      <c r="F2230" s="16"/>
      <c r="G2230" s="16"/>
      <c r="H2230" s="24"/>
      <c r="I2230" s="24"/>
      <c r="L2230"/>
    </row>
    <row r="2231" spans="1:12" x14ac:dyDescent="0.25">
      <c r="A2231" s="16"/>
      <c r="D2231" s="16"/>
      <c r="F2231" s="16"/>
      <c r="G2231" s="16"/>
      <c r="H2231" s="24"/>
      <c r="I2231" s="24"/>
      <c r="L2231"/>
    </row>
    <row r="2232" spans="1:12" x14ac:dyDescent="0.25">
      <c r="A2232" s="16"/>
      <c r="D2232" s="16"/>
      <c r="F2232" s="16"/>
      <c r="G2232" s="16"/>
      <c r="H2232" s="24"/>
      <c r="I2232" s="24"/>
      <c r="L2232"/>
    </row>
    <row r="2233" spans="1:12" x14ac:dyDescent="0.25">
      <c r="A2233" s="16"/>
      <c r="D2233" s="16"/>
      <c r="F2233" s="16"/>
      <c r="G2233" s="16"/>
      <c r="H2233" s="24"/>
      <c r="I2233" s="24"/>
      <c r="L2233"/>
    </row>
    <row r="2234" spans="1:12" x14ac:dyDescent="0.25">
      <c r="A2234" s="16"/>
      <c r="D2234" s="16"/>
      <c r="F2234" s="16"/>
      <c r="G2234" s="16"/>
      <c r="H2234" s="24"/>
      <c r="I2234" s="24"/>
      <c r="L2234"/>
    </row>
    <row r="2235" spans="1:12" x14ac:dyDescent="0.25">
      <c r="A2235" s="16"/>
      <c r="D2235" s="16"/>
      <c r="F2235" s="16"/>
      <c r="G2235" s="16"/>
      <c r="H2235" s="24"/>
      <c r="I2235" s="24"/>
      <c r="L2235"/>
    </row>
    <row r="2236" spans="1:12" x14ac:dyDescent="0.25">
      <c r="A2236" s="16"/>
      <c r="D2236" s="16"/>
      <c r="F2236" s="16"/>
      <c r="G2236" s="16"/>
      <c r="H2236" s="24"/>
      <c r="I2236" s="24"/>
      <c r="L2236"/>
    </row>
    <row r="2237" spans="1:12" x14ac:dyDescent="0.25">
      <c r="A2237" s="16"/>
      <c r="D2237" s="16"/>
      <c r="F2237" s="16"/>
      <c r="G2237" s="16"/>
      <c r="H2237" s="24"/>
      <c r="I2237" s="24"/>
      <c r="L2237"/>
    </row>
    <row r="2238" spans="1:12" x14ac:dyDescent="0.25">
      <c r="A2238" s="16"/>
      <c r="D2238" s="16"/>
      <c r="F2238" s="16"/>
      <c r="G2238" s="16"/>
      <c r="H2238" s="24"/>
      <c r="I2238" s="24"/>
      <c r="L2238"/>
    </row>
    <row r="2239" spans="1:12" x14ac:dyDescent="0.25">
      <c r="A2239" s="16"/>
      <c r="D2239" s="16"/>
      <c r="F2239" s="16"/>
      <c r="G2239" s="16"/>
      <c r="H2239" s="24"/>
      <c r="I2239" s="24"/>
      <c r="L2239"/>
    </row>
    <row r="2240" spans="1:12" x14ac:dyDescent="0.25">
      <c r="A2240" s="16"/>
      <c r="D2240" s="16"/>
      <c r="F2240" s="16"/>
      <c r="G2240" s="16"/>
      <c r="H2240" s="24"/>
      <c r="I2240" s="24"/>
      <c r="L2240"/>
    </row>
    <row r="2241" spans="1:12" x14ac:dyDescent="0.25">
      <c r="A2241" s="16"/>
      <c r="D2241" s="16"/>
      <c r="F2241" s="16"/>
      <c r="G2241" s="16"/>
      <c r="H2241" s="24"/>
      <c r="I2241" s="24"/>
      <c r="L2241"/>
    </row>
    <row r="2242" spans="1:12" x14ac:dyDescent="0.25">
      <c r="A2242" s="16"/>
      <c r="D2242" s="16"/>
      <c r="F2242" s="16"/>
      <c r="G2242" s="16"/>
      <c r="H2242" s="24"/>
      <c r="I2242" s="24"/>
      <c r="L2242"/>
    </row>
    <row r="2243" spans="1:12" x14ac:dyDescent="0.25">
      <c r="A2243" s="16"/>
      <c r="D2243" s="16"/>
      <c r="F2243" s="16"/>
      <c r="G2243" s="16"/>
      <c r="H2243" s="24"/>
      <c r="I2243" s="24"/>
      <c r="L2243"/>
    </row>
    <row r="2244" spans="1:12" x14ac:dyDescent="0.25">
      <c r="A2244" s="16"/>
      <c r="D2244" s="16"/>
      <c r="F2244" s="16"/>
      <c r="G2244" s="16"/>
      <c r="H2244" s="24"/>
      <c r="I2244" s="24"/>
      <c r="L2244"/>
    </row>
    <row r="2245" spans="1:12" x14ac:dyDescent="0.25">
      <c r="A2245" s="16"/>
      <c r="D2245" s="16"/>
      <c r="F2245" s="16"/>
      <c r="G2245" s="16"/>
      <c r="H2245" s="24"/>
      <c r="I2245" s="24"/>
      <c r="L2245"/>
    </row>
    <row r="2246" spans="1:12" x14ac:dyDescent="0.25">
      <c r="A2246" s="16"/>
      <c r="D2246" s="16"/>
      <c r="F2246" s="16"/>
      <c r="G2246" s="16"/>
      <c r="H2246" s="24"/>
      <c r="I2246" s="24"/>
      <c r="L2246"/>
    </row>
    <row r="2247" spans="1:12" x14ac:dyDescent="0.25">
      <c r="A2247" s="16"/>
      <c r="D2247" s="16"/>
      <c r="F2247" s="16"/>
      <c r="G2247" s="16"/>
      <c r="H2247" s="24"/>
      <c r="I2247" s="24"/>
      <c r="L2247"/>
    </row>
    <row r="2248" spans="1:12" x14ac:dyDescent="0.25">
      <c r="A2248" s="16"/>
      <c r="D2248" s="16"/>
      <c r="F2248" s="16"/>
      <c r="G2248" s="16"/>
      <c r="H2248" s="24"/>
      <c r="I2248" s="24"/>
      <c r="L2248"/>
    </row>
    <row r="2249" spans="1:12" x14ac:dyDescent="0.25">
      <c r="A2249" s="16"/>
      <c r="D2249" s="16"/>
      <c r="F2249" s="16"/>
      <c r="G2249" s="16"/>
      <c r="H2249" s="24"/>
      <c r="I2249" s="24"/>
      <c r="L2249"/>
    </row>
    <row r="2250" spans="1:12" x14ac:dyDescent="0.25">
      <c r="A2250" s="16"/>
      <c r="D2250" s="16"/>
      <c r="F2250" s="16"/>
      <c r="G2250" s="16"/>
      <c r="H2250" s="24"/>
      <c r="I2250" s="24"/>
      <c r="L2250"/>
    </row>
    <row r="2251" spans="1:12" x14ac:dyDescent="0.25">
      <c r="A2251" s="16"/>
      <c r="D2251" s="16"/>
      <c r="F2251" s="16"/>
      <c r="G2251" s="16"/>
      <c r="H2251" s="24"/>
      <c r="I2251" s="24"/>
      <c r="L2251"/>
    </row>
    <row r="2252" spans="1:12" x14ac:dyDescent="0.25">
      <c r="A2252" s="16"/>
      <c r="D2252" s="16"/>
      <c r="F2252" s="16"/>
      <c r="G2252" s="16"/>
      <c r="H2252" s="24"/>
      <c r="I2252" s="24"/>
      <c r="L2252"/>
    </row>
    <row r="2253" spans="1:12" x14ac:dyDescent="0.25">
      <c r="A2253" s="16"/>
      <c r="D2253" s="16"/>
      <c r="F2253" s="16"/>
      <c r="G2253" s="16"/>
      <c r="H2253" s="24"/>
      <c r="I2253" s="24"/>
      <c r="L2253"/>
    </row>
    <row r="2254" spans="1:12" x14ac:dyDescent="0.25">
      <c r="A2254" s="16"/>
      <c r="D2254" s="16"/>
      <c r="F2254" s="16"/>
      <c r="G2254" s="16"/>
      <c r="H2254" s="24"/>
      <c r="I2254" s="24"/>
      <c r="L2254"/>
    </row>
    <row r="2255" spans="1:12" x14ac:dyDescent="0.25">
      <c r="A2255" s="16"/>
      <c r="D2255" s="16"/>
      <c r="F2255" s="16"/>
      <c r="G2255" s="16"/>
      <c r="H2255" s="24"/>
      <c r="I2255" s="24"/>
      <c r="L2255"/>
    </row>
    <row r="2256" spans="1:12" x14ac:dyDescent="0.25">
      <c r="A2256" s="16"/>
      <c r="D2256" s="16"/>
      <c r="F2256" s="16"/>
      <c r="G2256" s="16"/>
      <c r="H2256" s="24"/>
      <c r="I2256" s="24"/>
      <c r="L2256"/>
    </row>
    <row r="2257" spans="1:12" x14ac:dyDescent="0.25">
      <c r="A2257" s="16"/>
      <c r="D2257" s="16"/>
      <c r="F2257" s="16"/>
      <c r="G2257" s="16"/>
      <c r="H2257" s="24"/>
      <c r="I2257" s="24"/>
      <c r="L2257"/>
    </row>
    <row r="2258" spans="1:12" x14ac:dyDescent="0.25">
      <c r="A2258" s="16"/>
      <c r="D2258" s="16"/>
      <c r="F2258" s="16"/>
      <c r="G2258" s="16"/>
      <c r="H2258" s="24"/>
      <c r="I2258" s="24"/>
      <c r="L2258"/>
    </row>
    <row r="2259" spans="1:12" x14ac:dyDescent="0.25">
      <c r="A2259" s="16"/>
      <c r="D2259" s="16"/>
      <c r="F2259" s="16"/>
      <c r="G2259" s="16"/>
      <c r="H2259" s="24"/>
      <c r="I2259" s="24"/>
      <c r="L2259"/>
    </row>
    <row r="2260" spans="1:12" x14ac:dyDescent="0.25">
      <c r="A2260" s="16"/>
      <c r="D2260" s="16"/>
      <c r="F2260" s="16"/>
      <c r="G2260" s="16"/>
      <c r="H2260" s="24"/>
      <c r="I2260" s="24"/>
      <c r="L2260"/>
    </row>
    <row r="2261" spans="1:12" x14ac:dyDescent="0.25">
      <c r="A2261" s="16"/>
      <c r="D2261" s="16"/>
      <c r="F2261" s="16"/>
      <c r="G2261" s="16"/>
      <c r="H2261" s="24"/>
      <c r="I2261" s="24"/>
      <c r="L2261"/>
    </row>
    <row r="2262" spans="1:12" x14ac:dyDescent="0.25">
      <c r="A2262" s="16"/>
      <c r="D2262" s="16"/>
      <c r="F2262" s="16"/>
      <c r="G2262" s="16"/>
      <c r="H2262" s="24"/>
      <c r="I2262" s="24"/>
      <c r="L2262"/>
    </row>
    <row r="2263" spans="1:12" x14ac:dyDescent="0.25">
      <c r="A2263" s="16"/>
      <c r="D2263" s="16"/>
      <c r="F2263" s="16"/>
      <c r="G2263" s="16"/>
      <c r="H2263" s="24"/>
      <c r="I2263" s="24"/>
      <c r="L2263"/>
    </row>
    <row r="2264" spans="1:12" x14ac:dyDescent="0.25">
      <c r="A2264" s="16"/>
      <c r="D2264" s="16"/>
      <c r="F2264" s="16"/>
      <c r="G2264" s="16"/>
      <c r="H2264" s="24"/>
      <c r="I2264" s="24"/>
      <c r="L2264"/>
    </row>
    <row r="2265" spans="1:12" x14ac:dyDescent="0.25">
      <c r="A2265" s="16"/>
      <c r="D2265" s="16"/>
      <c r="F2265" s="16"/>
      <c r="G2265" s="16"/>
      <c r="H2265" s="24"/>
      <c r="I2265" s="24"/>
      <c r="L2265"/>
    </row>
    <row r="2266" spans="1:12" x14ac:dyDescent="0.25">
      <c r="A2266" s="16"/>
      <c r="D2266" s="16"/>
      <c r="F2266" s="16"/>
      <c r="G2266" s="16"/>
      <c r="H2266" s="24"/>
      <c r="I2266" s="24"/>
      <c r="L2266"/>
    </row>
    <row r="2267" spans="1:12" x14ac:dyDescent="0.25">
      <c r="A2267" s="16"/>
      <c r="D2267" s="16"/>
      <c r="F2267" s="16"/>
      <c r="G2267" s="16"/>
      <c r="H2267" s="24"/>
      <c r="I2267" s="24"/>
      <c r="L2267"/>
    </row>
    <row r="2268" spans="1:12" x14ac:dyDescent="0.25">
      <c r="A2268" s="16"/>
      <c r="D2268" s="16"/>
      <c r="F2268" s="16"/>
      <c r="G2268" s="16"/>
      <c r="H2268" s="24"/>
      <c r="I2268" s="24"/>
      <c r="L2268"/>
    </row>
    <row r="2269" spans="1:12" x14ac:dyDescent="0.25">
      <c r="A2269" s="16"/>
      <c r="D2269" s="16"/>
      <c r="F2269" s="16"/>
      <c r="G2269" s="16"/>
      <c r="H2269" s="24"/>
      <c r="I2269" s="24"/>
      <c r="L2269"/>
    </row>
    <row r="2270" spans="1:12" x14ac:dyDescent="0.25">
      <c r="A2270" s="16"/>
      <c r="D2270" s="16"/>
      <c r="F2270" s="16"/>
      <c r="G2270" s="16"/>
      <c r="H2270" s="24"/>
      <c r="I2270" s="24"/>
      <c r="L2270"/>
    </row>
    <row r="2271" spans="1:12" x14ac:dyDescent="0.25">
      <c r="A2271" s="16"/>
      <c r="D2271" s="16"/>
      <c r="F2271" s="16"/>
      <c r="G2271" s="16"/>
      <c r="H2271" s="24"/>
      <c r="I2271" s="24"/>
      <c r="L2271"/>
    </row>
    <row r="2272" spans="1:12" x14ac:dyDescent="0.25">
      <c r="A2272" s="16"/>
      <c r="D2272" s="16"/>
      <c r="F2272" s="16"/>
      <c r="G2272" s="16"/>
      <c r="H2272" s="24"/>
      <c r="I2272" s="24"/>
      <c r="L2272"/>
    </row>
    <row r="2273" spans="1:12" x14ac:dyDescent="0.25">
      <c r="A2273" s="16"/>
      <c r="D2273" s="16"/>
      <c r="F2273" s="16"/>
      <c r="G2273" s="16"/>
      <c r="H2273" s="24"/>
      <c r="I2273" s="24"/>
      <c r="L2273"/>
    </row>
    <row r="2274" spans="1:12" x14ac:dyDescent="0.25">
      <c r="A2274" s="16"/>
      <c r="D2274" s="16"/>
      <c r="F2274" s="16"/>
      <c r="G2274" s="16"/>
      <c r="H2274" s="24"/>
      <c r="I2274" s="24"/>
      <c r="L2274"/>
    </row>
    <row r="2275" spans="1:12" x14ac:dyDescent="0.25">
      <c r="A2275" s="16"/>
      <c r="D2275" s="16"/>
      <c r="F2275" s="16"/>
      <c r="G2275" s="16"/>
      <c r="H2275" s="24"/>
      <c r="I2275" s="24"/>
      <c r="L2275"/>
    </row>
    <row r="2276" spans="1:12" x14ac:dyDescent="0.25">
      <c r="A2276" s="16"/>
      <c r="D2276" s="16"/>
      <c r="F2276" s="16"/>
      <c r="G2276" s="16"/>
      <c r="H2276" s="24"/>
      <c r="I2276" s="24"/>
      <c r="L2276"/>
    </row>
    <row r="2277" spans="1:12" x14ac:dyDescent="0.25">
      <c r="A2277" s="16"/>
      <c r="D2277" s="16"/>
      <c r="F2277" s="16"/>
      <c r="G2277" s="16"/>
      <c r="H2277" s="24"/>
      <c r="I2277" s="24"/>
      <c r="L2277"/>
    </row>
    <row r="2278" spans="1:12" x14ac:dyDescent="0.25">
      <c r="A2278" s="16"/>
      <c r="D2278" s="16"/>
      <c r="F2278" s="16"/>
      <c r="G2278" s="16"/>
      <c r="H2278" s="24"/>
      <c r="I2278" s="24"/>
      <c r="L2278"/>
    </row>
    <row r="2279" spans="1:12" x14ac:dyDescent="0.25">
      <c r="A2279" s="16"/>
      <c r="D2279" s="16"/>
      <c r="F2279" s="16"/>
      <c r="G2279" s="16"/>
      <c r="H2279" s="24"/>
      <c r="I2279" s="24"/>
      <c r="L2279"/>
    </row>
    <row r="2280" spans="1:12" x14ac:dyDescent="0.25">
      <c r="A2280" s="16"/>
      <c r="D2280" s="16"/>
      <c r="F2280" s="16"/>
      <c r="G2280" s="16"/>
      <c r="H2280" s="24"/>
      <c r="I2280" s="24"/>
      <c r="L2280"/>
    </row>
    <row r="2281" spans="1:12" x14ac:dyDescent="0.25">
      <c r="A2281" s="16"/>
      <c r="D2281" s="16"/>
      <c r="F2281" s="16"/>
      <c r="G2281" s="16"/>
      <c r="H2281" s="24"/>
      <c r="I2281" s="24"/>
      <c r="L2281"/>
    </row>
    <row r="2282" spans="1:12" x14ac:dyDescent="0.25">
      <c r="A2282" s="16"/>
      <c r="D2282" s="16"/>
      <c r="F2282" s="16"/>
      <c r="G2282" s="16"/>
      <c r="H2282" s="24"/>
      <c r="I2282" s="24"/>
      <c r="L2282"/>
    </row>
    <row r="2283" spans="1:12" x14ac:dyDescent="0.25">
      <c r="A2283" s="16"/>
      <c r="D2283" s="16"/>
      <c r="F2283" s="16"/>
      <c r="G2283" s="16"/>
      <c r="H2283" s="24"/>
      <c r="I2283" s="24"/>
      <c r="L2283"/>
    </row>
    <row r="2284" spans="1:12" x14ac:dyDescent="0.25">
      <c r="A2284" s="16"/>
      <c r="D2284" s="16"/>
      <c r="F2284" s="16"/>
      <c r="G2284" s="16"/>
      <c r="H2284" s="24"/>
      <c r="I2284" s="24"/>
      <c r="L2284"/>
    </row>
    <row r="2285" spans="1:12" x14ac:dyDescent="0.25">
      <c r="A2285" s="16"/>
      <c r="D2285" s="16"/>
      <c r="F2285" s="16"/>
      <c r="G2285" s="16"/>
      <c r="H2285" s="24"/>
      <c r="I2285" s="24"/>
      <c r="L2285"/>
    </row>
    <row r="2286" spans="1:12" x14ac:dyDescent="0.25">
      <c r="A2286" s="16"/>
      <c r="D2286" s="16"/>
      <c r="F2286" s="16"/>
      <c r="G2286" s="16"/>
      <c r="H2286" s="24"/>
      <c r="I2286" s="24"/>
      <c r="L2286"/>
    </row>
    <row r="2287" spans="1:12" x14ac:dyDescent="0.25">
      <c r="A2287" s="16"/>
      <c r="D2287" s="16"/>
      <c r="F2287" s="16"/>
      <c r="G2287" s="16"/>
      <c r="H2287" s="24"/>
      <c r="I2287" s="24"/>
      <c r="L2287"/>
    </row>
    <row r="2288" spans="1:12" x14ac:dyDescent="0.25">
      <c r="A2288" s="16"/>
      <c r="D2288" s="16"/>
      <c r="F2288" s="16"/>
      <c r="G2288" s="16"/>
      <c r="H2288" s="24"/>
      <c r="I2288" s="24"/>
      <c r="L2288"/>
    </row>
    <row r="2289" spans="1:12" x14ac:dyDescent="0.25">
      <c r="A2289" s="16"/>
      <c r="D2289" s="16"/>
      <c r="F2289" s="16"/>
      <c r="G2289" s="16"/>
      <c r="H2289" s="24"/>
      <c r="I2289" s="24"/>
      <c r="L2289"/>
    </row>
    <row r="2290" spans="1:12" x14ac:dyDescent="0.25">
      <c r="A2290" s="16"/>
      <c r="D2290" s="16"/>
      <c r="F2290" s="16"/>
      <c r="G2290" s="16"/>
      <c r="H2290" s="24"/>
      <c r="I2290" s="24"/>
      <c r="L2290"/>
    </row>
    <row r="2291" spans="1:12" x14ac:dyDescent="0.25">
      <c r="A2291" s="16"/>
      <c r="D2291" s="16"/>
      <c r="F2291" s="16"/>
      <c r="G2291" s="16"/>
      <c r="H2291" s="24"/>
      <c r="I2291" s="24"/>
      <c r="L2291"/>
    </row>
    <row r="2292" spans="1:12" x14ac:dyDescent="0.25">
      <c r="A2292" s="16"/>
      <c r="D2292" s="16"/>
      <c r="F2292" s="16"/>
      <c r="G2292" s="16"/>
      <c r="H2292" s="24"/>
      <c r="I2292" s="24"/>
      <c r="L2292"/>
    </row>
    <row r="2293" spans="1:12" x14ac:dyDescent="0.25">
      <c r="A2293" s="16"/>
      <c r="D2293" s="16"/>
      <c r="F2293" s="16"/>
      <c r="G2293" s="16"/>
      <c r="H2293" s="24"/>
      <c r="I2293" s="24"/>
      <c r="L2293"/>
    </row>
    <row r="2294" spans="1:12" x14ac:dyDescent="0.25">
      <c r="A2294" s="16"/>
      <c r="D2294" s="16"/>
      <c r="F2294" s="16"/>
      <c r="G2294" s="16"/>
      <c r="H2294" s="24"/>
      <c r="I2294" s="24"/>
      <c r="L2294"/>
    </row>
    <row r="2295" spans="1:12" x14ac:dyDescent="0.25">
      <c r="A2295" s="16"/>
      <c r="D2295" s="16"/>
      <c r="F2295" s="16"/>
      <c r="G2295" s="16"/>
      <c r="H2295" s="24"/>
      <c r="I2295" s="24"/>
      <c r="L2295"/>
    </row>
    <row r="2296" spans="1:12" x14ac:dyDescent="0.25">
      <c r="A2296" s="16"/>
      <c r="D2296" s="16"/>
      <c r="F2296" s="16"/>
      <c r="G2296" s="16"/>
      <c r="H2296" s="24"/>
      <c r="I2296" s="24"/>
      <c r="L2296"/>
    </row>
    <row r="2297" spans="1:12" x14ac:dyDescent="0.25">
      <c r="A2297" s="16"/>
      <c r="D2297" s="16"/>
      <c r="F2297" s="16"/>
      <c r="G2297" s="16"/>
      <c r="H2297" s="24"/>
      <c r="I2297" s="24"/>
      <c r="L2297"/>
    </row>
    <row r="2298" spans="1:12" x14ac:dyDescent="0.25">
      <c r="A2298" s="16"/>
      <c r="D2298" s="16"/>
      <c r="F2298" s="16"/>
      <c r="G2298" s="16"/>
      <c r="H2298" s="24"/>
      <c r="I2298" s="24"/>
      <c r="L2298"/>
    </row>
    <row r="2299" spans="1:12" x14ac:dyDescent="0.25">
      <c r="A2299" s="16"/>
      <c r="D2299" s="16"/>
      <c r="F2299" s="16"/>
      <c r="G2299" s="16"/>
      <c r="H2299" s="24"/>
      <c r="I2299" s="24"/>
      <c r="L2299"/>
    </row>
    <row r="2300" spans="1:12" x14ac:dyDescent="0.25">
      <c r="A2300" s="16"/>
      <c r="D2300" s="16"/>
      <c r="F2300" s="16"/>
      <c r="G2300" s="16"/>
      <c r="H2300" s="24"/>
      <c r="I2300" s="24"/>
      <c r="L2300"/>
    </row>
    <row r="2301" spans="1:12" x14ac:dyDescent="0.25">
      <c r="A2301" s="16"/>
      <c r="D2301" s="16"/>
      <c r="F2301" s="16"/>
      <c r="G2301" s="16"/>
      <c r="H2301" s="24"/>
      <c r="I2301" s="24"/>
      <c r="L2301"/>
    </row>
    <row r="2302" spans="1:12" x14ac:dyDescent="0.25">
      <c r="A2302" s="16"/>
      <c r="D2302" s="16"/>
      <c r="F2302" s="16"/>
      <c r="G2302" s="16"/>
      <c r="H2302" s="24"/>
      <c r="I2302" s="24"/>
      <c r="L2302"/>
    </row>
    <row r="2303" spans="1:12" x14ac:dyDescent="0.25">
      <c r="A2303" s="16"/>
      <c r="D2303" s="16"/>
      <c r="F2303" s="16"/>
      <c r="G2303" s="16"/>
      <c r="H2303" s="24"/>
      <c r="I2303" s="24"/>
      <c r="L2303"/>
    </row>
    <row r="2304" spans="1:12" x14ac:dyDescent="0.25">
      <c r="A2304" s="16"/>
      <c r="D2304" s="16"/>
      <c r="F2304" s="16"/>
      <c r="G2304" s="16"/>
      <c r="H2304" s="24"/>
      <c r="I2304" s="24"/>
      <c r="L2304"/>
    </row>
    <row r="2305" spans="1:12" x14ac:dyDescent="0.25">
      <c r="A2305" s="16"/>
      <c r="D2305" s="16"/>
      <c r="F2305" s="16"/>
      <c r="G2305" s="16"/>
      <c r="H2305" s="24"/>
      <c r="I2305" s="24"/>
      <c r="L2305"/>
    </row>
    <row r="2306" spans="1:12" x14ac:dyDescent="0.25">
      <c r="A2306" s="16"/>
      <c r="D2306" s="16"/>
      <c r="F2306" s="16"/>
      <c r="G2306" s="16"/>
      <c r="H2306" s="24"/>
      <c r="I2306" s="24"/>
      <c r="L2306"/>
    </row>
    <row r="2307" spans="1:12" x14ac:dyDescent="0.25">
      <c r="A2307" s="16"/>
      <c r="D2307" s="16"/>
      <c r="F2307" s="16"/>
      <c r="G2307" s="16"/>
      <c r="H2307" s="24"/>
      <c r="I2307" s="24"/>
      <c r="L2307"/>
    </row>
    <row r="2308" spans="1:12" x14ac:dyDescent="0.25">
      <c r="A2308" s="16"/>
      <c r="D2308" s="16"/>
      <c r="F2308" s="16"/>
      <c r="G2308" s="16"/>
      <c r="H2308" s="24"/>
      <c r="I2308" s="24"/>
      <c r="L2308"/>
    </row>
    <row r="2309" spans="1:12" x14ac:dyDescent="0.25">
      <c r="A2309" s="16"/>
      <c r="D2309" s="16"/>
      <c r="F2309" s="16"/>
      <c r="G2309" s="16"/>
      <c r="H2309" s="24"/>
      <c r="I2309" s="24"/>
      <c r="L2309"/>
    </row>
    <row r="2310" spans="1:12" x14ac:dyDescent="0.25">
      <c r="A2310" s="16"/>
      <c r="D2310" s="16"/>
      <c r="F2310" s="16"/>
      <c r="G2310" s="16"/>
      <c r="H2310" s="24"/>
      <c r="I2310" s="24"/>
      <c r="L2310"/>
    </row>
    <row r="2311" spans="1:12" x14ac:dyDescent="0.25">
      <c r="A2311" s="16"/>
      <c r="D2311" s="16"/>
      <c r="F2311" s="16"/>
      <c r="G2311" s="16"/>
      <c r="H2311" s="24"/>
      <c r="I2311" s="24"/>
      <c r="L2311"/>
    </row>
    <row r="2312" spans="1:12" x14ac:dyDescent="0.25">
      <c r="A2312" s="16"/>
      <c r="D2312" s="16"/>
      <c r="F2312" s="16"/>
      <c r="G2312" s="16"/>
      <c r="H2312" s="24"/>
      <c r="I2312" s="24"/>
      <c r="L2312"/>
    </row>
    <row r="2313" spans="1:12" x14ac:dyDescent="0.25">
      <c r="A2313" s="16"/>
      <c r="D2313" s="16"/>
      <c r="F2313" s="16"/>
      <c r="G2313" s="16"/>
      <c r="H2313" s="24"/>
      <c r="I2313" s="24"/>
      <c r="L2313"/>
    </row>
    <row r="2314" spans="1:12" x14ac:dyDescent="0.25">
      <c r="A2314" s="16"/>
      <c r="D2314" s="16"/>
      <c r="F2314" s="16"/>
      <c r="G2314" s="16"/>
      <c r="H2314" s="24"/>
      <c r="I2314" s="24"/>
      <c r="L2314"/>
    </row>
    <row r="2315" spans="1:12" x14ac:dyDescent="0.25">
      <c r="A2315" s="16"/>
      <c r="D2315" s="16"/>
      <c r="F2315" s="16"/>
      <c r="G2315" s="16"/>
      <c r="H2315" s="24"/>
      <c r="I2315" s="24"/>
      <c r="L2315"/>
    </row>
    <row r="2316" spans="1:12" x14ac:dyDescent="0.25">
      <c r="A2316" s="16"/>
      <c r="D2316" s="16"/>
      <c r="F2316" s="16"/>
      <c r="G2316" s="16"/>
      <c r="H2316" s="24"/>
      <c r="I2316" s="24"/>
      <c r="L2316"/>
    </row>
    <row r="2317" spans="1:12" x14ac:dyDescent="0.25">
      <c r="A2317" s="16"/>
      <c r="D2317" s="16"/>
      <c r="F2317" s="16"/>
      <c r="G2317" s="16"/>
      <c r="H2317" s="24"/>
      <c r="I2317" s="24"/>
      <c r="L2317"/>
    </row>
    <row r="2318" spans="1:12" x14ac:dyDescent="0.25">
      <c r="A2318" s="16"/>
      <c r="D2318" s="16"/>
      <c r="F2318" s="16"/>
      <c r="G2318" s="16"/>
      <c r="H2318" s="24"/>
      <c r="I2318" s="24"/>
      <c r="L2318"/>
    </row>
    <row r="2319" spans="1:12" x14ac:dyDescent="0.25">
      <c r="A2319" s="16"/>
      <c r="D2319" s="16"/>
      <c r="F2319" s="16"/>
      <c r="G2319" s="16"/>
      <c r="H2319" s="24"/>
      <c r="I2319" s="24"/>
      <c r="L2319"/>
    </row>
    <row r="2320" spans="1:12" x14ac:dyDescent="0.25">
      <c r="A2320" s="16"/>
      <c r="D2320" s="16"/>
      <c r="F2320" s="16"/>
      <c r="G2320" s="16"/>
      <c r="H2320" s="24"/>
      <c r="I2320" s="24"/>
      <c r="L2320"/>
    </row>
    <row r="2321" spans="1:12" x14ac:dyDescent="0.25">
      <c r="A2321" s="16"/>
      <c r="D2321" s="16"/>
      <c r="F2321" s="16"/>
      <c r="G2321" s="16"/>
      <c r="H2321" s="24"/>
      <c r="I2321" s="24"/>
      <c r="L2321"/>
    </row>
    <row r="2322" spans="1:12" x14ac:dyDescent="0.25">
      <c r="A2322" s="16"/>
      <c r="D2322" s="16"/>
      <c r="F2322" s="16"/>
      <c r="G2322" s="16"/>
      <c r="H2322" s="24"/>
      <c r="I2322" s="24"/>
      <c r="L2322"/>
    </row>
    <row r="2323" spans="1:12" x14ac:dyDescent="0.25">
      <c r="A2323" s="16"/>
      <c r="D2323" s="16"/>
      <c r="F2323" s="16"/>
      <c r="G2323" s="16"/>
      <c r="H2323" s="24"/>
      <c r="I2323" s="24"/>
      <c r="L2323"/>
    </row>
    <row r="2324" spans="1:12" x14ac:dyDescent="0.25">
      <c r="A2324" s="16"/>
      <c r="D2324" s="16"/>
      <c r="F2324" s="16"/>
      <c r="G2324" s="16"/>
      <c r="H2324" s="24"/>
      <c r="I2324" s="24"/>
      <c r="L2324"/>
    </row>
    <row r="2325" spans="1:12" x14ac:dyDescent="0.25">
      <c r="A2325" s="16"/>
      <c r="D2325" s="16"/>
      <c r="F2325" s="16"/>
      <c r="G2325" s="16"/>
      <c r="H2325" s="24"/>
      <c r="I2325" s="24"/>
      <c r="L2325"/>
    </row>
    <row r="2326" spans="1:12" x14ac:dyDescent="0.25">
      <c r="A2326" s="16"/>
      <c r="D2326" s="16"/>
      <c r="F2326" s="16"/>
      <c r="G2326" s="16"/>
      <c r="H2326" s="24"/>
      <c r="I2326" s="24"/>
      <c r="L2326"/>
    </row>
    <row r="2327" spans="1:12" x14ac:dyDescent="0.25">
      <c r="A2327" s="16"/>
      <c r="D2327" s="16"/>
      <c r="F2327" s="16"/>
      <c r="G2327" s="16"/>
      <c r="H2327" s="24"/>
      <c r="I2327" s="24"/>
      <c r="L2327"/>
    </row>
    <row r="2328" spans="1:12" x14ac:dyDescent="0.25">
      <c r="A2328" s="16"/>
      <c r="D2328" s="16"/>
      <c r="F2328" s="16"/>
      <c r="G2328" s="16"/>
      <c r="H2328" s="24"/>
      <c r="I2328" s="24"/>
      <c r="L2328"/>
    </row>
    <row r="2329" spans="1:12" x14ac:dyDescent="0.25">
      <c r="A2329" s="16"/>
      <c r="D2329" s="16"/>
      <c r="F2329" s="16"/>
      <c r="G2329" s="16"/>
      <c r="H2329" s="24"/>
      <c r="I2329" s="24"/>
      <c r="L2329"/>
    </row>
    <row r="2330" spans="1:12" x14ac:dyDescent="0.25">
      <c r="A2330" s="16"/>
      <c r="D2330" s="16"/>
      <c r="F2330" s="16"/>
      <c r="G2330" s="16"/>
      <c r="H2330" s="24"/>
      <c r="I2330" s="24"/>
      <c r="L2330"/>
    </row>
    <row r="2331" spans="1:12" x14ac:dyDescent="0.25">
      <c r="A2331" s="16"/>
      <c r="D2331" s="16"/>
      <c r="F2331" s="16"/>
      <c r="G2331" s="16"/>
      <c r="H2331" s="24"/>
      <c r="I2331" s="24"/>
      <c r="L2331"/>
    </row>
    <row r="2332" spans="1:12" x14ac:dyDescent="0.25">
      <c r="A2332" s="16"/>
      <c r="D2332" s="16"/>
      <c r="F2332" s="16"/>
      <c r="G2332" s="16"/>
      <c r="H2332" s="24"/>
      <c r="I2332" s="24"/>
      <c r="L2332"/>
    </row>
    <row r="2333" spans="1:12" x14ac:dyDescent="0.25">
      <c r="A2333" s="16"/>
      <c r="D2333" s="16"/>
      <c r="F2333" s="16"/>
      <c r="G2333" s="16"/>
      <c r="H2333" s="24"/>
      <c r="I2333" s="24"/>
      <c r="L2333"/>
    </row>
    <row r="2334" spans="1:12" x14ac:dyDescent="0.25">
      <c r="A2334" s="16"/>
      <c r="D2334" s="16"/>
      <c r="F2334" s="16"/>
      <c r="G2334" s="16"/>
      <c r="H2334" s="24"/>
      <c r="I2334" s="24"/>
      <c r="L2334"/>
    </row>
    <row r="2335" spans="1:12" x14ac:dyDescent="0.25">
      <c r="A2335" s="16"/>
      <c r="D2335" s="16"/>
      <c r="F2335" s="16"/>
      <c r="G2335" s="16"/>
      <c r="H2335" s="24"/>
      <c r="I2335" s="24"/>
      <c r="L2335"/>
    </row>
    <row r="2336" spans="1:12" x14ac:dyDescent="0.25">
      <c r="A2336" s="16"/>
      <c r="D2336" s="16"/>
      <c r="F2336" s="16"/>
      <c r="G2336" s="16"/>
      <c r="H2336" s="24"/>
      <c r="I2336" s="24"/>
      <c r="L2336"/>
    </row>
    <row r="2337" spans="1:12" x14ac:dyDescent="0.25">
      <c r="A2337" s="16"/>
      <c r="D2337" s="16"/>
      <c r="F2337" s="16"/>
      <c r="G2337" s="16"/>
      <c r="H2337" s="24"/>
      <c r="I2337" s="24"/>
      <c r="L2337"/>
    </row>
    <row r="2338" spans="1:12" x14ac:dyDescent="0.25">
      <c r="A2338" s="16"/>
      <c r="D2338" s="16"/>
      <c r="F2338" s="16"/>
      <c r="G2338" s="16"/>
      <c r="H2338" s="24"/>
      <c r="I2338" s="24"/>
      <c r="L2338"/>
    </row>
    <row r="2339" spans="1:12" x14ac:dyDescent="0.25">
      <c r="A2339" s="16"/>
      <c r="D2339" s="16"/>
      <c r="F2339" s="16"/>
      <c r="G2339" s="16"/>
      <c r="H2339" s="24"/>
      <c r="I2339" s="24"/>
      <c r="L2339"/>
    </row>
    <row r="2340" spans="1:12" x14ac:dyDescent="0.25">
      <c r="A2340" s="16"/>
      <c r="D2340" s="16"/>
      <c r="F2340" s="16"/>
      <c r="G2340" s="16"/>
      <c r="H2340" s="24"/>
      <c r="I2340" s="24"/>
      <c r="L2340"/>
    </row>
    <row r="2341" spans="1:12" x14ac:dyDescent="0.25">
      <c r="A2341" s="16"/>
      <c r="D2341" s="16"/>
      <c r="F2341" s="16"/>
      <c r="G2341" s="16"/>
      <c r="H2341" s="24"/>
      <c r="I2341" s="24"/>
      <c r="L2341"/>
    </row>
    <row r="2342" spans="1:12" x14ac:dyDescent="0.25">
      <c r="A2342" s="16"/>
      <c r="D2342" s="16"/>
      <c r="F2342" s="16"/>
      <c r="G2342" s="16"/>
      <c r="H2342" s="24"/>
      <c r="I2342" s="24"/>
      <c r="L2342"/>
    </row>
    <row r="2343" spans="1:12" x14ac:dyDescent="0.25">
      <c r="A2343" s="16"/>
      <c r="D2343" s="16"/>
      <c r="F2343" s="16"/>
      <c r="G2343" s="16"/>
      <c r="H2343" s="24"/>
      <c r="I2343" s="24"/>
      <c r="L2343"/>
    </row>
    <row r="2344" spans="1:12" x14ac:dyDescent="0.25">
      <c r="A2344" s="16"/>
      <c r="D2344" s="16"/>
      <c r="F2344" s="16"/>
      <c r="G2344" s="16"/>
      <c r="H2344" s="24"/>
      <c r="I2344" s="24"/>
      <c r="L2344"/>
    </row>
    <row r="2345" spans="1:12" x14ac:dyDescent="0.25">
      <c r="A2345" s="16"/>
      <c r="D2345" s="16"/>
      <c r="F2345" s="16"/>
      <c r="G2345" s="16"/>
      <c r="H2345" s="24"/>
      <c r="I2345" s="24"/>
      <c r="L2345"/>
    </row>
    <row r="2346" spans="1:12" x14ac:dyDescent="0.25">
      <c r="A2346" s="16"/>
      <c r="D2346" s="16"/>
      <c r="F2346" s="16"/>
      <c r="G2346" s="16"/>
      <c r="H2346" s="24"/>
      <c r="I2346" s="24"/>
      <c r="L2346"/>
    </row>
    <row r="2347" spans="1:12" x14ac:dyDescent="0.25">
      <c r="A2347" s="16"/>
      <c r="D2347" s="16"/>
      <c r="F2347" s="16"/>
      <c r="G2347" s="16"/>
      <c r="H2347" s="24"/>
      <c r="I2347" s="24"/>
      <c r="L2347"/>
    </row>
    <row r="2348" spans="1:12" x14ac:dyDescent="0.25">
      <c r="A2348" s="16"/>
      <c r="D2348" s="16"/>
      <c r="F2348" s="16"/>
      <c r="G2348" s="16"/>
      <c r="H2348" s="24"/>
      <c r="I2348" s="24"/>
      <c r="L2348"/>
    </row>
    <row r="2349" spans="1:12" x14ac:dyDescent="0.25">
      <c r="A2349" s="16"/>
      <c r="D2349" s="16"/>
      <c r="F2349" s="16"/>
      <c r="G2349" s="16"/>
      <c r="H2349" s="24"/>
      <c r="I2349" s="24"/>
      <c r="L2349"/>
    </row>
    <row r="2350" spans="1:12" x14ac:dyDescent="0.25">
      <c r="A2350" s="16"/>
      <c r="D2350" s="16"/>
      <c r="F2350" s="16"/>
      <c r="G2350" s="16"/>
      <c r="H2350" s="24"/>
      <c r="I2350" s="24"/>
      <c r="L2350"/>
    </row>
    <row r="2351" spans="1:12" x14ac:dyDescent="0.25">
      <c r="A2351" s="16"/>
      <c r="D2351" s="16"/>
      <c r="F2351" s="16"/>
      <c r="G2351" s="16"/>
      <c r="H2351" s="24"/>
      <c r="I2351" s="24"/>
      <c r="L2351"/>
    </row>
    <row r="2352" spans="1:12" x14ac:dyDescent="0.25">
      <c r="A2352" s="16"/>
      <c r="D2352" s="16"/>
      <c r="F2352" s="16"/>
      <c r="G2352" s="16"/>
      <c r="H2352" s="24"/>
      <c r="I2352" s="24"/>
      <c r="L2352"/>
    </row>
    <row r="2353" spans="1:12" x14ac:dyDescent="0.25">
      <c r="A2353" s="16"/>
      <c r="D2353" s="16"/>
      <c r="F2353" s="16"/>
      <c r="G2353" s="16"/>
      <c r="H2353" s="24"/>
      <c r="I2353" s="24"/>
      <c r="L2353"/>
    </row>
    <row r="2354" spans="1:12" x14ac:dyDescent="0.25">
      <c r="A2354" s="16"/>
      <c r="D2354" s="16"/>
      <c r="F2354" s="16"/>
      <c r="G2354" s="16"/>
      <c r="H2354" s="24"/>
      <c r="I2354" s="24"/>
      <c r="L2354"/>
    </row>
    <row r="2355" spans="1:12" x14ac:dyDescent="0.25">
      <c r="A2355" s="16"/>
      <c r="D2355" s="16"/>
      <c r="F2355" s="16"/>
      <c r="G2355" s="16"/>
      <c r="H2355" s="24"/>
      <c r="I2355" s="24"/>
      <c r="L2355"/>
    </row>
    <row r="2356" spans="1:12" x14ac:dyDescent="0.25">
      <c r="A2356" s="16"/>
      <c r="D2356" s="16"/>
      <c r="F2356" s="16"/>
      <c r="G2356" s="16"/>
      <c r="H2356" s="24"/>
      <c r="I2356" s="24"/>
      <c r="L2356"/>
    </row>
    <row r="2357" spans="1:12" x14ac:dyDescent="0.25">
      <c r="A2357" s="16"/>
      <c r="D2357" s="16"/>
      <c r="F2357" s="16"/>
      <c r="G2357" s="16"/>
      <c r="H2357" s="24"/>
      <c r="I2357" s="24"/>
      <c r="L2357"/>
    </row>
    <row r="2358" spans="1:12" x14ac:dyDescent="0.25">
      <c r="A2358" s="16"/>
      <c r="D2358" s="16"/>
      <c r="F2358" s="16"/>
      <c r="G2358" s="16"/>
      <c r="H2358" s="24"/>
      <c r="I2358" s="24"/>
      <c r="L2358"/>
    </row>
    <row r="2359" spans="1:12" x14ac:dyDescent="0.25">
      <c r="A2359" s="16"/>
      <c r="D2359" s="16"/>
      <c r="F2359" s="16"/>
      <c r="G2359" s="16"/>
      <c r="H2359" s="24"/>
      <c r="I2359" s="24"/>
      <c r="L2359"/>
    </row>
    <row r="2360" spans="1:12" x14ac:dyDescent="0.25">
      <c r="A2360" s="16"/>
      <c r="D2360" s="16"/>
      <c r="F2360" s="16"/>
      <c r="G2360" s="16"/>
      <c r="H2360" s="24"/>
      <c r="I2360" s="24"/>
      <c r="L2360"/>
    </row>
    <row r="2361" spans="1:12" x14ac:dyDescent="0.25">
      <c r="A2361" s="16"/>
      <c r="D2361" s="16"/>
      <c r="F2361" s="16"/>
      <c r="G2361" s="16"/>
      <c r="H2361" s="24"/>
      <c r="I2361" s="24"/>
      <c r="L2361"/>
    </row>
    <row r="2362" spans="1:12" x14ac:dyDescent="0.25">
      <c r="A2362" s="16"/>
      <c r="D2362" s="16"/>
      <c r="F2362" s="16"/>
      <c r="G2362" s="16"/>
      <c r="H2362" s="24"/>
      <c r="I2362" s="24"/>
      <c r="L2362"/>
    </row>
    <row r="2363" spans="1:12" x14ac:dyDescent="0.25">
      <c r="A2363" s="16"/>
      <c r="D2363" s="16"/>
      <c r="F2363" s="16"/>
      <c r="G2363" s="16"/>
      <c r="H2363" s="24"/>
      <c r="I2363" s="24"/>
      <c r="L2363"/>
    </row>
    <row r="2364" spans="1:12" x14ac:dyDescent="0.25">
      <c r="A2364" s="16"/>
      <c r="D2364" s="16"/>
      <c r="F2364" s="16"/>
      <c r="G2364" s="16"/>
      <c r="H2364" s="24"/>
      <c r="I2364" s="24"/>
      <c r="L2364"/>
    </row>
    <row r="2365" spans="1:12" x14ac:dyDescent="0.25">
      <c r="A2365" s="16"/>
      <c r="D2365" s="16"/>
      <c r="F2365" s="16"/>
      <c r="G2365" s="16"/>
      <c r="H2365" s="24"/>
      <c r="I2365" s="24"/>
      <c r="L2365"/>
    </row>
    <row r="2366" spans="1:12" x14ac:dyDescent="0.25">
      <c r="A2366" s="16"/>
      <c r="D2366" s="16"/>
      <c r="F2366" s="16"/>
      <c r="G2366" s="16"/>
      <c r="H2366" s="24"/>
      <c r="I2366" s="24"/>
      <c r="L2366"/>
    </row>
    <row r="2367" spans="1:12" x14ac:dyDescent="0.25">
      <c r="A2367" s="16"/>
      <c r="D2367" s="16"/>
      <c r="F2367" s="16"/>
      <c r="G2367" s="16"/>
      <c r="H2367" s="24"/>
      <c r="I2367" s="24"/>
      <c r="L2367"/>
    </row>
    <row r="2368" spans="1:12" x14ac:dyDescent="0.25">
      <c r="A2368" s="16"/>
      <c r="D2368" s="16"/>
      <c r="F2368" s="16"/>
      <c r="G2368" s="16"/>
      <c r="H2368" s="24"/>
      <c r="I2368" s="24"/>
      <c r="L2368"/>
    </row>
    <row r="2369" spans="1:12" x14ac:dyDescent="0.25">
      <c r="A2369" s="16"/>
      <c r="D2369" s="16"/>
      <c r="F2369" s="16"/>
      <c r="G2369" s="16"/>
      <c r="H2369" s="24"/>
      <c r="I2369" s="24"/>
      <c r="L2369"/>
    </row>
    <row r="2370" spans="1:12" x14ac:dyDescent="0.25">
      <c r="A2370" s="16"/>
      <c r="D2370" s="16"/>
      <c r="F2370" s="16"/>
      <c r="G2370" s="16"/>
      <c r="H2370" s="24"/>
      <c r="I2370" s="24"/>
      <c r="L2370"/>
    </row>
    <row r="2371" spans="1:12" x14ac:dyDescent="0.25">
      <c r="A2371" s="16"/>
      <c r="D2371" s="16"/>
      <c r="F2371" s="16"/>
      <c r="G2371" s="16"/>
      <c r="H2371" s="24"/>
      <c r="I2371" s="24"/>
      <c r="L2371"/>
    </row>
    <row r="2372" spans="1:12" x14ac:dyDescent="0.25">
      <c r="A2372" s="16"/>
      <c r="D2372" s="16"/>
      <c r="F2372" s="16"/>
      <c r="G2372" s="16"/>
      <c r="H2372" s="24"/>
      <c r="I2372" s="24"/>
      <c r="L2372"/>
    </row>
    <row r="2373" spans="1:12" x14ac:dyDescent="0.25">
      <c r="A2373" s="16"/>
      <c r="D2373" s="16"/>
      <c r="F2373" s="16"/>
      <c r="G2373" s="16"/>
      <c r="H2373" s="24"/>
      <c r="I2373" s="24"/>
      <c r="L2373"/>
    </row>
    <row r="2374" spans="1:12" x14ac:dyDescent="0.25">
      <c r="A2374" s="16"/>
      <c r="D2374" s="16"/>
      <c r="F2374" s="16"/>
      <c r="G2374" s="16"/>
      <c r="H2374" s="24"/>
      <c r="I2374" s="24"/>
      <c r="L2374"/>
    </row>
    <row r="2375" spans="1:12" x14ac:dyDescent="0.25">
      <c r="A2375" s="16"/>
      <c r="D2375" s="16"/>
      <c r="F2375" s="16"/>
      <c r="G2375" s="16"/>
      <c r="H2375" s="24"/>
      <c r="I2375" s="24"/>
      <c r="L2375"/>
    </row>
    <row r="2376" spans="1:12" x14ac:dyDescent="0.25">
      <c r="A2376" s="16"/>
      <c r="D2376" s="16"/>
      <c r="F2376" s="16"/>
      <c r="G2376" s="16"/>
      <c r="H2376" s="24"/>
      <c r="I2376" s="24"/>
      <c r="L2376"/>
    </row>
    <row r="2377" spans="1:12" x14ac:dyDescent="0.25">
      <c r="A2377" s="16"/>
      <c r="D2377" s="16"/>
      <c r="F2377" s="16"/>
      <c r="G2377" s="16"/>
      <c r="H2377" s="24"/>
      <c r="I2377" s="24"/>
      <c r="L2377"/>
    </row>
    <row r="2378" spans="1:12" x14ac:dyDescent="0.25">
      <c r="A2378" s="16"/>
      <c r="D2378" s="16"/>
      <c r="F2378" s="16"/>
      <c r="G2378" s="16"/>
      <c r="H2378" s="24"/>
      <c r="I2378" s="24"/>
      <c r="L2378"/>
    </row>
    <row r="2379" spans="1:12" x14ac:dyDescent="0.25">
      <c r="A2379" s="16"/>
      <c r="D2379" s="16"/>
      <c r="F2379" s="16"/>
      <c r="G2379" s="16"/>
      <c r="H2379" s="24"/>
      <c r="I2379" s="24"/>
      <c r="L2379"/>
    </row>
    <row r="2380" spans="1:12" x14ac:dyDescent="0.25">
      <c r="A2380" s="16"/>
      <c r="D2380" s="16"/>
      <c r="F2380" s="16"/>
      <c r="G2380" s="16"/>
      <c r="H2380" s="24"/>
      <c r="I2380" s="24"/>
      <c r="L2380"/>
    </row>
    <row r="2381" spans="1:12" x14ac:dyDescent="0.25">
      <c r="A2381" s="16"/>
      <c r="D2381" s="16"/>
      <c r="F2381" s="16"/>
      <c r="G2381" s="16"/>
      <c r="H2381" s="24"/>
      <c r="I2381" s="24"/>
      <c r="L2381"/>
    </row>
    <row r="2382" spans="1:12" x14ac:dyDescent="0.25">
      <c r="A2382" s="16"/>
      <c r="D2382" s="16"/>
      <c r="F2382" s="16"/>
      <c r="G2382" s="16"/>
      <c r="H2382" s="24"/>
      <c r="I2382" s="24"/>
      <c r="L2382"/>
    </row>
    <row r="2383" spans="1:12" x14ac:dyDescent="0.25">
      <c r="A2383" s="16"/>
      <c r="D2383" s="16"/>
      <c r="F2383" s="16"/>
      <c r="G2383" s="16"/>
      <c r="H2383" s="24"/>
      <c r="I2383" s="24"/>
      <c r="L2383"/>
    </row>
    <row r="2384" spans="1:12" x14ac:dyDescent="0.25">
      <c r="A2384" s="16"/>
      <c r="D2384" s="16"/>
      <c r="F2384" s="16"/>
      <c r="G2384" s="16"/>
      <c r="H2384" s="24"/>
      <c r="I2384" s="24"/>
      <c r="L2384"/>
    </row>
    <row r="2385" spans="1:12" x14ac:dyDescent="0.25">
      <c r="A2385" s="16"/>
      <c r="D2385" s="16"/>
      <c r="F2385" s="16"/>
      <c r="G2385" s="16"/>
      <c r="H2385" s="24"/>
      <c r="I2385" s="24"/>
      <c r="L2385"/>
    </row>
    <row r="2386" spans="1:12" x14ac:dyDescent="0.25">
      <c r="A2386" s="16"/>
      <c r="D2386" s="16"/>
      <c r="F2386" s="16"/>
      <c r="G2386" s="16"/>
      <c r="H2386" s="24"/>
      <c r="I2386" s="24"/>
      <c r="L2386"/>
    </row>
    <row r="2387" spans="1:12" x14ac:dyDescent="0.25">
      <c r="A2387" s="16"/>
      <c r="D2387" s="16"/>
      <c r="F2387" s="16"/>
      <c r="G2387" s="16"/>
      <c r="H2387" s="24"/>
      <c r="I2387" s="24"/>
      <c r="L2387"/>
    </row>
    <row r="2388" spans="1:12" x14ac:dyDescent="0.25">
      <c r="A2388" s="16"/>
      <c r="D2388" s="16"/>
      <c r="F2388" s="16"/>
      <c r="G2388" s="16"/>
      <c r="H2388" s="24"/>
      <c r="I2388" s="24"/>
      <c r="L2388"/>
    </row>
    <row r="2389" spans="1:12" x14ac:dyDescent="0.25">
      <c r="A2389" s="16"/>
      <c r="D2389" s="16"/>
      <c r="F2389" s="16"/>
      <c r="G2389" s="16"/>
      <c r="H2389" s="24"/>
      <c r="I2389" s="24"/>
      <c r="L2389"/>
    </row>
    <row r="2390" spans="1:12" x14ac:dyDescent="0.25">
      <c r="A2390" s="16"/>
      <c r="D2390" s="16"/>
      <c r="F2390" s="16"/>
      <c r="G2390" s="16"/>
      <c r="H2390" s="24"/>
      <c r="I2390" s="24"/>
      <c r="L2390"/>
    </row>
    <row r="2391" spans="1:12" x14ac:dyDescent="0.25">
      <c r="A2391" s="16"/>
      <c r="D2391" s="16"/>
      <c r="F2391" s="16"/>
      <c r="G2391" s="16"/>
      <c r="H2391" s="24"/>
      <c r="I2391" s="24"/>
      <c r="L2391"/>
    </row>
    <row r="2392" spans="1:12" x14ac:dyDescent="0.25">
      <c r="A2392" s="16"/>
      <c r="D2392" s="16"/>
      <c r="F2392" s="16"/>
      <c r="G2392" s="16"/>
      <c r="H2392" s="24"/>
      <c r="I2392" s="24"/>
      <c r="L2392"/>
    </row>
    <row r="2393" spans="1:12" x14ac:dyDescent="0.25">
      <c r="A2393" s="16"/>
      <c r="D2393" s="16"/>
      <c r="F2393" s="16"/>
      <c r="G2393" s="16"/>
      <c r="H2393" s="24"/>
      <c r="I2393" s="24"/>
      <c r="L2393"/>
    </row>
    <row r="2394" spans="1:12" x14ac:dyDescent="0.25">
      <c r="A2394" s="16"/>
      <c r="D2394" s="16"/>
      <c r="F2394" s="16"/>
      <c r="G2394" s="16"/>
      <c r="H2394" s="24"/>
      <c r="I2394" s="24"/>
      <c r="L2394"/>
    </row>
    <row r="2395" spans="1:12" x14ac:dyDescent="0.25">
      <c r="A2395" s="16"/>
      <c r="D2395" s="16"/>
      <c r="F2395" s="16"/>
      <c r="G2395" s="16"/>
      <c r="H2395" s="24"/>
      <c r="I2395" s="24"/>
      <c r="L2395"/>
    </row>
    <row r="2396" spans="1:12" x14ac:dyDescent="0.25">
      <c r="A2396" s="16"/>
      <c r="D2396" s="16"/>
      <c r="F2396" s="16"/>
      <c r="G2396" s="16"/>
      <c r="H2396" s="24"/>
      <c r="I2396" s="24"/>
      <c r="L2396"/>
    </row>
    <row r="2397" spans="1:12" x14ac:dyDescent="0.25">
      <c r="A2397" s="16"/>
      <c r="D2397" s="16"/>
      <c r="F2397" s="16"/>
      <c r="G2397" s="16"/>
      <c r="H2397" s="24"/>
      <c r="I2397" s="24"/>
      <c r="L2397"/>
    </row>
    <row r="2398" spans="1:12" x14ac:dyDescent="0.25">
      <c r="A2398" s="16"/>
      <c r="D2398" s="16"/>
      <c r="F2398" s="16"/>
      <c r="G2398" s="16"/>
      <c r="H2398" s="24"/>
      <c r="I2398" s="24"/>
      <c r="L2398"/>
    </row>
    <row r="2399" spans="1:12" x14ac:dyDescent="0.25">
      <c r="A2399" s="16"/>
      <c r="D2399" s="16"/>
      <c r="F2399" s="16"/>
      <c r="G2399" s="16"/>
      <c r="H2399" s="24"/>
      <c r="I2399" s="24"/>
      <c r="L2399"/>
    </row>
    <row r="2400" spans="1:12" x14ac:dyDescent="0.25">
      <c r="A2400" s="16"/>
      <c r="D2400" s="16"/>
      <c r="F2400" s="16"/>
      <c r="G2400" s="16"/>
      <c r="H2400" s="24"/>
      <c r="I2400" s="24"/>
      <c r="L2400"/>
    </row>
    <row r="2401" spans="1:12" x14ac:dyDescent="0.25">
      <c r="A2401" s="16"/>
      <c r="D2401" s="16"/>
      <c r="F2401" s="16"/>
      <c r="G2401" s="16"/>
      <c r="H2401" s="24"/>
      <c r="I2401" s="24"/>
      <c r="L2401"/>
    </row>
    <row r="2402" spans="1:12" x14ac:dyDescent="0.25">
      <c r="A2402" s="16"/>
      <c r="D2402" s="16"/>
      <c r="F2402" s="16"/>
      <c r="G2402" s="16"/>
      <c r="H2402" s="24"/>
      <c r="I2402" s="24"/>
      <c r="L2402"/>
    </row>
    <row r="2403" spans="1:12" x14ac:dyDescent="0.25">
      <c r="A2403" s="16"/>
      <c r="D2403" s="16"/>
      <c r="F2403" s="16"/>
      <c r="G2403" s="16"/>
      <c r="H2403" s="24"/>
      <c r="I2403" s="24"/>
      <c r="L2403"/>
    </row>
    <row r="2404" spans="1:12" x14ac:dyDescent="0.25">
      <c r="A2404" s="16"/>
      <c r="D2404" s="16"/>
      <c r="F2404" s="16"/>
      <c r="G2404" s="16"/>
      <c r="H2404" s="24"/>
      <c r="I2404" s="24"/>
      <c r="L2404"/>
    </row>
    <row r="2405" spans="1:12" x14ac:dyDescent="0.25">
      <c r="A2405" s="16"/>
      <c r="D2405" s="16"/>
      <c r="F2405" s="16"/>
      <c r="G2405" s="16"/>
      <c r="H2405" s="24"/>
      <c r="I2405" s="24"/>
      <c r="L2405"/>
    </row>
    <row r="2406" spans="1:12" x14ac:dyDescent="0.25">
      <c r="A2406" s="16"/>
      <c r="D2406" s="16"/>
      <c r="F2406" s="16"/>
      <c r="G2406" s="16"/>
      <c r="H2406" s="24"/>
      <c r="I2406" s="24"/>
      <c r="L2406"/>
    </row>
    <row r="2407" spans="1:12" x14ac:dyDescent="0.25">
      <c r="A2407" s="16"/>
      <c r="D2407" s="16"/>
      <c r="F2407" s="16"/>
      <c r="G2407" s="16"/>
      <c r="H2407" s="24"/>
      <c r="I2407" s="24"/>
      <c r="L2407"/>
    </row>
    <row r="2408" spans="1:12" x14ac:dyDescent="0.25">
      <c r="A2408" s="16"/>
      <c r="D2408" s="16"/>
      <c r="F2408" s="16"/>
      <c r="G2408" s="16"/>
      <c r="H2408" s="24"/>
      <c r="I2408" s="24"/>
      <c r="L2408"/>
    </row>
    <row r="2409" spans="1:12" x14ac:dyDescent="0.25">
      <c r="A2409" s="16"/>
      <c r="D2409" s="16"/>
      <c r="F2409" s="16"/>
      <c r="G2409" s="16"/>
      <c r="H2409" s="24"/>
      <c r="I2409" s="24"/>
      <c r="L2409"/>
    </row>
    <row r="2410" spans="1:12" x14ac:dyDescent="0.25">
      <c r="A2410" s="16"/>
      <c r="D2410" s="16"/>
      <c r="F2410" s="16"/>
      <c r="G2410" s="16"/>
      <c r="H2410" s="24"/>
      <c r="I2410" s="24"/>
      <c r="L2410"/>
    </row>
    <row r="2411" spans="1:12" x14ac:dyDescent="0.25">
      <c r="A2411" s="16"/>
      <c r="D2411" s="16"/>
      <c r="F2411" s="16"/>
      <c r="G2411" s="16"/>
      <c r="H2411" s="24"/>
      <c r="I2411" s="24"/>
      <c r="L2411"/>
    </row>
    <row r="2412" spans="1:12" x14ac:dyDescent="0.25">
      <c r="A2412" s="16"/>
      <c r="D2412" s="16"/>
      <c r="F2412" s="16"/>
      <c r="G2412" s="16"/>
      <c r="H2412" s="24"/>
      <c r="I2412" s="24"/>
      <c r="L2412"/>
    </row>
    <row r="2413" spans="1:12" x14ac:dyDescent="0.25">
      <c r="A2413" s="16"/>
      <c r="D2413" s="16"/>
      <c r="F2413" s="16"/>
      <c r="G2413" s="16"/>
      <c r="H2413" s="24"/>
      <c r="I2413" s="24"/>
      <c r="L2413"/>
    </row>
    <row r="2414" spans="1:12" x14ac:dyDescent="0.25">
      <c r="A2414" s="16"/>
      <c r="D2414" s="16"/>
      <c r="F2414" s="16"/>
      <c r="G2414" s="16"/>
      <c r="H2414" s="24"/>
      <c r="I2414" s="24"/>
      <c r="L2414"/>
    </row>
    <row r="2415" spans="1:12" x14ac:dyDescent="0.25">
      <c r="A2415" s="16"/>
      <c r="D2415" s="16"/>
      <c r="F2415" s="16"/>
      <c r="G2415" s="16"/>
      <c r="H2415" s="24"/>
      <c r="I2415" s="24"/>
      <c r="L2415"/>
    </row>
    <row r="2416" spans="1:12" x14ac:dyDescent="0.25">
      <c r="A2416" s="16"/>
      <c r="D2416" s="16"/>
      <c r="F2416" s="16"/>
      <c r="G2416" s="16"/>
      <c r="H2416" s="24"/>
      <c r="I2416" s="24"/>
      <c r="L2416"/>
    </row>
    <row r="2417" spans="1:12" x14ac:dyDescent="0.25">
      <c r="A2417" s="16"/>
      <c r="D2417" s="16"/>
      <c r="F2417" s="16"/>
      <c r="G2417" s="16"/>
      <c r="H2417" s="24"/>
      <c r="I2417" s="24"/>
      <c r="L2417"/>
    </row>
    <row r="2418" spans="1:12" x14ac:dyDescent="0.25">
      <c r="A2418" s="16"/>
      <c r="D2418" s="16"/>
      <c r="F2418" s="16"/>
      <c r="G2418" s="16"/>
      <c r="H2418" s="24"/>
      <c r="I2418" s="24"/>
      <c r="L2418"/>
    </row>
    <row r="2419" spans="1:12" x14ac:dyDescent="0.25">
      <c r="A2419" s="16"/>
      <c r="D2419" s="16"/>
      <c r="F2419" s="16"/>
      <c r="G2419" s="16"/>
      <c r="H2419" s="24"/>
      <c r="I2419" s="24"/>
      <c r="L2419"/>
    </row>
    <row r="2420" spans="1:12" x14ac:dyDescent="0.25">
      <c r="A2420" s="16"/>
      <c r="D2420" s="16"/>
      <c r="F2420" s="16"/>
      <c r="G2420" s="16"/>
      <c r="H2420" s="24"/>
      <c r="I2420" s="24"/>
      <c r="L2420"/>
    </row>
    <row r="2421" spans="1:12" x14ac:dyDescent="0.25">
      <c r="A2421" s="16"/>
      <c r="D2421" s="16"/>
      <c r="F2421" s="16"/>
      <c r="G2421" s="16"/>
      <c r="H2421" s="24"/>
      <c r="I2421" s="24"/>
      <c r="L2421"/>
    </row>
    <row r="2422" spans="1:12" x14ac:dyDescent="0.25">
      <c r="A2422" s="16"/>
      <c r="D2422" s="16"/>
      <c r="F2422" s="16"/>
      <c r="G2422" s="16"/>
      <c r="H2422" s="24"/>
      <c r="I2422" s="24"/>
      <c r="L2422"/>
    </row>
    <row r="2423" spans="1:12" x14ac:dyDescent="0.25">
      <c r="A2423" s="16"/>
      <c r="D2423" s="16"/>
      <c r="F2423" s="16"/>
      <c r="G2423" s="16"/>
      <c r="H2423" s="24"/>
      <c r="I2423" s="24"/>
      <c r="L2423"/>
    </row>
    <row r="2424" spans="1:12" x14ac:dyDescent="0.25">
      <c r="A2424" s="16"/>
      <c r="D2424" s="16"/>
      <c r="F2424" s="16"/>
      <c r="G2424" s="16"/>
      <c r="H2424" s="24"/>
      <c r="I2424" s="24"/>
      <c r="L2424"/>
    </row>
    <row r="2425" spans="1:12" x14ac:dyDescent="0.25">
      <c r="A2425" s="16"/>
      <c r="D2425" s="16"/>
      <c r="F2425" s="16"/>
      <c r="G2425" s="16"/>
      <c r="H2425" s="24"/>
      <c r="I2425" s="24"/>
      <c r="L2425"/>
    </row>
    <row r="2426" spans="1:12" x14ac:dyDescent="0.25">
      <c r="A2426" s="16"/>
      <c r="D2426" s="16"/>
      <c r="F2426" s="16"/>
      <c r="G2426" s="16"/>
      <c r="H2426" s="24"/>
      <c r="I2426" s="24"/>
      <c r="L2426"/>
    </row>
    <row r="2427" spans="1:12" x14ac:dyDescent="0.25">
      <c r="A2427" s="16"/>
      <c r="D2427" s="16"/>
      <c r="F2427" s="16"/>
      <c r="G2427" s="16"/>
      <c r="H2427" s="24"/>
      <c r="I2427" s="24"/>
      <c r="L2427"/>
    </row>
    <row r="2428" spans="1:12" x14ac:dyDescent="0.25">
      <c r="A2428" s="16"/>
      <c r="D2428" s="16"/>
      <c r="F2428" s="16"/>
      <c r="G2428" s="16"/>
      <c r="H2428" s="24"/>
      <c r="I2428" s="24"/>
      <c r="L2428"/>
    </row>
    <row r="2429" spans="1:12" x14ac:dyDescent="0.25">
      <c r="A2429" s="16"/>
      <c r="D2429" s="16"/>
      <c r="F2429" s="16"/>
      <c r="G2429" s="16"/>
      <c r="H2429" s="24"/>
      <c r="I2429" s="24"/>
      <c r="L2429"/>
    </row>
    <row r="2430" spans="1:12" x14ac:dyDescent="0.25">
      <c r="A2430" s="16"/>
      <c r="D2430" s="16"/>
      <c r="F2430" s="16"/>
      <c r="G2430" s="16"/>
      <c r="H2430" s="24"/>
      <c r="I2430" s="24"/>
      <c r="L2430"/>
    </row>
    <row r="2431" spans="1:12" x14ac:dyDescent="0.25">
      <c r="A2431" s="16"/>
      <c r="D2431" s="16"/>
      <c r="F2431" s="16"/>
      <c r="G2431" s="16"/>
      <c r="H2431" s="24"/>
      <c r="I2431" s="24"/>
      <c r="L2431"/>
    </row>
    <row r="2432" spans="1:12" x14ac:dyDescent="0.25">
      <c r="A2432" s="16"/>
      <c r="D2432" s="16"/>
      <c r="F2432" s="16"/>
      <c r="G2432" s="16"/>
      <c r="H2432" s="24"/>
      <c r="I2432" s="24"/>
      <c r="L2432"/>
    </row>
    <row r="2433" spans="1:12" x14ac:dyDescent="0.25">
      <c r="A2433" s="16"/>
      <c r="D2433" s="16"/>
      <c r="F2433" s="16"/>
      <c r="G2433" s="16"/>
      <c r="H2433" s="24"/>
      <c r="I2433" s="24"/>
      <c r="L2433"/>
    </row>
    <row r="2434" spans="1:12" x14ac:dyDescent="0.25">
      <c r="A2434" s="16"/>
      <c r="D2434" s="16"/>
      <c r="F2434" s="16"/>
      <c r="G2434" s="16"/>
      <c r="H2434" s="24"/>
      <c r="I2434" s="24"/>
      <c r="L2434"/>
    </row>
    <row r="2435" spans="1:12" x14ac:dyDescent="0.25">
      <c r="A2435" s="16"/>
      <c r="D2435" s="16"/>
      <c r="F2435" s="16"/>
      <c r="G2435" s="16"/>
      <c r="H2435" s="24"/>
      <c r="I2435" s="24"/>
      <c r="L2435"/>
    </row>
    <row r="2436" spans="1:12" x14ac:dyDescent="0.25">
      <c r="A2436" s="16"/>
      <c r="D2436" s="16"/>
      <c r="F2436" s="16"/>
      <c r="G2436" s="16"/>
      <c r="H2436" s="24"/>
      <c r="I2436" s="24"/>
      <c r="L2436"/>
    </row>
    <row r="2437" spans="1:12" x14ac:dyDescent="0.25">
      <c r="A2437" s="16"/>
      <c r="D2437" s="16"/>
      <c r="F2437" s="16"/>
      <c r="G2437" s="16"/>
      <c r="H2437" s="24"/>
      <c r="I2437" s="24"/>
      <c r="L2437"/>
    </row>
    <row r="2438" spans="1:12" x14ac:dyDescent="0.25">
      <c r="A2438" s="16"/>
      <c r="D2438" s="16"/>
      <c r="F2438" s="16"/>
      <c r="G2438" s="16"/>
      <c r="H2438" s="24"/>
      <c r="I2438" s="24"/>
      <c r="L2438"/>
    </row>
    <row r="2439" spans="1:12" x14ac:dyDescent="0.25">
      <c r="A2439" s="16"/>
      <c r="D2439" s="16"/>
      <c r="F2439" s="16"/>
      <c r="G2439" s="16"/>
      <c r="H2439" s="24"/>
      <c r="I2439" s="24"/>
      <c r="L2439"/>
    </row>
    <row r="2440" spans="1:12" x14ac:dyDescent="0.25">
      <c r="A2440" s="16"/>
      <c r="D2440" s="16"/>
      <c r="F2440" s="16"/>
      <c r="G2440" s="16"/>
      <c r="H2440" s="24"/>
      <c r="I2440" s="24"/>
      <c r="L2440"/>
    </row>
    <row r="2441" spans="1:12" x14ac:dyDescent="0.25">
      <c r="A2441" s="16"/>
      <c r="D2441" s="16"/>
      <c r="F2441" s="16"/>
      <c r="G2441" s="16"/>
      <c r="H2441" s="24"/>
      <c r="I2441" s="24"/>
      <c r="L2441"/>
    </row>
    <row r="2442" spans="1:12" x14ac:dyDescent="0.25">
      <c r="A2442" s="16"/>
      <c r="D2442" s="16"/>
      <c r="F2442" s="16"/>
      <c r="G2442" s="16"/>
      <c r="H2442" s="24"/>
      <c r="I2442" s="24"/>
      <c r="L2442"/>
    </row>
    <row r="2443" spans="1:12" x14ac:dyDescent="0.25">
      <c r="A2443" s="16"/>
      <c r="D2443" s="16"/>
      <c r="F2443" s="16"/>
      <c r="G2443" s="16"/>
      <c r="H2443" s="24"/>
      <c r="I2443" s="24"/>
      <c r="L2443"/>
    </row>
    <row r="2444" spans="1:12" x14ac:dyDescent="0.25">
      <c r="A2444" s="16"/>
      <c r="D2444" s="16"/>
      <c r="F2444" s="16"/>
      <c r="G2444" s="16"/>
      <c r="H2444" s="24"/>
      <c r="I2444" s="24"/>
      <c r="L2444"/>
    </row>
    <row r="2445" spans="1:12" x14ac:dyDescent="0.25">
      <c r="A2445" s="16"/>
      <c r="D2445" s="16"/>
      <c r="F2445" s="16"/>
      <c r="G2445" s="16"/>
      <c r="H2445" s="24"/>
      <c r="I2445" s="24"/>
      <c r="L2445"/>
    </row>
    <row r="2446" spans="1:12" x14ac:dyDescent="0.25">
      <c r="A2446" s="16"/>
      <c r="D2446" s="16"/>
      <c r="F2446" s="16"/>
      <c r="G2446" s="16"/>
      <c r="H2446" s="24"/>
      <c r="I2446" s="24"/>
      <c r="L2446"/>
    </row>
    <row r="2447" spans="1:12" x14ac:dyDescent="0.25">
      <c r="A2447" s="16"/>
      <c r="D2447" s="16"/>
      <c r="F2447" s="16"/>
      <c r="G2447" s="16"/>
      <c r="H2447" s="24"/>
      <c r="I2447" s="24"/>
      <c r="L2447"/>
    </row>
    <row r="2448" spans="1:12" x14ac:dyDescent="0.25">
      <c r="A2448" s="16"/>
      <c r="D2448" s="16"/>
      <c r="F2448" s="16"/>
      <c r="G2448" s="16"/>
      <c r="H2448" s="24"/>
      <c r="I2448" s="24"/>
      <c r="L2448"/>
    </row>
    <row r="2449" spans="1:12" x14ac:dyDescent="0.25">
      <c r="A2449" s="16"/>
      <c r="D2449" s="16"/>
      <c r="F2449" s="16"/>
      <c r="G2449" s="16"/>
      <c r="H2449" s="24"/>
      <c r="I2449" s="24"/>
      <c r="L2449"/>
    </row>
    <row r="2450" spans="1:12" x14ac:dyDescent="0.25">
      <c r="A2450" s="16"/>
      <c r="D2450" s="16"/>
      <c r="F2450" s="16"/>
      <c r="G2450" s="16"/>
      <c r="H2450" s="24"/>
      <c r="I2450" s="24"/>
      <c r="L2450"/>
    </row>
    <row r="2451" spans="1:12" x14ac:dyDescent="0.25">
      <c r="A2451" s="16"/>
      <c r="D2451" s="16"/>
      <c r="F2451" s="16"/>
      <c r="G2451" s="16"/>
      <c r="H2451" s="24"/>
      <c r="I2451" s="24"/>
      <c r="L2451"/>
    </row>
    <row r="2452" spans="1:12" x14ac:dyDescent="0.25">
      <c r="A2452" s="16"/>
      <c r="D2452" s="16"/>
      <c r="F2452" s="16"/>
      <c r="G2452" s="16"/>
      <c r="H2452" s="24"/>
      <c r="I2452" s="24"/>
      <c r="L2452"/>
    </row>
    <row r="2453" spans="1:12" x14ac:dyDescent="0.25">
      <c r="A2453" s="16"/>
      <c r="D2453" s="16"/>
      <c r="F2453" s="16"/>
      <c r="G2453" s="16"/>
      <c r="H2453" s="24"/>
      <c r="I2453" s="24"/>
      <c r="L2453"/>
    </row>
    <row r="2454" spans="1:12" x14ac:dyDescent="0.25">
      <c r="A2454" s="16"/>
      <c r="D2454" s="16"/>
      <c r="F2454" s="16"/>
      <c r="G2454" s="16"/>
      <c r="H2454" s="24"/>
      <c r="I2454" s="24"/>
      <c r="L2454"/>
    </row>
    <row r="2455" spans="1:12" x14ac:dyDescent="0.25">
      <c r="A2455" s="16"/>
      <c r="D2455" s="16"/>
      <c r="F2455" s="16"/>
      <c r="G2455" s="16"/>
      <c r="H2455" s="24"/>
      <c r="I2455" s="24"/>
      <c r="L2455"/>
    </row>
    <row r="2456" spans="1:12" x14ac:dyDescent="0.25">
      <c r="A2456" s="16"/>
      <c r="D2456" s="16"/>
      <c r="F2456" s="16"/>
      <c r="G2456" s="16"/>
      <c r="H2456" s="24"/>
      <c r="I2456" s="24"/>
      <c r="L2456"/>
    </row>
    <row r="2457" spans="1:12" x14ac:dyDescent="0.25">
      <c r="A2457" s="16"/>
      <c r="D2457" s="16"/>
      <c r="F2457" s="16"/>
      <c r="G2457" s="16"/>
      <c r="H2457" s="24"/>
      <c r="I2457" s="24"/>
      <c r="L2457"/>
    </row>
    <row r="2458" spans="1:12" x14ac:dyDescent="0.25">
      <c r="A2458" s="16"/>
      <c r="D2458" s="16"/>
      <c r="F2458" s="16"/>
      <c r="G2458" s="16"/>
      <c r="H2458" s="24"/>
      <c r="I2458" s="24"/>
      <c r="L2458"/>
    </row>
    <row r="2459" spans="1:12" x14ac:dyDescent="0.25">
      <c r="A2459" s="16"/>
      <c r="D2459" s="16"/>
      <c r="F2459" s="16"/>
      <c r="G2459" s="16"/>
      <c r="H2459" s="24"/>
      <c r="I2459" s="24"/>
      <c r="L2459"/>
    </row>
    <row r="2460" spans="1:12" x14ac:dyDescent="0.25">
      <c r="A2460" s="16"/>
      <c r="D2460" s="16"/>
      <c r="F2460" s="16"/>
      <c r="G2460" s="16"/>
      <c r="H2460" s="24"/>
      <c r="I2460" s="24"/>
      <c r="L2460"/>
    </row>
    <row r="2461" spans="1:12" x14ac:dyDescent="0.25">
      <c r="A2461" s="16"/>
      <c r="D2461" s="16"/>
      <c r="F2461" s="16"/>
      <c r="G2461" s="16"/>
      <c r="H2461" s="24"/>
      <c r="I2461" s="24"/>
      <c r="L2461"/>
    </row>
    <row r="2462" spans="1:12" x14ac:dyDescent="0.25">
      <c r="A2462" s="16"/>
      <c r="D2462" s="16"/>
      <c r="F2462" s="16"/>
      <c r="G2462" s="16"/>
      <c r="H2462" s="24"/>
      <c r="I2462" s="24"/>
      <c r="L2462"/>
    </row>
    <row r="2463" spans="1:12" x14ac:dyDescent="0.25">
      <c r="A2463" s="16"/>
      <c r="D2463" s="16"/>
      <c r="F2463" s="16"/>
      <c r="G2463" s="16"/>
      <c r="H2463" s="24"/>
      <c r="I2463" s="24"/>
      <c r="L2463"/>
    </row>
    <row r="2464" spans="1:12" x14ac:dyDescent="0.25">
      <c r="A2464" s="16"/>
      <c r="D2464" s="16"/>
      <c r="F2464" s="16"/>
      <c r="G2464" s="16"/>
      <c r="H2464" s="24"/>
      <c r="I2464" s="24"/>
      <c r="L2464"/>
    </row>
    <row r="2465" spans="1:12" x14ac:dyDescent="0.25">
      <c r="A2465" s="16"/>
      <c r="D2465" s="16"/>
      <c r="F2465" s="16"/>
      <c r="G2465" s="16"/>
      <c r="H2465" s="24"/>
      <c r="I2465" s="24"/>
      <c r="L2465"/>
    </row>
    <row r="2466" spans="1:12" x14ac:dyDescent="0.25">
      <c r="A2466" s="16"/>
      <c r="D2466" s="16"/>
      <c r="F2466" s="16"/>
      <c r="G2466" s="16"/>
      <c r="H2466" s="24"/>
      <c r="I2466" s="24"/>
      <c r="L2466"/>
    </row>
    <row r="2467" spans="1:12" x14ac:dyDescent="0.25">
      <c r="A2467" s="16"/>
      <c r="D2467" s="16"/>
      <c r="F2467" s="16"/>
      <c r="G2467" s="16"/>
      <c r="H2467" s="24"/>
      <c r="I2467" s="24"/>
      <c r="L2467"/>
    </row>
    <row r="2468" spans="1:12" x14ac:dyDescent="0.25">
      <c r="A2468" s="16"/>
      <c r="D2468" s="16"/>
      <c r="F2468" s="16"/>
      <c r="G2468" s="16"/>
      <c r="H2468" s="24"/>
      <c r="I2468" s="24"/>
      <c r="L2468"/>
    </row>
    <row r="2469" spans="1:12" x14ac:dyDescent="0.25">
      <c r="A2469" s="16"/>
      <c r="D2469" s="16"/>
      <c r="F2469" s="16"/>
      <c r="G2469" s="16"/>
      <c r="H2469" s="24"/>
      <c r="I2469" s="24"/>
      <c r="L2469"/>
    </row>
    <row r="2470" spans="1:12" x14ac:dyDescent="0.25">
      <c r="A2470" s="16"/>
      <c r="D2470" s="16"/>
      <c r="F2470" s="16"/>
      <c r="G2470" s="16"/>
      <c r="H2470" s="24"/>
      <c r="I2470" s="24"/>
      <c r="L2470"/>
    </row>
    <row r="2471" spans="1:12" x14ac:dyDescent="0.25">
      <c r="A2471" s="16"/>
      <c r="D2471" s="16"/>
      <c r="F2471" s="16"/>
      <c r="G2471" s="16"/>
      <c r="H2471" s="24"/>
      <c r="I2471" s="24"/>
      <c r="L2471"/>
    </row>
    <row r="2472" spans="1:12" x14ac:dyDescent="0.25">
      <c r="A2472" s="16"/>
      <c r="D2472" s="16"/>
      <c r="F2472" s="16"/>
      <c r="G2472" s="16"/>
      <c r="H2472" s="24"/>
      <c r="I2472" s="24"/>
      <c r="L2472"/>
    </row>
    <row r="2473" spans="1:12" x14ac:dyDescent="0.25">
      <c r="A2473" s="16"/>
      <c r="D2473" s="16"/>
      <c r="F2473" s="16"/>
      <c r="G2473" s="16"/>
      <c r="H2473" s="24"/>
      <c r="I2473" s="24"/>
      <c r="L2473"/>
    </row>
    <row r="2474" spans="1:12" x14ac:dyDescent="0.25">
      <c r="A2474" s="16"/>
      <c r="D2474" s="16"/>
      <c r="F2474" s="16"/>
      <c r="G2474" s="16"/>
      <c r="H2474" s="24"/>
      <c r="I2474" s="24"/>
      <c r="L2474"/>
    </row>
    <row r="2475" spans="1:12" x14ac:dyDescent="0.25">
      <c r="A2475" s="16"/>
      <c r="D2475" s="16"/>
      <c r="F2475" s="16"/>
      <c r="G2475" s="16"/>
      <c r="H2475" s="24"/>
      <c r="I2475" s="24"/>
      <c r="L2475"/>
    </row>
    <row r="2476" spans="1:12" x14ac:dyDescent="0.25">
      <c r="A2476" s="16"/>
      <c r="D2476" s="16"/>
      <c r="F2476" s="16"/>
      <c r="G2476" s="16"/>
      <c r="H2476" s="24"/>
      <c r="I2476" s="24"/>
      <c r="L2476"/>
    </row>
    <row r="2477" spans="1:12" x14ac:dyDescent="0.25">
      <c r="A2477" s="16"/>
      <c r="D2477" s="16"/>
      <c r="F2477" s="16"/>
      <c r="G2477" s="16"/>
      <c r="H2477" s="24"/>
      <c r="I2477" s="24"/>
      <c r="L2477"/>
    </row>
    <row r="2478" spans="1:12" x14ac:dyDescent="0.25">
      <c r="A2478" s="16"/>
      <c r="D2478" s="16"/>
      <c r="F2478" s="16"/>
      <c r="G2478" s="16"/>
      <c r="H2478" s="24"/>
      <c r="I2478" s="24"/>
      <c r="L2478"/>
    </row>
    <row r="2479" spans="1:12" x14ac:dyDescent="0.25">
      <c r="A2479" s="16"/>
      <c r="D2479" s="16"/>
      <c r="F2479" s="16"/>
      <c r="G2479" s="16"/>
      <c r="H2479" s="24"/>
      <c r="I2479" s="24"/>
      <c r="L2479"/>
    </row>
    <row r="2480" spans="1:12" x14ac:dyDescent="0.25">
      <c r="A2480" s="16"/>
      <c r="D2480" s="16"/>
      <c r="F2480" s="16"/>
      <c r="G2480" s="16"/>
      <c r="H2480" s="24"/>
      <c r="I2480" s="24"/>
      <c r="L2480"/>
    </row>
    <row r="2481" spans="1:12" x14ac:dyDescent="0.25">
      <c r="A2481" s="16"/>
      <c r="D2481" s="16"/>
      <c r="F2481" s="16"/>
      <c r="G2481" s="16"/>
      <c r="H2481" s="24"/>
      <c r="I2481" s="24"/>
      <c r="L2481"/>
    </row>
    <row r="2482" spans="1:12" x14ac:dyDescent="0.25">
      <c r="A2482" s="16"/>
      <c r="D2482" s="16"/>
      <c r="F2482" s="16"/>
      <c r="G2482" s="16"/>
      <c r="H2482" s="24"/>
      <c r="I2482" s="24"/>
      <c r="L2482"/>
    </row>
    <row r="2483" spans="1:12" x14ac:dyDescent="0.25">
      <c r="A2483" s="16"/>
      <c r="D2483" s="16"/>
      <c r="F2483" s="16"/>
      <c r="G2483" s="16"/>
      <c r="H2483" s="24"/>
      <c r="I2483" s="24"/>
      <c r="L2483"/>
    </row>
    <row r="2484" spans="1:12" x14ac:dyDescent="0.25">
      <c r="A2484" s="16"/>
      <c r="D2484" s="16"/>
      <c r="F2484" s="16"/>
      <c r="G2484" s="16"/>
      <c r="H2484" s="24"/>
      <c r="I2484" s="24"/>
      <c r="L2484"/>
    </row>
    <row r="2485" spans="1:12" x14ac:dyDescent="0.25">
      <c r="A2485" s="16"/>
      <c r="D2485" s="16"/>
      <c r="F2485" s="16"/>
      <c r="G2485" s="16"/>
      <c r="H2485" s="24"/>
      <c r="I2485" s="24"/>
      <c r="L2485"/>
    </row>
    <row r="2486" spans="1:12" x14ac:dyDescent="0.25">
      <c r="A2486" s="16"/>
      <c r="D2486" s="16"/>
      <c r="F2486" s="16"/>
      <c r="G2486" s="16"/>
      <c r="H2486" s="24"/>
      <c r="I2486" s="24"/>
      <c r="L2486"/>
    </row>
    <row r="2487" spans="1:12" x14ac:dyDescent="0.25">
      <c r="A2487" s="16"/>
      <c r="D2487" s="16"/>
      <c r="F2487" s="16"/>
      <c r="G2487" s="16"/>
      <c r="H2487" s="24"/>
      <c r="I2487" s="24"/>
      <c r="L2487"/>
    </row>
    <row r="2488" spans="1:12" x14ac:dyDescent="0.25">
      <c r="A2488" s="16"/>
      <c r="D2488" s="16"/>
      <c r="F2488" s="16"/>
      <c r="G2488" s="16"/>
      <c r="H2488" s="24"/>
      <c r="I2488" s="24"/>
      <c r="L2488"/>
    </row>
    <row r="2489" spans="1:12" x14ac:dyDescent="0.25">
      <c r="A2489" s="16"/>
      <c r="D2489" s="16"/>
      <c r="F2489" s="16"/>
      <c r="G2489" s="16"/>
      <c r="H2489" s="24"/>
      <c r="I2489" s="24"/>
      <c r="L2489"/>
    </row>
    <row r="2490" spans="1:12" x14ac:dyDescent="0.25">
      <c r="A2490" s="16"/>
      <c r="D2490" s="16"/>
      <c r="F2490" s="16"/>
      <c r="G2490" s="16"/>
      <c r="H2490" s="24"/>
      <c r="I2490" s="24"/>
      <c r="L2490"/>
    </row>
    <row r="2491" spans="1:12" x14ac:dyDescent="0.25">
      <c r="A2491" s="16"/>
      <c r="D2491" s="16"/>
      <c r="F2491" s="16"/>
      <c r="G2491" s="16"/>
      <c r="H2491" s="24"/>
      <c r="I2491" s="24"/>
      <c r="L2491"/>
    </row>
    <row r="2492" spans="1:12" x14ac:dyDescent="0.25">
      <c r="A2492" s="16"/>
      <c r="D2492" s="16"/>
      <c r="F2492" s="16"/>
      <c r="G2492" s="16"/>
      <c r="H2492" s="24"/>
      <c r="I2492" s="24"/>
      <c r="L2492"/>
    </row>
    <row r="2493" spans="1:12" x14ac:dyDescent="0.25">
      <c r="A2493" s="16"/>
      <c r="D2493" s="16"/>
      <c r="F2493" s="16"/>
      <c r="G2493" s="16"/>
      <c r="H2493" s="24"/>
      <c r="I2493" s="24"/>
      <c r="L2493"/>
    </row>
    <row r="2494" spans="1:12" x14ac:dyDescent="0.25">
      <c r="A2494" s="16"/>
      <c r="D2494" s="16"/>
      <c r="F2494" s="16"/>
      <c r="G2494" s="16"/>
      <c r="H2494" s="24"/>
      <c r="I2494" s="24"/>
      <c r="L2494"/>
    </row>
    <row r="2495" spans="1:12" x14ac:dyDescent="0.25">
      <c r="A2495" s="16"/>
      <c r="D2495" s="16"/>
      <c r="F2495" s="16"/>
      <c r="G2495" s="16"/>
      <c r="H2495" s="24"/>
      <c r="I2495" s="24"/>
      <c r="L2495"/>
    </row>
    <row r="2496" spans="1:12" x14ac:dyDescent="0.25">
      <c r="A2496" s="16"/>
      <c r="D2496" s="16"/>
      <c r="F2496" s="16"/>
      <c r="G2496" s="16"/>
      <c r="H2496" s="24"/>
      <c r="I2496" s="24"/>
      <c r="L2496"/>
    </row>
    <row r="2497" spans="1:12" x14ac:dyDescent="0.25">
      <c r="A2497" s="16"/>
      <c r="D2497" s="16"/>
      <c r="F2497" s="16"/>
      <c r="G2497" s="16"/>
      <c r="H2497" s="24"/>
      <c r="I2497" s="24"/>
      <c r="L2497"/>
    </row>
    <row r="2498" spans="1:12" x14ac:dyDescent="0.25">
      <c r="A2498" s="16"/>
      <c r="D2498" s="16"/>
      <c r="F2498" s="16"/>
      <c r="G2498" s="16"/>
      <c r="H2498" s="24"/>
      <c r="I2498" s="24"/>
      <c r="L2498"/>
    </row>
    <row r="2499" spans="1:12" x14ac:dyDescent="0.25">
      <c r="A2499" s="16"/>
      <c r="D2499" s="16"/>
      <c r="F2499" s="16"/>
      <c r="G2499" s="16"/>
      <c r="H2499" s="24"/>
      <c r="I2499" s="24"/>
      <c r="L2499"/>
    </row>
    <row r="2500" spans="1:12" x14ac:dyDescent="0.25">
      <c r="A2500" s="16"/>
      <c r="D2500" s="16"/>
      <c r="F2500" s="16"/>
      <c r="G2500" s="16"/>
      <c r="H2500" s="24"/>
      <c r="I2500" s="24"/>
      <c r="L2500"/>
    </row>
    <row r="2501" spans="1:12" x14ac:dyDescent="0.25">
      <c r="A2501" s="16"/>
      <c r="D2501" s="16"/>
      <c r="F2501" s="16"/>
      <c r="G2501" s="16"/>
      <c r="H2501" s="24"/>
      <c r="I2501" s="24"/>
      <c r="L2501"/>
    </row>
    <row r="2502" spans="1:12" x14ac:dyDescent="0.25">
      <c r="A2502" s="16"/>
      <c r="D2502" s="16"/>
      <c r="F2502" s="16"/>
      <c r="G2502" s="16"/>
      <c r="H2502" s="24"/>
      <c r="I2502" s="24"/>
      <c r="L2502"/>
    </row>
    <row r="2503" spans="1:12" x14ac:dyDescent="0.25">
      <c r="A2503" s="16"/>
      <c r="D2503" s="16"/>
      <c r="F2503" s="16"/>
      <c r="G2503" s="16"/>
      <c r="H2503" s="24"/>
      <c r="I2503" s="24"/>
      <c r="L2503"/>
    </row>
    <row r="2504" spans="1:12" x14ac:dyDescent="0.25">
      <c r="A2504" s="16"/>
      <c r="D2504" s="16"/>
      <c r="F2504" s="16"/>
      <c r="G2504" s="16"/>
      <c r="H2504" s="24"/>
      <c r="I2504" s="24"/>
      <c r="L2504"/>
    </row>
    <row r="2505" spans="1:12" x14ac:dyDescent="0.25">
      <c r="A2505" s="16"/>
      <c r="D2505" s="16"/>
      <c r="F2505" s="16"/>
      <c r="G2505" s="16"/>
      <c r="H2505" s="24"/>
      <c r="I2505" s="24"/>
      <c r="L2505"/>
    </row>
    <row r="2506" spans="1:12" x14ac:dyDescent="0.25">
      <c r="A2506" s="16"/>
      <c r="D2506" s="16"/>
      <c r="F2506" s="16"/>
      <c r="G2506" s="16"/>
      <c r="H2506" s="24"/>
      <c r="I2506" s="24"/>
      <c r="L2506"/>
    </row>
    <row r="2507" spans="1:12" x14ac:dyDescent="0.25">
      <c r="A2507" s="16"/>
      <c r="D2507" s="16"/>
      <c r="F2507" s="16"/>
      <c r="G2507" s="16"/>
      <c r="H2507" s="24"/>
      <c r="I2507" s="24"/>
      <c r="L2507"/>
    </row>
    <row r="2508" spans="1:12" x14ac:dyDescent="0.25">
      <c r="A2508" s="16"/>
      <c r="D2508" s="16"/>
      <c r="F2508" s="16"/>
      <c r="G2508" s="16"/>
      <c r="H2508" s="24"/>
      <c r="I2508" s="24"/>
      <c r="L2508"/>
    </row>
    <row r="2509" spans="1:12" x14ac:dyDescent="0.25">
      <c r="A2509" s="16"/>
      <c r="D2509" s="16"/>
      <c r="F2509" s="16"/>
      <c r="G2509" s="16"/>
      <c r="H2509" s="24"/>
      <c r="I2509" s="24"/>
      <c r="L2509"/>
    </row>
    <row r="2510" spans="1:12" x14ac:dyDescent="0.25">
      <c r="A2510" s="16"/>
      <c r="D2510" s="16"/>
      <c r="F2510" s="16"/>
      <c r="G2510" s="16"/>
      <c r="H2510" s="24"/>
      <c r="I2510" s="24"/>
      <c r="L2510"/>
    </row>
    <row r="2511" spans="1:12" x14ac:dyDescent="0.25">
      <c r="A2511" s="16"/>
      <c r="D2511" s="16"/>
      <c r="F2511" s="16"/>
      <c r="G2511" s="16"/>
      <c r="H2511" s="24"/>
      <c r="I2511" s="24"/>
      <c r="L2511"/>
    </row>
    <row r="2512" spans="1:12" x14ac:dyDescent="0.25">
      <c r="A2512" s="16"/>
      <c r="D2512" s="16"/>
      <c r="F2512" s="16"/>
      <c r="G2512" s="16"/>
      <c r="H2512" s="24"/>
      <c r="I2512" s="24"/>
      <c r="L2512"/>
    </row>
    <row r="2513" spans="1:12" x14ac:dyDescent="0.25">
      <c r="A2513" s="16"/>
      <c r="D2513" s="16"/>
      <c r="F2513" s="16"/>
      <c r="G2513" s="16"/>
      <c r="H2513" s="24"/>
      <c r="I2513" s="24"/>
      <c r="L2513"/>
    </row>
    <row r="2514" spans="1:12" x14ac:dyDescent="0.25">
      <c r="A2514" s="16"/>
      <c r="D2514" s="16"/>
      <c r="F2514" s="16"/>
      <c r="G2514" s="16"/>
      <c r="H2514" s="24"/>
      <c r="I2514" s="24"/>
      <c r="L2514"/>
    </row>
    <row r="2515" spans="1:12" x14ac:dyDescent="0.25">
      <c r="A2515" s="16"/>
      <c r="D2515" s="16"/>
      <c r="F2515" s="16"/>
      <c r="G2515" s="16"/>
      <c r="H2515" s="24"/>
      <c r="I2515" s="24"/>
      <c r="L2515"/>
    </row>
    <row r="2516" spans="1:12" x14ac:dyDescent="0.25">
      <c r="A2516" s="16"/>
      <c r="D2516" s="16"/>
      <c r="F2516" s="16"/>
      <c r="G2516" s="16"/>
      <c r="H2516" s="24"/>
      <c r="I2516" s="24"/>
      <c r="L2516"/>
    </row>
    <row r="2517" spans="1:12" x14ac:dyDescent="0.25">
      <c r="A2517" s="16"/>
      <c r="D2517" s="16"/>
      <c r="F2517" s="16"/>
      <c r="G2517" s="16"/>
      <c r="H2517" s="24"/>
      <c r="I2517" s="24"/>
      <c r="L2517"/>
    </row>
    <row r="2518" spans="1:12" x14ac:dyDescent="0.25">
      <c r="A2518" s="16"/>
      <c r="D2518" s="16"/>
      <c r="F2518" s="16"/>
      <c r="G2518" s="16"/>
      <c r="H2518" s="24"/>
      <c r="I2518" s="24"/>
      <c r="L2518"/>
    </row>
    <row r="2519" spans="1:12" x14ac:dyDescent="0.25">
      <c r="A2519" s="16"/>
      <c r="D2519" s="16"/>
      <c r="F2519" s="16"/>
      <c r="G2519" s="16"/>
      <c r="H2519" s="24"/>
      <c r="I2519" s="24"/>
      <c r="L2519"/>
    </row>
    <row r="2520" spans="1:12" x14ac:dyDescent="0.25">
      <c r="A2520" s="16"/>
      <c r="D2520" s="16"/>
      <c r="F2520" s="16"/>
      <c r="G2520" s="16"/>
      <c r="H2520" s="24"/>
      <c r="I2520" s="24"/>
      <c r="L2520"/>
    </row>
    <row r="2521" spans="1:12" x14ac:dyDescent="0.25">
      <c r="A2521" s="16"/>
      <c r="D2521" s="16"/>
      <c r="F2521" s="16"/>
      <c r="G2521" s="16"/>
      <c r="H2521" s="24"/>
      <c r="I2521" s="24"/>
      <c r="L2521"/>
    </row>
    <row r="2522" spans="1:12" x14ac:dyDescent="0.25">
      <c r="A2522" s="16"/>
      <c r="D2522" s="16"/>
      <c r="F2522" s="16"/>
      <c r="G2522" s="16"/>
      <c r="H2522" s="24"/>
      <c r="I2522" s="24"/>
      <c r="L2522"/>
    </row>
    <row r="2523" spans="1:12" x14ac:dyDescent="0.25">
      <c r="A2523" s="16"/>
      <c r="D2523" s="16"/>
      <c r="F2523" s="16"/>
      <c r="G2523" s="16"/>
      <c r="H2523" s="24"/>
      <c r="I2523" s="24"/>
      <c r="L2523"/>
    </row>
    <row r="2524" spans="1:12" x14ac:dyDescent="0.25">
      <c r="A2524" s="16"/>
      <c r="D2524" s="16"/>
      <c r="F2524" s="16"/>
      <c r="G2524" s="16"/>
      <c r="H2524" s="24"/>
      <c r="I2524" s="24"/>
      <c r="L2524"/>
    </row>
    <row r="2525" spans="1:12" x14ac:dyDescent="0.25">
      <c r="A2525" s="16"/>
      <c r="D2525" s="16"/>
      <c r="F2525" s="16"/>
      <c r="G2525" s="16"/>
      <c r="H2525" s="24"/>
      <c r="I2525" s="24"/>
      <c r="L2525"/>
    </row>
    <row r="2526" spans="1:12" x14ac:dyDescent="0.25">
      <c r="A2526" s="16"/>
      <c r="D2526" s="16"/>
      <c r="F2526" s="16"/>
      <c r="G2526" s="16"/>
      <c r="H2526" s="24"/>
      <c r="I2526" s="24"/>
      <c r="L2526"/>
    </row>
    <row r="2527" spans="1:12" x14ac:dyDescent="0.25">
      <c r="A2527" s="16"/>
      <c r="D2527" s="16"/>
      <c r="F2527" s="16"/>
      <c r="G2527" s="16"/>
      <c r="H2527" s="24"/>
      <c r="I2527" s="24"/>
      <c r="L2527"/>
    </row>
    <row r="2528" spans="1:12" x14ac:dyDescent="0.25">
      <c r="A2528" s="16"/>
      <c r="D2528" s="16"/>
      <c r="F2528" s="16"/>
      <c r="G2528" s="16"/>
      <c r="H2528" s="24"/>
      <c r="I2528" s="24"/>
      <c r="L2528"/>
    </row>
    <row r="2529" spans="1:12" x14ac:dyDescent="0.25">
      <c r="A2529" s="16"/>
      <c r="D2529" s="16"/>
      <c r="F2529" s="16"/>
      <c r="G2529" s="16"/>
      <c r="H2529" s="24"/>
      <c r="I2529" s="24"/>
      <c r="L2529"/>
    </row>
    <row r="2530" spans="1:12" x14ac:dyDescent="0.25">
      <c r="A2530" s="16"/>
      <c r="D2530" s="16"/>
      <c r="F2530" s="16"/>
      <c r="G2530" s="16"/>
      <c r="H2530" s="24"/>
      <c r="I2530" s="24"/>
      <c r="L2530"/>
    </row>
    <row r="2531" spans="1:12" x14ac:dyDescent="0.25">
      <c r="A2531" s="16"/>
      <c r="D2531" s="16"/>
      <c r="F2531" s="16"/>
      <c r="G2531" s="16"/>
      <c r="H2531" s="24"/>
      <c r="I2531" s="24"/>
      <c r="L2531"/>
    </row>
    <row r="2532" spans="1:12" x14ac:dyDescent="0.25">
      <c r="A2532" s="16"/>
      <c r="D2532" s="16"/>
      <c r="F2532" s="16"/>
      <c r="G2532" s="16"/>
      <c r="H2532" s="24"/>
      <c r="I2532" s="24"/>
      <c r="L2532"/>
    </row>
    <row r="2533" spans="1:12" x14ac:dyDescent="0.25">
      <c r="A2533" s="16"/>
      <c r="D2533" s="16"/>
      <c r="F2533" s="16"/>
      <c r="G2533" s="16"/>
      <c r="H2533" s="24"/>
      <c r="I2533" s="24"/>
      <c r="L2533"/>
    </row>
    <row r="2534" spans="1:12" x14ac:dyDescent="0.25">
      <c r="A2534" s="16"/>
      <c r="D2534" s="16"/>
      <c r="F2534" s="16"/>
      <c r="G2534" s="16"/>
      <c r="H2534" s="24"/>
      <c r="I2534" s="24"/>
      <c r="L2534"/>
    </row>
    <row r="2535" spans="1:12" x14ac:dyDescent="0.25">
      <c r="A2535" s="16"/>
      <c r="D2535" s="16"/>
      <c r="F2535" s="16"/>
      <c r="G2535" s="16"/>
      <c r="H2535" s="24"/>
      <c r="I2535" s="24"/>
      <c r="L2535"/>
    </row>
    <row r="2536" spans="1:12" x14ac:dyDescent="0.25">
      <c r="A2536" s="16"/>
      <c r="D2536" s="16"/>
      <c r="F2536" s="16"/>
      <c r="G2536" s="16"/>
      <c r="H2536" s="24"/>
      <c r="I2536" s="24"/>
      <c r="L2536"/>
    </row>
    <row r="2537" spans="1:12" x14ac:dyDescent="0.25">
      <c r="A2537" s="16"/>
      <c r="D2537" s="16"/>
      <c r="F2537" s="16"/>
      <c r="G2537" s="16"/>
      <c r="H2537" s="24"/>
      <c r="I2537" s="24"/>
      <c r="L2537"/>
    </row>
    <row r="2538" spans="1:12" x14ac:dyDescent="0.25">
      <c r="A2538" s="16"/>
      <c r="D2538" s="16"/>
      <c r="F2538" s="16"/>
      <c r="G2538" s="16"/>
      <c r="H2538" s="24"/>
      <c r="I2538" s="24"/>
      <c r="L2538"/>
    </row>
    <row r="2539" spans="1:12" x14ac:dyDescent="0.25">
      <c r="A2539" s="16"/>
      <c r="D2539" s="16"/>
      <c r="F2539" s="16"/>
      <c r="G2539" s="16"/>
      <c r="H2539" s="24"/>
      <c r="I2539" s="24"/>
      <c r="L2539"/>
    </row>
    <row r="2540" spans="1:12" x14ac:dyDescent="0.25">
      <c r="A2540" s="16"/>
      <c r="D2540" s="16"/>
      <c r="F2540" s="16"/>
      <c r="G2540" s="16"/>
      <c r="H2540" s="24"/>
      <c r="I2540" s="24"/>
      <c r="L2540"/>
    </row>
    <row r="2541" spans="1:12" x14ac:dyDescent="0.25">
      <c r="A2541" s="16"/>
      <c r="D2541" s="16"/>
      <c r="F2541" s="16"/>
      <c r="G2541" s="16"/>
      <c r="H2541" s="24"/>
      <c r="I2541" s="24"/>
      <c r="L2541"/>
    </row>
    <row r="2542" spans="1:12" x14ac:dyDescent="0.25">
      <c r="A2542" s="16"/>
      <c r="D2542" s="16"/>
      <c r="F2542" s="16"/>
      <c r="G2542" s="16"/>
      <c r="H2542" s="24"/>
      <c r="I2542" s="24"/>
      <c r="L2542"/>
    </row>
    <row r="2543" spans="1:12" x14ac:dyDescent="0.25">
      <c r="A2543" s="16"/>
      <c r="D2543" s="16"/>
      <c r="F2543" s="16"/>
      <c r="G2543" s="16"/>
      <c r="H2543" s="24"/>
      <c r="I2543" s="24"/>
      <c r="L2543"/>
    </row>
    <row r="2544" spans="1:12" x14ac:dyDescent="0.25">
      <c r="A2544" s="16"/>
      <c r="D2544" s="16"/>
      <c r="F2544" s="16"/>
      <c r="G2544" s="16"/>
      <c r="H2544" s="24"/>
      <c r="I2544" s="24"/>
      <c r="L2544"/>
    </row>
    <row r="2545" spans="1:12" x14ac:dyDescent="0.25">
      <c r="A2545" s="16"/>
      <c r="D2545" s="16"/>
      <c r="F2545" s="16"/>
      <c r="G2545" s="16"/>
      <c r="H2545" s="24"/>
      <c r="I2545" s="24"/>
      <c r="L2545"/>
    </row>
    <row r="2546" spans="1:12" x14ac:dyDescent="0.25">
      <c r="A2546" s="16"/>
      <c r="D2546" s="16"/>
      <c r="F2546" s="16"/>
      <c r="G2546" s="16"/>
      <c r="H2546" s="24"/>
      <c r="I2546" s="24"/>
      <c r="L2546"/>
    </row>
    <row r="2547" spans="1:12" x14ac:dyDescent="0.25">
      <c r="A2547" s="16"/>
      <c r="D2547" s="16"/>
      <c r="F2547" s="16"/>
      <c r="G2547" s="16"/>
      <c r="H2547" s="24"/>
      <c r="I2547" s="24"/>
      <c r="L2547"/>
    </row>
    <row r="2548" spans="1:12" x14ac:dyDescent="0.25">
      <c r="A2548" s="16"/>
      <c r="D2548" s="16"/>
      <c r="F2548" s="16"/>
      <c r="G2548" s="16"/>
      <c r="H2548" s="24"/>
      <c r="I2548" s="24"/>
      <c r="L2548"/>
    </row>
    <row r="2549" spans="1:12" x14ac:dyDescent="0.25">
      <c r="A2549" s="16"/>
      <c r="D2549" s="16"/>
      <c r="F2549" s="16"/>
      <c r="G2549" s="16"/>
      <c r="H2549" s="24"/>
      <c r="I2549" s="24"/>
      <c r="L2549"/>
    </row>
    <row r="2550" spans="1:12" x14ac:dyDescent="0.25">
      <c r="A2550" s="16"/>
      <c r="D2550" s="16"/>
      <c r="F2550" s="16"/>
      <c r="G2550" s="16"/>
      <c r="H2550" s="24"/>
      <c r="I2550" s="24"/>
      <c r="L2550"/>
    </row>
    <row r="2551" spans="1:12" x14ac:dyDescent="0.25">
      <c r="A2551" s="16"/>
      <c r="D2551" s="16"/>
      <c r="F2551" s="16"/>
      <c r="G2551" s="16"/>
      <c r="H2551" s="24"/>
      <c r="I2551" s="24"/>
      <c r="L2551"/>
    </row>
    <row r="2552" spans="1:12" x14ac:dyDescent="0.25">
      <c r="A2552" s="16"/>
      <c r="D2552" s="16"/>
      <c r="F2552" s="16"/>
      <c r="G2552" s="16"/>
      <c r="H2552" s="24"/>
      <c r="I2552" s="24"/>
      <c r="L2552"/>
    </row>
    <row r="2553" spans="1:12" x14ac:dyDescent="0.25">
      <c r="A2553" s="16"/>
      <c r="D2553" s="16"/>
      <c r="F2553" s="16"/>
      <c r="G2553" s="16"/>
      <c r="H2553" s="24"/>
      <c r="I2553" s="24"/>
      <c r="L2553"/>
    </row>
    <row r="2554" spans="1:12" x14ac:dyDescent="0.25">
      <c r="A2554" s="16"/>
      <c r="D2554" s="16"/>
      <c r="F2554" s="16"/>
      <c r="G2554" s="16"/>
      <c r="H2554" s="24"/>
      <c r="I2554" s="24"/>
      <c r="L2554"/>
    </row>
    <row r="2555" spans="1:12" x14ac:dyDescent="0.25">
      <c r="A2555" s="16"/>
      <c r="D2555" s="16"/>
      <c r="F2555" s="16"/>
      <c r="G2555" s="16"/>
      <c r="H2555" s="24"/>
      <c r="I2555" s="24"/>
      <c r="L2555"/>
    </row>
    <row r="2556" spans="1:12" x14ac:dyDescent="0.25">
      <c r="A2556" s="16"/>
      <c r="D2556" s="16"/>
      <c r="F2556" s="16"/>
      <c r="G2556" s="16"/>
      <c r="H2556" s="24"/>
      <c r="I2556" s="24"/>
      <c r="L2556"/>
    </row>
    <row r="2557" spans="1:12" x14ac:dyDescent="0.25">
      <c r="A2557" s="16"/>
      <c r="D2557" s="16"/>
      <c r="F2557" s="16"/>
      <c r="G2557" s="16"/>
      <c r="H2557" s="24"/>
      <c r="I2557" s="24"/>
      <c r="L2557"/>
    </row>
    <row r="2558" spans="1:12" x14ac:dyDescent="0.25">
      <c r="A2558" s="16"/>
      <c r="D2558" s="16"/>
      <c r="F2558" s="16"/>
      <c r="G2558" s="16"/>
      <c r="H2558" s="24"/>
      <c r="I2558" s="24"/>
      <c r="L2558"/>
    </row>
    <row r="2559" spans="1:12" x14ac:dyDescent="0.25">
      <c r="A2559" s="16"/>
      <c r="D2559" s="16"/>
      <c r="F2559" s="16"/>
      <c r="G2559" s="16"/>
      <c r="H2559" s="24"/>
      <c r="I2559" s="24"/>
      <c r="L2559"/>
    </row>
    <row r="2560" spans="1:12" x14ac:dyDescent="0.25">
      <c r="A2560" s="16"/>
      <c r="D2560" s="16"/>
      <c r="F2560" s="16"/>
      <c r="G2560" s="16"/>
      <c r="H2560" s="24"/>
      <c r="I2560" s="24"/>
      <c r="L2560"/>
    </row>
    <row r="2561" spans="1:12" x14ac:dyDescent="0.25">
      <c r="A2561" s="16"/>
      <c r="D2561" s="16"/>
      <c r="F2561" s="16"/>
      <c r="G2561" s="16"/>
      <c r="H2561" s="24"/>
      <c r="I2561" s="24"/>
      <c r="L2561"/>
    </row>
    <row r="2562" spans="1:12" x14ac:dyDescent="0.25">
      <c r="A2562" s="16"/>
      <c r="D2562" s="16"/>
      <c r="F2562" s="16"/>
      <c r="G2562" s="16"/>
      <c r="H2562" s="24"/>
      <c r="I2562" s="24"/>
      <c r="L2562"/>
    </row>
    <row r="2563" spans="1:12" x14ac:dyDescent="0.25">
      <c r="A2563" s="16"/>
      <c r="D2563" s="16"/>
      <c r="F2563" s="16"/>
      <c r="G2563" s="16"/>
      <c r="H2563" s="24"/>
      <c r="I2563" s="24"/>
      <c r="L2563"/>
    </row>
    <row r="2564" spans="1:12" x14ac:dyDescent="0.25">
      <c r="A2564" s="16"/>
      <c r="D2564" s="16"/>
      <c r="F2564" s="16"/>
      <c r="G2564" s="16"/>
      <c r="H2564" s="24"/>
      <c r="I2564" s="24"/>
      <c r="L2564"/>
    </row>
    <row r="2565" spans="1:12" x14ac:dyDescent="0.25">
      <c r="A2565" s="16"/>
      <c r="D2565" s="16"/>
      <c r="F2565" s="16"/>
      <c r="G2565" s="16"/>
      <c r="H2565" s="24"/>
      <c r="I2565" s="24"/>
      <c r="L2565"/>
    </row>
    <row r="2566" spans="1:12" x14ac:dyDescent="0.25">
      <c r="A2566" s="16"/>
      <c r="D2566" s="16"/>
      <c r="F2566" s="16"/>
      <c r="G2566" s="16"/>
      <c r="H2566" s="24"/>
      <c r="I2566" s="24"/>
      <c r="L2566"/>
    </row>
    <row r="2567" spans="1:12" x14ac:dyDescent="0.25">
      <c r="A2567" s="16"/>
      <c r="D2567" s="16"/>
      <c r="F2567" s="16"/>
      <c r="G2567" s="16"/>
      <c r="H2567" s="24"/>
      <c r="I2567" s="24"/>
      <c r="L2567"/>
    </row>
    <row r="2568" spans="1:12" x14ac:dyDescent="0.25">
      <c r="A2568" s="16"/>
      <c r="D2568" s="16"/>
      <c r="F2568" s="16"/>
      <c r="G2568" s="16"/>
      <c r="H2568" s="24"/>
      <c r="I2568" s="24"/>
      <c r="L2568"/>
    </row>
    <row r="2569" spans="1:12" x14ac:dyDescent="0.25">
      <c r="A2569" s="16"/>
      <c r="D2569" s="16"/>
      <c r="F2569" s="16"/>
      <c r="G2569" s="16"/>
      <c r="H2569" s="24"/>
      <c r="I2569" s="24"/>
      <c r="L2569"/>
    </row>
    <row r="2570" spans="1:12" x14ac:dyDescent="0.25">
      <c r="A2570" s="16"/>
      <c r="D2570" s="16"/>
      <c r="F2570" s="16"/>
      <c r="G2570" s="16"/>
      <c r="H2570" s="24"/>
      <c r="I2570" s="24"/>
      <c r="L2570"/>
    </row>
    <row r="2571" spans="1:12" x14ac:dyDescent="0.25">
      <c r="A2571" s="16"/>
      <c r="D2571" s="16"/>
      <c r="F2571" s="16"/>
      <c r="G2571" s="16"/>
      <c r="H2571" s="24"/>
      <c r="I2571" s="24"/>
      <c r="L2571"/>
    </row>
    <row r="2572" spans="1:12" x14ac:dyDescent="0.25">
      <c r="A2572" s="16"/>
      <c r="D2572" s="16"/>
      <c r="F2572" s="16"/>
      <c r="G2572" s="16"/>
      <c r="H2572" s="24"/>
      <c r="I2572" s="24"/>
      <c r="L2572"/>
    </row>
    <row r="2573" spans="1:12" x14ac:dyDescent="0.25">
      <c r="A2573" s="16"/>
      <c r="D2573" s="16"/>
      <c r="F2573" s="16"/>
      <c r="G2573" s="16"/>
      <c r="H2573" s="24"/>
      <c r="I2573" s="24"/>
      <c r="L2573"/>
    </row>
    <row r="2574" spans="1:12" x14ac:dyDescent="0.25">
      <c r="A2574" s="16"/>
      <c r="D2574" s="16"/>
      <c r="F2574" s="16"/>
      <c r="G2574" s="16"/>
      <c r="H2574" s="24"/>
      <c r="I2574" s="24"/>
      <c r="L2574"/>
    </row>
    <row r="2575" spans="1:12" x14ac:dyDescent="0.25">
      <c r="A2575" s="16"/>
      <c r="D2575" s="16"/>
      <c r="F2575" s="16"/>
      <c r="G2575" s="16"/>
      <c r="H2575" s="24"/>
      <c r="I2575" s="24"/>
      <c r="L2575"/>
    </row>
    <row r="2576" spans="1:12" x14ac:dyDescent="0.25">
      <c r="A2576" s="16"/>
      <c r="D2576" s="16"/>
      <c r="F2576" s="16"/>
      <c r="G2576" s="16"/>
      <c r="H2576" s="24"/>
      <c r="I2576" s="24"/>
      <c r="L2576"/>
    </row>
    <row r="2577" spans="1:12" x14ac:dyDescent="0.25">
      <c r="A2577" s="16"/>
      <c r="D2577" s="16"/>
      <c r="F2577" s="16"/>
      <c r="G2577" s="16"/>
      <c r="H2577" s="24"/>
      <c r="I2577" s="24"/>
      <c r="L2577"/>
    </row>
    <row r="2578" spans="1:12" x14ac:dyDescent="0.25">
      <c r="A2578" s="16"/>
      <c r="D2578" s="16"/>
      <c r="F2578" s="16"/>
      <c r="G2578" s="16"/>
      <c r="H2578" s="24"/>
      <c r="I2578" s="24"/>
      <c r="L2578"/>
    </row>
    <row r="2579" spans="1:12" x14ac:dyDescent="0.25">
      <c r="A2579" s="16"/>
      <c r="D2579" s="16"/>
      <c r="F2579" s="16"/>
      <c r="G2579" s="16"/>
      <c r="H2579" s="24"/>
      <c r="I2579" s="24"/>
      <c r="L2579"/>
    </row>
    <row r="2580" spans="1:12" x14ac:dyDescent="0.25">
      <c r="A2580" s="16"/>
      <c r="D2580" s="16"/>
      <c r="F2580" s="16"/>
      <c r="G2580" s="16"/>
      <c r="H2580" s="24"/>
      <c r="I2580" s="24"/>
      <c r="L2580"/>
    </row>
    <row r="2581" spans="1:12" x14ac:dyDescent="0.25">
      <c r="A2581" s="16"/>
      <c r="D2581" s="16"/>
      <c r="F2581" s="16"/>
      <c r="G2581" s="16"/>
      <c r="H2581" s="24"/>
      <c r="I2581" s="24"/>
      <c r="L2581"/>
    </row>
    <row r="2582" spans="1:12" x14ac:dyDescent="0.25">
      <c r="A2582" s="16"/>
      <c r="D2582" s="16"/>
      <c r="F2582" s="16"/>
      <c r="G2582" s="16"/>
      <c r="H2582" s="24"/>
      <c r="I2582" s="24"/>
      <c r="L2582"/>
    </row>
    <row r="2583" spans="1:12" x14ac:dyDescent="0.25">
      <c r="A2583" s="16"/>
      <c r="D2583" s="16"/>
      <c r="F2583" s="16"/>
      <c r="G2583" s="16"/>
      <c r="H2583" s="24"/>
      <c r="I2583" s="24"/>
      <c r="L2583"/>
    </row>
    <row r="2584" spans="1:12" x14ac:dyDescent="0.25">
      <c r="A2584" s="16"/>
      <c r="D2584" s="16"/>
      <c r="F2584" s="16"/>
      <c r="G2584" s="16"/>
      <c r="H2584" s="24"/>
      <c r="I2584" s="24"/>
      <c r="L2584"/>
    </row>
    <row r="2585" spans="1:12" x14ac:dyDescent="0.25">
      <c r="A2585" s="16"/>
      <c r="D2585" s="16"/>
      <c r="F2585" s="16"/>
      <c r="G2585" s="16"/>
      <c r="H2585" s="24"/>
      <c r="I2585" s="24"/>
      <c r="L2585"/>
    </row>
    <row r="2586" spans="1:12" x14ac:dyDescent="0.25">
      <c r="A2586" s="16"/>
      <c r="D2586" s="16"/>
      <c r="F2586" s="16"/>
      <c r="G2586" s="16"/>
      <c r="H2586" s="24"/>
      <c r="I2586" s="24"/>
      <c r="L2586"/>
    </row>
    <row r="2587" spans="1:12" x14ac:dyDescent="0.25">
      <c r="A2587" s="16"/>
      <c r="D2587" s="16"/>
      <c r="F2587" s="16"/>
      <c r="G2587" s="16"/>
      <c r="H2587" s="24"/>
      <c r="I2587" s="24"/>
      <c r="L2587"/>
    </row>
    <row r="2588" spans="1:12" x14ac:dyDescent="0.25">
      <c r="A2588" s="16"/>
      <c r="D2588" s="16"/>
      <c r="F2588" s="16"/>
      <c r="G2588" s="16"/>
      <c r="H2588" s="24"/>
      <c r="I2588" s="24"/>
      <c r="L2588"/>
    </row>
    <row r="2589" spans="1:12" x14ac:dyDescent="0.25">
      <c r="A2589" s="16"/>
      <c r="D2589" s="16"/>
      <c r="F2589" s="16"/>
      <c r="G2589" s="16"/>
      <c r="H2589" s="24"/>
      <c r="I2589" s="24"/>
      <c r="L2589"/>
    </row>
    <row r="2590" spans="1:12" x14ac:dyDescent="0.25">
      <c r="A2590" s="16"/>
      <c r="D2590" s="16"/>
      <c r="F2590" s="16"/>
      <c r="G2590" s="16"/>
      <c r="H2590" s="24"/>
      <c r="I2590" s="24"/>
      <c r="L2590"/>
    </row>
    <row r="2591" spans="1:12" x14ac:dyDescent="0.25">
      <c r="A2591" s="16"/>
      <c r="D2591" s="16"/>
      <c r="F2591" s="16"/>
      <c r="G2591" s="16"/>
      <c r="H2591" s="24"/>
      <c r="I2591" s="24"/>
      <c r="L2591"/>
    </row>
    <row r="2592" spans="1:12" x14ac:dyDescent="0.25">
      <c r="A2592" s="16"/>
      <c r="D2592" s="16"/>
      <c r="F2592" s="16"/>
      <c r="G2592" s="16"/>
      <c r="H2592" s="24"/>
      <c r="I2592" s="24"/>
      <c r="L2592"/>
    </row>
    <row r="2593" spans="1:12" x14ac:dyDescent="0.25">
      <c r="A2593" s="16"/>
      <c r="D2593" s="16"/>
      <c r="F2593" s="16"/>
      <c r="G2593" s="16"/>
      <c r="H2593" s="24"/>
      <c r="I2593" s="24"/>
      <c r="L2593"/>
    </row>
    <row r="2594" spans="1:12" x14ac:dyDescent="0.25">
      <c r="A2594" s="16"/>
      <c r="D2594" s="16"/>
      <c r="F2594" s="16"/>
      <c r="G2594" s="16"/>
      <c r="H2594" s="24"/>
      <c r="I2594" s="24"/>
      <c r="L2594"/>
    </row>
    <row r="2595" spans="1:12" x14ac:dyDescent="0.25">
      <c r="A2595" s="16"/>
      <c r="D2595" s="16"/>
      <c r="F2595" s="16"/>
      <c r="G2595" s="16"/>
      <c r="H2595" s="24"/>
      <c r="I2595" s="24"/>
      <c r="L2595"/>
    </row>
    <row r="2596" spans="1:12" x14ac:dyDescent="0.25">
      <c r="A2596" s="16"/>
      <c r="D2596" s="16"/>
      <c r="F2596" s="16"/>
      <c r="G2596" s="16"/>
      <c r="H2596" s="24"/>
      <c r="I2596" s="24"/>
      <c r="L2596"/>
    </row>
    <row r="2597" spans="1:12" x14ac:dyDescent="0.25">
      <c r="A2597" s="16"/>
      <c r="D2597" s="16"/>
      <c r="F2597" s="16"/>
      <c r="G2597" s="16"/>
      <c r="H2597" s="24"/>
      <c r="I2597" s="24"/>
      <c r="L2597"/>
    </row>
    <row r="2598" spans="1:12" x14ac:dyDescent="0.25">
      <c r="A2598" s="16"/>
      <c r="D2598" s="16"/>
      <c r="F2598" s="16"/>
      <c r="G2598" s="16"/>
      <c r="H2598" s="24"/>
      <c r="I2598" s="24"/>
      <c r="L2598"/>
    </row>
    <row r="2599" spans="1:12" x14ac:dyDescent="0.25">
      <c r="A2599" s="16"/>
      <c r="D2599" s="16"/>
      <c r="F2599" s="16"/>
      <c r="G2599" s="16"/>
      <c r="H2599" s="24"/>
      <c r="I2599" s="24"/>
      <c r="L2599"/>
    </row>
    <row r="2600" spans="1:12" x14ac:dyDescent="0.25">
      <c r="A2600" s="16"/>
      <c r="D2600" s="16"/>
      <c r="F2600" s="16"/>
      <c r="G2600" s="16"/>
      <c r="H2600" s="24"/>
      <c r="I2600" s="24"/>
      <c r="L2600"/>
    </row>
    <row r="2601" spans="1:12" x14ac:dyDescent="0.25">
      <c r="A2601" s="16"/>
      <c r="D2601" s="16"/>
      <c r="F2601" s="16"/>
      <c r="G2601" s="16"/>
      <c r="H2601" s="24"/>
      <c r="I2601" s="24"/>
      <c r="L2601"/>
    </row>
    <row r="2602" spans="1:12" x14ac:dyDescent="0.25">
      <c r="A2602" s="16"/>
      <c r="D2602" s="16"/>
      <c r="F2602" s="16"/>
      <c r="G2602" s="16"/>
      <c r="H2602" s="24"/>
      <c r="I2602" s="24"/>
      <c r="L2602"/>
    </row>
    <row r="2603" spans="1:12" x14ac:dyDescent="0.25">
      <c r="A2603" s="16"/>
      <c r="D2603" s="16"/>
      <c r="F2603" s="16"/>
      <c r="G2603" s="16"/>
      <c r="H2603" s="24"/>
      <c r="I2603" s="24"/>
      <c r="L2603"/>
    </row>
    <row r="2604" spans="1:12" x14ac:dyDescent="0.25">
      <c r="A2604" s="16"/>
      <c r="D2604" s="16"/>
      <c r="F2604" s="16"/>
      <c r="G2604" s="16"/>
      <c r="H2604" s="24"/>
      <c r="I2604" s="24"/>
      <c r="L2604"/>
    </row>
    <row r="2605" spans="1:12" x14ac:dyDescent="0.25">
      <c r="A2605" s="16"/>
      <c r="D2605" s="16"/>
      <c r="F2605" s="16"/>
      <c r="G2605" s="16"/>
      <c r="H2605" s="24"/>
      <c r="I2605" s="24"/>
      <c r="L2605"/>
    </row>
    <row r="2606" spans="1:12" x14ac:dyDescent="0.25">
      <c r="A2606" s="16"/>
      <c r="D2606" s="16"/>
      <c r="F2606" s="16"/>
      <c r="G2606" s="16"/>
      <c r="H2606" s="24"/>
      <c r="I2606" s="24"/>
      <c r="L2606"/>
    </row>
    <row r="2607" spans="1:12" x14ac:dyDescent="0.25">
      <c r="A2607" s="16"/>
      <c r="D2607" s="16"/>
      <c r="F2607" s="16"/>
      <c r="G2607" s="16"/>
      <c r="H2607" s="24"/>
      <c r="I2607" s="24"/>
      <c r="L2607"/>
    </row>
    <row r="2608" spans="1:12" x14ac:dyDescent="0.25">
      <c r="A2608" s="16"/>
      <c r="D2608" s="16"/>
      <c r="F2608" s="16"/>
      <c r="G2608" s="16"/>
      <c r="H2608" s="24"/>
      <c r="I2608" s="24"/>
      <c r="L2608"/>
    </row>
    <row r="2609" spans="1:12" x14ac:dyDescent="0.25">
      <c r="A2609" s="16"/>
      <c r="D2609" s="16"/>
      <c r="F2609" s="16"/>
      <c r="G2609" s="16"/>
      <c r="H2609" s="24"/>
      <c r="I2609" s="24"/>
      <c r="L2609"/>
    </row>
    <row r="2610" spans="1:12" x14ac:dyDescent="0.25">
      <c r="A2610" s="16"/>
      <c r="D2610" s="16"/>
      <c r="F2610" s="16"/>
      <c r="G2610" s="16"/>
      <c r="H2610" s="24"/>
      <c r="I2610" s="24"/>
      <c r="L2610"/>
    </row>
    <row r="2611" spans="1:12" x14ac:dyDescent="0.25">
      <c r="A2611" s="16"/>
      <c r="D2611" s="16"/>
      <c r="F2611" s="16"/>
      <c r="G2611" s="16"/>
      <c r="H2611" s="24"/>
      <c r="I2611" s="24"/>
      <c r="L2611"/>
    </row>
    <row r="2612" spans="1:12" x14ac:dyDescent="0.25">
      <c r="A2612" s="16"/>
      <c r="D2612" s="16"/>
      <c r="F2612" s="16"/>
      <c r="G2612" s="16"/>
      <c r="H2612" s="24"/>
      <c r="I2612" s="24"/>
      <c r="L2612"/>
    </row>
    <row r="2613" spans="1:12" x14ac:dyDescent="0.25">
      <c r="A2613" s="16"/>
      <c r="D2613" s="16"/>
      <c r="F2613" s="16"/>
      <c r="G2613" s="16"/>
      <c r="H2613" s="24"/>
      <c r="I2613" s="24"/>
      <c r="L2613"/>
    </row>
    <row r="2614" spans="1:12" x14ac:dyDescent="0.25">
      <c r="A2614" s="16"/>
      <c r="D2614" s="16"/>
      <c r="F2614" s="16"/>
      <c r="G2614" s="16"/>
      <c r="H2614" s="24"/>
      <c r="I2614" s="24"/>
      <c r="L2614"/>
    </row>
    <row r="2615" spans="1:12" x14ac:dyDescent="0.25">
      <c r="A2615" s="16"/>
      <c r="D2615" s="16"/>
      <c r="F2615" s="16"/>
      <c r="G2615" s="16"/>
      <c r="H2615" s="24"/>
      <c r="I2615" s="24"/>
      <c r="L2615"/>
    </row>
    <row r="2616" spans="1:12" x14ac:dyDescent="0.25">
      <c r="A2616" s="16"/>
      <c r="D2616" s="16"/>
      <c r="F2616" s="16"/>
      <c r="G2616" s="16"/>
      <c r="H2616" s="24"/>
      <c r="I2616" s="24"/>
      <c r="L2616"/>
    </row>
    <row r="2617" spans="1:12" x14ac:dyDescent="0.25">
      <c r="A2617" s="16"/>
      <c r="D2617" s="16"/>
      <c r="F2617" s="16"/>
      <c r="G2617" s="16"/>
      <c r="H2617" s="24"/>
      <c r="I2617" s="24"/>
      <c r="L2617"/>
    </row>
    <row r="2618" spans="1:12" x14ac:dyDescent="0.25">
      <c r="A2618" s="16"/>
      <c r="D2618" s="16"/>
      <c r="F2618" s="16"/>
      <c r="G2618" s="16"/>
      <c r="H2618" s="24"/>
      <c r="I2618" s="24"/>
      <c r="L2618"/>
    </row>
    <row r="2619" spans="1:12" x14ac:dyDescent="0.25">
      <c r="A2619" s="16"/>
      <c r="D2619" s="16"/>
      <c r="F2619" s="16"/>
      <c r="G2619" s="16"/>
      <c r="H2619" s="24"/>
      <c r="I2619" s="24"/>
      <c r="L2619"/>
    </row>
    <row r="2620" spans="1:12" x14ac:dyDescent="0.25">
      <c r="A2620" s="16"/>
      <c r="D2620" s="16"/>
      <c r="F2620" s="16"/>
      <c r="G2620" s="16"/>
      <c r="H2620" s="24"/>
      <c r="I2620" s="24"/>
      <c r="L2620"/>
    </row>
    <row r="2621" spans="1:12" x14ac:dyDescent="0.25">
      <c r="A2621" s="16"/>
      <c r="D2621" s="16"/>
      <c r="F2621" s="16"/>
      <c r="G2621" s="16"/>
      <c r="H2621" s="24"/>
      <c r="I2621" s="24"/>
      <c r="L2621"/>
    </row>
    <row r="2622" spans="1:12" x14ac:dyDescent="0.25">
      <c r="A2622" s="16"/>
      <c r="D2622" s="16"/>
      <c r="F2622" s="16"/>
      <c r="G2622" s="16"/>
      <c r="H2622" s="24"/>
      <c r="I2622" s="24"/>
      <c r="L2622"/>
    </row>
    <row r="2623" spans="1:12" x14ac:dyDescent="0.25">
      <c r="A2623" s="16"/>
      <c r="D2623" s="16"/>
      <c r="F2623" s="16"/>
      <c r="G2623" s="16"/>
      <c r="H2623" s="24"/>
      <c r="I2623" s="24"/>
      <c r="L2623"/>
    </row>
    <row r="2624" spans="1:12" x14ac:dyDescent="0.25">
      <c r="A2624" s="16"/>
      <c r="D2624" s="16"/>
      <c r="F2624" s="16"/>
      <c r="G2624" s="16"/>
      <c r="H2624" s="24"/>
      <c r="I2624" s="24"/>
      <c r="L2624"/>
    </row>
    <row r="2625" spans="1:12" x14ac:dyDescent="0.25">
      <c r="A2625" s="16"/>
      <c r="D2625" s="16"/>
      <c r="F2625" s="16"/>
      <c r="G2625" s="16"/>
      <c r="H2625" s="24"/>
      <c r="I2625" s="24"/>
      <c r="L2625"/>
    </row>
    <row r="2626" spans="1:12" x14ac:dyDescent="0.25">
      <c r="A2626" s="16"/>
      <c r="D2626" s="16"/>
      <c r="F2626" s="16"/>
      <c r="G2626" s="16"/>
      <c r="H2626" s="24"/>
      <c r="I2626" s="24"/>
      <c r="L2626"/>
    </row>
    <row r="2627" spans="1:12" x14ac:dyDescent="0.25">
      <c r="A2627" s="16"/>
      <c r="D2627" s="16"/>
      <c r="F2627" s="16"/>
      <c r="G2627" s="16"/>
      <c r="H2627" s="24"/>
      <c r="I2627" s="24"/>
      <c r="L2627"/>
    </row>
    <row r="2628" spans="1:12" x14ac:dyDescent="0.25">
      <c r="A2628" s="16"/>
      <c r="D2628" s="16"/>
      <c r="F2628" s="16"/>
      <c r="G2628" s="16"/>
      <c r="H2628" s="24"/>
      <c r="I2628" s="24"/>
      <c r="L2628"/>
    </row>
    <row r="2629" spans="1:12" x14ac:dyDescent="0.25">
      <c r="A2629" s="16"/>
      <c r="D2629" s="16"/>
      <c r="F2629" s="16"/>
      <c r="G2629" s="16"/>
      <c r="H2629" s="24"/>
      <c r="I2629" s="24"/>
      <c r="L2629"/>
    </row>
    <row r="2630" spans="1:12" x14ac:dyDescent="0.25">
      <c r="A2630" s="16"/>
      <c r="D2630" s="16"/>
      <c r="F2630" s="16"/>
      <c r="G2630" s="16"/>
      <c r="H2630" s="24"/>
      <c r="I2630" s="24"/>
      <c r="L2630"/>
    </row>
    <row r="2631" spans="1:12" x14ac:dyDescent="0.25">
      <c r="A2631" s="16"/>
      <c r="D2631" s="16"/>
      <c r="F2631" s="16"/>
      <c r="G2631" s="16"/>
      <c r="H2631" s="24"/>
      <c r="I2631" s="24"/>
      <c r="L2631"/>
    </row>
    <row r="2632" spans="1:12" x14ac:dyDescent="0.25">
      <c r="A2632" s="16"/>
      <c r="D2632" s="16"/>
      <c r="F2632" s="16"/>
      <c r="G2632" s="16"/>
      <c r="H2632" s="24"/>
      <c r="I2632" s="24"/>
      <c r="L2632"/>
    </row>
    <row r="2633" spans="1:12" x14ac:dyDescent="0.25">
      <c r="A2633" s="16"/>
      <c r="D2633" s="16"/>
      <c r="F2633" s="16"/>
      <c r="G2633" s="16"/>
      <c r="H2633" s="24"/>
      <c r="I2633" s="24"/>
      <c r="L2633"/>
    </row>
    <row r="2634" spans="1:12" x14ac:dyDescent="0.25">
      <c r="A2634" s="16"/>
      <c r="D2634" s="16"/>
      <c r="F2634" s="16"/>
      <c r="G2634" s="16"/>
      <c r="H2634" s="24"/>
      <c r="I2634" s="24"/>
      <c r="L2634"/>
    </row>
    <row r="2635" spans="1:12" x14ac:dyDescent="0.25">
      <c r="A2635" s="16"/>
      <c r="D2635" s="16"/>
      <c r="F2635" s="16"/>
      <c r="G2635" s="16"/>
      <c r="H2635" s="24"/>
      <c r="I2635" s="24"/>
      <c r="L2635"/>
    </row>
    <row r="2636" spans="1:12" x14ac:dyDescent="0.25">
      <c r="A2636" s="16"/>
      <c r="D2636" s="16"/>
      <c r="F2636" s="16"/>
      <c r="G2636" s="16"/>
      <c r="H2636" s="24"/>
      <c r="I2636" s="24"/>
      <c r="L2636"/>
    </row>
    <row r="2637" spans="1:12" x14ac:dyDescent="0.25">
      <c r="A2637" s="16"/>
      <c r="D2637" s="16"/>
      <c r="F2637" s="16"/>
      <c r="G2637" s="16"/>
      <c r="H2637" s="24"/>
      <c r="I2637" s="24"/>
      <c r="L2637"/>
    </row>
    <row r="2638" spans="1:12" x14ac:dyDescent="0.25">
      <c r="A2638" s="16"/>
      <c r="D2638" s="16"/>
      <c r="F2638" s="16"/>
      <c r="G2638" s="16"/>
      <c r="H2638" s="24"/>
      <c r="I2638" s="24"/>
      <c r="L2638"/>
    </row>
    <row r="2639" spans="1:12" x14ac:dyDescent="0.25">
      <c r="A2639" s="16"/>
      <c r="D2639" s="16"/>
      <c r="F2639" s="16"/>
      <c r="G2639" s="16"/>
      <c r="H2639" s="24"/>
      <c r="I2639" s="24"/>
      <c r="L2639"/>
    </row>
    <row r="2640" spans="1:12" x14ac:dyDescent="0.25">
      <c r="A2640" s="16"/>
      <c r="D2640" s="16"/>
      <c r="F2640" s="16"/>
      <c r="G2640" s="16"/>
      <c r="H2640" s="24"/>
      <c r="I2640" s="24"/>
      <c r="L2640"/>
    </row>
    <row r="2641" spans="1:12" x14ac:dyDescent="0.25">
      <c r="A2641" s="16"/>
      <c r="D2641" s="16"/>
      <c r="F2641" s="16"/>
      <c r="G2641" s="16"/>
      <c r="H2641" s="24"/>
      <c r="I2641" s="24"/>
      <c r="L2641"/>
    </row>
    <row r="2642" spans="1:12" x14ac:dyDescent="0.25">
      <c r="A2642" s="16"/>
      <c r="D2642" s="16"/>
      <c r="F2642" s="16"/>
      <c r="G2642" s="16"/>
      <c r="H2642" s="24"/>
      <c r="I2642" s="24"/>
      <c r="L2642"/>
    </row>
    <row r="2643" spans="1:12" x14ac:dyDescent="0.25">
      <c r="A2643" s="16"/>
      <c r="D2643" s="16"/>
      <c r="F2643" s="16"/>
      <c r="G2643" s="16"/>
      <c r="H2643" s="24"/>
      <c r="I2643" s="24"/>
      <c r="L2643"/>
    </row>
    <row r="2644" spans="1:12" x14ac:dyDescent="0.25">
      <c r="A2644" s="16"/>
      <c r="D2644" s="16"/>
      <c r="F2644" s="16"/>
      <c r="G2644" s="16"/>
      <c r="H2644" s="24"/>
      <c r="I2644" s="24"/>
      <c r="L2644"/>
    </row>
    <row r="2645" spans="1:12" x14ac:dyDescent="0.25">
      <c r="A2645" s="16"/>
      <c r="D2645" s="16"/>
      <c r="F2645" s="16"/>
      <c r="G2645" s="16"/>
      <c r="H2645" s="24"/>
      <c r="I2645" s="24"/>
      <c r="L2645"/>
    </row>
    <row r="2646" spans="1:12" x14ac:dyDescent="0.25">
      <c r="A2646" s="16"/>
      <c r="D2646" s="16"/>
      <c r="F2646" s="16"/>
      <c r="G2646" s="16"/>
      <c r="H2646" s="24"/>
      <c r="I2646" s="24"/>
      <c r="L2646"/>
    </row>
    <row r="2647" spans="1:12" x14ac:dyDescent="0.25">
      <c r="A2647" s="16"/>
      <c r="D2647" s="16"/>
      <c r="F2647" s="16"/>
      <c r="G2647" s="16"/>
      <c r="H2647" s="24"/>
      <c r="I2647" s="24"/>
      <c r="L2647"/>
    </row>
    <row r="2648" spans="1:12" x14ac:dyDescent="0.25">
      <c r="A2648" s="16"/>
      <c r="D2648" s="16"/>
      <c r="F2648" s="16"/>
      <c r="G2648" s="16"/>
      <c r="H2648" s="24"/>
      <c r="I2648" s="24"/>
      <c r="L2648"/>
    </row>
    <row r="2649" spans="1:12" x14ac:dyDescent="0.25">
      <c r="A2649" s="16"/>
      <c r="D2649" s="16"/>
      <c r="F2649" s="16"/>
      <c r="G2649" s="16"/>
      <c r="H2649" s="24"/>
      <c r="I2649" s="24"/>
      <c r="L2649"/>
    </row>
    <row r="2650" spans="1:12" x14ac:dyDescent="0.25">
      <c r="A2650" s="16"/>
      <c r="D2650" s="16"/>
      <c r="F2650" s="16"/>
      <c r="G2650" s="16"/>
      <c r="H2650" s="24"/>
      <c r="I2650" s="24"/>
      <c r="L2650"/>
    </row>
    <row r="2651" spans="1:12" x14ac:dyDescent="0.25">
      <c r="A2651" s="16"/>
      <c r="D2651" s="16"/>
      <c r="F2651" s="16"/>
      <c r="G2651" s="16"/>
      <c r="H2651" s="24"/>
      <c r="I2651" s="24"/>
      <c r="L2651"/>
    </row>
    <row r="2652" spans="1:12" x14ac:dyDescent="0.25">
      <c r="A2652" s="16"/>
      <c r="D2652" s="16"/>
      <c r="F2652" s="16"/>
      <c r="G2652" s="16"/>
      <c r="H2652" s="24"/>
      <c r="I2652" s="24"/>
      <c r="L2652"/>
    </row>
    <row r="2653" spans="1:12" x14ac:dyDescent="0.25">
      <c r="A2653" s="16"/>
      <c r="D2653" s="16"/>
      <c r="F2653" s="16"/>
      <c r="G2653" s="16"/>
      <c r="H2653" s="24"/>
      <c r="I2653" s="24"/>
      <c r="L2653"/>
    </row>
    <row r="2654" spans="1:12" x14ac:dyDescent="0.25">
      <c r="A2654" s="16"/>
      <c r="D2654" s="16"/>
      <c r="F2654" s="16"/>
      <c r="G2654" s="16"/>
      <c r="H2654" s="24"/>
      <c r="I2654" s="24"/>
      <c r="L2654"/>
    </row>
    <row r="2655" spans="1:12" x14ac:dyDescent="0.25">
      <c r="A2655" s="16"/>
      <c r="D2655" s="16"/>
      <c r="F2655" s="16"/>
      <c r="G2655" s="16"/>
      <c r="H2655" s="24"/>
      <c r="I2655" s="24"/>
      <c r="L2655"/>
    </row>
    <row r="2656" spans="1:12" x14ac:dyDescent="0.25">
      <c r="A2656" s="16"/>
      <c r="D2656" s="16"/>
      <c r="F2656" s="16"/>
      <c r="G2656" s="16"/>
      <c r="H2656" s="24"/>
      <c r="I2656" s="24"/>
      <c r="L2656"/>
    </row>
    <row r="2657" spans="1:12" x14ac:dyDescent="0.25">
      <c r="A2657" s="16"/>
      <c r="D2657" s="16"/>
      <c r="F2657" s="16"/>
      <c r="G2657" s="16"/>
      <c r="H2657" s="24"/>
      <c r="I2657" s="24"/>
      <c r="L2657"/>
    </row>
    <row r="2658" spans="1:12" x14ac:dyDescent="0.25">
      <c r="A2658" s="16"/>
      <c r="D2658" s="16"/>
      <c r="F2658" s="16"/>
      <c r="G2658" s="16"/>
      <c r="H2658" s="24"/>
      <c r="I2658" s="24"/>
      <c r="L2658"/>
    </row>
    <row r="2659" spans="1:12" x14ac:dyDescent="0.25">
      <c r="A2659" s="16"/>
      <c r="D2659" s="16"/>
      <c r="F2659" s="16"/>
      <c r="G2659" s="16"/>
      <c r="H2659" s="24"/>
      <c r="I2659" s="24"/>
      <c r="L2659"/>
    </row>
    <row r="2660" spans="1:12" x14ac:dyDescent="0.25">
      <c r="A2660" s="16"/>
      <c r="D2660" s="16"/>
      <c r="F2660" s="16"/>
      <c r="G2660" s="16"/>
      <c r="H2660" s="24"/>
      <c r="I2660" s="24"/>
      <c r="L2660"/>
    </row>
    <row r="2661" spans="1:12" x14ac:dyDescent="0.25">
      <c r="A2661" s="16"/>
      <c r="D2661" s="16"/>
      <c r="F2661" s="16"/>
      <c r="G2661" s="16"/>
      <c r="H2661" s="24"/>
      <c r="I2661" s="24"/>
      <c r="L2661"/>
    </row>
    <row r="2662" spans="1:12" x14ac:dyDescent="0.25">
      <c r="A2662" s="16"/>
      <c r="D2662" s="16"/>
      <c r="F2662" s="16"/>
      <c r="G2662" s="16"/>
      <c r="H2662" s="24"/>
      <c r="I2662" s="24"/>
      <c r="L2662"/>
    </row>
    <row r="2663" spans="1:12" x14ac:dyDescent="0.25">
      <c r="A2663" s="16"/>
      <c r="D2663" s="16"/>
      <c r="F2663" s="16"/>
      <c r="G2663" s="16"/>
      <c r="H2663" s="24"/>
      <c r="I2663" s="24"/>
      <c r="L2663"/>
    </row>
    <row r="2664" spans="1:12" x14ac:dyDescent="0.25">
      <c r="A2664" s="16"/>
      <c r="D2664" s="16"/>
      <c r="F2664" s="16"/>
      <c r="G2664" s="16"/>
      <c r="H2664" s="24"/>
      <c r="I2664" s="24"/>
      <c r="L2664"/>
    </row>
    <row r="2665" spans="1:12" x14ac:dyDescent="0.25">
      <c r="A2665" s="16"/>
      <c r="D2665" s="16"/>
      <c r="F2665" s="16"/>
      <c r="G2665" s="16"/>
      <c r="H2665" s="24"/>
      <c r="I2665" s="24"/>
      <c r="L2665"/>
    </row>
    <row r="2666" spans="1:12" x14ac:dyDescent="0.25">
      <c r="A2666" s="16"/>
      <c r="D2666" s="16"/>
      <c r="F2666" s="16"/>
      <c r="G2666" s="16"/>
      <c r="H2666" s="24"/>
      <c r="I2666" s="24"/>
      <c r="L2666"/>
    </row>
    <row r="2667" spans="1:12" x14ac:dyDescent="0.25">
      <c r="A2667" s="16"/>
      <c r="D2667" s="16"/>
      <c r="F2667" s="16"/>
      <c r="G2667" s="16"/>
      <c r="H2667" s="24"/>
      <c r="I2667" s="24"/>
      <c r="L2667"/>
    </row>
    <row r="2668" spans="1:12" x14ac:dyDescent="0.25">
      <c r="A2668" s="16"/>
      <c r="D2668" s="16"/>
      <c r="F2668" s="16"/>
      <c r="G2668" s="16"/>
      <c r="H2668" s="24"/>
      <c r="I2668" s="24"/>
      <c r="L2668"/>
    </row>
    <row r="2669" spans="1:12" x14ac:dyDescent="0.25">
      <c r="A2669" s="16"/>
      <c r="D2669" s="16"/>
      <c r="F2669" s="16"/>
      <c r="G2669" s="16"/>
      <c r="H2669" s="24"/>
      <c r="I2669" s="24"/>
      <c r="L2669"/>
    </row>
    <row r="2670" spans="1:12" x14ac:dyDescent="0.25">
      <c r="A2670" s="16"/>
      <c r="D2670" s="16"/>
      <c r="F2670" s="16"/>
      <c r="G2670" s="16"/>
      <c r="H2670" s="24"/>
      <c r="I2670" s="24"/>
      <c r="L2670"/>
    </row>
    <row r="2671" spans="1:12" x14ac:dyDescent="0.25">
      <c r="A2671" s="16"/>
      <c r="D2671" s="16"/>
      <c r="F2671" s="16"/>
      <c r="G2671" s="16"/>
      <c r="H2671" s="24"/>
      <c r="I2671" s="24"/>
      <c r="L2671"/>
    </row>
    <row r="2672" spans="1:12" x14ac:dyDescent="0.25">
      <c r="A2672" s="16"/>
      <c r="D2672" s="16"/>
      <c r="F2672" s="16"/>
      <c r="G2672" s="16"/>
      <c r="H2672" s="24"/>
      <c r="I2672" s="24"/>
      <c r="L2672"/>
    </row>
    <row r="2673" spans="1:12" x14ac:dyDescent="0.25">
      <c r="A2673" s="16"/>
      <c r="D2673" s="16"/>
      <c r="F2673" s="16"/>
      <c r="G2673" s="16"/>
      <c r="H2673" s="24"/>
      <c r="I2673" s="24"/>
      <c r="L2673"/>
    </row>
    <row r="2674" spans="1:12" x14ac:dyDescent="0.25">
      <c r="A2674" s="16"/>
      <c r="D2674" s="16"/>
      <c r="F2674" s="16"/>
      <c r="G2674" s="16"/>
      <c r="H2674" s="24"/>
      <c r="I2674" s="24"/>
      <c r="L2674"/>
    </row>
    <row r="2675" spans="1:12" x14ac:dyDescent="0.25">
      <c r="A2675" s="16"/>
      <c r="D2675" s="16"/>
      <c r="F2675" s="16"/>
      <c r="G2675" s="16"/>
      <c r="H2675" s="24"/>
      <c r="I2675" s="24"/>
      <c r="L2675"/>
    </row>
    <row r="2676" spans="1:12" x14ac:dyDescent="0.25">
      <c r="A2676" s="16"/>
      <c r="D2676" s="16"/>
      <c r="F2676" s="16"/>
      <c r="G2676" s="16"/>
      <c r="H2676" s="24"/>
      <c r="I2676" s="24"/>
      <c r="L2676"/>
    </row>
    <row r="2677" spans="1:12" x14ac:dyDescent="0.25">
      <c r="A2677" s="16"/>
      <c r="D2677" s="16"/>
      <c r="F2677" s="16"/>
      <c r="G2677" s="16"/>
      <c r="H2677" s="24"/>
      <c r="I2677" s="24"/>
      <c r="L2677"/>
    </row>
    <row r="2678" spans="1:12" x14ac:dyDescent="0.25">
      <c r="A2678" s="16"/>
      <c r="D2678" s="16"/>
      <c r="F2678" s="16"/>
      <c r="G2678" s="16"/>
      <c r="H2678" s="24"/>
      <c r="I2678" s="24"/>
      <c r="L2678"/>
    </row>
    <row r="2679" spans="1:12" x14ac:dyDescent="0.25">
      <c r="A2679" s="16"/>
      <c r="D2679" s="16"/>
      <c r="F2679" s="16"/>
      <c r="G2679" s="16"/>
      <c r="H2679" s="24"/>
      <c r="I2679" s="24"/>
      <c r="L2679"/>
    </row>
    <row r="2680" spans="1:12" x14ac:dyDescent="0.25">
      <c r="A2680" s="16"/>
      <c r="D2680" s="16"/>
      <c r="F2680" s="16"/>
      <c r="G2680" s="16"/>
      <c r="H2680" s="24"/>
      <c r="I2680" s="24"/>
      <c r="L2680"/>
    </row>
    <row r="2681" spans="1:12" x14ac:dyDescent="0.25">
      <c r="A2681" s="16"/>
      <c r="D2681" s="16"/>
      <c r="F2681" s="16"/>
      <c r="G2681" s="16"/>
      <c r="H2681" s="24"/>
      <c r="I2681" s="24"/>
      <c r="L2681"/>
    </row>
    <row r="2682" spans="1:12" x14ac:dyDescent="0.25">
      <c r="A2682" s="16"/>
      <c r="D2682" s="16"/>
      <c r="F2682" s="16"/>
      <c r="G2682" s="16"/>
      <c r="H2682" s="24"/>
      <c r="I2682" s="24"/>
      <c r="L2682"/>
    </row>
    <row r="2683" spans="1:12" x14ac:dyDescent="0.25">
      <c r="A2683" s="16"/>
      <c r="D2683" s="16"/>
      <c r="F2683" s="16"/>
      <c r="G2683" s="16"/>
      <c r="H2683" s="24"/>
      <c r="I2683" s="24"/>
      <c r="L2683"/>
    </row>
    <row r="2684" spans="1:12" x14ac:dyDescent="0.25">
      <c r="A2684" s="16"/>
      <c r="D2684" s="16"/>
      <c r="F2684" s="16"/>
      <c r="G2684" s="16"/>
      <c r="H2684" s="24"/>
      <c r="I2684" s="24"/>
      <c r="L2684"/>
    </row>
    <row r="2685" spans="1:12" x14ac:dyDescent="0.25">
      <c r="A2685" s="16"/>
      <c r="D2685" s="16"/>
      <c r="F2685" s="16"/>
      <c r="G2685" s="16"/>
      <c r="H2685" s="24"/>
      <c r="I2685" s="24"/>
      <c r="L2685"/>
    </row>
    <row r="2686" spans="1:12" x14ac:dyDescent="0.25">
      <c r="A2686" s="16"/>
      <c r="D2686" s="16"/>
      <c r="F2686" s="16"/>
      <c r="G2686" s="16"/>
      <c r="H2686" s="24"/>
      <c r="I2686" s="24"/>
      <c r="L2686"/>
    </row>
    <row r="2687" spans="1:12" x14ac:dyDescent="0.25">
      <c r="A2687" s="16"/>
      <c r="D2687" s="16"/>
      <c r="F2687" s="16"/>
      <c r="G2687" s="16"/>
      <c r="H2687" s="24"/>
      <c r="I2687" s="24"/>
      <c r="L2687"/>
    </row>
    <row r="2688" spans="1:12" x14ac:dyDescent="0.25">
      <c r="A2688" s="16"/>
      <c r="D2688" s="16"/>
      <c r="F2688" s="16"/>
      <c r="G2688" s="16"/>
      <c r="H2688" s="24"/>
      <c r="I2688" s="24"/>
      <c r="L2688"/>
    </row>
    <row r="2689" spans="1:12" x14ac:dyDescent="0.25">
      <c r="A2689" s="16"/>
      <c r="D2689" s="16"/>
      <c r="F2689" s="16"/>
      <c r="G2689" s="16"/>
      <c r="H2689" s="24"/>
      <c r="I2689" s="24"/>
      <c r="L2689"/>
    </row>
    <row r="2690" spans="1:12" x14ac:dyDescent="0.25">
      <c r="A2690" s="16"/>
      <c r="D2690" s="16"/>
      <c r="F2690" s="16"/>
      <c r="G2690" s="16"/>
      <c r="H2690" s="24"/>
      <c r="I2690" s="24"/>
      <c r="L2690"/>
    </row>
    <row r="2691" spans="1:12" x14ac:dyDescent="0.25">
      <c r="A2691" s="16"/>
      <c r="D2691" s="16"/>
      <c r="F2691" s="16"/>
      <c r="G2691" s="16"/>
      <c r="H2691" s="24"/>
      <c r="I2691" s="24"/>
      <c r="L2691"/>
    </row>
    <row r="2692" spans="1:12" x14ac:dyDescent="0.25">
      <c r="A2692" s="16"/>
      <c r="D2692" s="16"/>
      <c r="F2692" s="16"/>
      <c r="G2692" s="16"/>
      <c r="H2692" s="24"/>
      <c r="I2692" s="24"/>
      <c r="L2692"/>
    </row>
    <row r="2693" spans="1:12" x14ac:dyDescent="0.25">
      <c r="A2693" s="16"/>
      <c r="D2693" s="16"/>
      <c r="F2693" s="16"/>
      <c r="G2693" s="16"/>
      <c r="H2693" s="24"/>
      <c r="I2693" s="24"/>
      <c r="L2693"/>
    </row>
    <row r="2694" spans="1:12" x14ac:dyDescent="0.25">
      <c r="A2694" s="16"/>
      <c r="D2694" s="16"/>
      <c r="F2694" s="16"/>
      <c r="G2694" s="16"/>
      <c r="H2694" s="24"/>
      <c r="I2694" s="24"/>
      <c r="L2694"/>
    </row>
    <row r="2695" spans="1:12" x14ac:dyDescent="0.25">
      <c r="A2695" s="16"/>
      <c r="D2695" s="16"/>
      <c r="F2695" s="16"/>
      <c r="G2695" s="16"/>
      <c r="H2695" s="24"/>
      <c r="I2695" s="24"/>
      <c r="L2695"/>
    </row>
    <row r="2696" spans="1:12" x14ac:dyDescent="0.25">
      <c r="A2696" s="16"/>
      <c r="D2696" s="16"/>
      <c r="F2696" s="16"/>
      <c r="G2696" s="16"/>
      <c r="H2696" s="24"/>
      <c r="I2696" s="24"/>
      <c r="L2696"/>
    </row>
    <row r="2697" spans="1:12" x14ac:dyDescent="0.25">
      <c r="A2697" s="16"/>
      <c r="D2697" s="16"/>
      <c r="F2697" s="16"/>
      <c r="G2697" s="16"/>
      <c r="H2697" s="24"/>
      <c r="I2697" s="24"/>
      <c r="L2697"/>
    </row>
    <row r="2698" spans="1:12" x14ac:dyDescent="0.25">
      <c r="A2698" s="16"/>
      <c r="D2698" s="16"/>
      <c r="F2698" s="16"/>
      <c r="G2698" s="16"/>
      <c r="H2698" s="24"/>
      <c r="I2698" s="24"/>
      <c r="L2698"/>
    </row>
    <row r="2699" spans="1:12" x14ac:dyDescent="0.25">
      <c r="A2699" s="16"/>
      <c r="D2699" s="16"/>
      <c r="F2699" s="16"/>
      <c r="G2699" s="16"/>
      <c r="H2699" s="24"/>
      <c r="I2699" s="24"/>
      <c r="L2699"/>
    </row>
    <row r="2700" spans="1:12" x14ac:dyDescent="0.25">
      <c r="A2700" s="16"/>
      <c r="D2700" s="16"/>
      <c r="F2700" s="16"/>
      <c r="G2700" s="16"/>
      <c r="H2700" s="24"/>
      <c r="I2700" s="24"/>
      <c r="L2700"/>
    </row>
    <row r="2701" spans="1:12" x14ac:dyDescent="0.25">
      <c r="A2701" s="16"/>
      <c r="D2701" s="16"/>
      <c r="F2701" s="16"/>
      <c r="G2701" s="16"/>
      <c r="H2701" s="24"/>
      <c r="I2701" s="24"/>
      <c r="L2701"/>
    </row>
    <row r="2702" spans="1:12" x14ac:dyDescent="0.25">
      <c r="A2702" s="16"/>
      <c r="D2702" s="16"/>
      <c r="F2702" s="16"/>
      <c r="G2702" s="16"/>
      <c r="H2702" s="24"/>
      <c r="I2702" s="24"/>
      <c r="L2702"/>
    </row>
    <row r="2703" spans="1:12" x14ac:dyDescent="0.25">
      <c r="A2703" s="16"/>
      <c r="D2703" s="16"/>
      <c r="F2703" s="16"/>
      <c r="G2703" s="16"/>
      <c r="H2703" s="24"/>
      <c r="I2703" s="24"/>
      <c r="L2703"/>
    </row>
    <row r="2704" spans="1:12" x14ac:dyDescent="0.25">
      <c r="A2704" s="16"/>
      <c r="D2704" s="16"/>
      <c r="F2704" s="16"/>
      <c r="G2704" s="16"/>
      <c r="H2704" s="24"/>
      <c r="I2704" s="24"/>
      <c r="L2704"/>
    </row>
    <row r="2705" spans="1:12" x14ac:dyDescent="0.25">
      <c r="A2705" s="16"/>
      <c r="D2705" s="16"/>
      <c r="F2705" s="16"/>
      <c r="G2705" s="16"/>
      <c r="H2705" s="24"/>
      <c r="I2705" s="24"/>
      <c r="L2705"/>
    </row>
    <row r="2706" spans="1:12" x14ac:dyDescent="0.25">
      <c r="A2706" s="16"/>
      <c r="D2706" s="16"/>
      <c r="F2706" s="16"/>
      <c r="G2706" s="16"/>
      <c r="H2706" s="24"/>
      <c r="I2706" s="24"/>
      <c r="L2706"/>
    </row>
    <row r="2707" spans="1:12" x14ac:dyDescent="0.25">
      <c r="A2707" s="16"/>
      <c r="D2707" s="16"/>
      <c r="F2707" s="16"/>
      <c r="G2707" s="16"/>
      <c r="H2707" s="24"/>
      <c r="I2707" s="24"/>
      <c r="L2707"/>
    </row>
    <row r="2708" spans="1:12" x14ac:dyDescent="0.25">
      <c r="A2708" s="16"/>
      <c r="D2708" s="16"/>
      <c r="F2708" s="16"/>
      <c r="G2708" s="16"/>
      <c r="H2708" s="24"/>
      <c r="I2708" s="24"/>
      <c r="L2708"/>
    </row>
    <row r="2709" spans="1:12" x14ac:dyDescent="0.25">
      <c r="A2709" s="16"/>
      <c r="D2709" s="16"/>
      <c r="F2709" s="16"/>
      <c r="G2709" s="16"/>
      <c r="H2709" s="24"/>
      <c r="I2709" s="24"/>
      <c r="L2709"/>
    </row>
    <row r="2710" spans="1:12" x14ac:dyDescent="0.25">
      <c r="A2710" s="16"/>
      <c r="D2710" s="16"/>
      <c r="F2710" s="16"/>
      <c r="G2710" s="16"/>
      <c r="H2710" s="24"/>
      <c r="I2710" s="24"/>
      <c r="L2710"/>
    </row>
    <row r="2711" spans="1:12" x14ac:dyDescent="0.25">
      <c r="A2711" s="16"/>
      <c r="D2711" s="16"/>
      <c r="F2711" s="16"/>
      <c r="G2711" s="16"/>
      <c r="H2711" s="24"/>
      <c r="I2711" s="24"/>
      <c r="L2711"/>
    </row>
    <row r="2712" spans="1:12" x14ac:dyDescent="0.25">
      <c r="A2712" s="16"/>
      <c r="D2712" s="16"/>
      <c r="F2712" s="16"/>
      <c r="G2712" s="16"/>
      <c r="H2712" s="24"/>
      <c r="I2712" s="24"/>
      <c r="L2712"/>
    </row>
    <row r="2713" spans="1:12" x14ac:dyDescent="0.25">
      <c r="A2713" s="16"/>
      <c r="D2713" s="16"/>
      <c r="F2713" s="16"/>
      <c r="G2713" s="16"/>
      <c r="H2713" s="24"/>
      <c r="I2713" s="24"/>
      <c r="L2713"/>
    </row>
    <row r="2714" spans="1:12" x14ac:dyDescent="0.25">
      <c r="A2714" s="16"/>
      <c r="D2714" s="16"/>
      <c r="F2714" s="16"/>
      <c r="G2714" s="16"/>
      <c r="H2714" s="24"/>
      <c r="I2714" s="24"/>
      <c r="L2714"/>
    </row>
    <row r="2715" spans="1:12" x14ac:dyDescent="0.25">
      <c r="A2715" s="16"/>
      <c r="D2715" s="16"/>
      <c r="F2715" s="16"/>
      <c r="G2715" s="16"/>
      <c r="H2715" s="24"/>
      <c r="I2715" s="24"/>
      <c r="L2715"/>
    </row>
    <row r="2716" spans="1:12" x14ac:dyDescent="0.25">
      <c r="A2716" s="16"/>
      <c r="D2716" s="16"/>
      <c r="F2716" s="16"/>
      <c r="G2716" s="16"/>
      <c r="H2716" s="24"/>
      <c r="I2716" s="24"/>
      <c r="L2716"/>
    </row>
    <row r="2717" spans="1:12" x14ac:dyDescent="0.25">
      <c r="A2717" s="16"/>
      <c r="D2717" s="16"/>
      <c r="F2717" s="16"/>
      <c r="G2717" s="16"/>
      <c r="H2717" s="24"/>
      <c r="I2717" s="24"/>
      <c r="L2717"/>
    </row>
    <row r="2718" spans="1:12" x14ac:dyDescent="0.25">
      <c r="A2718" s="16"/>
      <c r="D2718" s="16"/>
      <c r="F2718" s="16"/>
      <c r="G2718" s="16"/>
      <c r="H2718" s="24"/>
      <c r="I2718" s="24"/>
      <c r="L2718"/>
    </row>
    <row r="2719" spans="1:12" x14ac:dyDescent="0.25">
      <c r="A2719" s="16"/>
      <c r="D2719" s="16"/>
      <c r="F2719" s="16"/>
      <c r="G2719" s="16"/>
      <c r="H2719" s="24"/>
      <c r="I2719" s="24"/>
      <c r="L2719"/>
    </row>
    <row r="2720" spans="1:12" x14ac:dyDescent="0.25">
      <c r="A2720" s="16"/>
      <c r="D2720" s="16"/>
      <c r="F2720" s="16"/>
      <c r="G2720" s="16"/>
      <c r="H2720" s="24"/>
      <c r="I2720" s="24"/>
      <c r="L2720"/>
    </row>
    <row r="2721" spans="1:12" x14ac:dyDescent="0.25">
      <c r="A2721" s="16"/>
      <c r="D2721" s="16"/>
      <c r="F2721" s="16"/>
      <c r="G2721" s="16"/>
      <c r="H2721" s="24"/>
      <c r="I2721" s="24"/>
      <c r="L2721"/>
    </row>
    <row r="2722" spans="1:12" x14ac:dyDescent="0.25">
      <c r="A2722" s="16"/>
      <c r="D2722" s="16"/>
      <c r="F2722" s="16"/>
      <c r="G2722" s="16"/>
      <c r="H2722" s="24"/>
      <c r="I2722" s="24"/>
      <c r="L2722"/>
    </row>
    <row r="2723" spans="1:12" x14ac:dyDescent="0.25">
      <c r="A2723" s="16"/>
      <c r="D2723" s="16"/>
      <c r="F2723" s="16"/>
      <c r="G2723" s="16"/>
      <c r="H2723" s="24"/>
      <c r="I2723" s="24"/>
      <c r="L2723"/>
    </row>
    <row r="2724" spans="1:12" x14ac:dyDescent="0.25">
      <c r="A2724" s="16"/>
      <c r="D2724" s="16"/>
      <c r="F2724" s="16"/>
      <c r="G2724" s="16"/>
      <c r="H2724" s="24"/>
      <c r="I2724" s="24"/>
      <c r="L2724"/>
    </row>
    <row r="2725" spans="1:12" x14ac:dyDescent="0.25">
      <c r="A2725" s="16"/>
      <c r="D2725" s="16"/>
      <c r="F2725" s="16"/>
      <c r="G2725" s="16"/>
      <c r="H2725" s="24"/>
      <c r="I2725" s="24"/>
      <c r="L2725"/>
    </row>
    <row r="2726" spans="1:12" x14ac:dyDescent="0.25">
      <c r="A2726" s="16"/>
      <c r="D2726" s="16"/>
      <c r="F2726" s="16"/>
      <c r="G2726" s="16"/>
      <c r="H2726" s="24"/>
      <c r="I2726" s="24"/>
      <c r="L2726"/>
    </row>
    <row r="2727" spans="1:12" x14ac:dyDescent="0.25">
      <c r="A2727" s="16"/>
      <c r="D2727" s="16"/>
      <c r="F2727" s="16"/>
      <c r="G2727" s="16"/>
      <c r="H2727" s="24"/>
      <c r="I2727" s="24"/>
      <c r="L2727"/>
    </row>
    <row r="2728" spans="1:12" x14ac:dyDescent="0.25">
      <c r="A2728" s="16"/>
      <c r="D2728" s="16"/>
      <c r="F2728" s="16"/>
      <c r="G2728" s="16"/>
      <c r="H2728" s="24"/>
      <c r="I2728" s="24"/>
      <c r="L2728"/>
    </row>
    <row r="2729" spans="1:12" x14ac:dyDescent="0.25">
      <c r="A2729" s="16"/>
      <c r="D2729" s="16"/>
      <c r="F2729" s="16"/>
      <c r="G2729" s="16"/>
      <c r="H2729" s="24"/>
      <c r="I2729" s="24"/>
      <c r="L2729"/>
    </row>
    <row r="2730" spans="1:12" x14ac:dyDescent="0.25">
      <c r="A2730" s="16"/>
      <c r="D2730" s="16"/>
      <c r="F2730" s="16"/>
      <c r="G2730" s="16"/>
      <c r="H2730" s="24"/>
      <c r="I2730" s="24"/>
      <c r="L2730"/>
    </row>
    <row r="2731" spans="1:12" x14ac:dyDescent="0.25">
      <c r="A2731" s="16"/>
      <c r="D2731" s="16"/>
      <c r="F2731" s="16"/>
      <c r="G2731" s="16"/>
      <c r="H2731" s="24"/>
      <c r="I2731" s="24"/>
      <c r="L2731"/>
    </row>
    <row r="2732" spans="1:12" x14ac:dyDescent="0.25">
      <c r="A2732" s="16"/>
      <c r="D2732" s="16"/>
      <c r="F2732" s="16"/>
      <c r="G2732" s="16"/>
      <c r="H2732" s="24"/>
      <c r="I2732" s="24"/>
      <c r="L2732"/>
    </row>
    <row r="2733" spans="1:12" x14ac:dyDescent="0.25">
      <c r="A2733" s="16"/>
      <c r="D2733" s="16"/>
      <c r="F2733" s="16"/>
      <c r="G2733" s="16"/>
      <c r="H2733" s="24"/>
      <c r="I2733" s="24"/>
      <c r="L2733"/>
    </row>
    <row r="2734" spans="1:12" x14ac:dyDescent="0.25">
      <c r="A2734" s="16"/>
      <c r="D2734" s="16"/>
      <c r="F2734" s="16"/>
      <c r="G2734" s="16"/>
      <c r="H2734" s="24"/>
      <c r="I2734" s="24"/>
      <c r="L2734"/>
    </row>
    <row r="2735" spans="1:12" x14ac:dyDescent="0.25">
      <c r="A2735" s="16"/>
      <c r="D2735" s="16"/>
      <c r="F2735" s="16"/>
      <c r="G2735" s="16"/>
      <c r="H2735" s="24"/>
      <c r="I2735" s="24"/>
      <c r="L2735"/>
    </row>
    <row r="2736" spans="1:12" x14ac:dyDescent="0.25">
      <c r="A2736" s="16"/>
      <c r="D2736" s="16"/>
      <c r="F2736" s="16"/>
      <c r="G2736" s="16"/>
      <c r="H2736" s="24"/>
      <c r="I2736" s="24"/>
      <c r="L2736"/>
    </row>
    <row r="2737" spans="1:12" x14ac:dyDescent="0.25">
      <c r="A2737" s="16"/>
      <c r="D2737" s="16"/>
      <c r="F2737" s="16"/>
      <c r="G2737" s="16"/>
      <c r="H2737" s="24"/>
      <c r="I2737" s="24"/>
      <c r="L2737"/>
    </row>
    <row r="2738" spans="1:12" x14ac:dyDescent="0.25">
      <c r="A2738" s="16"/>
      <c r="D2738" s="16"/>
      <c r="F2738" s="16"/>
      <c r="G2738" s="16"/>
      <c r="H2738" s="24"/>
      <c r="I2738" s="24"/>
      <c r="L2738"/>
    </row>
    <row r="2739" spans="1:12" x14ac:dyDescent="0.25">
      <c r="A2739" s="16"/>
      <c r="D2739" s="16"/>
      <c r="F2739" s="16"/>
      <c r="G2739" s="16"/>
      <c r="H2739" s="24"/>
      <c r="I2739" s="24"/>
      <c r="L2739"/>
    </row>
    <row r="2740" spans="1:12" x14ac:dyDescent="0.25">
      <c r="A2740" s="16"/>
      <c r="D2740" s="16"/>
      <c r="F2740" s="16"/>
      <c r="G2740" s="16"/>
      <c r="H2740" s="24"/>
      <c r="I2740" s="24"/>
      <c r="L2740"/>
    </row>
    <row r="2741" spans="1:12" x14ac:dyDescent="0.25">
      <c r="A2741" s="16"/>
      <c r="D2741" s="16"/>
      <c r="F2741" s="16"/>
      <c r="G2741" s="16"/>
      <c r="H2741" s="24"/>
      <c r="I2741" s="24"/>
      <c r="L2741"/>
    </row>
    <row r="2742" spans="1:12" x14ac:dyDescent="0.25">
      <c r="A2742" s="16"/>
      <c r="D2742" s="16"/>
      <c r="F2742" s="16"/>
      <c r="G2742" s="16"/>
      <c r="H2742" s="24"/>
      <c r="I2742" s="24"/>
      <c r="L2742"/>
    </row>
    <row r="2743" spans="1:12" x14ac:dyDescent="0.25">
      <c r="A2743" s="16"/>
      <c r="D2743" s="16"/>
      <c r="F2743" s="16"/>
      <c r="G2743" s="16"/>
      <c r="H2743" s="24"/>
      <c r="I2743" s="24"/>
      <c r="L2743"/>
    </row>
    <row r="2744" spans="1:12" x14ac:dyDescent="0.25">
      <c r="A2744" s="16"/>
      <c r="D2744" s="16"/>
      <c r="F2744" s="16"/>
      <c r="G2744" s="16"/>
      <c r="H2744" s="24"/>
      <c r="I2744" s="24"/>
      <c r="L2744"/>
    </row>
    <row r="2745" spans="1:12" x14ac:dyDescent="0.25">
      <c r="A2745" s="16"/>
      <c r="D2745" s="16"/>
      <c r="F2745" s="16"/>
      <c r="G2745" s="16"/>
      <c r="H2745" s="24"/>
      <c r="I2745" s="24"/>
      <c r="L2745"/>
    </row>
    <row r="2746" spans="1:12" x14ac:dyDescent="0.25">
      <c r="A2746" s="16"/>
      <c r="D2746" s="16"/>
      <c r="F2746" s="16"/>
      <c r="G2746" s="16"/>
      <c r="H2746" s="24"/>
      <c r="I2746" s="24"/>
      <c r="L2746"/>
    </row>
    <row r="2747" spans="1:12" x14ac:dyDescent="0.25">
      <c r="A2747" s="16"/>
      <c r="D2747" s="16"/>
      <c r="F2747" s="16"/>
      <c r="G2747" s="16"/>
      <c r="H2747" s="24"/>
      <c r="I2747" s="24"/>
      <c r="L2747"/>
    </row>
    <row r="2748" spans="1:12" x14ac:dyDescent="0.25">
      <c r="A2748" s="16"/>
      <c r="D2748" s="16"/>
      <c r="F2748" s="16"/>
      <c r="G2748" s="16"/>
      <c r="H2748" s="24"/>
      <c r="I2748" s="24"/>
      <c r="L2748"/>
    </row>
    <row r="2749" spans="1:12" x14ac:dyDescent="0.25">
      <c r="A2749" s="16"/>
      <c r="D2749" s="16"/>
      <c r="F2749" s="16"/>
      <c r="G2749" s="16"/>
      <c r="H2749" s="24"/>
      <c r="I2749" s="24"/>
      <c r="L2749"/>
    </row>
    <row r="2750" spans="1:12" x14ac:dyDescent="0.25">
      <c r="A2750" s="16"/>
      <c r="D2750" s="16"/>
      <c r="F2750" s="16"/>
      <c r="G2750" s="16"/>
      <c r="H2750" s="24"/>
      <c r="I2750" s="24"/>
      <c r="L2750"/>
    </row>
    <row r="2751" spans="1:12" x14ac:dyDescent="0.25">
      <c r="A2751" s="16"/>
      <c r="D2751" s="16"/>
      <c r="F2751" s="16"/>
      <c r="G2751" s="16"/>
      <c r="H2751" s="24"/>
      <c r="I2751" s="24"/>
      <c r="L2751"/>
    </row>
    <row r="2752" spans="1:12" x14ac:dyDescent="0.25">
      <c r="A2752" s="16"/>
      <c r="D2752" s="16"/>
      <c r="F2752" s="16"/>
      <c r="G2752" s="16"/>
      <c r="H2752" s="24"/>
      <c r="I2752" s="24"/>
      <c r="L2752"/>
    </row>
    <row r="2753" spans="1:12" x14ac:dyDescent="0.25">
      <c r="A2753" s="16"/>
      <c r="D2753" s="16"/>
      <c r="F2753" s="16"/>
      <c r="G2753" s="16"/>
      <c r="H2753" s="24"/>
      <c r="I2753" s="24"/>
      <c r="L2753"/>
    </row>
    <row r="2754" spans="1:12" x14ac:dyDescent="0.25">
      <c r="A2754" s="16"/>
      <c r="D2754" s="16"/>
      <c r="F2754" s="16"/>
      <c r="G2754" s="16"/>
      <c r="H2754" s="24"/>
      <c r="I2754" s="24"/>
      <c r="L2754"/>
    </row>
    <row r="2755" spans="1:12" x14ac:dyDescent="0.25">
      <c r="A2755" s="16"/>
      <c r="D2755" s="16"/>
      <c r="F2755" s="16"/>
      <c r="G2755" s="16"/>
      <c r="H2755" s="24"/>
      <c r="I2755" s="24"/>
      <c r="L2755"/>
    </row>
    <row r="2756" spans="1:12" x14ac:dyDescent="0.25">
      <c r="A2756" s="16"/>
      <c r="D2756" s="16"/>
      <c r="F2756" s="16"/>
      <c r="G2756" s="16"/>
      <c r="H2756" s="24"/>
      <c r="I2756" s="24"/>
      <c r="L2756"/>
    </row>
    <row r="2757" spans="1:12" x14ac:dyDescent="0.25">
      <c r="A2757" s="16"/>
      <c r="D2757" s="16"/>
      <c r="F2757" s="16"/>
      <c r="G2757" s="16"/>
      <c r="H2757" s="24"/>
      <c r="I2757" s="24"/>
      <c r="L2757"/>
    </row>
    <row r="2758" spans="1:12" x14ac:dyDescent="0.25">
      <c r="A2758" s="16"/>
      <c r="D2758" s="16"/>
      <c r="F2758" s="16"/>
      <c r="G2758" s="16"/>
      <c r="H2758" s="24"/>
      <c r="I2758" s="24"/>
      <c r="L2758"/>
    </row>
    <row r="2759" spans="1:12" x14ac:dyDescent="0.25">
      <c r="A2759" s="16"/>
      <c r="D2759" s="16"/>
      <c r="F2759" s="16"/>
      <c r="G2759" s="16"/>
      <c r="H2759" s="24"/>
      <c r="I2759" s="24"/>
      <c r="L2759"/>
    </row>
    <row r="2760" spans="1:12" x14ac:dyDescent="0.25">
      <c r="A2760" s="16"/>
      <c r="D2760" s="16"/>
      <c r="F2760" s="16"/>
      <c r="G2760" s="16"/>
      <c r="H2760" s="24"/>
      <c r="I2760" s="24"/>
      <c r="L2760"/>
    </row>
    <row r="2761" spans="1:12" x14ac:dyDescent="0.25">
      <c r="A2761" s="16"/>
      <c r="D2761" s="16"/>
      <c r="F2761" s="16"/>
      <c r="G2761" s="16"/>
      <c r="H2761" s="24"/>
      <c r="I2761" s="24"/>
      <c r="L2761"/>
    </row>
    <row r="2762" spans="1:12" x14ac:dyDescent="0.25">
      <c r="A2762" s="16"/>
      <c r="D2762" s="16"/>
      <c r="F2762" s="16"/>
      <c r="G2762" s="16"/>
      <c r="H2762" s="24"/>
      <c r="I2762" s="24"/>
      <c r="L2762"/>
    </row>
    <row r="2763" spans="1:12" x14ac:dyDescent="0.25">
      <c r="A2763" s="16"/>
      <c r="D2763" s="16"/>
      <c r="F2763" s="16"/>
      <c r="G2763" s="16"/>
      <c r="H2763" s="24"/>
      <c r="I2763" s="24"/>
      <c r="L2763"/>
    </row>
    <row r="2764" spans="1:12" x14ac:dyDescent="0.25">
      <c r="A2764" s="16"/>
      <c r="D2764" s="16"/>
      <c r="F2764" s="16"/>
      <c r="G2764" s="16"/>
      <c r="H2764" s="24"/>
      <c r="I2764" s="24"/>
      <c r="L2764"/>
    </row>
    <row r="2765" spans="1:12" x14ac:dyDescent="0.25">
      <c r="A2765" s="16"/>
      <c r="D2765" s="16"/>
      <c r="F2765" s="16"/>
      <c r="G2765" s="16"/>
      <c r="H2765" s="24"/>
      <c r="I2765" s="24"/>
      <c r="L2765"/>
    </row>
    <row r="2766" spans="1:12" x14ac:dyDescent="0.25">
      <c r="A2766" s="16"/>
      <c r="D2766" s="16"/>
      <c r="F2766" s="16"/>
      <c r="G2766" s="16"/>
      <c r="H2766" s="24"/>
      <c r="I2766" s="24"/>
      <c r="L2766"/>
    </row>
    <row r="2767" spans="1:12" x14ac:dyDescent="0.25">
      <c r="A2767" s="16"/>
      <c r="D2767" s="16"/>
      <c r="F2767" s="16"/>
      <c r="G2767" s="16"/>
      <c r="H2767" s="24"/>
      <c r="I2767" s="24"/>
      <c r="L2767"/>
    </row>
    <row r="2768" spans="1:12" x14ac:dyDescent="0.25">
      <c r="A2768" s="16"/>
      <c r="D2768" s="16"/>
      <c r="F2768" s="16"/>
      <c r="G2768" s="16"/>
      <c r="H2768" s="24"/>
      <c r="I2768" s="24"/>
      <c r="L2768"/>
    </row>
    <row r="2769" spans="1:12" x14ac:dyDescent="0.25">
      <c r="A2769" s="16"/>
      <c r="D2769" s="16"/>
      <c r="F2769" s="16"/>
      <c r="G2769" s="16"/>
      <c r="H2769" s="24"/>
      <c r="I2769" s="24"/>
      <c r="L2769"/>
    </row>
    <row r="2770" spans="1:12" x14ac:dyDescent="0.25">
      <c r="A2770" s="16"/>
      <c r="D2770" s="16"/>
      <c r="F2770" s="16"/>
      <c r="G2770" s="16"/>
      <c r="H2770" s="24"/>
      <c r="I2770" s="24"/>
      <c r="L2770"/>
    </row>
    <row r="2771" spans="1:12" x14ac:dyDescent="0.25">
      <c r="A2771" s="16"/>
      <c r="D2771" s="16"/>
      <c r="F2771" s="16"/>
      <c r="G2771" s="16"/>
      <c r="H2771" s="24"/>
      <c r="I2771" s="24"/>
      <c r="L2771"/>
    </row>
    <row r="2772" spans="1:12" x14ac:dyDescent="0.25">
      <c r="A2772" s="16"/>
      <c r="D2772" s="16"/>
      <c r="F2772" s="16"/>
      <c r="G2772" s="16"/>
      <c r="H2772" s="24"/>
      <c r="I2772" s="24"/>
      <c r="L2772"/>
    </row>
    <row r="2773" spans="1:12" x14ac:dyDescent="0.25">
      <c r="A2773" s="16"/>
      <c r="D2773" s="16"/>
      <c r="F2773" s="16"/>
      <c r="G2773" s="16"/>
      <c r="H2773" s="24"/>
      <c r="I2773" s="24"/>
      <c r="L2773"/>
    </row>
    <row r="2774" spans="1:12" x14ac:dyDescent="0.25">
      <c r="A2774" s="16"/>
      <c r="D2774" s="16"/>
      <c r="F2774" s="16"/>
      <c r="G2774" s="16"/>
      <c r="H2774" s="24"/>
      <c r="I2774" s="24"/>
      <c r="L2774"/>
    </row>
    <row r="2775" spans="1:12" x14ac:dyDescent="0.25">
      <c r="A2775" s="16"/>
      <c r="D2775" s="16"/>
      <c r="F2775" s="16"/>
      <c r="G2775" s="16"/>
      <c r="H2775" s="24"/>
      <c r="I2775" s="24"/>
      <c r="L2775"/>
    </row>
    <row r="2776" spans="1:12" x14ac:dyDescent="0.25">
      <c r="A2776" s="16"/>
      <c r="D2776" s="16"/>
      <c r="F2776" s="16"/>
      <c r="G2776" s="16"/>
      <c r="H2776" s="24"/>
      <c r="I2776" s="24"/>
      <c r="L2776"/>
    </row>
    <row r="2777" spans="1:12" x14ac:dyDescent="0.25">
      <c r="A2777" s="16"/>
      <c r="D2777" s="16"/>
      <c r="F2777" s="16"/>
      <c r="G2777" s="16"/>
      <c r="H2777" s="24"/>
      <c r="I2777" s="24"/>
      <c r="L2777"/>
    </row>
    <row r="2778" spans="1:12" x14ac:dyDescent="0.25">
      <c r="A2778" s="16"/>
      <c r="D2778" s="16"/>
      <c r="F2778" s="16"/>
      <c r="G2778" s="16"/>
      <c r="H2778" s="24"/>
      <c r="I2778" s="24"/>
      <c r="L2778"/>
    </row>
    <row r="2779" spans="1:12" x14ac:dyDescent="0.25">
      <c r="A2779" s="16"/>
      <c r="D2779" s="16"/>
      <c r="F2779" s="16"/>
      <c r="G2779" s="16"/>
      <c r="H2779" s="24"/>
      <c r="I2779" s="24"/>
      <c r="L2779"/>
    </row>
    <row r="2780" spans="1:12" x14ac:dyDescent="0.25">
      <c r="A2780" s="16"/>
      <c r="D2780" s="16"/>
      <c r="F2780" s="16"/>
      <c r="G2780" s="16"/>
      <c r="H2780" s="24"/>
      <c r="I2780" s="24"/>
      <c r="L2780"/>
    </row>
    <row r="2781" spans="1:12" x14ac:dyDescent="0.25">
      <c r="A2781" s="16"/>
      <c r="D2781" s="16"/>
      <c r="F2781" s="16"/>
      <c r="G2781" s="16"/>
      <c r="H2781" s="24"/>
      <c r="I2781" s="24"/>
      <c r="L2781"/>
    </row>
    <row r="2782" spans="1:12" x14ac:dyDescent="0.25">
      <c r="A2782" s="16"/>
      <c r="D2782" s="16"/>
      <c r="F2782" s="16"/>
      <c r="G2782" s="16"/>
      <c r="H2782" s="24"/>
      <c r="I2782" s="24"/>
      <c r="L2782"/>
    </row>
    <row r="2783" spans="1:12" x14ac:dyDescent="0.25">
      <c r="A2783" s="16"/>
      <c r="D2783" s="16"/>
      <c r="F2783" s="16"/>
      <c r="G2783" s="16"/>
      <c r="H2783" s="24"/>
      <c r="I2783" s="24"/>
      <c r="L2783"/>
    </row>
    <row r="2784" spans="1:12" x14ac:dyDescent="0.25">
      <c r="A2784" s="16"/>
      <c r="D2784" s="16"/>
      <c r="F2784" s="16"/>
      <c r="G2784" s="16"/>
      <c r="H2784" s="24"/>
      <c r="I2784" s="24"/>
      <c r="L2784"/>
    </row>
    <row r="2785" spans="1:12" x14ac:dyDescent="0.25">
      <c r="A2785" s="16"/>
      <c r="D2785" s="16"/>
      <c r="F2785" s="16"/>
      <c r="G2785" s="16"/>
      <c r="H2785" s="24"/>
      <c r="I2785" s="24"/>
      <c r="L2785"/>
    </row>
    <row r="2786" spans="1:12" x14ac:dyDescent="0.25">
      <c r="A2786" s="16"/>
      <c r="D2786" s="16"/>
      <c r="F2786" s="16"/>
      <c r="G2786" s="16"/>
      <c r="H2786" s="24"/>
      <c r="I2786" s="24"/>
      <c r="L2786"/>
    </row>
    <row r="2787" spans="1:12" x14ac:dyDescent="0.25">
      <c r="A2787" s="16"/>
      <c r="D2787" s="16"/>
      <c r="F2787" s="16"/>
      <c r="G2787" s="16"/>
      <c r="H2787" s="24"/>
      <c r="I2787" s="24"/>
      <c r="L2787"/>
    </row>
    <row r="2788" spans="1:12" x14ac:dyDescent="0.25">
      <c r="A2788" s="16"/>
      <c r="D2788" s="16"/>
      <c r="F2788" s="16"/>
      <c r="G2788" s="16"/>
      <c r="H2788" s="24"/>
      <c r="I2788" s="24"/>
      <c r="L2788"/>
    </row>
    <row r="2789" spans="1:12" x14ac:dyDescent="0.25">
      <c r="A2789" s="16"/>
      <c r="D2789" s="16"/>
      <c r="F2789" s="16"/>
      <c r="G2789" s="16"/>
      <c r="H2789" s="24"/>
      <c r="I2789" s="24"/>
      <c r="L2789"/>
    </row>
    <row r="2790" spans="1:12" x14ac:dyDescent="0.25">
      <c r="A2790" s="16"/>
      <c r="D2790" s="16"/>
      <c r="F2790" s="16"/>
      <c r="G2790" s="16"/>
      <c r="H2790" s="24"/>
      <c r="I2790" s="24"/>
      <c r="L2790"/>
    </row>
    <row r="2791" spans="1:12" x14ac:dyDescent="0.25">
      <c r="A2791" s="16"/>
      <c r="D2791" s="16"/>
      <c r="F2791" s="16"/>
      <c r="G2791" s="16"/>
      <c r="H2791" s="24"/>
      <c r="I2791" s="24"/>
      <c r="L2791"/>
    </row>
    <row r="2792" spans="1:12" x14ac:dyDescent="0.25">
      <c r="A2792" s="16"/>
      <c r="D2792" s="16"/>
      <c r="F2792" s="16"/>
      <c r="G2792" s="16"/>
      <c r="H2792" s="24"/>
      <c r="I2792" s="24"/>
      <c r="L2792"/>
    </row>
    <row r="2793" spans="1:12" x14ac:dyDescent="0.25">
      <c r="A2793" s="16"/>
      <c r="D2793" s="16"/>
      <c r="F2793" s="16"/>
      <c r="G2793" s="16"/>
      <c r="H2793" s="24"/>
      <c r="I2793" s="24"/>
      <c r="L2793"/>
    </row>
    <row r="2794" spans="1:12" x14ac:dyDescent="0.25">
      <c r="A2794" s="16"/>
      <c r="D2794" s="16"/>
      <c r="F2794" s="16"/>
      <c r="G2794" s="16"/>
      <c r="H2794" s="24"/>
      <c r="I2794" s="24"/>
      <c r="L2794"/>
    </row>
    <row r="2795" spans="1:12" x14ac:dyDescent="0.25">
      <c r="A2795" s="16"/>
      <c r="D2795" s="16"/>
      <c r="F2795" s="16"/>
      <c r="G2795" s="16"/>
      <c r="H2795" s="24"/>
      <c r="I2795" s="24"/>
      <c r="L2795"/>
    </row>
    <row r="2796" spans="1:12" x14ac:dyDescent="0.25">
      <c r="A2796" s="16"/>
      <c r="D2796" s="16"/>
      <c r="F2796" s="16"/>
      <c r="G2796" s="16"/>
      <c r="H2796" s="24"/>
      <c r="I2796" s="24"/>
      <c r="L2796"/>
    </row>
    <row r="2797" spans="1:12" x14ac:dyDescent="0.25">
      <c r="A2797" s="16"/>
      <c r="D2797" s="16"/>
      <c r="F2797" s="16"/>
      <c r="G2797" s="16"/>
      <c r="H2797" s="24"/>
      <c r="I2797" s="24"/>
      <c r="L2797"/>
    </row>
    <row r="2798" spans="1:12" x14ac:dyDescent="0.25">
      <c r="A2798" s="16"/>
      <c r="D2798" s="16"/>
      <c r="F2798" s="16"/>
      <c r="G2798" s="16"/>
      <c r="H2798" s="24"/>
      <c r="I2798" s="24"/>
      <c r="L2798"/>
    </row>
    <row r="2799" spans="1:12" x14ac:dyDescent="0.25">
      <c r="A2799" s="16"/>
      <c r="D2799" s="16"/>
      <c r="F2799" s="16"/>
      <c r="G2799" s="16"/>
      <c r="H2799" s="24"/>
      <c r="I2799" s="24"/>
      <c r="L2799"/>
    </row>
    <row r="2800" spans="1:12" x14ac:dyDescent="0.25">
      <c r="A2800" s="16"/>
      <c r="D2800" s="16"/>
      <c r="F2800" s="16"/>
      <c r="G2800" s="16"/>
      <c r="H2800" s="24"/>
      <c r="I2800" s="24"/>
      <c r="L2800"/>
    </row>
    <row r="2801" spans="1:12" x14ac:dyDescent="0.25">
      <c r="A2801" s="16"/>
      <c r="D2801" s="16"/>
      <c r="F2801" s="16"/>
      <c r="G2801" s="16"/>
      <c r="H2801" s="24"/>
      <c r="I2801" s="24"/>
      <c r="L2801"/>
    </row>
    <row r="2802" spans="1:12" x14ac:dyDescent="0.25">
      <c r="A2802" s="16"/>
      <c r="D2802" s="16"/>
      <c r="F2802" s="16"/>
      <c r="G2802" s="16"/>
      <c r="H2802" s="24"/>
      <c r="I2802" s="24"/>
      <c r="L2802"/>
    </row>
    <row r="2803" spans="1:12" x14ac:dyDescent="0.25">
      <c r="A2803" s="16"/>
      <c r="D2803" s="16"/>
      <c r="F2803" s="16"/>
      <c r="G2803" s="16"/>
      <c r="H2803" s="24"/>
      <c r="I2803" s="24"/>
      <c r="L2803"/>
    </row>
    <row r="2804" spans="1:12" x14ac:dyDescent="0.25">
      <c r="A2804" s="16"/>
      <c r="D2804" s="16"/>
      <c r="F2804" s="16"/>
      <c r="G2804" s="16"/>
      <c r="H2804" s="24"/>
      <c r="I2804" s="24"/>
      <c r="L2804"/>
    </row>
    <row r="2805" spans="1:12" x14ac:dyDescent="0.25">
      <c r="A2805" s="16"/>
      <c r="D2805" s="16"/>
      <c r="F2805" s="16"/>
      <c r="G2805" s="16"/>
      <c r="H2805" s="24"/>
      <c r="I2805" s="24"/>
      <c r="L2805"/>
    </row>
    <row r="2806" spans="1:12" x14ac:dyDescent="0.25">
      <c r="A2806" s="16"/>
      <c r="D2806" s="16"/>
      <c r="F2806" s="16"/>
      <c r="G2806" s="16"/>
      <c r="H2806" s="24"/>
      <c r="I2806" s="24"/>
      <c r="L2806"/>
    </row>
    <row r="2807" spans="1:12" x14ac:dyDescent="0.25">
      <c r="A2807" s="16"/>
      <c r="D2807" s="16"/>
      <c r="F2807" s="16"/>
      <c r="G2807" s="16"/>
      <c r="H2807" s="24"/>
      <c r="I2807" s="24"/>
      <c r="L2807"/>
    </row>
    <row r="2808" spans="1:12" x14ac:dyDescent="0.25">
      <c r="A2808" s="16"/>
      <c r="D2808" s="16"/>
      <c r="F2808" s="16"/>
      <c r="G2808" s="16"/>
      <c r="H2808" s="24"/>
      <c r="I2808" s="24"/>
      <c r="L2808"/>
    </row>
    <row r="2809" spans="1:12" x14ac:dyDescent="0.25">
      <c r="A2809" s="16"/>
      <c r="D2809" s="16"/>
      <c r="F2809" s="16"/>
      <c r="G2809" s="16"/>
      <c r="H2809" s="24"/>
      <c r="I2809" s="24"/>
      <c r="L2809"/>
    </row>
    <row r="2810" spans="1:12" x14ac:dyDescent="0.25">
      <c r="A2810" s="16"/>
      <c r="D2810" s="16"/>
      <c r="F2810" s="16"/>
      <c r="G2810" s="16"/>
      <c r="H2810" s="24"/>
      <c r="I2810" s="24"/>
      <c r="L2810"/>
    </row>
    <row r="2811" spans="1:12" x14ac:dyDescent="0.25">
      <c r="A2811" s="16"/>
      <c r="D2811" s="16"/>
      <c r="F2811" s="16"/>
      <c r="G2811" s="16"/>
      <c r="H2811" s="24"/>
      <c r="I2811" s="24"/>
      <c r="L2811"/>
    </row>
    <row r="2812" spans="1:12" x14ac:dyDescent="0.25">
      <c r="A2812" s="16"/>
      <c r="D2812" s="16"/>
      <c r="F2812" s="16"/>
      <c r="G2812" s="16"/>
      <c r="H2812" s="24"/>
      <c r="I2812" s="24"/>
      <c r="L2812"/>
    </row>
    <row r="2813" spans="1:12" x14ac:dyDescent="0.25">
      <c r="A2813" s="16"/>
      <c r="D2813" s="16"/>
      <c r="F2813" s="16"/>
      <c r="G2813" s="16"/>
      <c r="H2813" s="24"/>
      <c r="I2813" s="24"/>
      <c r="L2813"/>
    </row>
    <row r="2814" spans="1:12" x14ac:dyDescent="0.25">
      <c r="A2814" s="16"/>
      <c r="D2814" s="16"/>
      <c r="F2814" s="16"/>
      <c r="G2814" s="16"/>
      <c r="H2814" s="24"/>
      <c r="I2814" s="24"/>
      <c r="L2814"/>
    </row>
    <row r="2815" spans="1:12" x14ac:dyDescent="0.25">
      <c r="A2815" s="16"/>
      <c r="D2815" s="16"/>
      <c r="F2815" s="16"/>
      <c r="G2815" s="16"/>
      <c r="H2815" s="24"/>
      <c r="I2815" s="24"/>
      <c r="L2815"/>
    </row>
    <row r="2816" spans="1:12" x14ac:dyDescent="0.25">
      <c r="A2816" s="16"/>
      <c r="D2816" s="16"/>
      <c r="F2816" s="16"/>
      <c r="G2816" s="16"/>
      <c r="H2816" s="24"/>
      <c r="I2816" s="24"/>
      <c r="L2816"/>
    </row>
    <row r="2817" spans="1:12" x14ac:dyDescent="0.25">
      <c r="A2817" s="16"/>
      <c r="D2817" s="16"/>
      <c r="F2817" s="16"/>
      <c r="G2817" s="16"/>
      <c r="H2817" s="24"/>
      <c r="I2817" s="24"/>
      <c r="L2817"/>
    </row>
    <row r="2818" spans="1:12" x14ac:dyDescent="0.25">
      <c r="A2818" s="16"/>
      <c r="D2818" s="16"/>
      <c r="F2818" s="16"/>
      <c r="G2818" s="16"/>
      <c r="H2818" s="24"/>
      <c r="I2818" s="24"/>
      <c r="L2818"/>
    </row>
    <row r="2819" spans="1:12" x14ac:dyDescent="0.25">
      <c r="A2819" s="16"/>
      <c r="D2819" s="16"/>
      <c r="F2819" s="16"/>
      <c r="G2819" s="16"/>
      <c r="H2819" s="24"/>
      <c r="I2819" s="24"/>
      <c r="L2819"/>
    </row>
    <row r="2820" spans="1:12" x14ac:dyDescent="0.25">
      <c r="A2820" s="16"/>
      <c r="D2820" s="16"/>
      <c r="F2820" s="16"/>
      <c r="G2820" s="16"/>
      <c r="H2820" s="24"/>
      <c r="I2820" s="24"/>
      <c r="L2820"/>
    </row>
    <row r="2821" spans="1:12" x14ac:dyDescent="0.25">
      <c r="A2821" s="16"/>
      <c r="D2821" s="16"/>
      <c r="F2821" s="16"/>
      <c r="G2821" s="16"/>
      <c r="H2821" s="24"/>
      <c r="I2821" s="24"/>
      <c r="L2821"/>
    </row>
    <row r="2822" spans="1:12" x14ac:dyDescent="0.25">
      <c r="A2822" s="16"/>
      <c r="D2822" s="16"/>
      <c r="F2822" s="16"/>
      <c r="G2822" s="16"/>
      <c r="H2822" s="24"/>
      <c r="I2822" s="24"/>
      <c r="L2822"/>
    </row>
    <row r="2823" spans="1:12" x14ac:dyDescent="0.25">
      <c r="A2823" s="16"/>
      <c r="D2823" s="16"/>
      <c r="F2823" s="16"/>
      <c r="G2823" s="16"/>
      <c r="H2823" s="24"/>
      <c r="I2823" s="24"/>
      <c r="L2823"/>
    </row>
    <row r="2824" spans="1:12" x14ac:dyDescent="0.25">
      <c r="A2824" s="16"/>
      <c r="D2824" s="16"/>
      <c r="F2824" s="16"/>
      <c r="G2824" s="16"/>
      <c r="H2824" s="24"/>
      <c r="I2824" s="24"/>
      <c r="L2824"/>
    </row>
    <row r="2825" spans="1:12" x14ac:dyDescent="0.25">
      <c r="A2825" s="16"/>
      <c r="D2825" s="16"/>
      <c r="F2825" s="16"/>
      <c r="G2825" s="16"/>
      <c r="H2825" s="24"/>
      <c r="I2825" s="24"/>
      <c r="L2825"/>
    </row>
    <row r="2826" spans="1:12" x14ac:dyDescent="0.25">
      <c r="A2826" s="16"/>
      <c r="D2826" s="16"/>
      <c r="F2826" s="16"/>
      <c r="G2826" s="16"/>
      <c r="H2826" s="24"/>
      <c r="I2826" s="24"/>
      <c r="L2826"/>
    </row>
    <row r="2827" spans="1:12" x14ac:dyDescent="0.25">
      <c r="A2827" s="16"/>
      <c r="D2827" s="16"/>
      <c r="F2827" s="16"/>
      <c r="G2827" s="16"/>
      <c r="H2827" s="24"/>
      <c r="I2827" s="24"/>
      <c r="L2827"/>
    </row>
    <row r="2828" spans="1:12" x14ac:dyDescent="0.25">
      <c r="A2828" s="16"/>
      <c r="D2828" s="16"/>
      <c r="F2828" s="16"/>
      <c r="G2828" s="16"/>
      <c r="H2828" s="24"/>
      <c r="I2828" s="24"/>
      <c r="L2828"/>
    </row>
    <row r="2829" spans="1:12" x14ac:dyDescent="0.25">
      <c r="A2829" s="16"/>
      <c r="D2829" s="16"/>
      <c r="F2829" s="16"/>
      <c r="G2829" s="16"/>
      <c r="H2829" s="24"/>
      <c r="I2829" s="24"/>
      <c r="L2829"/>
    </row>
    <row r="2830" spans="1:12" x14ac:dyDescent="0.25">
      <c r="A2830" s="16"/>
      <c r="D2830" s="16"/>
      <c r="F2830" s="16"/>
      <c r="G2830" s="16"/>
      <c r="H2830" s="24"/>
      <c r="I2830" s="24"/>
      <c r="L2830"/>
    </row>
    <row r="2831" spans="1:12" x14ac:dyDescent="0.25">
      <c r="A2831" s="16"/>
      <c r="D2831" s="16"/>
      <c r="F2831" s="16"/>
      <c r="G2831" s="16"/>
      <c r="H2831" s="24"/>
      <c r="I2831" s="24"/>
      <c r="L2831"/>
    </row>
    <row r="2832" spans="1:12" x14ac:dyDescent="0.25">
      <c r="A2832" s="16"/>
      <c r="D2832" s="16"/>
      <c r="F2832" s="16"/>
      <c r="G2832" s="16"/>
      <c r="H2832" s="24"/>
      <c r="I2832" s="24"/>
      <c r="L2832"/>
    </row>
    <row r="2833" spans="1:12" x14ac:dyDescent="0.25">
      <c r="A2833" s="16"/>
      <c r="D2833" s="16"/>
      <c r="F2833" s="16"/>
      <c r="G2833" s="16"/>
      <c r="H2833" s="24"/>
      <c r="I2833" s="24"/>
      <c r="L2833"/>
    </row>
    <row r="2834" spans="1:12" x14ac:dyDescent="0.25">
      <c r="A2834" s="16"/>
      <c r="D2834" s="16"/>
      <c r="F2834" s="16"/>
      <c r="G2834" s="16"/>
      <c r="H2834" s="24"/>
      <c r="I2834" s="24"/>
      <c r="L2834"/>
    </row>
    <row r="2835" spans="1:12" x14ac:dyDescent="0.25">
      <c r="A2835" s="16"/>
      <c r="D2835" s="16"/>
      <c r="F2835" s="16"/>
      <c r="G2835" s="16"/>
      <c r="H2835" s="24"/>
      <c r="I2835" s="24"/>
      <c r="L2835"/>
    </row>
    <row r="2836" spans="1:12" x14ac:dyDescent="0.25">
      <c r="A2836" s="16"/>
      <c r="D2836" s="16"/>
      <c r="F2836" s="16"/>
      <c r="G2836" s="16"/>
      <c r="H2836" s="24"/>
      <c r="I2836" s="24"/>
      <c r="L2836"/>
    </row>
    <row r="2837" spans="1:12" x14ac:dyDescent="0.25">
      <c r="A2837" s="16"/>
      <c r="D2837" s="16"/>
      <c r="F2837" s="16"/>
      <c r="G2837" s="16"/>
      <c r="H2837" s="24"/>
      <c r="I2837" s="24"/>
      <c r="L2837"/>
    </row>
    <row r="2838" spans="1:12" x14ac:dyDescent="0.25">
      <c r="A2838" s="16"/>
      <c r="D2838" s="16"/>
      <c r="F2838" s="16"/>
      <c r="G2838" s="16"/>
      <c r="H2838" s="24"/>
      <c r="I2838" s="24"/>
      <c r="L2838"/>
    </row>
    <row r="2839" spans="1:12" x14ac:dyDescent="0.25">
      <c r="A2839" s="16"/>
      <c r="D2839" s="16"/>
      <c r="F2839" s="16"/>
      <c r="G2839" s="16"/>
      <c r="H2839" s="24"/>
      <c r="I2839" s="24"/>
      <c r="L2839"/>
    </row>
    <row r="2840" spans="1:12" x14ac:dyDescent="0.25">
      <c r="A2840" s="16"/>
      <c r="D2840" s="16"/>
      <c r="F2840" s="16"/>
      <c r="G2840" s="16"/>
      <c r="H2840" s="24"/>
      <c r="I2840" s="24"/>
      <c r="L2840"/>
    </row>
    <row r="2841" spans="1:12" x14ac:dyDescent="0.25">
      <c r="A2841" s="16"/>
      <c r="D2841" s="16"/>
      <c r="F2841" s="16"/>
      <c r="G2841" s="16"/>
      <c r="H2841" s="24"/>
      <c r="I2841" s="24"/>
      <c r="L2841"/>
    </row>
    <row r="2842" spans="1:12" x14ac:dyDescent="0.25">
      <c r="A2842" s="16"/>
      <c r="D2842" s="16"/>
      <c r="F2842" s="16"/>
      <c r="G2842" s="16"/>
      <c r="H2842" s="24"/>
      <c r="I2842" s="24"/>
      <c r="L2842"/>
    </row>
    <row r="2843" spans="1:12" x14ac:dyDescent="0.25">
      <c r="A2843" s="16"/>
      <c r="D2843" s="16"/>
      <c r="F2843" s="16"/>
      <c r="G2843" s="16"/>
      <c r="H2843" s="24"/>
      <c r="I2843" s="24"/>
      <c r="L2843"/>
    </row>
    <row r="2844" spans="1:12" x14ac:dyDescent="0.25">
      <c r="A2844" s="16"/>
      <c r="D2844" s="16"/>
      <c r="F2844" s="16"/>
      <c r="G2844" s="16"/>
      <c r="H2844" s="24"/>
      <c r="I2844" s="24"/>
      <c r="L2844"/>
    </row>
    <row r="2845" spans="1:12" x14ac:dyDescent="0.25">
      <c r="A2845" s="16"/>
      <c r="D2845" s="16"/>
      <c r="F2845" s="16"/>
      <c r="G2845" s="16"/>
      <c r="H2845" s="24"/>
      <c r="I2845" s="24"/>
      <c r="L2845"/>
    </row>
    <row r="2846" spans="1:12" x14ac:dyDescent="0.25">
      <c r="A2846" s="16"/>
      <c r="D2846" s="16"/>
      <c r="F2846" s="16"/>
      <c r="G2846" s="16"/>
      <c r="H2846" s="24"/>
      <c r="I2846" s="24"/>
      <c r="L2846"/>
    </row>
    <row r="2847" spans="1:12" x14ac:dyDescent="0.25">
      <c r="A2847" s="16"/>
      <c r="D2847" s="16"/>
      <c r="F2847" s="16"/>
      <c r="G2847" s="16"/>
      <c r="H2847" s="24"/>
      <c r="I2847" s="24"/>
      <c r="L2847"/>
    </row>
    <row r="2848" spans="1:12" x14ac:dyDescent="0.25">
      <c r="A2848" s="16"/>
      <c r="D2848" s="16"/>
      <c r="F2848" s="16"/>
      <c r="G2848" s="16"/>
      <c r="H2848" s="24"/>
      <c r="I2848" s="24"/>
      <c r="L2848"/>
    </row>
    <row r="2849" spans="1:12" x14ac:dyDescent="0.25">
      <c r="A2849" s="16"/>
      <c r="D2849" s="16"/>
      <c r="F2849" s="16"/>
      <c r="G2849" s="16"/>
      <c r="H2849" s="24"/>
      <c r="I2849" s="24"/>
      <c r="L2849"/>
    </row>
    <row r="2850" spans="1:12" x14ac:dyDescent="0.25">
      <c r="A2850" s="16"/>
      <c r="D2850" s="16"/>
      <c r="F2850" s="16"/>
      <c r="G2850" s="16"/>
      <c r="H2850" s="24"/>
      <c r="I2850" s="24"/>
      <c r="L2850"/>
    </row>
    <row r="2851" spans="1:12" x14ac:dyDescent="0.25">
      <c r="A2851" s="16"/>
      <c r="D2851" s="16"/>
      <c r="F2851" s="16"/>
      <c r="G2851" s="16"/>
      <c r="H2851" s="24"/>
      <c r="I2851" s="24"/>
      <c r="L2851"/>
    </row>
    <row r="2852" spans="1:12" x14ac:dyDescent="0.25">
      <c r="A2852" s="16"/>
      <c r="D2852" s="16"/>
      <c r="F2852" s="16"/>
      <c r="G2852" s="16"/>
      <c r="H2852" s="24"/>
      <c r="I2852" s="24"/>
      <c r="L2852"/>
    </row>
    <row r="2853" spans="1:12" x14ac:dyDescent="0.25">
      <c r="A2853" s="16"/>
      <c r="D2853" s="16"/>
      <c r="F2853" s="16"/>
      <c r="G2853" s="16"/>
      <c r="H2853" s="24"/>
      <c r="I2853" s="24"/>
      <c r="L2853"/>
    </row>
    <row r="2854" spans="1:12" x14ac:dyDescent="0.25">
      <c r="A2854" s="16"/>
      <c r="D2854" s="16"/>
      <c r="F2854" s="16"/>
      <c r="G2854" s="16"/>
      <c r="H2854" s="24"/>
      <c r="I2854" s="24"/>
      <c r="L2854"/>
    </row>
    <row r="2855" spans="1:12" x14ac:dyDescent="0.25">
      <c r="A2855" s="16"/>
      <c r="D2855" s="16"/>
      <c r="F2855" s="16"/>
      <c r="G2855" s="16"/>
      <c r="H2855" s="24"/>
      <c r="I2855" s="24"/>
      <c r="L2855"/>
    </row>
    <row r="2856" spans="1:12" x14ac:dyDescent="0.25">
      <c r="A2856" s="16"/>
      <c r="D2856" s="16"/>
      <c r="F2856" s="16"/>
      <c r="G2856" s="16"/>
      <c r="H2856" s="24"/>
      <c r="I2856" s="24"/>
      <c r="L2856"/>
    </row>
    <row r="2857" spans="1:12" x14ac:dyDescent="0.25">
      <c r="A2857" s="16"/>
      <c r="D2857" s="16"/>
      <c r="F2857" s="16"/>
      <c r="G2857" s="16"/>
      <c r="H2857" s="24"/>
      <c r="I2857" s="24"/>
      <c r="L2857"/>
    </row>
    <row r="2858" spans="1:12" x14ac:dyDescent="0.25">
      <c r="A2858" s="16"/>
      <c r="D2858" s="16"/>
      <c r="F2858" s="16"/>
      <c r="G2858" s="16"/>
      <c r="H2858" s="24"/>
      <c r="I2858" s="24"/>
      <c r="L2858"/>
    </row>
    <row r="2859" spans="1:12" x14ac:dyDescent="0.25">
      <c r="A2859" s="16"/>
      <c r="D2859" s="16"/>
      <c r="F2859" s="16"/>
      <c r="G2859" s="16"/>
      <c r="H2859" s="24"/>
      <c r="I2859" s="24"/>
      <c r="L2859"/>
    </row>
    <row r="2860" spans="1:12" x14ac:dyDescent="0.25">
      <c r="A2860" s="16"/>
      <c r="D2860" s="16"/>
      <c r="F2860" s="16"/>
      <c r="G2860" s="16"/>
      <c r="H2860" s="24"/>
      <c r="I2860" s="24"/>
      <c r="L2860"/>
    </row>
    <row r="2861" spans="1:12" x14ac:dyDescent="0.25">
      <c r="A2861" s="16"/>
      <c r="D2861" s="16"/>
      <c r="F2861" s="16"/>
      <c r="G2861" s="16"/>
      <c r="H2861" s="24"/>
      <c r="I2861" s="24"/>
      <c r="L2861"/>
    </row>
    <row r="2862" spans="1:12" x14ac:dyDescent="0.25">
      <c r="A2862" s="16"/>
      <c r="D2862" s="16"/>
      <c r="F2862" s="16"/>
      <c r="G2862" s="16"/>
      <c r="H2862" s="24"/>
      <c r="I2862" s="24"/>
      <c r="L2862"/>
    </row>
    <row r="2863" spans="1:12" x14ac:dyDescent="0.25">
      <c r="A2863" s="16"/>
      <c r="D2863" s="16"/>
      <c r="F2863" s="16"/>
      <c r="G2863" s="16"/>
      <c r="H2863" s="24"/>
      <c r="I2863" s="24"/>
      <c r="L2863"/>
    </row>
    <row r="2864" spans="1:12" x14ac:dyDescent="0.25">
      <c r="A2864" s="16"/>
      <c r="D2864" s="16"/>
      <c r="F2864" s="16"/>
      <c r="G2864" s="16"/>
      <c r="H2864" s="24"/>
      <c r="I2864" s="24"/>
      <c r="L2864"/>
    </row>
    <row r="2865" spans="1:12" x14ac:dyDescent="0.25">
      <c r="A2865" s="16"/>
      <c r="D2865" s="16"/>
      <c r="F2865" s="16"/>
      <c r="G2865" s="16"/>
      <c r="H2865" s="24"/>
      <c r="I2865" s="24"/>
      <c r="L2865"/>
    </row>
    <row r="2866" spans="1:12" x14ac:dyDescent="0.25">
      <c r="A2866" s="16"/>
      <c r="D2866" s="16"/>
      <c r="F2866" s="16"/>
      <c r="G2866" s="16"/>
      <c r="H2866" s="24"/>
      <c r="I2866" s="24"/>
      <c r="L2866"/>
    </row>
    <row r="2867" spans="1:12" x14ac:dyDescent="0.25">
      <c r="A2867" s="16"/>
      <c r="D2867" s="16"/>
      <c r="F2867" s="16"/>
      <c r="G2867" s="16"/>
      <c r="H2867" s="24"/>
      <c r="I2867" s="24"/>
      <c r="L2867"/>
    </row>
    <row r="2868" spans="1:12" x14ac:dyDescent="0.25">
      <c r="A2868" s="16"/>
      <c r="D2868" s="16"/>
      <c r="F2868" s="16"/>
      <c r="G2868" s="16"/>
      <c r="H2868" s="24"/>
      <c r="I2868" s="24"/>
      <c r="L2868"/>
    </row>
    <row r="2869" spans="1:12" x14ac:dyDescent="0.25">
      <c r="A2869" s="16"/>
      <c r="D2869" s="16"/>
      <c r="F2869" s="16"/>
      <c r="G2869" s="16"/>
      <c r="H2869" s="24"/>
      <c r="I2869" s="24"/>
      <c r="L2869"/>
    </row>
    <row r="2870" spans="1:12" x14ac:dyDescent="0.25">
      <c r="A2870" s="16"/>
      <c r="D2870" s="16"/>
      <c r="F2870" s="16"/>
      <c r="G2870" s="16"/>
      <c r="H2870" s="24"/>
      <c r="I2870" s="24"/>
      <c r="L2870"/>
    </row>
    <row r="2871" spans="1:12" x14ac:dyDescent="0.25">
      <c r="A2871" s="16"/>
      <c r="D2871" s="16"/>
      <c r="F2871" s="16"/>
      <c r="G2871" s="16"/>
      <c r="H2871" s="24"/>
      <c r="I2871" s="24"/>
      <c r="L2871"/>
    </row>
    <row r="2872" spans="1:12" x14ac:dyDescent="0.25">
      <c r="A2872" s="16"/>
      <c r="D2872" s="16"/>
      <c r="F2872" s="16"/>
      <c r="G2872" s="16"/>
      <c r="H2872" s="24"/>
      <c r="I2872" s="24"/>
      <c r="L2872"/>
    </row>
    <row r="2873" spans="1:12" x14ac:dyDescent="0.25">
      <c r="A2873" s="16"/>
      <c r="D2873" s="16"/>
      <c r="F2873" s="16"/>
      <c r="G2873" s="16"/>
      <c r="H2873" s="24"/>
      <c r="I2873" s="24"/>
      <c r="L2873"/>
    </row>
    <row r="2874" spans="1:12" x14ac:dyDescent="0.25">
      <c r="A2874" s="16"/>
      <c r="D2874" s="16"/>
      <c r="F2874" s="16"/>
      <c r="G2874" s="16"/>
      <c r="H2874" s="24"/>
      <c r="I2874" s="24"/>
      <c r="L2874"/>
    </row>
    <row r="2875" spans="1:12" x14ac:dyDescent="0.25">
      <c r="A2875" s="16"/>
      <c r="D2875" s="16"/>
      <c r="F2875" s="16"/>
      <c r="G2875" s="16"/>
      <c r="H2875" s="24"/>
      <c r="I2875" s="24"/>
      <c r="L2875"/>
    </row>
    <row r="2876" spans="1:12" x14ac:dyDescent="0.25">
      <c r="A2876" s="16"/>
      <c r="D2876" s="16"/>
      <c r="F2876" s="16"/>
      <c r="G2876" s="16"/>
      <c r="H2876" s="24"/>
      <c r="I2876" s="24"/>
      <c r="L2876"/>
    </row>
    <row r="2877" spans="1:12" x14ac:dyDescent="0.25">
      <c r="A2877" s="16"/>
      <c r="D2877" s="16"/>
      <c r="F2877" s="16"/>
      <c r="G2877" s="16"/>
      <c r="H2877" s="24"/>
      <c r="I2877" s="24"/>
      <c r="L2877"/>
    </row>
    <row r="2878" spans="1:12" x14ac:dyDescent="0.25">
      <c r="A2878" s="16"/>
      <c r="D2878" s="16"/>
      <c r="F2878" s="16"/>
      <c r="G2878" s="16"/>
      <c r="H2878" s="24"/>
      <c r="I2878" s="24"/>
      <c r="L2878"/>
    </row>
    <row r="2879" spans="1:12" x14ac:dyDescent="0.25">
      <c r="A2879" s="16"/>
      <c r="D2879" s="16"/>
      <c r="F2879" s="16"/>
      <c r="G2879" s="16"/>
      <c r="H2879" s="24"/>
      <c r="I2879" s="24"/>
      <c r="L2879"/>
    </row>
    <row r="2880" spans="1:12" x14ac:dyDescent="0.25">
      <c r="A2880" s="16"/>
      <c r="D2880" s="16"/>
      <c r="F2880" s="16"/>
      <c r="G2880" s="16"/>
      <c r="H2880" s="24"/>
      <c r="I2880" s="24"/>
      <c r="L2880"/>
    </row>
    <row r="2881" spans="1:12" x14ac:dyDescent="0.25">
      <c r="A2881" s="16"/>
      <c r="D2881" s="16"/>
      <c r="F2881" s="16"/>
      <c r="G2881" s="16"/>
      <c r="H2881" s="24"/>
      <c r="I2881" s="24"/>
      <c r="L2881"/>
    </row>
    <row r="2882" spans="1:12" x14ac:dyDescent="0.25">
      <c r="A2882" s="16"/>
      <c r="D2882" s="16"/>
      <c r="F2882" s="16"/>
      <c r="G2882" s="16"/>
      <c r="H2882" s="24"/>
      <c r="I2882" s="24"/>
      <c r="L2882"/>
    </row>
    <row r="2883" spans="1:12" x14ac:dyDescent="0.25">
      <c r="A2883" s="16"/>
      <c r="D2883" s="16"/>
      <c r="F2883" s="16"/>
      <c r="G2883" s="16"/>
      <c r="H2883" s="24"/>
      <c r="I2883" s="24"/>
      <c r="L2883"/>
    </row>
    <row r="2884" spans="1:12" x14ac:dyDescent="0.25">
      <c r="A2884" s="16"/>
      <c r="D2884" s="16"/>
      <c r="F2884" s="16"/>
      <c r="G2884" s="16"/>
      <c r="H2884" s="24"/>
      <c r="I2884" s="24"/>
      <c r="L2884"/>
    </row>
    <row r="2885" spans="1:12" x14ac:dyDescent="0.25">
      <c r="A2885" s="16"/>
      <c r="D2885" s="16"/>
      <c r="F2885" s="16"/>
      <c r="G2885" s="16"/>
      <c r="H2885" s="24"/>
      <c r="I2885" s="24"/>
      <c r="L2885"/>
    </row>
    <row r="2886" spans="1:12" x14ac:dyDescent="0.25">
      <c r="A2886" s="16"/>
      <c r="D2886" s="16"/>
      <c r="F2886" s="16"/>
      <c r="G2886" s="16"/>
      <c r="H2886" s="24"/>
      <c r="I2886" s="24"/>
      <c r="L2886"/>
    </row>
    <row r="2887" spans="1:12" x14ac:dyDescent="0.25">
      <c r="A2887" s="16"/>
      <c r="D2887" s="16"/>
      <c r="F2887" s="16"/>
      <c r="G2887" s="16"/>
      <c r="H2887" s="24"/>
      <c r="I2887" s="24"/>
      <c r="L2887"/>
    </row>
    <row r="2888" spans="1:12" x14ac:dyDescent="0.25">
      <c r="A2888" s="16"/>
      <c r="D2888" s="16"/>
      <c r="F2888" s="16"/>
      <c r="G2888" s="16"/>
      <c r="H2888" s="24"/>
      <c r="I2888" s="24"/>
      <c r="L2888"/>
    </row>
    <row r="2889" spans="1:12" x14ac:dyDescent="0.25">
      <c r="A2889" s="16"/>
      <c r="D2889" s="16"/>
      <c r="F2889" s="16"/>
      <c r="G2889" s="16"/>
      <c r="H2889" s="24"/>
      <c r="I2889" s="24"/>
      <c r="L2889"/>
    </row>
    <row r="2890" spans="1:12" x14ac:dyDescent="0.25">
      <c r="A2890" s="16"/>
      <c r="D2890" s="16"/>
      <c r="F2890" s="16"/>
      <c r="G2890" s="16"/>
      <c r="H2890" s="24"/>
      <c r="I2890" s="24"/>
      <c r="L2890"/>
    </row>
    <row r="2891" spans="1:12" x14ac:dyDescent="0.25">
      <c r="A2891" s="16"/>
      <c r="D2891" s="16"/>
      <c r="F2891" s="16"/>
      <c r="G2891" s="16"/>
      <c r="H2891" s="24"/>
      <c r="I2891" s="24"/>
      <c r="L2891"/>
    </row>
    <row r="2892" spans="1:12" x14ac:dyDescent="0.25">
      <c r="A2892" s="16"/>
      <c r="D2892" s="16"/>
      <c r="F2892" s="16"/>
      <c r="G2892" s="16"/>
      <c r="H2892" s="24"/>
      <c r="I2892" s="24"/>
      <c r="L2892"/>
    </row>
    <row r="2893" spans="1:12" x14ac:dyDescent="0.25">
      <c r="A2893" s="16"/>
      <c r="D2893" s="16"/>
      <c r="F2893" s="16"/>
      <c r="G2893" s="16"/>
      <c r="H2893" s="24"/>
      <c r="I2893" s="24"/>
      <c r="L2893"/>
    </row>
    <row r="2894" spans="1:12" x14ac:dyDescent="0.25">
      <c r="A2894" s="16"/>
      <c r="D2894" s="16"/>
      <c r="F2894" s="16"/>
      <c r="G2894" s="16"/>
      <c r="H2894" s="24"/>
      <c r="I2894" s="24"/>
      <c r="L2894"/>
    </row>
    <row r="2895" spans="1:12" x14ac:dyDescent="0.25">
      <c r="A2895" s="16"/>
      <c r="D2895" s="16"/>
      <c r="F2895" s="16"/>
      <c r="G2895" s="16"/>
      <c r="H2895" s="24"/>
      <c r="I2895" s="24"/>
      <c r="L2895"/>
    </row>
    <row r="2896" spans="1:12" x14ac:dyDescent="0.25">
      <c r="A2896" s="16"/>
      <c r="D2896" s="16"/>
      <c r="F2896" s="16"/>
      <c r="G2896" s="16"/>
      <c r="H2896" s="24"/>
      <c r="I2896" s="24"/>
      <c r="L2896"/>
    </row>
    <row r="2897" spans="1:12" x14ac:dyDescent="0.25">
      <c r="A2897" s="16"/>
      <c r="D2897" s="16"/>
      <c r="F2897" s="16"/>
      <c r="G2897" s="16"/>
      <c r="H2897" s="24"/>
      <c r="I2897" s="24"/>
      <c r="L2897"/>
    </row>
    <row r="2898" spans="1:12" x14ac:dyDescent="0.25">
      <c r="A2898" s="16"/>
      <c r="D2898" s="16"/>
      <c r="F2898" s="16"/>
      <c r="G2898" s="16"/>
      <c r="H2898" s="24"/>
      <c r="I2898" s="24"/>
      <c r="L2898"/>
    </row>
    <row r="2899" spans="1:12" x14ac:dyDescent="0.25">
      <c r="A2899" s="16"/>
      <c r="D2899" s="16"/>
      <c r="F2899" s="16"/>
      <c r="G2899" s="16"/>
      <c r="H2899" s="24"/>
      <c r="I2899" s="24"/>
      <c r="L2899"/>
    </row>
    <row r="2900" spans="1:12" x14ac:dyDescent="0.25">
      <c r="A2900" s="16"/>
      <c r="D2900" s="16"/>
      <c r="F2900" s="16"/>
      <c r="G2900" s="16"/>
      <c r="H2900" s="24"/>
      <c r="I2900" s="24"/>
      <c r="L2900"/>
    </row>
    <row r="2901" spans="1:12" x14ac:dyDescent="0.25">
      <c r="A2901" s="16"/>
      <c r="D2901" s="16"/>
      <c r="F2901" s="16"/>
      <c r="G2901" s="16"/>
      <c r="H2901" s="24"/>
      <c r="I2901" s="24"/>
      <c r="L2901"/>
    </row>
    <row r="2902" spans="1:12" x14ac:dyDescent="0.25">
      <c r="A2902" s="16"/>
      <c r="D2902" s="16"/>
      <c r="F2902" s="16"/>
      <c r="G2902" s="16"/>
      <c r="H2902" s="24"/>
      <c r="I2902" s="24"/>
      <c r="L2902"/>
    </row>
    <row r="2903" spans="1:12" x14ac:dyDescent="0.25">
      <c r="A2903" s="16"/>
      <c r="D2903" s="16"/>
      <c r="F2903" s="16"/>
      <c r="G2903" s="16"/>
      <c r="H2903" s="24"/>
      <c r="I2903" s="24"/>
      <c r="L2903"/>
    </row>
    <row r="2904" spans="1:12" x14ac:dyDescent="0.25">
      <c r="A2904" s="16"/>
      <c r="D2904" s="16"/>
      <c r="F2904" s="16"/>
      <c r="G2904" s="16"/>
      <c r="H2904" s="24"/>
      <c r="I2904" s="24"/>
      <c r="L2904"/>
    </row>
    <row r="2905" spans="1:12" x14ac:dyDescent="0.25">
      <c r="A2905" s="16"/>
      <c r="D2905" s="16"/>
      <c r="F2905" s="16"/>
      <c r="G2905" s="16"/>
      <c r="H2905" s="24"/>
      <c r="I2905" s="24"/>
      <c r="L2905"/>
    </row>
    <row r="2906" spans="1:12" x14ac:dyDescent="0.25">
      <c r="A2906" s="16"/>
      <c r="D2906" s="16"/>
      <c r="F2906" s="16"/>
      <c r="G2906" s="16"/>
      <c r="H2906" s="24"/>
      <c r="I2906" s="24"/>
      <c r="L2906"/>
    </row>
    <row r="2907" spans="1:12" x14ac:dyDescent="0.25">
      <c r="A2907" s="16"/>
      <c r="D2907" s="16"/>
      <c r="F2907" s="16"/>
      <c r="G2907" s="16"/>
      <c r="H2907" s="24"/>
      <c r="I2907" s="24"/>
      <c r="L2907"/>
    </row>
    <row r="2908" spans="1:12" x14ac:dyDescent="0.25">
      <c r="A2908" s="16"/>
      <c r="D2908" s="16"/>
      <c r="F2908" s="16"/>
      <c r="G2908" s="16"/>
      <c r="H2908" s="24"/>
      <c r="I2908" s="24"/>
      <c r="L2908"/>
    </row>
    <row r="2909" spans="1:12" x14ac:dyDescent="0.25">
      <c r="A2909" s="16"/>
      <c r="D2909" s="16"/>
      <c r="F2909" s="16"/>
      <c r="G2909" s="16"/>
      <c r="H2909" s="24"/>
      <c r="I2909" s="24"/>
      <c r="L2909"/>
    </row>
    <row r="2910" spans="1:12" x14ac:dyDescent="0.25">
      <c r="A2910" s="16"/>
      <c r="D2910" s="16"/>
      <c r="F2910" s="16"/>
      <c r="G2910" s="16"/>
      <c r="H2910" s="24"/>
      <c r="I2910" s="24"/>
      <c r="L2910"/>
    </row>
    <row r="2911" spans="1:12" x14ac:dyDescent="0.25">
      <c r="A2911" s="16"/>
      <c r="D2911" s="16"/>
      <c r="F2911" s="16"/>
      <c r="G2911" s="16"/>
      <c r="H2911" s="24"/>
      <c r="I2911" s="24"/>
      <c r="L2911"/>
    </row>
    <row r="2912" spans="1:12" x14ac:dyDescent="0.25">
      <c r="A2912" s="16"/>
      <c r="D2912" s="16"/>
      <c r="F2912" s="16"/>
      <c r="G2912" s="16"/>
      <c r="H2912" s="24"/>
      <c r="I2912" s="24"/>
      <c r="L2912"/>
    </row>
    <row r="2913" spans="1:12" x14ac:dyDescent="0.25">
      <c r="A2913" s="16"/>
      <c r="D2913" s="16"/>
      <c r="F2913" s="16"/>
      <c r="G2913" s="16"/>
      <c r="H2913" s="24"/>
      <c r="I2913" s="24"/>
      <c r="L2913"/>
    </row>
    <row r="2914" spans="1:12" x14ac:dyDescent="0.25">
      <c r="A2914" s="16"/>
      <c r="D2914" s="16"/>
      <c r="F2914" s="16"/>
      <c r="G2914" s="16"/>
      <c r="H2914" s="24"/>
      <c r="I2914" s="24"/>
      <c r="L2914"/>
    </row>
    <row r="2915" spans="1:12" x14ac:dyDescent="0.25">
      <c r="A2915" s="16"/>
      <c r="D2915" s="16"/>
      <c r="F2915" s="16"/>
      <c r="G2915" s="16"/>
      <c r="H2915" s="24"/>
      <c r="I2915" s="24"/>
      <c r="L2915"/>
    </row>
    <row r="2916" spans="1:12" x14ac:dyDescent="0.25">
      <c r="A2916" s="16"/>
      <c r="D2916" s="16"/>
      <c r="F2916" s="16"/>
      <c r="G2916" s="16"/>
      <c r="H2916" s="24"/>
      <c r="I2916" s="24"/>
      <c r="L2916"/>
    </row>
    <row r="2917" spans="1:12" x14ac:dyDescent="0.25">
      <c r="A2917" s="16"/>
      <c r="D2917" s="16"/>
      <c r="F2917" s="16"/>
      <c r="G2917" s="16"/>
      <c r="H2917" s="24"/>
      <c r="I2917" s="24"/>
      <c r="L2917"/>
    </row>
    <row r="2918" spans="1:12" x14ac:dyDescent="0.25">
      <c r="A2918" s="16"/>
      <c r="D2918" s="16"/>
      <c r="F2918" s="16"/>
      <c r="G2918" s="16"/>
      <c r="H2918" s="24"/>
      <c r="I2918" s="24"/>
      <c r="L2918"/>
    </row>
    <row r="2919" spans="1:12" x14ac:dyDescent="0.25">
      <c r="A2919" s="16"/>
      <c r="D2919" s="16"/>
      <c r="F2919" s="16"/>
      <c r="G2919" s="16"/>
      <c r="H2919" s="24"/>
      <c r="I2919" s="24"/>
      <c r="L2919"/>
    </row>
    <row r="2920" spans="1:12" x14ac:dyDescent="0.25">
      <c r="A2920" s="16"/>
      <c r="D2920" s="16"/>
      <c r="F2920" s="16"/>
      <c r="G2920" s="16"/>
      <c r="H2920" s="24"/>
      <c r="I2920" s="24"/>
      <c r="L2920"/>
    </row>
    <row r="2921" spans="1:12" x14ac:dyDescent="0.25">
      <c r="A2921" s="16"/>
      <c r="D2921" s="16"/>
      <c r="F2921" s="16"/>
      <c r="G2921" s="16"/>
      <c r="H2921" s="24"/>
      <c r="I2921" s="24"/>
      <c r="L2921"/>
    </row>
    <row r="2922" spans="1:12" x14ac:dyDescent="0.25">
      <c r="A2922" s="16"/>
      <c r="D2922" s="16"/>
      <c r="F2922" s="16"/>
      <c r="G2922" s="16"/>
      <c r="H2922" s="24"/>
      <c r="I2922" s="24"/>
      <c r="L2922"/>
    </row>
    <row r="2923" spans="1:12" x14ac:dyDescent="0.25">
      <c r="A2923" s="16"/>
      <c r="D2923" s="16"/>
      <c r="F2923" s="16"/>
      <c r="G2923" s="16"/>
      <c r="H2923" s="24"/>
      <c r="I2923" s="24"/>
      <c r="L2923"/>
    </row>
    <row r="2924" spans="1:12" x14ac:dyDescent="0.25">
      <c r="A2924" s="16"/>
      <c r="D2924" s="16"/>
      <c r="F2924" s="16"/>
      <c r="G2924" s="16"/>
      <c r="H2924" s="24"/>
      <c r="I2924" s="24"/>
      <c r="L2924"/>
    </row>
    <row r="2925" spans="1:12" x14ac:dyDescent="0.25">
      <c r="A2925" s="16"/>
      <c r="D2925" s="16"/>
      <c r="F2925" s="16"/>
      <c r="G2925" s="16"/>
      <c r="H2925" s="24"/>
      <c r="I2925" s="24"/>
      <c r="L2925"/>
    </row>
    <row r="2926" spans="1:12" x14ac:dyDescent="0.25">
      <c r="A2926" s="16"/>
      <c r="D2926" s="16"/>
      <c r="F2926" s="16"/>
      <c r="G2926" s="16"/>
      <c r="H2926" s="24"/>
      <c r="I2926" s="24"/>
      <c r="L2926"/>
    </row>
    <row r="2927" spans="1:12" x14ac:dyDescent="0.25">
      <c r="A2927" s="16"/>
      <c r="D2927" s="16"/>
      <c r="F2927" s="16"/>
      <c r="G2927" s="16"/>
      <c r="H2927" s="24"/>
      <c r="I2927" s="24"/>
      <c r="L2927"/>
    </row>
    <row r="2928" spans="1:12" x14ac:dyDescent="0.25">
      <c r="A2928" s="16"/>
      <c r="D2928" s="16"/>
      <c r="F2928" s="16"/>
      <c r="G2928" s="16"/>
      <c r="H2928" s="24"/>
      <c r="I2928" s="24"/>
      <c r="L2928"/>
    </row>
    <row r="2929" spans="1:12" x14ac:dyDescent="0.25">
      <c r="A2929" s="16"/>
      <c r="D2929" s="16"/>
      <c r="F2929" s="16"/>
      <c r="G2929" s="16"/>
      <c r="H2929" s="24"/>
      <c r="I2929" s="24"/>
      <c r="L2929"/>
    </row>
    <row r="2930" spans="1:12" x14ac:dyDescent="0.25">
      <c r="A2930" s="16"/>
      <c r="D2930" s="16"/>
      <c r="F2930" s="16"/>
      <c r="G2930" s="16"/>
      <c r="H2930" s="24"/>
      <c r="I2930" s="24"/>
      <c r="L2930"/>
    </row>
    <row r="2931" spans="1:12" x14ac:dyDescent="0.25">
      <c r="A2931" s="16"/>
      <c r="D2931" s="16"/>
      <c r="F2931" s="16"/>
      <c r="G2931" s="16"/>
      <c r="H2931" s="24"/>
      <c r="I2931" s="24"/>
      <c r="L2931"/>
    </row>
    <row r="2932" spans="1:12" x14ac:dyDescent="0.25">
      <c r="A2932" s="16"/>
      <c r="D2932" s="16"/>
      <c r="F2932" s="16"/>
      <c r="G2932" s="16"/>
      <c r="H2932" s="24"/>
      <c r="I2932" s="24"/>
      <c r="L2932"/>
    </row>
    <row r="2933" spans="1:12" x14ac:dyDescent="0.25">
      <c r="A2933" s="16"/>
      <c r="D2933" s="16"/>
      <c r="F2933" s="16"/>
      <c r="G2933" s="16"/>
      <c r="H2933" s="24"/>
      <c r="I2933" s="24"/>
      <c r="L2933"/>
    </row>
    <row r="2934" spans="1:12" x14ac:dyDescent="0.25">
      <c r="A2934" s="16"/>
      <c r="D2934" s="16"/>
      <c r="F2934" s="16"/>
      <c r="G2934" s="16"/>
      <c r="H2934" s="24"/>
      <c r="I2934" s="24"/>
      <c r="L2934"/>
    </row>
    <row r="2935" spans="1:12" x14ac:dyDescent="0.25">
      <c r="A2935" s="16"/>
      <c r="D2935" s="16"/>
      <c r="F2935" s="16"/>
      <c r="G2935" s="16"/>
      <c r="H2935" s="24"/>
      <c r="I2935" s="24"/>
      <c r="L2935"/>
    </row>
    <row r="2936" spans="1:12" x14ac:dyDescent="0.25">
      <c r="A2936" s="16"/>
      <c r="D2936" s="16"/>
      <c r="F2936" s="16"/>
      <c r="G2936" s="16"/>
      <c r="H2936" s="24"/>
      <c r="I2936" s="24"/>
      <c r="L2936"/>
    </row>
    <row r="2937" spans="1:12" x14ac:dyDescent="0.25">
      <c r="A2937" s="16"/>
      <c r="D2937" s="16"/>
      <c r="F2937" s="16"/>
      <c r="G2937" s="16"/>
      <c r="H2937" s="24"/>
      <c r="I2937" s="24"/>
      <c r="L2937"/>
    </row>
    <row r="2938" spans="1:12" x14ac:dyDescent="0.25">
      <c r="A2938" s="16"/>
      <c r="D2938" s="16"/>
      <c r="F2938" s="16"/>
      <c r="G2938" s="16"/>
      <c r="H2938" s="24"/>
      <c r="I2938" s="24"/>
      <c r="L2938"/>
    </row>
    <row r="2939" spans="1:12" x14ac:dyDescent="0.25">
      <c r="A2939" s="16"/>
      <c r="D2939" s="16"/>
      <c r="F2939" s="16"/>
      <c r="G2939" s="16"/>
      <c r="H2939" s="24"/>
      <c r="I2939" s="24"/>
      <c r="L2939"/>
    </row>
    <row r="2940" spans="1:12" x14ac:dyDescent="0.25">
      <c r="A2940" s="16"/>
      <c r="D2940" s="16"/>
      <c r="F2940" s="16"/>
      <c r="G2940" s="16"/>
      <c r="H2940" s="24"/>
      <c r="I2940" s="24"/>
      <c r="L2940"/>
    </row>
    <row r="2941" spans="1:12" x14ac:dyDescent="0.25">
      <c r="A2941" s="16"/>
      <c r="D2941" s="16"/>
      <c r="F2941" s="16"/>
      <c r="G2941" s="16"/>
      <c r="H2941" s="24"/>
      <c r="I2941" s="24"/>
      <c r="L2941"/>
    </row>
    <row r="2942" spans="1:12" x14ac:dyDescent="0.25">
      <c r="A2942" s="16"/>
      <c r="D2942" s="16"/>
      <c r="F2942" s="16"/>
      <c r="G2942" s="16"/>
      <c r="H2942" s="24"/>
      <c r="I2942" s="24"/>
      <c r="L2942"/>
    </row>
    <row r="2943" spans="1:12" x14ac:dyDescent="0.25">
      <c r="A2943" s="16"/>
      <c r="D2943" s="16"/>
      <c r="F2943" s="16"/>
      <c r="G2943" s="16"/>
      <c r="H2943" s="24"/>
      <c r="I2943" s="24"/>
      <c r="L2943"/>
    </row>
    <row r="2944" spans="1:12" x14ac:dyDescent="0.25">
      <c r="A2944" s="16"/>
      <c r="D2944" s="16"/>
      <c r="F2944" s="16"/>
      <c r="G2944" s="16"/>
      <c r="H2944" s="24"/>
      <c r="I2944" s="24"/>
      <c r="L2944"/>
    </row>
    <row r="2945" spans="1:12" x14ac:dyDescent="0.25">
      <c r="A2945" s="16"/>
      <c r="D2945" s="16"/>
      <c r="F2945" s="16"/>
      <c r="G2945" s="16"/>
      <c r="H2945" s="24"/>
      <c r="I2945" s="24"/>
      <c r="L2945"/>
    </row>
    <row r="2946" spans="1:12" x14ac:dyDescent="0.25">
      <c r="A2946" s="16"/>
      <c r="D2946" s="16"/>
      <c r="F2946" s="16"/>
      <c r="G2946" s="16"/>
      <c r="H2946" s="24"/>
      <c r="I2946" s="24"/>
      <c r="L2946"/>
    </row>
    <row r="2947" spans="1:12" x14ac:dyDescent="0.25">
      <c r="A2947" s="16"/>
      <c r="D2947" s="16"/>
      <c r="F2947" s="16"/>
      <c r="G2947" s="16"/>
      <c r="H2947" s="24"/>
      <c r="I2947" s="24"/>
      <c r="L2947"/>
    </row>
    <row r="2948" spans="1:12" x14ac:dyDescent="0.25">
      <c r="A2948" s="16"/>
      <c r="D2948" s="16"/>
      <c r="F2948" s="16"/>
      <c r="G2948" s="16"/>
      <c r="H2948" s="24"/>
      <c r="I2948" s="24"/>
      <c r="L2948"/>
    </row>
    <row r="2949" spans="1:12" x14ac:dyDescent="0.25">
      <c r="A2949" s="16"/>
      <c r="D2949" s="16"/>
      <c r="F2949" s="16"/>
      <c r="G2949" s="16"/>
      <c r="H2949" s="24"/>
      <c r="I2949" s="24"/>
      <c r="L2949"/>
    </row>
    <row r="2950" spans="1:12" x14ac:dyDescent="0.25">
      <c r="A2950" s="16"/>
      <c r="D2950" s="16"/>
      <c r="F2950" s="16"/>
      <c r="G2950" s="16"/>
      <c r="H2950" s="24"/>
      <c r="I2950" s="24"/>
      <c r="L2950"/>
    </row>
    <row r="2951" spans="1:12" x14ac:dyDescent="0.25">
      <c r="A2951" s="16"/>
      <c r="D2951" s="16"/>
      <c r="F2951" s="16"/>
      <c r="G2951" s="16"/>
      <c r="H2951" s="24"/>
      <c r="I2951" s="24"/>
      <c r="L2951"/>
    </row>
    <row r="2952" spans="1:12" x14ac:dyDescent="0.25">
      <c r="A2952" s="16"/>
      <c r="D2952" s="16"/>
      <c r="F2952" s="16"/>
      <c r="G2952" s="16"/>
      <c r="H2952" s="24"/>
      <c r="I2952" s="24"/>
      <c r="L2952"/>
    </row>
    <row r="2953" spans="1:12" x14ac:dyDescent="0.25">
      <c r="A2953" s="16"/>
      <c r="D2953" s="16"/>
      <c r="F2953" s="16"/>
      <c r="G2953" s="16"/>
      <c r="H2953" s="24"/>
      <c r="I2953" s="24"/>
      <c r="L2953"/>
    </row>
    <row r="2954" spans="1:12" x14ac:dyDescent="0.25">
      <c r="A2954" s="16"/>
      <c r="D2954" s="16"/>
      <c r="F2954" s="16"/>
      <c r="G2954" s="16"/>
      <c r="H2954" s="24"/>
      <c r="I2954" s="24"/>
      <c r="L2954"/>
    </row>
    <row r="2955" spans="1:12" x14ac:dyDescent="0.25">
      <c r="A2955" s="16"/>
      <c r="D2955" s="16"/>
      <c r="F2955" s="16"/>
      <c r="G2955" s="16"/>
      <c r="H2955" s="24"/>
      <c r="I2955" s="24"/>
      <c r="L2955"/>
    </row>
    <row r="2956" spans="1:12" x14ac:dyDescent="0.25">
      <c r="A2956" s="16"/>
      <c r="D2956" s="16"/>
      <c r="F2956" s="16"/>
      <c r="G2956" s="16"/>
      <c r="H2956" s="24"/>
      <c r="I2956" s="24"/>
      <c r="L2956"/>
    </row>
    <row r="2957" spans="1:12" x14ac:dyDescent="0.25">
      <c r="A2957" s="16"/>
      <c r="D2957" s="16"/>
      <c r="F2957" s="16"/>
      <c r="G2957" s="16"/>
      <c r="H2957" s="24"/>
      <c r="I2957" s="24"/>
      <c r="L2957"/>
    </row>
    <row r="2958" spans="1:12" x14ac:dyDescent="0.25">
      <c r="A2958" s="16"/>
      <c r="D2958" s="16"/>
      <c r="F2958" s="16"/>
      <c r="G2958" s="16"/>
      <c r="H2958" s="24"/>
      <c r="I2958" s="24"/>
      <c r="L2958"/>
    </row>
    <row r="2959" spans="1:12" x14ac:dyDescent="0.25">
      <c r="A2959" s="16"/>
      <c r="D2959" s="16"/>
      <c r="F2959" s="16"/>
      <c r="G2959" s="16"/>
      <c r="H2959" s="24"/>
      <c r="I2959" s="24"/>
      <c r="L2959"/>
    </row>
    <row r="2960" spans="1:12" x14ac:dyDescent="0.25">
      <c r="A2960" s="16"/>
      <c r="D2960" s="16"/>
      <c r="F2960" s="16"/>
      <c r="G2960" s="16"/>
      <c r="H2960" s="24"/>
      <c r="I2960" s="24"/>
      <c r="L2960"/>
    </row>
    <row r="2961" spans="1:12" x14ac:dyDescent="0.25">
      <c r="A2961" s="16"/>
      <c r="D2961" s="16"/>
      <c r="F2961" s="16"/>
      <c r="G2961" s="16"/>
      <c r="H2961" s="24"/>
      <c r="I2961" s="24"/>
      <c r="L2961"/>
    </row>
    <row r="2962" spans="1:12" x14ac:dyDescent="0.25">
      <c r="A2962" s="16"/>
      <c r="D2962" s="16"/>
      <c r="F2962" s="16"/>
      <c r="G2962" s="16"/>
      <c r="H2962" s="24"/>
      <c r="I2962" s="24"/>
      <c r="L2962"/>
    </row>
    <row r="2963" spans="1:12" x14ac:dyDescent="0.25">
      <c r="A2963" s="16"/>
      <c r="D2963" s="16"/>
      <c r="F2963" s="16"/>
      <c r="G2963" s="16"/>
      <c r="H2963" s="24"/>
      <c r="I2963" s="24"/>
      <c r="L2963"/>
    </row>
    <row r="2964" spans="1:12" x14ac:dyDescent="0.25">
      <c r="A2964" s="16"/>
      <c r="D2964" s="16"/>
      <c r="F2964" s="16"/>
      <c r="G2964" s="16"/>
      <c r="H2964" s="24"/>
      <c r="I2964" s="24"/>
      <c r="L2964"/>
    </row>
    <row r="2965" spans="1:12" x14ac:dyDescent="0.25">
      <c r="A2965" s="16"/>
      <c r="D2965" s="16"/>
      <c r="F2965" s="16"/>
      <c r="G2965" s="16"/>
      <c r="H2965" s="24"/>
      <c r="I2965" s="24"/>
      <c r="L2965"/>
    </row>
    <row r="2966" spans="1:12" x14ac:dyDescent="0.25">
      <c r="A2966" s="16"/>
      <c r="D2966" s="16"/>
      <c r="F2966" s="16"/>
      <c r="G2966" s="16"/>
      <c r="H2966" s="24"/>
      <c r="I2966" s="24"/>
      <c r="L2966"/>
    </row>
    <row r="2967" spans="1:12" x14ac:dyDescent="0.25">
      <c r="A2967" s="16"/>
      <c r="D2967" s="16"/>
      <c r="F2967" s="16"/>
      <c r="G2967" s="16"/>
      <c r="H2967" s="24"/>
      <c r="I2967" s="24"/>
      <c r="L2967"/>
    </row>
    <row r="2968" spans="1:12" x14ac:dyDescent="0.25">
      <c r="A2968" s="16"/>
      <c r="D2968" s="16"/>
      <c r="F2968" s="16"/>
      <c r="G2968" s="16"/>
      <c r="H2968" s="24"/>
      <c r="I2968" s="24"/>
      <c r="L2968"/>
    </row>
    <row r="2969" spans="1:12" x14ac:dyDescent="0.25">
      <c r="A2969" s="16"/>
      <c r="D2969" s="16"/>
      <c r="F2969" s="16"/>
      <c r="G2969" s="16"/>
      <c r="H2969" s="24"/>
      <c r="I2969" s="24"/>
      <c r="L2969"/>
    </row>
    <row r="2970" spans="1:12" x14ac:dyDescent="0.25">
      <c r="A2970" s="16"/>
      <c r="D2970" s="16"/>
      <c r="F2970" s="16"/>
      <c r="G2970" s="16"/>
      <c r="H2970" s="24"/>
      <c r="I2970" s="24"/>
      <c r="L2970"/>
    </row>
    <row r="2971" spans="1:12" x14ac:dyDescent="0.25">
      <c r="A2971" s="16"/>
      <c r="D2971" s="16"/>
      <c r="F2971" s="16"/>
      <c r="G2971" s="16"/>
      <c r="H2971" s="24"/>
      <c r="I2971" s="24"/>
      <c r="L2971"/>
    </row>
    <row r="2972" spans="1:12" x14ac:dyDescent="0.25">
      <c r="A2972" s="16"/>
      <c r="D2972" s="16"/>
      <c r="F2972" s="16"/>
      <c r="G2972" s="16"/>
      <c r="H2972" s="24"/>
      <c r="I2972" s="24"/>
      <c r="L2972"/>
    </row>
    <row r="2973" spans="1:12" x14ac:dyDescent="0.25">
      <c r="A2973" s="16"/>
      <c r="D2973" s="16"/>
      <c r="F2973" s="16"/>
      <c r="G2973" s="16"/>
      <c r="H2973" s="24"/>
      <c r="I2973" s="24"/>
      <c r="L2973"/>
    </row>
    <row r="2974" spans="1:12" x14ac:dyDescent="0.25">
      <c r="A2974" s="16"/>
      <c r="D2974" s="16"/>
      <c r="F2974" s="16"/>
      <c r="G2974" s="16"/>
      <c r="H2974" s="24"/>
      <c r="I2974" s="24"/>
      <c r="L2974"/>
    </row>
    <row r="2975" spans="1:12" x14ac:dyDescent="0.25">
      <c r="A2975" s="16"/>
      <c r="D2975" s="16"/>
      <c r="F2975" s="16"/>
      <c r="G2975" s="16"/>
      <c r="H2975" s="24"/>
      <c r="I2975" s="24"/>
      <c r="L2975"/>
    </row>
    <row r="2976" spans="1:12" x14ac:dyDescent="0.25">
      <c r="A2976" s="16"/>
      <c r="D2976" s="16"/>
      <c r="F2976" s="16"/>
      <c r="G2976" s="16"/>
      <c r="H2976" s="24"/>
      <c r="I2976" s="24"/>
      <c r="L2976"/>
    </row>
    <row r="2977" spans="1:12" x14ac:dyDescent="0.25">
      <c r="A2977" s="16"/>
      <c r="D2977" s="16"/>
      <c r="F2977" s="16"/>
      <c r="G2977" s="16"/>
      <c r="H2977" s="24"/>
      <c r="I2977" s="24"/>
      <c r="L2977"/>
    </row>
    <row r="2978" spans="1:12" x14ac:dyDescent="0.25">
      <c r="A2978" s="16"/>
      <c r="D2978" s="16"/>
      <c r="F2978" s="16"/>
      <c r="G2978" s="16"/>
      <c r="H2978" s="24"/>
      <c r="I2978" s="24"/>
      <c r="L2978"/>
    </row>
    <row r="2979" spans="1:12" x14ac:dyDescent="0.25">
      <c r="A2979" s="16"/>
      <c r="D2979" s="16"/>
      <c r="F2979" s="16"/>
      <c r="G2979" s="16"/>
      <c r="H2979" s="24"/>
      <c r="I2979" s="24"/>
      <c r="L2979"/>
    </row>
    <row r="2980" spans="1:12" x14ac:dyDescent="0.25">
      <c r="A2980" s="16"/>
      <c r="D2980" s="16"/>
      <c r="F2980" s="16"/>
      <c r="G2980" s="16"/>
      <c r="H2980" s="24"/>
      <c r="I2980" s="24"/>
      <c r="L2980"/>
    </row>
    <row r="2981" spans="1:12" x14ac:dyDescent="0.25">
      <c r="A2981" s="16"/>
      <c r="D2981" s="16"/>
      <c r="F2981" s="16"/>
      <c r="G2981" s="16"/>
      <c r="H2981" s="24"/>
      <c r="I2981" s="24"/>
      <c r="L2981"/>
    </row>
    <row r="2982" spans="1:12" x14ac:dyDescent="0.25">
      <c r="A2982" s="16"/>
      <c r="D2982" s="16"/>
      <c r="F2982" s="16"/>
      <c r="G2982" s="16"/>
      <c r="H2982" s="24"/>
      <c r="I2982" s="24"/>
      <c r="L2982"/>
    </row>
    <row r="2983" spans="1:12" x14ac:dyDescent="0.25">
      <c r="A2983" s="16"/>
      <c r="D2983" s="16"/>
      <c r="F2983" s="16"/>
      <c r="G2983" s="16"/>
      <c r="H2983" s="24"/>
      <c r="I2983" s="24"/>
      <c r="L2983"/>
    </row>
    <row r="2984" spans="1:12" x14ac:dyDescent="0.25">
      <c r="A2984" s="16"/>
      <c r="D2984" s="16"/>
      <c r="F2984" s="16"/>
      <c r="G2984" s="16"/>
      <c r="H2984" s="24"/>
      <c r="I2984" s="24"/>
      <c r="L2984"/>
    </row>
    <row r="2985" spans="1:12" x14ac:dyDescent="0.25">
      <c r="A2985" s="16"/>
      <c r="D2985" s="16"/>
      <c r="F2985" s="16"/>
      <c r="G2985" s="16"/>
      <c r="H2985" s="24"/>
      <c r="I2985" s="24"/>
      <c r="L2985"/>
    </row>
    <row r="2986" spans="1:12" x14ac:dyDescent="0.25">
      <c r="A2986" s="16"/>
      <c r="D2986" s="16"/>
      <c r="F2986" s="16"/>
      <c r="G2986" s="16"/>
      <c r="H2986" s="24"/>
      <c r="I2986" s="24"/>
      <c r="L2986"/>
    </row>
    <row r="2987" spans="1:12" x14ac:dyDescent="0.25">
      <c r="A2987" s="16"/>
      <c r="D2987" s="16"/>
      <c r="F2987" s="16"/>
      <c r="G2987" s="16"/>
      <c r="H2987" s="24"/>
      <c r="I2987" s="24"/>
      <c r="L2987"/>
    </row>
    <row r="2988" spans="1:12" x14ac:dyDescent="0.25">
      <c r="A2988" s="16"/>
      <c r="D2988" s="16"/>
      <c r="F2988" s="16"/>
      <c r="G2988" s="16"/>
      <c r="H2988" s="24"/>
      <c r="I2988" s="24"/>
      <c r="L2988"/>
    </row>
    <row r="2989" spans="1:12" x14ac:dyDescent="0.25">
      <c r="A2989" s="16"/>
      <c r="D2989" s="16"/>
      <c r="F2989" s="16"/>
      <c r="G2989" s="16"/>
      <c r="H2989" s="24"/>
      <c r="I2989" s="24"/>
      <c r="L2989"/>
    </row>
    <row r="2990" spans="1:12" x14ac:dyDescent="0.25">
      <c r="A2990" s="16"/>
      <c r="D2990" s="16"/>
      <c r="F2990" s="16"/>
      <c r="G2990" s="16"/>
      <c r="H2990" s="24"/>
      <c r="I2990" s="24"/>
      <c r="L2990"/>
    </row>
    <row r="2991" spans="1:12" x14ac:dyDescent="0.25">
      <c r="A2991" s="16"/>
      <c r="D2991" s="16"/>
      <c r="F2991" s="16"/>
      <c r="G2991" s="16"/>
      <c r="H2991" s="24"/>
      <c r="I2991" s="24"/>
      <c r="L2991"/>
    </row>
    <row r="2992" spans="1:12" x14ac:dyDescent="0.25">
      <c r="A2992" s="16"/>
      <c r="D2992" s="16"/>
      <c r="F2992" s="16"/>
      <c r="G2992" s="16"/>
      <c r="H2992" s="24"/>
      <c r="I2992" s="24"/>
      <c r="L2992"/>
    </row>
    <row r="2993" spans="1:12" x14ac:dyDescent="0.25">
      <c r="A2993" s="16"/>
      <c r="D2993" s="16"/>
      <c r="F2993" s="16"/>
      <c r="G2993" s="16"/>
      <c r="H2993" s="24"/>
      <c r="I2993" s="24"/>
      <c r="L2993"/>
    </row>
    <row r="2994" spans="1:12" x14ac:dyDescent="0.25">
      <c r="A2994" s="16"/>
      <c r="D2994" s="16"/>
      <c r="F2994" s="16"/>
      <c r="G2994" s="16"/>
      <c r="H2994" s="24"/>
      <c r="I2994" s="24"/>
      <c r="L2994"/>
    </row>
    <row r="2995" spans="1:12" x14ac:dyDescent="0.25">
      <c r="A2995" s="16"/>
      <c r="D2995" s="16"/>
      <c r="F2995" s="16"/>
      <c r="G2995" s="16"/>
      <c r="H2995" s="24"/>
      <c r="I2995" s="24"/>
      <c r="L2995"/>
    </row>
    <row r="2996" spans="1:12" x14ac:dyDescent="0.25">
      <c r="A2996" s="16"/>
      <c r="D2996" s="16"/>
      <c r="F2996" s="16"/>
      <c r="G2996" s="16"/>
      <c r="H2996" s="24"/>
      <c r="I2996" s="24"/>
      <c r="L2996"/>
    </row>
    <row r="2997" spans="1:12" x14ac:dyDescent="0.25">
      <c r="A2997" s="16"/>
      <c r="D2997" s="16"/>
      <c r="F2997" s="16"/>
      <c r="G2997" s="16"/>
      <c r="H2997" s="24"/>
      <c r="I2997" s="24"/>
      <c r="L2997"/>
    </row>
    <row r="2998" spans="1:12" x14ac:dyDescent="0.25">
      <c r="A2998" s="16"/>
      <c r="D2998" s="16"/>
      <c r="F2998" s="16"/>
      <c r="G2998" s="16"/>
      <c r="H2998" s="24"/>
      <c r="I2998" s="24"/>
      <c r="L2998"/>
    </row>
    <row r="2999" spans="1:12" x14ac:dyDescent="0.25">
      <c r="A2999" s="16"/>
      <c r="D2999" s="16"/>
      <c r="F2999" s="16"/>
      <c r="G2999" s="16"/>
      <c r="H2999" s="24"/>
      <c r="I2999" s="24"/>
      <c r="L2999"/>
    </row>
    <row r="3000" spans="1:12" x14ac:dyDescent="0.25">
      <c r="A3000" s="16"/>
      <c r="D3000" s="16"/>
      <c r="F3000" s="16"/>
      <c r="G3000" s="16"/>
      <c r="H3000" s="24"/>
      <c r="I3000" s="24"/>
      <c r="L3000"/>
    </row>
    <row r="3001" spans="1:12" x14ac:dyDescent="0.25">
      <c r="A3001" s="16"/>
      <c r="D3001" s="16"/>
      <c r="F3001" s="16"/>
      <c r="G3001" s="16"/>
      <c r="H3001" s="24"/>
      <c r="I3001" s="24"/>
      <c r="L3001"/>
    </row>
    <row r="3002" spans="1:12" x14ac:dyDescent="0.25">
      <c r="A3002" s="16"/>
      <c r="D3002" s="16"/>
      <c r="F3002" s="16"/>
      <c r="G3002" s="16"/>
      <c r="H3002" s="24"/>
      <c r="I3002" s="24"/>
      <c r="L3002"/>
    </row>
    <row r="3003" spans="1:12" x14ac:dyDescent="0.25">
      <c r="A3003" s="16"/>
      <c r="D3003" s="16"/>
      <c r="F3003" s="16"/>
      <c r="G3003" s="16"/>
      <c r="H3003" s="24"/>
      <c r="I3003" s="24"/>
      <c r="L3003"/>
    </row>
    <row r="3004" spans="1:12" x14ac:dyDescent="0.25">
      <c r="A3004" s="16"/>
      <c r="D3004" s="16"/>
      <c r="F3004" s="16"/>
      <c r="G3004" s="16"/>
      <c r="H3004" s="24"/>
      <c r="I3004" s="24"/>
      <c r="L3004"/>
    </row>
    <row r="3005" spans="1:12" x14ac:dyDescent="0.25">
      <c r="A3005" s="16"/>
      <c r="D3005" s="16"/>
      <c r="F3005" s="16"/>
      <c r="G3005" s="16"/>
      <c r="H3005" s="24"/>
      <c r="I3005" s="24"/>
      <c r="L3005"/>
    </row>
    <row r="3006" spans="1:12" x14ac:dyDescent="0.25">
      <c r="A3006" s="16"/>
      <c r="D3006" s="16"/>
      <c r="F3006" s="16"/>
      <c r="G3006" s="16"/>
      <c r="H3006" s="24"/>
      <c r="I3006" s="24"/>
      <c r="L3006"/>
    </row>
    <row r="3007" spans="1:12" x14ac:dyDescent="0.25">
      <c r="A3007" s="16"/>
      <c r="D3007" s="16"/>
      <c r="F3007" s="16"/>
      <c r="G3007" s="16"/>
      <c r="H3007" s="24"/>
      <c r="I3007" s="24"/>
      <c r="L3007"/>
    </row>
    <row r="3008" spans="1:12" x14ac:dyDescent="0.25">
      <c r="A3008" s="16"/>
      <c r="D3008" s="16"/>
      <c r="F3008" s="16"/>
      <c r="G3008" s="16"/>
      <c r="H3008" s="24"/>
      <c r="I3008" s="24"/>
      <c r="L3008"/>
    </row>
    <row r="3009" spans="1:12" x14ac:dyDescent="0.25">
      <c r="A3009" s="16"/>
      <c r="D3009" s="16"/>
      <c r="F3009" s="16"/>
      <c r="G3009" s="16"/>
      <c r="H3009" s="24"/>
      <c r="I3009" s="24"/>
      <c r="L3009"/>
    </row>
    <row r="3010" spans="1:12" x14ac:dyDescent="0.25">
      <c r="A3010" s="16"/>
      <c r="D3010" s="16"/>
      <c r="F3010" s="16"/>
      <c r="G3010" s="16"/>
      <c r="H3010" s="24"/>
      <c r="I3010" s="24"/>
      <c r="L3010"/>
    </row>
    <row r="3011" spans="1:12" x14ac:dyDescent="0.25">
      <c r="A3011" s="16"/>
      <c r="D3011" s="16"/>
      <c r="F3011" s="16"/>
      <c r="G3011" s="16"/>
      <c r="H3011" s="24"/>
      <c r="I3011" s="24"/>
      <c r="L3011"/>
    </row>
    <row r="3012" spans="1:12" x14ac:dyDescent="0.25">
      <c r="A3012" s="16"/>
      <c r="D3012" s="16"/>
      <c r="F3012" s="16"/>
      <c r="G3012" s="16"/>
      <c r="H3012" s="24"/>
      <c r="I3012" s="24"/>
      <c r="L3012"/>
    </row>
    <row r="3013" spans="1:12" x14ac:dyDescent="0.25">
      <c r="A3013" s="16"/>
      <c r="D3013" s="16"/>
      <c r="F3013" s="16"/>
      <c r="G3013" s="16"/>
      <c r="H3013" s="24"/>
      <c r="I3013" s="24"/>
      <c r="L3013"/>
    </row>
    <row r="3014" spans="1:12" x14ac:dyDescent="0.25">
      <c r="A3014" s="16"/>
      <c r="D3014" s="16"/>
      <c r="F3014" s="16"/>
      <c r="G3014" s="16"/>
      <c r="H3014" s="24"/>
      <c r="I3014" s="24"/>
      <c r="L3014"/>
    </row>
    <row r="3015" spans="1:12" x14ac:dyDescent="0.25">
      <c r="A3015" s="16"/>
      <c r="D3015" s="16"/>
      <c r="F3015" s="16"/>
      <c r="G3015" s="16"/>
      <c r="H3015" s="24"/>
      <c r="I3015" s="24"/>
      <c r="L3015"/>
    </row>
    <row r="3016" spans="1:12" x14ac:dyDescent="0.25">
      <c r="A3016" s="16"/>
      <c r="D3016" s="16"/>
      <c r="F3016" s="16"/>
      <c r="G3016" s="16"/>
      <c r="H3016" s="24"/>
      <c r="I3016" s="24"/>
      <c r="L3016"/>
    </row>
    <row r="3017" spans="1:12" x14ac:dyDescent="0.25">
      <c r="A3017" s="16"/>
      <c r="D3017" s="16"/>
      <c r="F3017" s="16"/>
      <c r="G3017" s="16"/>
      <c r="H3017" s="24"/>
      <c r="I3017" s="24"/>
      <c r="L3017"/>
    </row>
    <row r="3018" spans="1:12" x14ac:dyDescent="0.25">
      <c r="A3018" s="16"/>
      <c r="D3018" s="16"/>
      <c r="F3018" s="16"/>
      <c r="G3018" s="16"/>
      <c r="H3018" s="24"/>
      <c r="I3018" s="24"/>
      <c r="L3018"/>
    </row>
    <row r="3019" spans="1:12" x14ac:dyDescent="0.25">
      <c r="A3019" s="16"/>
      <c r="D3019" s="16"/>
      <c r="F3019" s="16"/>
      <c r="G3019" s="16"/>
      <c r="H3019" s="24"/>
      <c r="I3019" s="24"/>
      <c r="L3019"/>
    </row>
    <row r="3020" spans="1:12" x14ac:dyDescent="0.25">
      <c r="A3020" s="16"/>
      <c r="D3020" s="16"/>
      <c r="F3020" s="16"/>
      <c r="G3020" s="16"/>
      <c r="H3020" s="24"/>
      <c r="I3020" s="24"/>
      <c r="L3020"/>
    </row>
    <row r="3021" spans="1:12" x14ac:dyDescent="0.25">
      <c r="A3021" s="16"/>
      <c r="D3021" s="16"/>
      <c r="F3021" s="16"/>
      <c r="G3021" s="16"/>
      <c r="H3021" s="24"/>
      <c r="I3021" s="24"/>
      <c r="L3021"/>
    </row>
    <row r="3022" spans="1:12" x14ac:dyDescent="0.25">
      <c r="A3022" s="16"/>
      <c r="D3022" s="16"/>
      <c r="F3022" s="16"/>
      <c r="G3022" s="16"/>
      <c r="H3022" s="24"/>
      <c r="I3022" s="24"/>
      <c r="L3022"/>
    </row>
    <row r="3023" spans="1:12" x14ac:dyDescent="0.25">
      <c r="A3023" s="16"/>
      <c r="D3023" s="16"/>
      <c r="F3023" s="16"/>
      <c r="G3023" s="16"/>
      <c r="H3023" s="24"/>
      <c r="I3023" s="24"/>
      <c r="L3023"/>
    </row>
    <row r="3024" spans="1:12" x14ac:dyDescent="0.25">
      <c r="A3024" s="16"/>
      <c r="D3024" s="16"/>
      <c r="F3024" s="16"/>
      <c r="G3024" s="16"/>
      <c r="H3024" s="24"/>
      <c r="I3024" s="24"/>
      <c r="L3024"/>
    </row>
    <row r="3025" spans="1:12" x14ac:dyDescent="0.25">
      <c r="A3025" s="16"/>
      <c r="D3025" s="16"/>
      <c r="F3025" s="16"/>
      <c r="G3025" s="16"/>
      <c r="H3025" s="24"/>
      <c r="I3025" s="24"/>
      <c r="L3025"/>
    </row>
    <row r="3026" spans="1:12" x14ac:dyDescent="0.25">
      <c r="A3026" s="16"/>
      <c r="D3026" s="16"/>
      <c r="F3026" s="16"/>
      <c r="G3026" s="16"/>
      <c r="H3026" s="24"/>
      <c r="I3026" s="24"/>
      <c r="L3026"/>
    </row>
    <row r="3027" spans="1:12" x14ac:dyDescent="0.25">
      <c r="A3027" s="16"/>
      <c r="D3027" s="16"/>
      <c r="F3027" s="16"/>
      <c r="G3027" s="16"/>
      <c r="H3027" s="24"/>
      <c r="I3027" s="24"/>
      <c r="L3027"/>
    </row>
    <row r="3028" spans="1:12" x14ac:dyDescent="0.25">
      <c r="A3028" s="16"/>
      <c r="D3028" s="16"/>
      <c r="F3028" s="16"/>
      <c r="G3028" s="16"/>
      <c r="H3028" s="24"/>
      <c r="I3028" s="24"/>
      <c r="L3028"/>
    </row>
    <row r="3029" spans="1:12" x14ac:dyDescent="0.25">
      <c r="A3029" s="16"/>
      <c r="D3029" s="16"/>
      <c r="F3029" s="16"/>
      <c r="G3029" s="16"/>
      <c r="H3029" s="24"/>
      <c r="I3029" s="24"/>
      <c r="L3029"/>
    </row>
    <row r="3030" spans="1:12" x14ac:dyDescent="0.25">
      <c r="A3030" s="16"/>
      <c r="D3030" s="16"/>
      <c r="F3030" s="16"/>
      <c r="G3030" s="16"/>
      <c r="H3030" s="24"/>
      <c r="I3030" s="24"/>
      <c r="L3030"/>
    </row>
    <row r="3031" spans="1:12" x14ac:dyDescent="0.25">
      <c r="A3031" s="16"/>
      <c r="D3031" s="16"/>
      <c r="F3031" s="16"/>
      <c r="G3031" s="16"/>
      <c r="H3031" s="24"/>
      <c r="I3031" s="24"/>
      <c r="L3031"/>
    </row>
    <row r="3032" spans="1:12" x14ac:dyDescent="0.25">
      <c r="A3032" s="16"/>
      <c r="D3032" s="16"/>
      <c r="F3032" s="16"/>
      <c r="G3032" s="16"/>
      <c r="H3032" s="24"/>
      <c r="I3032" s="24"/>
      <c r="L3032"/>
    </row>
    <row r="3033" spans="1:12" x14ac:dyDescent="0.25">
      <c r="A3033" s="16"/>
      <c r="D3033" s="16"/>
      <c r="F3033" s="16"/>
      <c r="G3033" s="16"/>
      <c r="H3033" s="24"/>
      <c r="I3033" s="24"/>
      <c r="L3033"/>
    </row>
    <row r="3034" spans="1:12" x14ac:dyDescent="0.25">
      <c r="A3034" s="16"/>
      <c r="D3034" s="16"/>
      <c r="F3034" s="16"/>
      <c r="G3034" s="16"/>
      <c r="H3034" s="24"/>
      <c r="I3034" s="24"/>
      <c r="L3034"/>
    </row>
    <row r="3035" spans="1:12" x14ac:dyDescent="0.25">
      <c r="A3035" s="16"/>
      <c r="D3035" s="16"/>
      <c r="F3035" s="16"/>
      <c r="G3035" s="16"/>
      <c r="H3035" s="24"/>
      <c r="I3035" s="24"/>
      <c r="L3035"/>
    </row>
    <row r="3036" spans="1:12" x14ac:dyDescent="0.25">
      <c r="A3036" s="16"/>
      <c r="D3036" s="16"/>
      <c r="F3036" s="16"/>
      <c r="G3036" s="16"/>
      <c r="H3036" s="24"/>
      <c r="I3036" s="24"/>
      <c r="L3036"/>
    </row>
    <row r="3037" spans="1:12" x14ac:dyDescent="0.25">
      <c r="A3037" s="16"/>
      <c r="D3037" s="16"/>
      <c r="F3037" s="16"/>
      <c r="G3037" s="16"/>
      <c r="H3037" s="24"/>
      <c r="I3037" s="24"/>
      <c r="L3037"/>
    </row>
    <row r="3038" spans="1:12" x14ac:dyDescent="0.25">
      <c r="A3038" s="16"/>
      <c r="D3038" s="16"/>
      <c r="F3038" s="16"/>
      <c r="G3038" s="16"/>
      <c r="H3038" s="24"/>
      <c r="I3038" s="24"/>
      <c r="L3038"/>
    </row>
    <row r="3039" spans="1:12" x14ac:dyDescent="0.25">
      <c r="A3039" s="16"/>
      <c r="D3039" s="16"/>
      <c r="F3039" s="16"/>
      <c r="G3039" s="16"/>
      <c r="H3039" s="24"/>
      <c r="I3039" s="24"/>
      <c r="L3039"/>
    </row>
    <row r="3040" spans="1:12" x14ac:dyDescent="0.25">
      <c r="A3040" s="16"/>
      <c r="D3040" s="16"/>
      <c r="F3040" s="16"/>
      <c r="G3040" s="16"/>
      <c r="H3040" s="24"/>
      <c r="I3040" s="24"/>
      <c r="L3040"/>
    </row>
    <row r="3041" spans="1:12" x14ac:dyDescent="0.25">
      <c r="A3041" s="16"/>
      <c r="D3041" s="16"/>
      <c r="F3041" s="16"/>
      <c r="G3041" s="16"/>
      <c r="H3041" s="24"/>
      <c r="I3041" s="24"/>
      <c r="L3041"/>
    </row>
    <row r="3042" spans="1:12" x14ac:dyDescent="0.25">
      <c r="A3042" s="16"/>
      <c r="D3042" s="16"/>
      <c r="F3042" s="16"/>
      <c r="G3042" s="16"/>
      <c r="H3042" s="24"/>
      <c r="I3042" s="24"/>
      <c r="L3042"/>
    </row>
    <row r="3043" spans="1:12" x14ac:dyDescent="0.25">
      <c r="A3043" s="16"/>
      <c r="D3043" s="16"/>
      <c r="F3043" s="16"/>
      <c r="G3043" s="16"/>
      <c r="H3043" s="24"/>
      <c r="I3043" s="24"/>
      <c r="L3043"/>
    </row>
    <row r="3044" spans="1:12" x14ac:dyDescent="0.25">
      <c r="A3044" s="16"/>
      <c r="D3044" s="16"/>
      <c r="F3044" s="16"/>
      <c r="G3044" s="16"/>
      <c r="H3044" s="24"/>
      <c r="I3044" s="24"/>
      <c r="L3044"/>
    </row>
    <row r="3045" spans="1:12" x14ac:dyDescent="0.25">
      <c r="A3045" s="16"/>
      <c r="D3045" s="16"/>
      <c r="F3045" s="16"/>
      <c r="G3045" s="16"/>
      <c r="H3045" s="24"/>
      <c r="I3045" s="24"/>
      <c r="L3045"/>
    </row>
    <row r="3046" spans="1:12" x14ac:dyDescent="0.25">
      <c r="A3046" s="16"/>
      <c r="D3046" s="16"/>
      <c r="F3046" s="16"/>
      <c r="G3046" s="16"/>
      <c r="H3046" s="24"/>
      <c r="I3046" s="24"/>
      <c r="L3046"/>
    </row>
    <row r="3047" spans="1:12" x14ac:dyDescent="0.25">
      <c r="A3047" s="16"/>
      <c r="D3047" s="16"/>
      <c r="F3047" s="16"/>
      <c r="G3047" s="16"/>
      <c r="H3047" s="24"/>
      <c r="I3047" s="24"/>
      <c r="L3047"/>
    </row>
    <row r="3048" spans="1:12" x14ac:dyDescent="0.25">
      <c r="A3048" s="16"/>
      <c r="D3048" s="16"/>
      <c r="F3048" s="16"/>
      <c r="G3048" s="16"/>
      <c r="H3048" s="24"/>
      <c r="I3048" s="24"/>
      <c r="L3048"/>
    </row>
    <row r="3049" spans="1:12" x14ac:dyDescent="0.25">
      <c r="A3049" s="16"/>
      <c r="D3049" s="16"/>
      <c r="F3049" s="16"/>
      <c r="G3049" s="16"/>
      <c r="H3049" s="24"/>
      <c r="I3049" s="24"/>
      <c r="L3049"/>
    </row>
    <row r="3050" spans="1:12" x14ac:dyDescent="0.25">
      <c r="A3050" s="16"/>
      <c r="D3050" s="16"/>
      <c r="F3050" s="16"/>
      <c r="G3050" s="16"/>
      <c r="H3050" s="24"/>
      <c r="I3050" s="24"/>
      <c r="L3050"/>
    </row>
    <row r="3051" spans="1:12" x14ac:dyDescent="0.25">
      <c r="A3051" s="16"/>
      <c r="D3051" s="16"/>
      <c r="F3051" s="16"/>
      <c r="G3051" s="16"/>
      <c r="H3051" s="24"/>
      <c r="I3051" s="24"/>
      <c r="L3051"/>
    </row>
    <row r="3052" spans="1:12" x14ac:dyDescent="0.25">
      <c r="A3052" s="16"/>
      <c r="D3052" s="16"/>
      <c r="F3052" s="16"/>
      <c r="G3052" s="16"/>
      <c r="H3052" s="24"/>
      <c r="I3052" s="24"/>
      <c r="L3052"/>
    </row>
    <row r="3053" spans="1:12" x14ac:dyDescent="0.25">
      <c r="A3053" s="16"/>
      <c r="D3053" s="16"/>
      <c r="F3053" s="16"/>
      <c r="G3053" s="16"/>
      <c r="H3053" s="24"/>
      <c r="I3053" s="24"/>
      <c r="L3053"/>
    </row>
    <row r="3054" spans="1:12" x14ac:dyDescent="0.25">
      <c r="A3054" s="16"/>
      <c r="D3054" s="16"/>
      <c r="F3054" s="16"/>
      <c r="G3054" s="16"/>
      <c r="H3054" s="24"/>
      <c r="I3054" s="24"/>
      <c r="L3054"/>
    </row>
    <row r="3055" spans="1:12" x14ac:dyDescent="0.25">
      <c r="A3055" s="16"/>
      <c r="D3055" s="16"/>
      <c r="F3055" s="16"/>
      <c r="G3055" s="16"/>
      <c r="H3055" s="24"/>
      <c r="I3055" s="24"/>
      <c r="L3055"/>
    </row>
    <row r="3056" spans="1:12" x14ac:dyDescent="0.25">
      <c r="A3056" s="16"/>
      <c r="D3056" s="16"/>
      <c r="F3056" s="16"/>
      <c r="G3056" s="16"/>
      <c r="H3056" s="24"/>
      <c r="I3056" s="24"/>
      <c r="L3056"/>
    </row>
    <row r="3057" spans="1:12" x14ac:dyDescent="0.25">
      <c r="A3057" s="16"/>
      <c r="D3057" s="16"/>
      <c r="F3057" s="16"/>
      <c r="G3057" s="16"/>
      <c r="H3057" s="24"/>
      <c r="I3057" s="24"/>
      <c r="L3057"/>
    </row>
    <row r="3058" spans="1:12" x14ac:dyDescent="0.25">
      <c r="A3058" s="16"/>
      <c r="D3058" s="16"/>
      <c r="F3058" s="16"/>
      <c r="G3058" s="16"/>
      <c r="H3058" s="24"/>
      <c r="I3058" s="24"/>
      <c r="L3058"/>
    </row>
    <row r="3059" spans="1:12" x14ac:dyDescent="0.25">
      <c r="A3059" s="16"/>
      <c r="D3059" s="16"/>
      <c r="F3059" s="16"/>
      <c r="G3059" s="16"/>
      <c r="H3059" s="24"/>
      <c r="I3059" s="24"/>
      <c r="L3059"/>
    </row>
    <row r="3060" spans="1:12" x14ac:dyDescent="0.25">
      <c r="A3060" s="16"/>
      <c r="D3060" s="16"/>
      <c r="F3060" s="16"/>
      <c r="G3060" s="16"/>
      <c r="H3060" s="24"/>
      <c r="I3060" s="24"/>
      <c r="L3060"/>
    </row>
    <row r="3061" spans="1:12" x14ac:dyDescent="0.25">
      <c r="A3061" s="16"/>
      <c r="D3061" s="16"/>
      <c r="F3061" s="16"/>
      <c r="G3061" s="16"/>
      <c r="H3061" s="24"/>
      <c r="I3061" s="24"/>
      <c r="L3061"/>
    </row>
    <row r="3062" spans="1:12" x14ac:dyDescent="0.25">
      <c r="A3062" s="16"/>
      <c r="D3062" s="16"/>
      <c r="F3062" s="16"/>
      <c r="G3062" s="16"/>
      <c r="H3062" s="24"/>
      <c r="I3062" s="24"/>
      <c r="L3062"/>
    </row>
    <row r="3063" spans="1:12" x14ac:dyDescent="0.25">
      <c r="A3063" s="16"/>
      <c r="D3063" s="16"/>
      <c r="F3063" s="16"/>
      <c r="G3063" s="16"/>
      <c r="H3063" s="24"/>
      <c r="I3063" s="24"/>
      <c r="L3063"/>
    </row>
    <row r="3064" spans="1:12" x14ac:dyDescent="0.25">
      <c r="A3064" s="16"/>
      <c r="D3064" s="16"/>
      <c r="F3064" s="16"/>
      <c r="G3064" s="16"/>
      <c r="H3064" s="24"/>
      <c r="I3064" s="24"/>
      <c r="L3064"/>
    </row>
    <row r="3065" spans="1:12" x14ac:dyDescent="0.25">
      <c r="A3065" s="16"/>
      <c r="D3065" s="16"/>
      <c r="F3065" s="16"/>
      <c r="G3065" s="16"/>
      <c r="H3065" s="24"/>
      <c r="I3065" s="24"/>
      <c r="L3065"/>
    </row>
    <row r="3066" spans="1:12" x14ac:dyDescent="0.25">
      <c r="A3066" s="16"/>
      <c r="D3066" s="16"/>
      <c r="F3066" s="16"/>
      <c r="G3066" s="16"/>
      <c r="H3066" s="24"/>
      <c r="I3066" s="24"/>
      <c r="L3066"/>
    </row>
    <row r="3067" spans="1:12" x14ac:dyDescent="0.25">
      <c r="A3067" s="16"/>
      <c r="D3067" s="16"/>
      <c r="F3067" s="16"/>
      <c r="G3067" s="16"/>
      <c r="H3067" s="24"/>
      <c r="I3067" s="24"/>
      <c r="L3067"/>
    </row>
    <row r="3068" spans="1:12" x14ac:dyDescent="0.25">
      <c r="A3068" s="16"/>
      <c r="D3068" s="16"/>
      <c r="F3068" s="16"/>
      <c r="G3068" s="16"/>
      <c r="H3068" s="24"/>
      <c r="I3068" s="24"/>
      <c r="L3068"/>
    </row>
    <row r="3069" spans="1:12" x14ac:dyDescent="0.25">
      <c r="A3069" s="16"/>
      <c r="D3069" s="16"/>
      <c r="F3069" s="16"/>
      <c r="G3069" s="16"/>
      <c r="H3069" s="24"/>
      <c r="I3069" s="24"/>
      <c r="L3069"/>
    </row>
    <row r="3070" spans="1:12" x14ac:dyDescent="0.25">
      <c r="A3070" s="16"/>
      <c r="D3070" s="16"/>
      <c r="F3070" s="16"/>
      <c r="G3070" s="16"/>
      <c r="H3070" s="24"/>
      <c r="I3070" s="24"/>
      <c r="L3070"/>
    </row>
    <row r="3071" spans="1:12" x14ac:dyDescent="0.25">
      <c r="A3071" s="16"/>
      <c r="D3071" s="16"/>
      <c r="F3071" s="16"/>
      <c r="G3071" s="16"/>
      <c r="H3071" s="24"/>
      <c r="I3071" s="24"/>
      <c r="L3071"/>
    </row>
    <row r="3072" spans="1:12" x14ac:dyDescent="0.25">
      <c r="A3072" s="16"/>
      <c r="D3072" s="16"/>
      <c r="F3072" s="16"/>
      <c r="G3072" s="16"/>
      <c r="H3072" s="24"/>
      <c r="I3072" s="24"/>
      <c r="L3072"/>
    </row>
    <row r="3073" spans="1:12" x14ac:dyDescent="0.25">
      <c r="A3073" s="16"/>
      <c r="D3073" s="16"/>
      <c r="F3073" s="16"/>
      <c r="G3073" s="16"/>
      <c r="H3073" s="24"/>
      <c r="I3073" s="24"/>
      <c r="L3073"/>
    </row>
    <row r="3074" spans="1:12" x14ac:dyDescent="0.25">
      <c r="A3074" s="16"/>
      <c r="D3074" s="16"/>
      <c r="F3074" s="16"/>
      <c r="G3074" s="16"/>
      <c r="H3074" s="24"/>
      <c r="I3074" s="24"/>
      <c r="L3074"/>
    </row>
    <row r="3075" spans="1:12" x14ac:dyDescent="0.25">
      <c r="A3075" s="16"/>
      <c r="D3075" s="16"/>
      <c r="F3075" s="16"/>
      <c r="G3075" s="16"/>
      <c r="H3075" s="24"/>
      <c r="I3075" s="24"/>
      <c r="L3075"/>
    </row>
    <row r="3076" spans="1:12" x14ac:dyDescent="0.25">
      <c r="A3076" s="16"/>
      <c r="D3076" s="16"/>
      <c r="F3076" s="16"/>
      <c r="G3076" s="16"/>
      <c r="H3076" s="24"/>
      <c r="I3076" s="24"/>
      <c r="L3076"/>
    </row>
    <row r="3077" spans="1:12" x14ac:dyDescent="0.25">
      <c r="A3077" s="16"/>
      <c r="D3077" s="16"/>
      <c r="F3077" s="16"/>
      <c r="G3077" s="16"/>
      <c r="H3077" s="24"/>
      <c r="I3077" s="24"/>
      <c r="L3077"/>
    </row>
    <row r="3078" spans="1:12" x14ac:dyDescent="0.25">
      <c r="A3078" s="16"/>
      <c r="D3078" s="16"/>
      <c r="F3078" s="16"/>
      <c r="G3078" s="16"/>
      <c r="H3078" s="24"/>
      <c r="I3078" s="24"/>
      <c r="L3078"/>
    </row>
    <row r="3079" spans="1:12" x14ac:dyDescent="0.25">
      <c r="A3079" s="16"/>
      <c r="D3079" s="16"/>
      <c r="F3079" s="16"/>
      <c r="G3079" s="16"/>
      <c r="H3079" s="24"/>
      <c r="I3079" s="24"/>
      <c r="L3079"/>
    </row>
    <row r="3080" spans="1:12" x14ac:dyDescent="0.25">
      <c r="A3080" s="16"/>
      <c r="D3080" s="16"/>
      <c r="F3080" s="16"/>
      <c r="G3080" s="16"/>
      <c r="H3080" s="24"/>
      <c r="I3080" s="24"/>
      <c r="L3080"/>
    </row>
    <row r="3081" spans="1:12" x14ac:dyDescent="0.25">
      <c r="A3081" s="16"/>
      <c r="D3081" s="16"/>
      <c r="F3081" s="16"/>
      <c r="G3081" s="16"/>
      <c r="H3081" s="24"/>
      <c r="I3081" s="24"/>
      <c r="L3081"/>
    </row>
    <row r="3082" spans="1:12" x14ac:dyDescent="0.25">
      <c r="A3082" s="16"/>
      <c r="D3082" s="16"/>
      <c r="F3082" s="16"/>
      <c r="G3082" s="16"/>
      <c r="H3082" s="24"/>
      <c r="I3082" s="24"/>
      <c r="L3082"/>
    </row>
    <row r="3083" spans="1:12" x14ac:dyDescent="0.25">
      <c r="A3083" s="16"/>
      <c r="D3083" s="16"/>
      <c r="F3083" s="16"/>
      <c r="G3083" s="16"/>
      <c r="H3083" s="24"/>
      <c r="I3083" s="24"/>
      <c r="L3083"/>
    </row>
    <row r="3084" spans="1:12" x14ac:dyDescent="0.25">
      <c r="A3084" s="16"/>
      <c r="D3084" s="16"/>
      <c r="F3084" s="16"/>
      <c r="G3084" s="16"/>
      <c r="H3084" s="24"/>
      <c r="I3084" s="24"/>
      <c r="L3084"/>
    </row>
    <row r="3085" spans="1:12" x14ac:dyDescent="0.25">
      <c r="A3085" s="16"/>
      <c r="D3085" s="16"/>
      <c r="F3085" s="16"/>
      <c r="G3085" s="16"/>
      <c r="H3085" s="24"/>
      <c r="I3085" s="24"/>
      <c r="L3085"/>
    </row>
    <row r="3086" spans="1:12" x14ac:dyDescent="0.25">
      <c r="A3086" s="16"/>
      <c r="D3086" s="16"/>
      <c r="F3086" s="16"/>
      <c r="G3086" s="16"/>
      <c r="H3086" s="24"/>
      <c r="I3086" s="24"/>
      <c r="L3086"/>
    </row>
    <row r="3087" spans="1:12" x14ac:dyDescent="0.25">
      <c r="A3087" s="16"/>
      <c r="D3087" s="16"/>
      <c r="F3087" s="16"/>
      <c r="G3087" s="16"/>
      <c r="H3087" s="24"/>
      <c r="I3087" s="24"/>
      <c r="L3087"/>
    </row>
    <row r="3088" spans="1:12" x14ac:dyDescent="0.25">
      <c r="A3088" s="16"/>
      <c r="D3088" s="16"/>
      <c r="F3088" s="16"/>
      <c r="G3088" s="16"/>
      <c r="H3088" s="24"/>
      <c r="I3088" s="24"/>
      <c r="L3088"/>
    </row>
    <row r="3089" spans="1:12" x14ac:dyDescent="0.25">
      <c r="A3089" s="16"/>
      <c r="D3089" s="16"/>
      <c r="F3089" s="16"/>
      <c r="G3089" s="16"/>
      <c r="H3089" s="24"/>
      <c r="I3089" s="24"/>
      <c r="L3089"/>
    </row>
    <row r="3090" spans="1:12" x14ac:dyDescent="0.25">
      <c r="A3090" s="16"/>
      <c r="D3090" s="16"/>
      <c r="F3090" s="16"/>
      <c r="G3090" s="16"/>
      <c r="H3090" s="24"/>
      <c r="I3090" s="24"/>
      <c r="L3090"/>
    </row>
    <row r="3091" spans="1:12" x14ac:dyDescent="0.25">
      <c r="A3091" s="16"/>
      <c r="D3091" s="16"/>
      <c r="F3091" s="16"/>
      <c r="G3091" s="16"/>
      <c r="H3091" s="24"/>
      <c r="I3091" s="24"/>
      <c r="L3091"/>
    </row>
    <row r="3092" spans="1:12" x14ac:dyDescent="0.25">
      <c r="A3092" s="16"/>
      <c r="D3092" s="16"/>
      <c r="F3092" s="16"/>
      <c r="G3092" s="16"/>
      <c r="H3092" s="24"/>
      <c r="I3092" s="24"/>
      <c r="L3092"/>
    </row>
    <row r="3093" spans="1:12" x14ac:dyDescent="0.25">
      <c r="A3093" s="16"/>
      <c r="D3093" s="16"/>
      <c r="F3093" s="16"/>
      <c r="G3093" s="16"/>
      <c r="H3093" s="24"/>
      <c r="I3093" s="24"/>
      <c r="L3093"/>
    </row>
    <row r="3094" spans="1:12" x14ac:dyDescent="0.25">
      <c r="A3094" s="16"/>
      <c r="D3094" s="16"/>
      <c r="F3094" s="16"/>
      <c r="G3094" s="16"/>
      <c r="H3094" s="24"/>
      <c r="I3094" s="24"/>
      <c r="L3094"/>
    </row>
    <row r="3095" spans="1:12" x14ac:dyDescent="0.25">
      <c r="A3095" s="16"/>
      <c r="D3095" s="16"/>
      <c r="F3095" s="16"/>
      <c r="G3095" s="16"/>
      <c r="H3095" s="24"/>
      <c r="I3095" s="24"/>
      <c r="L3095"/>
    </row>
    <row r="3096" spans="1:12" x14ac:dyDescent="0.25">
      <c r="A3096" s="16"/>
      <c r="D3096" s="16"/>
      <c r="F3096" s="16"/>
      <c r="G3096" s="16"/>
      <c r="H3096" s="24"/>
      <c r="I3096" s="24"/>
      <c r="L3096"/>
    </row>
    <row r="3097" spans="1:12" x14ac:dyDescent="0.25">
      <c r="A3097" s="16"/>
      <c r="D3097" s="16"/>
      <c r="F3097" s="16"/>
      <c r="G3097" s="16"/>
      <c r="H3097" s="24"/>
      <c r="I3097" s="24"/>
      <c r="L3097"/>
    </row>
    <row r="3098" spans="1:12" x14ac:dyDescent="0.25">
      <c r="A3098" s="16"/>
      <c r="D3098" s="16"/>
      <c r="F3098" s="16"/>
      <c r="G3098" s="16"/>
      <c r="H3098" s="24"/>
      <c r="I3098" s="24"/>
      <c r="L3098"/>
    </row>
    <row r="3099" spans="1:12" x14ac:dyDescent="0.25">
      <c r="A3099" s="16"/>
      <c r="D3099" s="16"/>
      <c r="F3099" s="16"/>
      <c r="G3099" s="16"/>
      <c r="H3099" s="24"/>
      <c r="I3099" s="24"/>
      <c r="L3099"/>
    </row>
    <row r="3100" spans="1:12" x14ac:dyDescent="0.25">
      <c r="A3100" s="16"/>
      <c r="D3100" s="16"/>
      <c r="F3100" s="16"/>
      <c r="G3100" s="16"/>
      <c r="H3100" s="24"/>
      <c r="I3100" s="24"/>
      <c r="L3100"/>
    </row>
    <row r="3101" spans="1:12" x14ac:dyDescent="0.25">
      <c r="A3101" s="16"/>
      <c r="D3101" s="16"/>
      <c r="F3101" s="16"/>
      <c r="G3101" s="16"/>
      <c r="H3101" s="24"/>
      <c r="I3101" s="24"/>
      <c r="L3101"/>
    </row>
    <row r="3102" spans="1:12" x14ac:dyDescent="0.25">
      <c r="A3102" s="16"/>
      <c r="D3102" s="16"/>
      <c r="F3102" s="16"/>
      <c r="G3102" s="16"/>
      <c r="H3102" s="24"/>
      <c r="I3102" s="24"/>
      <c r="L3102"/>
    </row>
    <row r="3103" spans="1:12" x14ac:dyDescent="0.25">
      <c r="A3103" s="16"/>
      <c r="D3103" s="16"/>
      <c r="F3103" s="16"/>
      <c r="G3103" s="16"/>
      <c r="H3103" s="24"/>
      <c r="I3103" s="24"/>
      <c r="L3103"/>
    </row>
    <row r="3104" spans="1:12" x14ac:dyDescent="0.25">
      <c r="A3104" s="16"/>
      <c r="D3104" s="16"/>
      <c r="F3104" s="16"/>
      <c r="G3104" s="16"/>
      <c r="H3104" s="24"/>
      <c r="I3104" s="24"/>
      <c r="L3104"/>
    </row>
    <row r="3105" spans="1:12" x14ac:dyDescent="0.25">
      <c r="A3105" s="16"/>
      <c r="D3105" s="16"/>
      <c r="F3105" s="16"/>
      <c r="G3105" s="16"/>
      <c r="H3105" s="24"/>
      <c r="I3105" s="24"/>
      <c r="L3105"/>
    </row>
    <row r="3106" spans="1:12" x14ac:dyDescent="0.25">
      <c r="A3106" s="16"/>
      <c r="D3106" s="16"/>
      <c r="F3106" s="16"/>
      <c r="G3106" s="16"/>
      <c r="H3106" s="24"/>
      <c r="I3106" s="24"/>
      <c r="L3106"/>
    </row>
    <row r="3107" spans="1:12" x14ac:dyDescent="0.25">
      <c r="A3107" s="16"/>
      <c r="D3107" s="16"/>
      <c r="F3107" s="16"/>
      <c r="G3107" s="16"/>
      <c r="H3107" s="24"/>
      <c r="I3107" s="24"/>
      <c r="L3107"/>
    </row>
    <row r="3108" spans="1:12" x14ac:dyDescent="0.25">
      <c r="A3108" s="16"/>
      <c r="D3108" s="16"/>
      <c r="F3108" s="16"/>
      <c r="G3108" s="16"/>
      <c r="H3108" s="24"/>
      <c r="I3108" s="24"/>
      <c r="L3108"/>
    </row>
    <row r="3109" spans="1:12" x14ac:dyDescent="0.25">
      <c r="A3109" s="16"/>
      <c r="D3109" s="16"/>
      <c r="F3109" s="16"/>
      <c r="G3109" s="16"/>
      <c r="H3109" s="24"/>
      <c r="I3109" s="24"/>
      <c r="L3109"/>
    </row>
    <row r="3110" spans="1:12" x14ac:dyDescent="0.25">
      <c r="A3110" s="16"/>
      <c r="D3110" s="16"/>
      <c r="F3110" s="16"/>
      <c r="G3110" s="16"/>
      <c r="H3110" s="24"/>
      <c r="I3110" s="24"/>
      <c r="L3110"/>
    </row>
    <row r="3111" spans="1:12" x14ac:dyDescent="0.25">
      <c r="A3111" s="16"/>
      <c r="D3111" s="16"/>
      <c r="F3111" s="16"/>
      <c r="G3111" s="16"/>
      <c r="H3111" s="24"/>
      <c r="I3111" s="24"/>
      <c r="L3111"/>
    </row>
    <row r="3112" spans="1:12" x14ac:dyDescent="0.25">
      <c r="A3112" s="16"/>
      <c r="D3112" s="16"/>
      <c r="F3112" s="16"/>
      <c r="G3112" s="16"/>
      <c r="H3112" s="24"/>
      <c r="I3112" s="24"/>
      <c r="L3112"/>
    </row>
    <row r="3113" spans="1:12" x14ac:dyDescent="0.25">
      <c r="A3113" s="16"/>
      <c r="D3113" s="16"/>
      <c r="F3113" s="16"/>
      <c r="G3113" s="16"/>
      <c r="H3113" s="24"/>
      <c r="I3113" s="24"/>
      <c r="L3113"/>
    </row>
    <row r="3114" spans="1:12" x14ac:dyDescent="0.25">
      <c r="A3114" s="16"/>
      <c r="D3114" s="16"/>
      <c r="F3114" s="16"/>
      <c r="G3114" s="16"/>
      <c r="H3114" s="24"/>
      <c r="I3114" s="24"/>
      <c r="L3114"/>
    </row>
    <row r="3115" spans="1:12" x14ac:dyDescent="0.25">
      <c r="A3115" s="16"/>
      <c r="D3115" s="16"/>
      <c r="F3115" s="16"/>
      <c r="G3115" s="16"/>
      <c r="H3115" s="24"/>
      <c r="I3115" s="24"/>
      <c r="L3115"/>
    </row>
    <row r="3116" spans="1:12" x14ac:dyDescent="0.25">
      <c r="A3116" s="16"/>
      <c r="D3116" s="16"/>
      <c r="F3116" s="16"/>
      <c r="G3116" s="16"/>
      <c r="H3116" s="24"/>
      <c r="I3116" s="24"/>
      <c r="L3116"/>
    </row>
    <row r="3117" spans="1:12" x14ac:dyDescent="0.25">
      <c r="A3117" s="16"/>
      <c r="D3117" s="16"/>
      <c r="F3117" s="16"/>
      <c r="G3117" s="16"/>
      <c r="H3117" s="24"/>
      <c r="I3117" s="24"/>
      <c r="L3117"/>
    </row>
    <row r="3118" spans="1:12" x14ac:dyDescent="0.25">
      <c r="A3118" s="16"/>
      <c r="D3118" s="16"/>
      <c r="F3118" s="16"/>
      <c r="G3118" s="16"/>
      <c r="H3118" s="24"/>
      <c r="I3118" s="24"/>
      <c r="L3118"/>
    </row>
    <row r="3119" spans="1:12" x14ac:dyDescent="0.25">
      <c r="A3119" s="16"/>
      <c r="D3119" s="16"/>
      <c r="F3119" s="16"/>
      <c r="G3119" s="16"/>
      <c r="H3119" s="24"/>
      <c r="I3119" s="24"/>
      <c r="L3119"/>
    </row>
    <row r="3120" spans="1:12" x14ac:dyDescent="0.25">
      <c r="A3120" s="16"/>
      <c r="D3120" s="16"/>
      <c r="F3120" s="16"/>
      <c r="G3120" s="16"/>
      <c r="H3120" s="24"/>
      <c r="I3120" s="24"/>
      <c r="L3120"/>
    </row>
    <row r="3121" spans="1:12" x14ac:dyDescent="0.25">
      <c r="A3121" s="16"/>
      <c r="D3121" s="16"/>
      <c r="F3121" s="16"/>
      <c r="G3121" s="16"/>
      <c r="H3121" s="24"/>
      <c r="I3121" s="24"/>
      <c r="L3121"/>
    </row>
    <row r="3122" spans="1:12" x14ac:dyDescent="0.25">
      <c r="A3122" s="16"/>
      <c r="D3122" s="16"/>
      <c r="F3122" s="16"/>
      <c r="G3122" s="16"/>
      <c r="H3122" s="24"/>
      <c r="I3122" s="24"/>
      <c r="L3122"/>
    </row>
    <row r="3123" spans="1:12" x14ac:dyDescent="0.25">
      <c r="A3123" s="16"/>
      <c r="D3123" s="16"/>
      <c r="F3123" s="16"/>
      <c r="G3123" s="16"/>
      <c r="H3123" s="24"/>
      <c r="I3123" s="24"/>
      <c r="L3123"/>
    </row>
    <row r="3124" spans="1:12" x14ac:dyDescent="0.25">
      <c r="A3124" s="16"/>
      <c r="D3124" s="16"/>
      <c r="F3124" s="16"/>
      <c r="G3124" s="16"/>
      <c r="H3124" s="24"/>
      <c r="I3124" s="24"/>
      <c r="L3124"/>
    </row>
    <row r="3125" spans="1:12" x14ac:dyDescent="0.25">
      <c r="A3125" s="16"/>
      <c r="D3125" s="16"/>
      <c r="F3125" s="16"/>
      <c r="G3125" s="16"/>
      <c r="H3125" s="24"/>
      <c r="I3125" s="24"/>
      <c r="L3125"/>
    </row>
    <row r="3126" spans="1:12" x14ac:dyDescent="0.25">
      <c r="A3126" s="16"/>
      <c r="D3126" s="16"/>
      <c r="F3126" s="16"/>
      <c r="G3126" s="16"/>
      <c r="H3126" s="24"/>
      <c r="I3126" s="24"/>
      <c r="L3126"/>
    </row>
    <row r="3127" spans="1:12" x14ac:dyDescent="0.25">
      <c r="A3127" s="16"/>
      <c r="D3127" s="16"/>
      <c r="F3127" s="16"/>
      <c r="G3127" s="16"/>
      <c r="H3127" s="24"/>
      <c r="I3127" s="24"/>
      <c r="L3127"/>
    </row>
    <row r="3128" spans="1:12" x14ac:dyDescent="0.25">
      <c r="A3128" s="16"/>
      <c r="D3128" s="16"/>
      <c r="F3128" s="16"/>
      <c r="G3128" s="16"/>
      <c r="H3128" s="24"/>
      <c r="I3128" s="24"/>
      <c r="L3128"/>
    </row>
    <row r="3129" spans="1:12" x14ac:dyDescent="0.25">
      <c r="A3129" s="16"/>
      <c r="D3129" s="16"/>
      <c r="F3129" s="16"/>
      <c r="G3129" s="16"/>
      <c r="H3129" s="24"/>
      <c r="I3129" s="24"/>
      <c r="L3129"/>
    </row>
    <row r="3130" spans="1:12" x14ac:dyDescent="0.25">
      <c r="A3130" s="16"/>
      <c r="D3130" s="16"/>
      <c r="F3130" s="16"/>
      <c r="G3130" s="16"/>
      <c r="H3130" s="24"/>
      <c r="I3130" s="24"/>
      <c r="L3130"/>
    </row>
    <row r="3131" spans="1:12" x14ac:dyDescent="0.25">
      <c r="A3131" s="16"/>
      <c r="D3131" s="16"/>
      <c r="F3131" s="16"/>
      <c r="G3131" s="16"/>
      <c r="H3131" s="24"/>
      <c r="I3131" s="24"/>
      <c r="L3131"/>
    </row>
    <row r="3132" spans="1:12" x14ac:dyDescent="0.25">
      <c r="A3132" s="16"/>
      <c r="D3132" s="16"/>
      <c r="F3132" s="16"/>
      <c r="G3132" s="16"/>
      <c r="H3132" s="24"/>
      <c r="I3132" s="24"/>
      <c r="L3132"/>
    </row>
    <row r="3133" spans="1:12" x14ac:dyDescent="0.25">
      <c r="A3133" s="16"/>
      <c r="D3133" s="16"/>
      <c r="F3133" s="16"/>
      <c r="G3133" s="16"/>
      <c r="H3133" s="24"/>
      <c r="I3133" s="24"/>
      <c r="L3133"/>
    </row>
    <row r="3134" spans="1:12" x14ac:dyDescent="0.25">
      <c r="A3134" s="16"/>
      <c r="D3134" s="16"/>
      <c r="F3134" s="16"/>
      <c r="G3134" s="16"/>
      <c r="H3134" s="24"/>
      <c r="I3134" s="24"/>
      <c r="L3134"/>
    </row>
    <row r="3135" spans="1:12" x14ac:dyDescent="0.25">
      <c r="A3135" s="16"/>
      <c r="D3135" s="16"/>
      <c r="F3135" s="16"/>
      <c r="G3135" s="16"/>
      <c r="H3135" s="24"/>
      <c r="I3135" s="24"/>
      <c r="L3135"/>
    </row>
    <row r="3136" spans="1:12" x14ac:dyDescent="0.25">
      <c r="A3136" s="16"/>
      <c r="D3136" s="16"/>
      <c r="F3136" s="16"/>
      <c r="G3136" s="16"/>
      <c r="H3136" s="24"/>
      <c r="I3136" s="24"/>
      <c r="L3136"/>
    </row>
    <row r="3137" spans="1:12" x14ac:dyDescent="0.25">
      <c r="A3137" s="16"/>
      <c r="D3137" s="16"/>
      <c r="F3137" s="16"/>
      <c r="G3137" s="16"/>
      <c r="H3137" s="24"/>
      <c r="I3137" s="24"/>
      <c r="L3137"/>
    </row>
    <row r="3138" spans="1:12" x14ac:dyDescent="0.25">
      <c r="A3138" s="16"/>
      <c r="D3138" s="16"/>
      <c r="F3138" s="16"/>
      <c r="G3138" s="16"/>
      <c r="H3138" s="24"/>
      <c r="I3138" s="24"/>
      <c r="L3138"/>
    </row>
    <row r="3139" spans="1:12" x14ac:dyDescent="0.25">
      <c r="A3139" s="16"/>
      <c r="D3139" s="16"/>
      <c r="F3139" s="16"/>
      <c r="G3139" s="16"/>
      <c r="H3139" s="24"/>
      <c r="I3139" s="24"/>
      <c r="L3139"/>
    </row>
    <row r="3140" spans="1:12" x14ac:dyDescent="0.25">
      <c r="A3140" s="16"/>
      <c r="D3140" s="16"/>
      <c r="F3140" s="16"/>
      <c r="G3140" s="16"/>
      <c r="H3140" s="24"/>
      <c r="I3140" s="24"/>
      <c r="L3140"/>
    </row>
    <row r="3141" spans="1:12" x14ac:dyDescent="0.25">
      <c r="A3141" s="16"/>
      <c r="D3141" s="16"/>
      <c r="F3141" s="16"/>
      <c r="G3141" s="16"/>
      <c r="H3141" s="24"/>
      <c r="I3141" s="24"/>
      <c r="L3141"/>
    </row>
    <row r="3142" spans="1:12" x14ac:dyDescent="0.25">
      <c r="A3142" s="16"/>
      <c r="D3142" s="16"/>
      <c r="F3142" s="16"/>
      <c r="G3142" s="16"/>
      <c r="H3142" s="24"/>
      <c r="I3142" s="24"/>
      <c r="L3142"/>
    </row>
    <row r="3143" spans="1:12" x14ac:dyDescent="0.25">
      <c r="A3143" s="16"/>
      <c r="D3143" s="16"/>
      <c r="F3143" s="16"/>
      <c r="G3143" s="16"/>
      <c r="H3143" s="24"/>
      <c r="I3143" s="24"/>
      <c r="L3143"/>
    </row>
    <row r="3144" spans="1:12" x14ac:dyDescent="0.25">
      <c r="A3144" s="16"/>
      <c r="D3144" s="16"/>
      <c r="F3144" s="16"/>
      <c r="G3144" s="16"/>
      <c r="H3144" s="24"/>
      <c r="I3144" s="24"/>
      <c r="L3144"/>
    </row>
    <row r="3145" spans="1:12" x14ac:dyDescent="0.25">
      <c r="A3145" s="16"/>
      <c r="D3145" s="16"/>
      <c r="F3145" s="16"/>
      <c r="G3145" s="16"/>
      <c r="H3145" s="24"/>
      <c r="I3145" s="24"/>
      <c r="L3145"/>
    </row>
    <row r="3146" spans="1:12" x14ac:dyDescent="0.25">
      <c r="A3146" s="16"/>
      <c r="D3146" s="16"/>
      <c r="F3146" s="16"/>
      <c r="G3146" s="16"/>
      <c r="H3146" s="24"/>
      <c r="I3146" s="24"/>
      <c r="L3146"/>
    </row>
    <row r="3147" spans="1:12" x14ac:dyDescent="0.25">
      <c r="A3147" s="16"/>
      <c r="D3147" s="16"/>
      <c r="F3147" s="16"/>
      <c r="G3147" s="16"/>
      <c r="H3147" s="24"/>
      <c r="I3147" s="24"/>
      <c r="L3147"/>
    </row>
    <row r="3148" spans="1:12" x14ac:dyDescent="0.25">
      <c r="A3148" s="16"/>
      <c r="D3148" s="16"/>
      <c r="F3148" s="16"/>
      <c r="G3148" s="16"/>
      <c r="H3148" s="24"/>
      <c r="I3148" s="24"/>
      <c r="L3148"/>
    </row>
    <row r="3149" spans="1:12" x14ac:dyDescent="0.25">
      <c r="A3149" s="16"/>
      <c r="D3149" s="16"/>
      <c r="F3149" s="16"/>
      <c r="G3149" s="16"/>
      <c r="H3149" s="24"/>
      <c r="I3149" s="24"/>
      <c r="L3149"/>
    </row>
    <row r="3150" spans="1:12" x14ac:dyDescent="0.25">
      <c r="A3150" s="16"/>
      <c r="D3150" s="16"/>
      <c r="F3150" s="16"/>
      <c r="G3150" s="16"/>
      <c r="H3150" s="24"/>
      <c r="I3150" s="24"/>
      <c r="L3150"/>
    </row>
    <row r="3151" spans="1:12" x14ac:dyDescent="0.25">
      <c r="A3151" s="16"/>
      <c r="D3151" s="16"/>
      <c r="F3151" s="16"/>
      <c r="G3151" s="16"/>
      <c r="H3151" s="24"/>
      <c r="I3151" s="24"/>
      <c r="L3151"/>
    </row>
    <row r="3152" spans="1:12" x14ac:dyDescent="0.25">
      <c r="A3152" s="16"/>
      <c r="D3152" s="16"/>
      <c r="F3152" s="16"/>
      <c r="G3152" s="16"/>
      <c r="H3152" s="24"/>
      <c r="I3152" s="24"/>
      <c r="L3152"/>
    </row>
    <row r="3153" spans="1:12" x14ac:dyDescent="0.25">
      <c r="A3153" s="16"/>
      <c r="D3153" s="16"/>
      <c r="F3153" s="16"/>
      <c r="G3153" s="16"/>
      <c r="H3153" s="24"/>
      <c r="I3153" s="24"/>
      <c r="L3153"/>
    </row>
    <row r="3154" spans="1:12" x14ac:dyDescent="0.25">
      <c r="A3154" s="16"/>
      <c r="D3154" s="16"/>
      <c r="F3154" s="16"/>
      <c r="G3154" s="16"/>
      <c r="H3154" s="24"/>
      <c r="I3154" s="24"/>
      <c r="L3154"/>
    </row>
    <row r="3155" spans="1:12" x14ac:dyDescent="0.25">
      <c r="A3155" s="16"/>
      <c r="D3155" s="16"/>
      <c r="F3155" s="16"/>
      <c r="G3155" s="16"/>
      <c r="H3155" s="24"/>
      <c r="I3155" s="24"/>
      <c r="L3155"/>
    </row>
    <row r="3156" spans="1:12" x14ac:dyDescent="0.25">
      <c r="A3156" s="16"/>
      <c r="D3156" s="16"/>
      <c r="F3156" s="16"/>
      <c r="G3156" s="16"/>
      <c r="H3156" s="24"/>
      <c r="I3156" s="24"/>
      <c r="L3156"/>
    </row>
    <row r="3157" spans="1:12" x14ac:dyDescent="0.25">
      <c r="A3157" s="16"/>
      <c r="D3157" s="16"/>
      <c r="F3157" s="16"/>
      <c r="G3157" s="16"/>
      <c r="H3157" s="24"/>
      <c r="I3157" s="24"/>
      <c r="L3157"/>
    </row>
    <row r="3158" spans="1:12" x14ac:dyDescent="0.25">
      <c r="A3158" s="16"/>
      <c r="D3158" s="16"/>
      <c r="F3158" s="16"/>
      <c r="G3158" s="16"/>
      <c r="H3158" s="24"/>
      <c r="I3158" s="24"/>
      <c r="L3158"/>
    </row>
    <row r="3159" spans="1:12" x14ac:dyDescent="0.25">
      <c r="A3159" s="16"/>
      <c r="D3159" s="16"/>
      <c r="F3159" s="16"/>
      <c r="G3159" s="16"/>
      <c r="H3159" s="24"/>
      <c r="I3159" s="24"/>
      <c r="L3159"/>
    </row>
    <row r="3160" spans="1:12" x14ac:dyDescent="0.25">
      <c r="A3160" s="16"/>
      <c r="D3160" s="16"/>
      <c r="F3160" s="16"/>
      <c r="G3160" s="16"/>
      <c r="H3160" s="24"/>
      <c r="I3160" s="24"/>
      <c r="L3160"/>
    </row>
    <row r="3161" spans="1:12" x14ac:dyDescent="0.25">
      <c r="A3161" s="16"/>
      <c r="D3161" s="16"/>
      <c r="F3161" s="16"/>
      <c r="G3161" s="16"/>
      <c r="H3161" s="24"/>
      <c r="I3161" s="24"/>
      <c r="L3161"/>
    </row>
    <row r="3162" spans="1:12" x14ac:dyDescent="0.25">
      <c r="A3162" s="16"/>
      <c r="D3162" s="16"/>
      <c r="F3162" s="16"/>
      <c r="G3162" s="16"/>
      <c r="H3162" s="24"/>
      <c r="I3162" s="24"/>
      <c r="L3162"/>
    </row>
    <row r="3163" spans="1:12" x14ac:dyDescent="0.25">
      <c r="A3163" s="16"/>
      <c r="D3163" s="16"/>
      <c r="F3163" s="16"/>
      <c r="G3163" s="16"/>
      <c r="H3163" s="24"/>
      <c r="I3163" s="24"/>
      <c r="L3163"/>
    </row>
    <row r="3164" spans="1:12" x14ac:dyDescent="0.25">
      <c r="A3164" s="16"/>
      <c r="D3164" s="16"/>
      <c r="F3164" s="16"/>
      <c r="G3164" s="16"/>
      <c r="H3164" s="24"/>
      <c r="I3164" s="24"/>
      <c r="L3164"/>
    </row>
    <row r="3165" spans="1:12" x14ac:dyDescent="0.25">
      <c r="A3165" s="16"/>
      <c r="D3165" s="16"/>
      <c r="F3165" s="16"/>
      <c r="G3165" s="16"/>
      <c r="H3165" s="24"/>
      <c r="I3165" s="24"/>
      <c r="L3165"/>
    </row>
    <row r="3166" spans="1:12" x14ac:dyDescent="0.25">
      <c r="A3166" s="16"/>
      <c r="D3166" s="16"/>
      <c r="F3166" s="16"/>
      <c r="G3166" s="16"/>
      <c r="H3166" s="24"/>
      <c r="I3166" s="24"/>
      <c r="L3166"/>
    </row>
    <row r="3167" spans="1:12" x14ac:dyDescent="0.25">
      <c r="A3167" s="16"/>
      <c r="D3167" s="16"/>
      <c r="F3167" s="16"/>
      <c r="G3167" s="16"/>
      <c r="H3167" s="24"/>
      <c r="I3167" s="24"/>
      <c r="L3167"/>
    </row>
    <row r="3168" spans="1:12" x14ac:dyDescent="0.25">
      <c r="A3168" s="16"/>
      <c r="D3168" s="16"/>
      <c r="F3168" s="16"/>
      <c r="G3168" s="16"/>
      <c r="H3168" s="24"/>
      <c r="I3168" s="24"/>
      <c r="L3168"/>
    </row>
    <row r="3169" spans="1:12" x14ac:dyDescent="0.25">
      <c r="A3169" s="16"/>
      <c r="D3169" s="16"/>
      <c r="F3169" s="16"/>
      <c r="G3169" s="16"/>
      <c r="H3169" s="24"/>
      <c r="I3169" s="24"/>
      <c r="L3169"/>
    </row>
    <row r="3170" spans="1:12" x14ac:dyDescent="0.25">
      <c r="A3170" s="16"/>
      <c r="D3170" s="16"/>
      <c r="F3170" s="16"/>
      <c r="G3170" s="16"/>
      <c r="H3170" s="24"/>
      <c r="I3170" s="24"/>
      <c r="L3170"/>
    </row>
    <row r="3171" spans="1:12" x14ac:dyDescent="0.25">
      <c r="A3171" s="16"/>
      <c r="D3171" s="16"/>
      <c r="F3171" s="16"/>
      <c r="G3171" s="16"/>
      <c r="H3171" s="24"/>
      <c r="I3171" s="24"/>
      <c r="L3171"/>
    </row>
    <row r="3172" spans="1:12" x14ac:dyDescent="0.25">
      <c r="A3172" s="16"/>
      <c r="D3172" s="16"/>
      <c r="F3172" s="16"/>
      <c r="G3172" s="16"/>
      <c r="H3172" s="24"/>
      <c r="I3172" s="24"/>
      <c r="L3172"/>
    </row>
    <row r="3173" spans="1:12" x14ac:dyDescent="0.25">
      <c r="A3173" s="16"/>
      <c r="D3173" s="16"/>
      <c r="F3173" s="16"/>
      <c r="G3173" s="16"/>
      <c r="H3173" s="24"/>
      <c r="I3173" s="24"/>
      <c r="L3173"/>
    </row>
    <row r="3174" spans="1:12" x14ac:dyDescent="0.25">
      <c r="A3174" s="16"/>
      <c r="D3174" s="16"/>
      <c r="F3174" s="16"/>
      <c r="G3174" s="16"/>
      <c r="H3174" s="24"/>
      <c r="I3174" s="24"/>
      <c r="L3174"/>
    </row>
    <row r="3175" spans="1:12" x14ac:dyDescent="0.25">
      <c r="A3175" s="16"/>
      <c r="D3175" s="16"/>
      <c r="F3175" s="16"/>
      <c r="G3175" s="16"/>
      <c r="H3175" s="24"/>
      <c r="I3175" s="24"/>
      <c r="L3175"/>
    </row>
    <row r="3176" spans="1:12" x14ac:dyDescent="0.25">
      <c r="A3176" s="16"/>
      <c r="D3176" s="16"/>
      <c r="F3176" s="16"/>
      <c r="G3176" s="16"/>
      <c r="H3176" s="24"/>
      <c r="I3176" s="24"/>
      <c r="L3176"/>
    </row>
    <row r="3177" spans="1:12" x14ac:dyDescent="0.25">
      <c r="A3177" s="16"/>
      <c r="D3177" s="16"/>
      <c r="F3177" s="16"/>
      <c r="G3177" s="16"/>
      <c r="H3177" s="24"/>
      <c r="I3177" s="24"/>
      <c r="L3177"/>
    </row>
    <row r="3178" spans="1:12" x14ac:dyDescent="0.25">
      <c r="A3178" s="16"/>
      <c r="D3178" s="16"/>
      <c r="F3178" s="16"/>
      <c r="G3178" s="16"/>
      <c r="H3178" s="24"/>
      <c r="I3178" s="24"/>
      <c r="L3178"/>
    </row>
    <row r="3179" spans="1:12" x14ac:dyDescent="0.25">
      <c r="A3179" s="16"/>
      <c r="D3179" s="16"/>
      <c r="F3179" s="16"/>
      <c r="G3179" s="16"/>
      <c r="H3179" s="24"/>
      <c r="I3179" s="24"/>
      <c r="L3179"/>
    </row>
    <row r="3180" spans="1:12" x14ac:dyDescent="0.25">
      <c r="A3180" s="16"/>
      <c r="D3180" s="16"/>
      <c r="F3180" s="16"/>
      <c r="G3180" s="16"/>
      <c r="H3180" s="24"/>
      <c r="I3180" s="24"/>
      <c r="L3180"/>
    </row>
    <row r="3181" spans="1:12" x14ac:dyDescent="0.25">
      <c r="A3181" s="16"/>
      <c r="D3181" s="16"/>
      <c r="F3181" s="16"/>
      <c r="G3181" s="16"/>
      <c r="H3181" s="24"/>
      <c r="I3181" s="24"/>
      <c r="L3181"/>
    </row>
    <row r="3182" spans="1:12" x14ac:dyDescent="0.25">
      <c r="A3182" s="16"/>
      <c r="D3182" s="16"/>
      <c r="F3182" s="16"/>
      <c r="G3182" s="16"/>
      <c r="H3182" s="24"/>
      <c r="I3182" s="24"/>
      <c r="L3182"/>
    </row>
    <row r="3183" spans="1:12" x14ac:dyDescent="0.25">
      <c r="A3183" s="16"/>
      <c r="D3183" s="16"/>
      <c r="F3183" s="16"/>
      <c r="G3183" s="16"/>
      <c r="H3183" s="24"/>
      <c r="I3183" s="24"/>
      <c r="L3183"/>
    </row>
    <row r="3184" spans="1:12" x14ac:dyDescent="0.25">
      <c r="A3184" s="16"/>
      <c r="D3184" s="16"/>
      <c r="F3184" s="16"/>
      <c r="G3184" s="16"/>
      <c r="H3184" s="24"/>
      <c r="I3184" s="24"/>
      <c r="L3184"/>
    </row>
    <row r="3185" spans="1:12" x14ac:dyDescent="0.25">
      <c r="A3185" s="16"/>
      <c r="D3185" s="16"/>
      <c r="F3185" s="16"/>
      <c r="G3185" s="16"/>
      <c r="H3185" s="24"/>
      <c r="I3185" s="24"/>
      <c r="L3185"/>
    </row>
    <row r="3186" spans="1:12" x14ac:dyDescent="0.25">
      <c r="A3186" s="16"/>
      <c r="D3186" s="16"/>
      <c r="F3186" s="16"/>
      <c r="G3186" s="16"/>
      <c r="H3186" s="24"/>
      <c r="I3186" s="24"/>
      <c r="L3186"/>
    </row>
    <row r="3187" spans="1:12" x14ac:dyDescent="0.25">
      <c r="A3187" s="16"/>
      <c r="D3187" s="16"/>
      <c r="F3187" s="16"/>
      <c r="G3187" s="16"/>
      <c r="H3187" s="24"/>
      <c r="I3187" s="24"/>
      <c r="L3187"/>
    </row>
    <row r="3188" spans="1:12" x14ac:dyDescent="0.25">
      <c r="A3188" s="16"/>
      <c r="D3188" s="16"/>
      <c r="F3188" s="16"/>
      <c r="G3188" s="16"/>
      <c r="H3188" s="24"/>
      <c r="I3188" s="24"/>
      <c r="L3188"/>
    </row>
    <row r="3189" spans="1:12" x14ac:dyDescent="0.25">
      <c r="A3189" s="16"/>
      <c r="D3189" s="16"/>
      <c r="F3189" s="16"/>
      <c r="G3189" s="16"/>
      <c r="H3189" s="24"/>
      <c r="I3189" s="24"/>
      <c r="L3189"/>
    </row>
    <row r="3190" spans="1:12" x14ac:dyDescent="0.25">
      <c r="A3190" s="16"/>
      <c r="D3190" s="16"/>
      <c r="F3190" s="16"/>
      <c r="G3190" s="16"/>
      <c r="H3190" s="24"/>
      <c r="I3190" s="24"/>
      <c r="L3190"/>
    </row>
    <row r="3191" spans="1:12" x14ac:dyDescent="0.25">
      <c r="A3191" s="16"/>
      <c r="D3191" s="16"/>
      <c r="F3191" s="16"/>
      <c r="G3191" s="16"/>
      <c r="H3191" s="24"/>
      <c r="I3191" s="24"/>
      <c r="L3191"/>
    </row>
    <row r="3192" spans="1:12" x14ac:dyDescent="0.25">
      <c r="A3192" s="16"/>
      <c r="D3192" s="16"/>
      <c r="F3192" s="16"/>
      <c r="G3192" s="16"/>
      <c r="H3192" s="24"/>
      <c r="I3192" s="24"/>
      <c r="L3192"/>
    </row>
    <row r="3193" spans="1:12" x14ac:dyDescent="0.25">
      <c r="A3193" s="16"/>
      <c r="D3193" s="16"/>
      <c r="F3193" s="16"/>
      <c r="G3193" s="16"/>
      <c r="H3193" s="24"/>
      <c r="I3193" s="24"/>
      <c r="L3193"/>
    </row>
    <row r="3194" spans="1:12" x14ac:dyDescent="0.25">
      <c r="A3194" s="16"/>
      <c r="D3194" s="16"/>
      <c r="F3194" s="16"/>
      <c r="G3194" s="16"/>
      <c r="H3194" s="24"/>
      <c r="I3194" s="24"/>
      <c r="L3194"/>
    </row>
    <row r="3195" spans="1:12" x14ac:dyDescent="0.25">
      <c r="A3195" s="16"/>
      <c r="D3195" s="16"/>
      <c r="F3195" s="16"/>
      <c r="G3195" s="16"/>
      <c r="H3195" s="24"/>
      <c r="I3195" s="24"/>
      <c r="L3195"/>
    </row>
    <row r="3196" spans="1:12" x14ac:dyDescent="0.25">
      <c r="A3196" s="16"/>
      <c r="D3196" s="16"/>
      <c r="F3196" s="16"/>
      <c r="G3196" s="16"/>
      <c r="H3196" s="24"/>
      <c r="I3196" s="24"/>
      <c r="L3196"/>
    </row>
    <row r="3197" spans="1:12" x14ac:dyDescent="0.25">
      <c r="A3197" s="16"/>
      <c r="D3197" s="16"/>
      <c r="F3197" s="16"/>
      <c r="G3197" s="16"/>
      <c r="H3197" s="24"/>
      <c r="I3197" s="24"/>
      <c r="L3197"/>
    </row>
    <row r="3198" spans="1:12" x14ac:dyDescent="0.25">
      <c r="A3198" s="16"/>
      <c r="D3198" s="16"/>
      <c r="F3198" s="16"/>
      <c r="G3198" s="16"/>
      <c r="H3198" s="24"/>
      <c r="I3198" s="24"/>
      <c r="L3198"/>
    </row>
    <row r="3199" spans="1:12" x14ac:dyDescent="0.25">
      <c r="A3199" s="16"/>
      <c r="D3199" s="16"/>
      <c r="F3199" s="16"/>
      <c r="G3199" s="16"/>
      <c r="H3199" s="24"/>
      <c r="I3199" s="24"/>
      <c r="L3199"/>
    </row>
    <row r="3200" spans="1:12" x14ac:dyDescent="0.25">
      <c r="A3200" s="16"/>
      <c r="D3200" s="16"/>
      <c r="F3200" s="16"/>
      <c r="G3200" s="16"/>
      <c r="H3200" s="24"/>
      <c r="I3200" s="24"/>
      <c r="L3200"/>
    </row>
    <row r="3201" spans="1:12" x14ac:dyDescent="0.25">
      <c r="A3201" s="16"/>
      <c r="D3201" s="16"/>
      <c r="F3201" s="16"/>
      <c r="G3201" s="16"/>
      <c r="H3201" s="24"/>
      <c r="I3201" s="24"/>
      <c r="L3201"/>
    </row>
    <row r="3202" spans="1:12" x14ac:dyDescent="0.25">
      <c r="A3202" s="16"/>
      <c r="D3202" s="16"/>
      <c r="F3202" s="16"/>
      <c r="G3202" s="16"/>
      <c r="H3202" s="24"/>
      <c r="I3202" s="24"/>
      <c r="L3202"/>
    </row>
    <row r="3203" spans="1:12" x14ac:dyDescent="0.25">
      <c r="A3203" s="16"/>
      <c r="D3203" s="16"/>
      <c r="F3203" s="16"/>
      <c r="G3203" s="16"/>
      <c r="H3203" s="24"/>
      <c r="I3203" s="24"/>
      <c r="L3203"/>
    </row>
    <row r="3204" spans="1:12" x14ac:dyDescent="0.25">
      <c r="A3204" s="16"/>
      <c r="D3204" s="16"/>
      <c r="F3204" s="16"/>
      <c r="G3204" s="16"/>
      <c r="H3204" s="24"/>
      <c r="I3204" s="24"/>
      <c r="L3204"/>
    </row>
    <row r="3205" spans="1:12" x14ac:dyDescent="0.25">
      <c r="A3205" s="16"/>
      <c r="D3205" s="16"/>
      <c r="F3205" s="16"/>
      <c r="G3205" s="16"/>
      <c r="H3205" s="24"/>
      <c r="I3205" s="24"/>
      <c r="L3205"/>
    </row>
    <row r="3206" spans="1:12" x14ac:dyDescent="0.25">
      <c r="A3206" s="16"/>
      <c r="D3206" s="16"/>
      <c r="F3206" s="16"/>
      <c r="G3206" s="16"/>
      <c r="H3206" s="24"/>
      <c r="I3206" s="24"/>
      <c r="L3206"/>
    </row>
    <row r="3207" spans="1:12" x14ac:dyDescent="0.25">
      <c r="A3207" s="16"/>
      <c r="D3207" s="16"/>
      <c r="F3207" s="16"/>
      <c r="G3207" s="16"/>
      <c r="H3207" s="24"/>
      <c r="I3207" s="24"/>
      <c r="L3207"/>
    </row>
    <row r="3208" spans="1:12" x14ac:dyDescent="0.25">
      <c r="A3208" s="16"/>
      <c r="D3208" s="16"/>
      <c r="F3208" s="16"/>
      <c r="G3208" s="16"/>
      <c r="H3208" s="24"/>
      <c r="I3208" s="24"/>
      <c r="L3208"/>
    </row>
    <row r="3209" spans="1:12" x14ac:dyDescent="0.25">
      <c r="A3209" s="16"/>
      <c r="D3209" s="16"/>
      <c r="F3209" s="16"/>
      <c r="G3209" s="16"/>
      <c r="H3209" s="24"/>
      <c r="I3209" s="24"/>
      <c r="L3209"/>
    </row>
    <row r="3210" spans="1:12" x14ac:dyDescent="0.25">
      <c r="A3210" s="16"/>
      <c r="D3210" s="16"/>
      <c r="F3210" s="16"/>
      <c r="G3210" s="16"/>
      <c r="H3210" s="24"/>
      <c r="I3210" s="24"/>
      <c r="L3210"/>
    </row>
    <row r="3211" spans="1:12" x14ac:dyDescent="0.25">
      <c r="A3211" s="16"/>
      <c r="D3211" s="16"/>
      <c r="F3211" s="16"/>
      <c r="G3211" s="16"/>
      <c r="H3211" s="24"/>
      <c r="I3211" s="24"/>
      <c r="L3211"/>
    </row>
    <row r="3212" spans="1:12" x14ac:dyDescent="0.25">
      <c r="A3212" s="16"/>
      <c r="D3212" s="16"/>
      <c r="F3212" s="16"/>
      <c r="G3212" s="16"/>
      <c r="H3212" s="24"/>
      <c r="I3212" s="24"/>
      <c r="L3212"/>
    </row>
    <row r="3213" spans="1:12" x14ac:dyDescent="0.25">
      <c r="A3213" s="16"/>
      <c r="D3213" s="16"/>
      <c r="F3213" s="16"/>
      <c r="G3213" s="16"/>
      <c r="H3213" s="24"/>
      <c r="I3213" s="24"/>
      <c r="L3213"/>
    </row>
    <row r="3214" spans="1:12" x14ac:dyDescent="0.25">
      <c r="A3214" s="16"/>
      <c r="D3214" s="16"/>
      <c r="F3214" s="16"/>
      <c r="G3214" s="16"/>
      <c r="H3214" s="24"/>
      <c r="I3214" s="24"/>
      <c r="L3214"/>
    </row>
    <row r="3215" spans="1:12" x14ac:dyDescent="0.25">
      <c r="A3215" s="16"/>
      <c r="D3215" s="16"/>
      <c r="F3215" s="16"/>
      <c r="G3215" s="16"/>
      <c r="H3215" s="24"/>
      <c r="I3215" s="24"/>
      <c r="L3215"/>
    </row>
    <row r="3216" spans="1:12" x14ac:dyDescent="0.25">
      <c r="A3216" s="16"/>
      <c r="D3216" s="16"/>
      <c r="F3216" s="16"/>
      <c r="G3216" s="16"/>
      <c r="H3216" s="24"/>
      <c r="I3216" s="24"/>
      <c r="L3216"/>
    </row>
    <row r="3217" spans="1:12" x14ac:dyDescent="0.25">
      <c r="A3217" s="16"/>
      <c r="D3217" s="16"/>
      <c r="F3217" s="16"/>
      <c r="G3217" s="16"/>
      <c r="H3217" s="24"/>
      <c r="I3217" s="24"/>
      <c r="L3217"/>
    </row>
    <row r="3218" spans="1:12" x14ac:dyDescent="0.25">
      <c r="A3218" s="16"/>
      <c r="D3218" s="16"/>
      <c r="F3218" s="16"/>
      <c r="G3218" s="16"/>
      <c r="H3218" s="24"/>
      <c r="I3218" s="24"/>
      <c r="L3218"/>
    </row>
    <row r="3219" spans="1:12" x14ac:dyDescent="0.25">
      <c r="A3219" s="16"/>
      <c r="D3219" s="16"/>
      <c r="F3219" s="16"/>
      <c r="G3219" s="16"/>
      <c r="H3219" s="24"/>
      <c r="I3219" s="24"/>
      <c r="L3219"/>
    </row>
    <row r="3220" spans="1:12" x14ac:dyDescent="0.25">
      <c r="A3220" s="16"/>
      <c r="D3220" s="16"/>
      <c r="F3220" s="16"/>
      <c r="G3220" s="16"/>
      <c r="H3220" s="24"/>
      <c r="I3220" s="24"/>
      <c r="L3220"/>
    </row>
    <row r="3221" spans="1:12" x14ac:dyDescent="0.25">
      <c r="A3221" s="16"/>
      <c r="D3221" s="16"/>
      <c r="F3221" s="16"/>
      <c r="G3221" s="16"/>
      <c r="H3221" s="24"/>
      <c r="I3221" s="24"/>
      <c r="L3221"/>
    </row>
    <row r="3222" spans="1:12" x14ac:dyDescent="0.25">
      <c r="A3222" s="16"/>
      <c r="D3222" s="16"/>
      <c r="F3222" s="16"/>
      <c r="G3222" s="16"/>
      <c r="H3222" s="24"/>
      <c r="I3222" s="24"/>
      <c r="L3222"/>
    </row>
    <row r="3223" spans="1:12" x14ac:dyDescent="0.25">
      <c r="A3223" s="16"/>
      <c r="D3223" s="16"/>
      <c r="F3223" s="16"/>
      <c r="G3223" s="16"/>
      <c r="H3223" s="24"/>
      <c r="I3223" s="24"/>
      <c r="L3223"/>
    </row>
    <row r="3224" spans="1:12" x14ac:dyDescent="0.25">
      <c r="A3224" s="16"/>
      <c r="D3224" s="16"/>
      <c r="F3224" s="16"/>
      <c r="G3224" s="16"/>
      <c r="H3224" s="24"/>
      <c r="I3224" s="24"/>
      <c r="L3224"/>
    </row>
    <row r="3225" spans="1:12" x14ac:dyDescent="0.25">
      <c r="A3225" s="16"/>
      <c r="D3225" s="16"/>
      <c r="F3225" s="16"/>
      <c r="G3225" s="16"/>
      <c r="H3225" s="24"/>
      <c r="I3225" s="24"/>
      <c r="L3225"/>
    </row>
    <row r="3226" spans="1:12" x14ac:dyDescent="0.25">
      <c r="A3226" s="16"/>
      <c r="D3226" s="16"/>
      <c r="F3226" s="16"/>
      <c r="G3226" s="16"/>
      <c r="H3226" s="24"/>
      <c r="I3226" s="24"/>
      <c r="L3226"/>
    </row>
    <row r="3227" spans="1:12" x14ac:dyDescent="0.25">
      <c r="A3227" s="16"/>
      <c r="D3227" s="16"/>
      <c r="F3227" s="16"/>
      <c r="G3227" s="16"/>
      <c r="H3227" s="24"/>
      <c r="I3227" s="24"/>
      <c r="L3227"/>
    </row>
    <row r="3228" spans="1:12" x14ac:dyDescent="0.25">
      <c r="A3228" s="16"/>
      <c r="D3228" s="16"/>
      <c r="F3228" s="16"/>
      <c r="G3228" s="16"/>
      <c r="H3228" s="24"/>
      <c r="I3228" s="24"/>
      <c r="L3228"/>
    </row>
    <row r="3229" spans="1:12" x14ac:dyDescent="0.25">
      <c r="A3229" s="16"/>
      <c r="D3229" s="16"/>
      <c r="F3229" s="16"/>
      <c r="G3229" s="16"/>
      <c r="H3229" s="24"/>
      <c r="I3229" s="24"/>
      <c r="L3229"/>
    </row>
    <row r="3230" spans="1:12" x14ac:dyDescent="0.25">
      <c r="A3230" s="16"/>
      <c r="D3230" s="16"/>
      <c r="F3230" s="16"/>
      <c r="G3230" s="16"/>
      <c r="H3230" s="24"/>
      <c r="I3230" s="24"/>
      <c r="L3230"/>
    </row>
    <row r="3231" spans="1:12" x14ac:dyDescent="0.25">
      <c r="A3231" s="16"/>
      <c r="D3231" s="16"/>
      <c r="F3231" s="16"/>
      <c r="G3231" s="16"/>
      <c r="H3231" s="24"/>
      <c r="I3231" s="24"/>
      <c r="L3231"/>
    </row>
    <row r="3232" spans="1:12" x14ac:dyDescent="0.25">
      <c r="A3232" s="16"/>
      <c r="D3232" s="16"/>
      <c r="F3232" s="16"/>
      <c r="G3232" s="16"/>
      <c r="H3232" s="24"/>
      <c r="I3232" s="24"/>
      <c r="L3232"/>
    </row>
    <row r="3233" spans="1:12" x14ac:dyDescent="0.25">
      <c r="A3233" s="16"/>
      <c r="D3233" s="16"/>
      <c r="F3233" s="16"/>
      <c r="G3233" s="16"/>
      <c r="H3233" s="24"/>
      <c r="I3233" s="24"/>
      <c r="L3233"/>
    </row>
    <row r="3234" spans="1:12" x14ac:dyDescent="0.25">
      <c r="A3234" s="16"/>
      <c r="D3234" s="16"/>
      <c r="F3234" s="16"/>
      <c r="G3234" s="16"/>
      <c r="H3234" s="24"/>
      <c r="I3234" s="24"/>
      <c r="L3234"/>
    </row>
    <row r="3235" spans="1:12" x14ac:dyDescent="0.25">
      <c r="A3235" s="16"/>
      <c r="D3235" s="16"/>
      <c r="F3235" s="16"/>
      <c r="G3235" s="16"/>
      <c r="H3235" s="24"/>
      <c r="I3235" s="24"/>
      <c r="L3235"/>
    </row>
    <row r="3236" spans="1:12" x14ac:dyDescent="0.25">
      <c r="A3236" s="16"/>
      <c r="D3236" s="16"/>
      <c r="F3236" s="16"/>
      <c r="G3236" s="16"/>
      <c r="H3236" s="24"/>
      <c r="I3236" s="24"/>
      <c r="L3236"/>
    </row>
    <row r="3237" spans="1:12" x14ac:dyDescent="0.25">
      <c r="A3237" s="16"/>
      <c r="D3237" s="16"/>
      <c r="F3237" s="16"/>
      <c r="G3237" s="16"/>
      <c r="H3237" s="24"/>
      <c r="I3237" s="24"/>
      <c r="L3237"/>
    </row>
    <row r="3238" spans="1:12" x14ac:dyDescent="0.25">
      <c r="A3238" s="16"/>
      <c r="D3238" s="16"/>
      <c r="F3238" s="16"/>
      <c r="G3238" s="16"/>
      <c r="H3238" s="24"/>
      <c r="I3238" s="24"/>
      <c r="L3238"/>
    </row>
    <row r="3239" spans="1:12" x14ac:dyDescent="0.25">
      <c r="A3239" s="16"/>
      <c r="D3239" s="16"/>
      <c r="F3239" s="16"/>
      <c r="G3239" s="16"/>
      <c r="H3239" s="24"/>
      <c r="I3239" s="24"/>
      <c r="L3239"/>
    </row>
    <row r="3240" spans="1:12" x14ac:dyDescent="0.25">
      <c r="A3240" s="16"/>
      <c r="D3240" s="16"/>
      <c r="F3240" s="16"/>
      <c r="G3240" s="16"/>
      <c r="H3240" s="24"/>
      <c r="I3240" s="24"/>
      <c r="L3240"/>
    </row>
    <row r="3241" spans="1:12" x14ac:dyDescent="0.25">
      <c r="A3241" s="16"/>
      <c r="D3241" s="16"/>
      <c r="F3241" s="16"/>
      <c r="G3241" s="16"/>
      <c r="H3241" s="24"/>
      <c r="I3241" s="24"/>
      <c r="L3241"/>
    </row>
    <row r="3242" spans="1:12" x14ac:dyDescent="0.25">
      <c r="A3242" s="16"/>
      <c r="D3242" s="16"/>
      <c r="F3242" s="16"/>
      <c r="G3242" s="16"/>
      <c r="H3242" s="24"/>
      <c r="I3242" s="24"/>
      <c r="L3242"/>
    </row>
    <row r="3243" spans="1:12" x14ac:dyDescent="0.25">
      <c r="A3243" s="16"/>
      <c r="D3243" s="16"/>
      <c r="F3243" s="16"/>
      <c r="G3243" s="16"/>
      <c r="H3243" s="24"/>
      <c r="I3243" s="24"/>
      <c r="L3243"/>
    </row>
    <row r="3244" spans="1:12" x14ac:dyDescent="0.25">
      <c r="A3244" s="16"/>
      <c r="D3244" s="16"/>
      <c r="F3244" s="16"/>
      <c r="G3244" s="16"/>
      <c r="H3244" s="24"/>
      <c r="I3244" s="24"/>
      <c r="L3244"/>
    </row>
    <row r="3245" spans="1:12" x14ac:dyDescent="0.25">
      <c r="A3245" s="16"/>
      <c r="D3245" s="16"/>
      <c r="F3245" s="16"/>
      <c r="G3245" s="16"/>
      <c r="H3245" s="24"/>
      <c r="I3245" s="24"/>
      <c r="L3245"/>
    </row>
    <row r="3246" spans="1:12" x14ac:dyDescent="0.25">
      <c r="A3246" s="16"/>
      <c r="D3246" s="16"/>
      <c r="F3246" s="16"/>
      <c r="G3246" s="16"/>
      <c r="H3246" s="24"/>
      <c r="I3246" s="24"/>
      <c r="L3246"/>
    </row>
    <row r="3247" spans="1:12" x14ac:dyDescent="0.25">
      <c r="A3247" s="16"/>
      <c r="D3247" s="16"/>
      <c r="F3247" s="16"/>
      <c r="G3247" s="16"/>
      <c r="H3247" s="24"/>
      <c r="I3247" s="24"/>
      <c r="L3247"/>
    </row>
    <row r="3248" spans="1:12" x14ac:dyDescent="0.25">
      <c r="A3248" s="16"/>
      <c r="D3248" s="16"/>
      <c r="F3248" s="16"/>
      <c r="G3248" s="16"/>
      <c r="H3248" s="24"/>
      <c r="I3248" s="24"/>
      <c r="L3248"/>
    </row>
    <row r="3249" spans="1:12" x14ac:dyDescent="0.25">
      <c r="A3249" s="16"/>
      <c r="D3249" s="16"/>
      <c r="F3249" s="16"/>
      <c r="G3249" s="16"/>
      <c r="H3249" s="24"/>
      <c r="I3249" s="24"/>
      <c r="L3249"/>
    </row>
    <row r="3250" spans="1:12" x14ac:dyDescent="0.25">
      <c r="A3250" s="16"/>
      <c r="D3250" s="16"/>
      <c r="F3250" s="16"/>
      <c r="G3250" s="16"/>
      <c r="H3250" s="24"/>
      <c r="I3250" s="24"/>
      <c r="L3250"/>
    </row>
    <row r="3251" spans="1:12" x14ac:dyDescent="0.25">
      <c r="A3251" s="16"/>
      <c r="D3251" s="16"/>
      <c r="F3251" s="16"/>
      <c r="G3251" s="16"/>
      <c r="H3251" s="24"/>
      <c r="I3251" s="24"/>
      <c r="L3251"/>
    </row>
    <row r="3252" spans="1:12" x14ac:dyDescent="0.25">
      <c r="A3252" s="16"/>
      <c r="D3252" s="16"/>
      <c r="F3252" s="16"/>
      <c r="G3252" s="16"/>
      <c r="H3252" s="24"/>
      <c r="I3252" s="24"/>
      <c r="L3252"/>
    </row>
    <row r="3253" spans="1:12" x14ac:dyDescent="0.25">
      <c r="A3253" s="16"/>
      <c r="D3253" s="16"/>
      <c r="F3253" s="16"/>
      <c r="G3253" s="16"/>
      <c r="H3253" s="24"/>
      <c r="I3253" s="24"/>
      <c r="L3253"/>
    </row>
    <row r="3254" spans="1:12" x14ac:dyDescent="0.25">
      <c r="A3254" s="16"/>
      <c r="D3254" s="16"/>
      <c r="F3254" s="16"/>
      <c r="G3254" s="16"/>
      <c r="H3254" s="24"/>
      <c r="I3254" s="24"/>
      <c r="L3254"/>
    </row>
    <row r="3255" spans="1:12" x14ac:dyDescent="0.25">
      <c r="A3255" s="16"/>
      <c r="D3255" s="16"/>
      <c r="F3255" s="16"/>
      <c r="G3255" s="16"/>
      <c r="H3255" s="24"/>
      <c r="I3255" s="24"/>
      <c r="L3255"/>
    </row>
    <row r="3256" spans="1:12" x14ac:dyDescent="0.25">
      <c r="A3256" s="16"/>
      <c r="D3256" s="16"/>
      <c r="F3256" s="16"/>
      <c r="G3256" s="16"/>
      <c r="H3256" s="24"/>
      <c r="I3256" s="24"/>
      <c r="L3256"/>
    </row>
    <row r="3257" spans="1:12" x14ac:dyDescent="0.25">
      <c r="A3257" s="16"/>
      <c r="D3257" s="16"/>
      <c r="F3257" s="16"/>
      <c r="G3257" s="16"/>
      <c r="H3257" s="24"/>
      <c r="I3257" s="24"/>
      <c r="L3257"/>
    </row>
    <row r="3258" spans="1:12" x14ac:dyDescent="0.25">
      <c r="A3258" s="16"/>
      <c r="D3258" s="16"/>
      <c r="F3258" s="16"/>
      <c r="G3258" s="16"/>
      <c r="H3258" s="24"/>
      <c r="I3258" s="24"/>
      <c r="L3258"/>
    </row>
    <row r="3259" spans="1:12" x14ac:dyDescent="0.25">
      <c r="A3259" s="16"/>
      <c r="D3259" s="16"/>
      <c r="F3259" s="16"/>
      <c r="G3259" s="16"/>
      <c r="H3259" s="24"/>
      <c r="I3259" s="24"/>
      <c r="L3259"/>
    </row>
    <row r="3260" spans="1:12" x14ac:dyDescent="0.25">
      <c r="A3260" s="16"/>
      <c r="D3260" s="16"/>
      <c r="F3260" s="16"/>
      <c r="G3260" s="16"/>
      <c r="H3260" s="24"/>
      <c r="I3260" s="24"/>
      <c r="L3260"/>
    </row>
    <row r="3261" spans="1:12" x14ac:dyDescent="0.25">
      <c r="A3261" s="16"/>
      <c r="D3261" s="16"/>
      <c r="F3261" s="16"/>
      <c r="G3261" s="16"/>
      <c r="H3261" s="24"/>
      <c r="I3261" s="24"/>
      <c r="L3261"/>
    </row>
    <row r="3262" spans="1:12" x14ac:dyDescent="0.25">
      <c r="A3262" s="16"/>
      <c r="D3262" s="16"/>
      <c r="F3262" s="16"/>
      <c r="G3262" s="16"/>
      <c r="H3262" s="24"/>
      <c r="I3262" s="24"/>
      <c r="L3262"/>
    </row>
    <row r="3263" spans="1:12" x14ac:dyDescent="0.25">
      <c r="A3263" s="16"/>
      <c r="D3263" s="16"/>
      <c r="F3263" s="16"/>
      <c r="G3263" s="16"/>
      <c r="H3263" s="24"/>
      <c r="I3263" s="24"/>
      <c r="L3263"/>
    </row>
    <row r="3264" spans="1:12" x14ac:dyDescent="0.25">
      <c r="A3264" s="16"/>
      <c r="D3264" s="16"/>
      <c r="F3264" s="16"/>
      <c r="G3264" s="16"/>
      <c r="H3264" s="24"/>
      <c r="I3264" s="24"/>
      <c r="L3264"/>
    </row>
    <row r="3265" spans="1:12" x14ac:dyDescent="0.25">
      <c r="A3265" s="16"/>
      <c r="D3265" s="16"/>
      <c r="F3265" s="16"/>
      <c r="G3265" s="16"/>
      <c r="H3265" s="24"/>
      <c r="I3265" s="24"/>
      <c r="L3265"/>
    </row>
    <row r="3266" spans="1:12" x14ac:dyDescent="0.25">
      <c r="A3266" s="16"/>
      <c r="D3266" s="16"/>
      <c r="F3266" s="16"/>
      <c r="G3266" s="16"/>
      <c r="H3266" s="24"/>
      <c r="I3266" s="24"/>
      <c r="L3266"/>
    </row>
    <row r="3267" spans="1:12" x14ac:dyDescent="0.25">
      <c r="A3267" s="16"/>
      <c r="D3267" s="16"/>
      <c r="F3267" s="16"/>
      <c r="G3267" s="16"/>
      <c r="H3267" s="24"/>
      <c r="I3267" s="24"/>
      <c r="L3267"/>
    </row>
    <row r="3268" spans="1:12" x14ac:dyDescent="0.25">
      <c r="A3268" s="16"/>
      <c r="D3268" s="16"/>
      <c r="F3268" s="16"/>
      <c r="G3268" s="16"/>
      <c r="H3268" s="24"/>
      <c r="I3268" s="24"/>
      <c r="L3268"/>
    </row>
    <row r="3269" spans="1:12" x14ac:dyDescent="0.25">
      <c r="A3269" s="16"/>
      <c r="D3269" s="16"/>
      <c r="F3269" s="16"/>
      <c r="G3269" s="16"/>
      <c r="H3269" s="24"/>
      <c r="I3269" s="24"/>
      <c r="L3269"/>
    </row>
    <row r="3270" spans="1:12" x14ac:dyDescent="0.25">
      <c r="A3270" s="16"/>
      <c r="D3270" s="16"/>
      <c r="F3270" s="16"/>
      <c r="G3270" s="16"/>
      <c r="H3270" s="24"/>
      <c r="I3270" s="24"/>
      <c r="L3270"/>
    </row>
    <row r="3271" spans="1:12" x14ac:dyDescent="0.25">
      <c r="A3271" s="16"/>
      <c r="D3271" s="16"/>
      <c r="F3271" s="16"/>
      <c r="G3271" s="16"/>
      <c r="H3271" s="24"/>
      <c r="I3271" s="24"/>
      <c r="L3271"/>
    </row>
    <row r="3272" spans="1:12" x14ac:dyDescent="0.25">
      <c r="A3272" s="16"/>
      <c r="D3272" s="16"/>
      <c r="F3272" s="16"/>
      <c r="G3272" s="16"/>
      <c r="H3272" s="24"/>
      <c r="I3272" s="24"/>
      <c r="L3272"/>
    </row>
    <row r="3273" spans="1:12" x14ac:dyDescent="0.25">
      <c r="A3273" s="16"/>
      <c r="D3273" s="16"/>
      <c r="F3273" s="16"/>
      <c r="G3273" s="16"/>
      <c r="H3273" s="24"/>
      <c r="I3273" s="24"/>
      <c r="L3273"/>
    </row>
    <row r="3274" spans="1:12" x14ac:dyDescent="0.25">
      <c r="A3274" s="16"/>
      <c r="D3274" s="16"/>
      <c r="F3274" s="16"/>
      <c r="G3274" s="16"/>
      <c r="H3274" s="24"/>
      <c r="I3274" s="24"/>
      <c r="L3274"/>
    </row>
    <row r="3275" spans="1:12" x14ac:dyDescent="0.25">
      <c r="A3275" s="16"/>
      <c r="D3275" s="16"/>
      <c r="F3275" s="16"/>
      <c r="G3275" s="16"/>
      <c r="H3275" s="24"/>
      <c r="I3275" s="24"/>
      <c r="L3275"/>
    </row>
    <row r="3276" spans="1:12" x14ac:dyDescent="0.25">
      <c r="A3276" s="16"/>
      <c r="D3276" s="16"/>
      <c r="F3276" s="16"/>
      <c r="G3276" s="16"/>
      <c r="H3276" s="24"/>
      <c r="I3276" s="24"/>
      <c r="L3276"/>
    </row>
    <row r="3277" spans="1:12" x14ac:dyDescent="0.25">
      <c r="A3277" s="16"/>
      <c r="D3277" s="16"/>
      <c r="F3277" s="16"/>
      <c r="G3277" s="16"/>
      <c r="H3277" s="24"/>
      <c r="I3277" s="24"/>
      <c r="L3277"/>
    </row>
    <row r="3278" spans="1:12" x14ac:dyDescent="0.25">
      <c r="A3278" s="16"/>
      <c r="D3278" s="16"/>
      <c r="F3278" s="16"/>
      <c r="G3278" s="16"/>
      <c r="H3278" s="24"/>
      <c r="I3278" s="24"/>
      <c r="L3278"/>
    </row>
    <row r="3279" spans="1:12" x14ac:dyDescent="0.25">
      <c r="A3279" s="16"/>
      <c r="D3279" s="16"/>
      <c r="F3279" s="16"/>
      <c r="G3279" s="16"/>
      <c r="H3279" s="24"/>
      <c r="I3279" s="24"/>
      <c r="L3279"/>
    </row>
    <row r="3280" spans="1:12" x14ac:dyDescent="0.25">
      <c r="A3280" s="16"/>
      <c r="D3280" s="16"/>
      <c r="F3280" s="16"/>
      <c r="G3280" s="16"/>
      <c r="H3280" s="24"/>
      <c r="I3280" s="24"/>
      <c r="L3280"/>
    </row>
    <row r="3281" spans="1:12" x14ac:dyDescent="0.25">
      <c r="A3281" s="16"/>
      <c r="D3281" s="16"/>
      <c r="F3281" s="16"/>
      <c r="G3281" s="16"/>
      <c r="H3281" s="24"/>
      <c r="I3281" s="24"/>
      <c r="L3281"/>
    </row>
    <row r="3282" spans="1:12" x14ac:dyDescent="0.25">
      <c r="A3282" s="16"/>
      <c r="D3282" s="16"/>
      <c r="F3282" s="16"/>
      <c r="G3282" s="16"/>
      <c r="H3282" s="24"/>
      <c r="I3282" s="24"/>
      <c r="L3282"/>
    </row>
    <row r="3283" spans="1:12" x14ac:dyDescent="0.25">
      <c r="A3283" s="16"/>
      <c r="D3283" s="16"/>
      <c r="F3283" s="16"/>
      <c r="G3283" s="16"/>
      <c r="H3283" s="24"/>
      <c r="I3283" s="24"/>
      <c r="L3283"/>
    </row>
    <row r="3284" spans="1:12" x14ac:dyDescent="0.25">
      <c r="A3284" s="16"/>
      <c r="D3284" s="16"/>
      <c r="F3284" s="16"/>
      <c r="G3284" s="16"/>
      <c r="H3284" s="24"/>
      <c r="I3284" s="24"/>
      <c r="L3284"/>
    </row>
    <row r="3285" spans="1:12" x14ac:dyDescent="0.25">
      <c r="A3285" s="16"/>
      <c r="D3285" s="16"/>
      <c r="F3285" s="16"/>
      <c r="G3285" s="16"/>
      <c r="H3285" s="24"/>
      <c r="I3285" s="24"/>
      <c r="L3285"/>
    </row>
    <row r="3286" spans="1:12" x14ac:dyDescent="0.25">
      <c r="A3286" s="16"/>
      <c r="D3286" s="16"/>
      <c r="F3286" s="16"/>
      <c r="G3286" s="16"/>
      <c r="H3286" s="24"/>
      <c r="I3286" s="24"/>
      <c r="L3286"/>
    </row>
    <row r="3287" spans="1:12" x14ac:dyDescent="0.25">
      <c r="A3287" s="16"/>
      <c r="D3287" s="16"/>
      <c r="F3287" s="16"/>
      <c r="G3287" s="16"/>
      <c r="H3287" s="24"/>
      <c r="I3287" s="24"/>
      <c r="L3287"/>
    </row>
    <row r="3288" spans="1:12" x14ac:dyDescent="0.25">
      <c r="A3288" s="16"/>
      <c r="D3288" s="16"/>
      <c r="F3288" s="16"/>
      <c r="G3288" s="16"/>
      <c r="H3288" s="24"/>
      <c r="I3288" s="24"/>
      <c r="L3288"/>
    </row>
    <row r="3289" spans="1:12" x14ac:dyDescent="0.25">
      <c r="A3289" s="16"/>
      <c r="D3289" s="16"/>
      <c r="F3289" s="16"/>
      <c r="G3289" s="16"/>
      <c r="H3289" s="24"/>
      <c r="I3289" s="24"/>
      <c r="L3289"/>
    </row>
    <row r="3290" spans="1:12" x14ac:dyDescent="0.25">
      <c r="A3290" s="16"/>
      <c r="D3290" s="16"/>
      <c r="F3290" s="16"/>
      <c r="G3290" s="16"/>
      <c r="H3290" s="24"/>
      <c r="I3290" s="24"/>
      <c r="L3290"/>
    </row>
    <row r="3291" spans="1:12" x14ac:dyDescent="0.25">
      <c r="A3291" s="16"/>
      <c r="D3291" s="16"/>
      <c r="F3291" s="16"/>
      <c r="G3291" s="16"/>
      <c r="H3291" s="24"/>
      <c r="I3291" s="24"/>
      <c r="L3291"/>
    </row>
    <row r="3292" spans="1:12" x14ac:dyDescent="0.25">
      <c r="A3292" s="16"/>
      <c r="D3292" s="16"/>
      <c r="F3292" s="16"/>
      <c r="G3292" s="16"/>
      <c r="H3292" s="24"/>
      <c r="I3292" s="24"/>
      <c r="L3292"/>
    </row>
    <row r="3293" spans="1:12" x14ac:dyDescent="0.25">
      <c r="A3293" s="16"/>
      <c r="D3293" s="16"/>
      <c r="F3293" s="16"/>
      <c r="G3293" s="16"/>
      <c r="H3293" s="24"/>
      <c r="I3293" s="24"/>
      <c r="L3293"/>
    </row>
    <row r="3294" spans="1:12" x14ac:dyDescent="0.25">
      <c r="A3294" s="16"/>
      <c r="D3294" s="16"/>
      <c r="F3294" s="16"/>
      <c r="G3294" s="16"/>
      <c r="H3294" s="24"/>
      <c r="I3294" s="24"/>
      <c r="L3294"/>
    </row>
    <row r="3295" spans="1:12" x14ac:dyDescent="0.25">
      <c r="A3295" s="16"/>
      <c r="D3295" s="16"/>
      <c r="F3295" s="16"/>
      <c r="G3295" s="16"/>
      <c r="H3295" s="24"/>
      <c r="I3295" s="24"/>
      <c r="L3295"/>
    </row>
    <row r="3296" spans="1:12" x14ac:dyDescent="0.25">
      <c r="A3296" s="16"/>
      <c r="D3296" s="16"/>
      <c r="F3296" s="16"/>
      <c r="G3296" s="16"/>
      <c r="H3296" s="24"/>
      <c r="I3296" s="24"/>
      <c r="L3296"/>
    </row>
    <row r="3297" spans="1:12" x14ac:dyDescent="0.25">
      <c r="A3297" s="16"/>
      <c r="D3297" s="16"/>
      <c r="F3297" s="16"/>
      <c r="G3297" s="16"/>
      <c r="H3297" s="24"/>
      <c r="I3297" s="24"/>
      <c r="L3297"/>
    </row>
    <row r="3298" spans="1:12" x14ac:dyDescent="0.25">
      <c r="A3298" s="16"/>
      <c r="D3298" s="16"/>
      <c r="F3298" s="16"/>
      <c r="G3298" s="16"/>
      <c r="H3298" s="24"/>
      <c r="I3298" s="24"/>
      <c r="L3298"/>
    </row>
    <row r="3299" spans="1:12" x14ac:dyDescent="0.25">
      <c r="A3299" s="16"/>
      <c r="D3299" s="16"/>
      <c r="F3299" s="16"/>
      <c r="G3299" s="16"/>
      <c r="H3299" s="24"/>
      <c r="I3299" s="24"/>
      <c r="L3299"/>
    </row>
    <row r="3300" spans="1:12" x14ac:dyDescent="0.25">
      <c r="A3300" s="16"/>
      <c r="D3300" s="16"/>
      <c r="F3300" s="16"/>
      <c r="G3300" s="16"/>
      <c r="H3300" s="24"/>
      <c r="I3300" s="24"/>
      <c r="L3300"/>
    </row>
    <row r="3301" spans="1:12" x14ac:dyDescent="0.25">
      <c r="A3301" s="16"/>
      <c r="D3301" s="16"/>
      <c r="F3301" s="16"/>
      <c r="G3301" s="16"/>
      <c r="H3301" s="24"/>
      <c r="I3301" s="24"/>
      <c r="L3301"/>
    </row>
    <row r="3302" spans="1:12" x14ac:dyDescent="0.25">
      <c r="A3302" s="16"/>
      <c r="D3302" s="16"/>
      <c r="F3302" s="16"/>
      <c r="G3302" s="16"/>
      <c r="H3302" s="24"/>
      <c r="I3302" s="24"/>
      <c r="L3302"/>
    </row>
    <row r="3303" spans="1:12" x14ac:dyDescent="0.25">
      <c r="A3303" s="16"/>
      <c r="D3303" s="16"/>
      <c r="F3303" s="16"/>
      <c r="G3303" s="16"/>
      <c r="H3303" s="24"/>
      <c r="I3303" s="24"/>
      <c r="L3303"/>
    </row>
    <row r="3304" spans="1:12" x14ac:dyDescent="0.25">
      <c r="A3304" s="16"/>
      <c r="D3304" s="16"/>
      <c r="F3304" s="16"/>
      <c r="G3304" s="16"/>
      <c r="H3304" s="24"/>
      <c r="I3304" s="24"/>
      <c r="L3304"/>
    </row>
    <row r="3305" spans="1:12" x14ac:dyDescent="0.25">
      <c r="A3305" s="16"/>
      <c r="D3305" s="16"/>
      <c r="F3305" s="16"/>
      <c r="G3305" s="16"/>
      <c r="H3305" s="24"/>
      <c r="I3305" s="24"/>
      <c r="L3305"/>
    </row>
    <row r="3306" spans="1:12" x14ac:dyDescent="0.25">
      <c r="A3306" s="16"/>
      <c r="D3306" s="16"/>
      <c r="F3306" s="16"/>
      <c r="G3306" s="16"/>
      <c r="H3306" s="24"/>
      <c r="I3306" s="24"/>
      <c r="L3306"/>
    </row>
    <row r="3307" spans="1:12" x14ac:dyDescent="0.25">
      <c r="A3307" s="16"/>
      <c r="D3307" s="16"/>
      <c r="F3307" s="16"/>
      <c r="G3307" s="16"/>
      <c r="H3307" s="24"/>
      <c r="I3307" s="24"/>
      <c r="L3307"/>
    </row>
    <row r="3308" spans="1:12" x14ac:dyDescent="0.25">
      <c r="A3308" s="16"/>
      <c r="D3308" s="16"/>
      <c r="F3308" s="16"/>
      <c r="G3308" s="16"/>
      <c r="H3308" s="24"/>
      <c r="I3308" s="24"/>
      <c r="L3308"/>
    </row>
    <row r="3309" spans="1:12" x14ac:dyDescent="0.25">
      <c r="A3309" s="16"/>
      <c r="D3309" s="16"/>
      <c r="F3309" s="16"/>
      <c r="G3309" s="16"/>
      <c r="H3309" s="24"/>
      <c r="I3309" s="24"/>
      <c r="L3309"/>
    </row>
    <row r="3310" spans="1:12" x14ac:dyDescent="0.25">
      <c r="A3310" s="16"/>
      <c r="D3310" s="16"/>
      <c r="F3310" s="16"/>
      <c r="G3310" s="16"/>
      <c r="H3310" s="24"/>
      <c r="I3310" s="24"/>
      <c r="L3310"/>
    </row>
    <row r="3311" spans="1:12" x14ac:dyDescent="0.25">
      <c r="A3311" s="16"/>
      <c r="D3311" s="16"/>
      <c r="F3311" s="16"/>
      <c r="G3311" s="16"/>
      <c r="H3311" s="24"/>
      <c r="I3311" s="24"/>
      <c r="L3311"/>
    </row>
    <row r="3312" spans="1:12" x14ac:dyDescent="0.25">
      <c r="A3312" s="16"/>
      <c r="D3312" s="16"/>
      <c r="F3312" s="16"/>
      <c r="G3312" s="16"/>
      <c r="H3312" s="24"/>
      <c r="I3312" s="24"/>
      <c r="L3312"/>
    </row>
    <row r="3313" spans="1:12" x14ac:dyDescent="0.25">
      <c r="A3313" s="16"/>
      <c r="D3313" s="16"/>
      <c r="F3313" s="16"/>
      <c r="G3313" s="16"/>
      <c r="H3313" s="24"/>
      <c r="I3313" s="24"/>
      <c r="L3313"/>
    </row>
    <row r="3314" spans="1:12" x14ac:dyDescent="0.25">
      <c r="A3314" s="16"/>
      <c r="D3314" s="16"/>
      <c r="F3314" s="16"/>
      <c r="G3314" s="16"/>
      <c r="H3314" s="24"/>
      <c r="I3314" s="24"/>
      <c r="L3314"/>
    </row>
    <row r="3315" spans="1:12" x14ac:dyDescent="0.25">
      <c r="A3315" s="16"/>
      <c r="D3315" s="16"/>
      <c r="F3315" s="16"/>
      <c r="G3315" s="16"/>
      <c r="H3315" s="24"/>
      <c r="I3315" s="24"/>
      <c r="L3315"/>
    </row>
    <row r="3316" spans="1:12" x14ac:dyDescent="0.25">
      <c r="A3316" s="16"/>
      <c r="D3316" s="16"/>
      <c r="F3316" s="16"/>
      <c r="G3316" s="16"/>
      <c r="H3316" s="24"/>
      <c r="I3316" s="24"/>
      <c r="L3316"/>
    </row>
    <row r="3317" spans="1:12" x14ac:dyDescent="0.25">
      <c r="A3317" s="16"/>
      <c r="D3317" s="16"/>
      <c r="F3317" s="16"/>
      <c r="G3317" s="16"/>
      <c r="H3317" s="24"/>
      <c r="I3317" s="24"/>
      <c r="L3317"/>
    </row>
    <row r="3318" spans="1:12" x14ac:dyDescent="0.25">
      <c r="A3318" s="16"/>
      <c r="D3318" s="16"/>
      <c r="F3318" s="16"/>
      <c r="G3318" s="16"/>
      <c r="H3318" s="24"/>
      <c r="I3318" s="24"/>
      <c r="L3318"/>
    </row>
    <row r="3319" spans="1:12" x14ac:dyDescent="0.25">
      <c r="A3319" s="16"/>
      <c r="D3319" s="16"/>
      <c r="F3319" s="16"/>
      <c r="G3319" s="16"/>
      <c r="H3319" s="24"/>
      <c r="I3319" s="24"/>
      <c r="L3319"/>
    </row>
    <row r="3320" spans="1:12" x14ac:dyDescent="0.25">
      <c r="A3320" s="16"/>
      <c r="D3320" s="16"/>
      <c r="F3320" s="16"/>
      <c r="G3320" s="16"/>
      <c r="H3320" s="24"/>
      <c r="I3320" s="24"/>
      <c r="L3320"/>
    </row>
    <row r="3321" spans="1:12" x14ac:dyDescent="0.25">
      <c r="A3321" s="16"/>
      <c r="D3321" s="16"/>
      <c r="F3321" s="16"/>
      <c r="G3321" s="16"/>
      <c r="H3321" s="24"/>
      <c r="I3321" s="24"/>
      <c r="L3321"/>
    </row>
    <row r="3322" spans="1:12" x14ac:dyDescent="0.25">
      <c r="A3322" s="16"/>
      <c r="D3322" s="16"/>
      <c r="F3322" s="16"/>
      <c r="G3322" s="16"/>
      <c r="H3322" s="24"/>
      <c r="I3322" s="24"/>
      <c r="L3322"/>
    </row>
    <row r="3323" spans="1:12" x14ac:dyDescent="0.25">
      <c r="A3323" s="16"/>
      <c r="D3323" s="16"/>
      <c r="F3323" s="16"/>
      <c r="G3323" s="16"/>
      <c r="H3323" s="24"/>
      <c r="I3323" s="24"/>
      <c r="L3323"/>
    </row>
    <row r="3324" spans="1:12" x14ac:dyDescent="0.25">
      <c r="A3324" s="16"/>
      <c r="D3324" s="16"/>
      <c r="F3324" s="16"/>
      <c r="G3324" s="16"/>
      <c r="H3324" s="24"/>
      <c r="I3324" s="24"/>
      <c r="L3324"/>
    </row>
    <row r="3325" spans="1:12" x14ac:dyDescent="0.25">
      <c r="A3325" s="16"/>
      <c r="D3325" s="16"/>
      <c r="F3325" s="16"/>
      <c r="G3325" s="16"/>
      <c r="H3325" s="24"/>
      <c r="I3325" s="24"/>
      <c r="L3325"/>
    </row>
    <row r="3326" spans="1:12" x14ac:dyDescent="0.25">
      <c r="A3326" s="16"/>
      <c r="D3326" s="16"/>
      <c r="F3326" s="16"/>
      <c r="G3326" s="16"/>
      <c r="H3326" s="24"/>
      <c r="I3326" s="24"/>
      <c r="L3326"/>
    </row>
    <row r="3327" spans="1:12" x14ac:dyDescent="0.25">
      <c r="A3327" s="16"/>
      <c r="D3327" s="16"/>
      <c r="F3327" s="16"/>
      <c r="G3327" s="16"/>
      <c r="H3327" s="24"/>
      <c r="I3327" s="24"/>
      <c r="L3327"/>
    </row>
    <row r="3328" spans="1:12" x14ac:dyDescent="0.25">
      <c r="A3328" s="16"/>
      <c r="D3328" s="16"/>
      <c r="F3328" s="16"/>
      <c r="G3328" s="16"/>
      <c r="H3328" s="24"/>
      <c r="I3328" s="24"/>
      <c r="L3328"/>
    </row>
    <row r="3329" spans="1:12" x14ac:dyDescent="0.25">
      <c r="A3329" s="16"/>
      <c r="D3329" s="16"/>
      <c r="F3329" s="16"/>
      <c r="G3329" s="16"/>
      <c r="H3329" s="24"/>
      <c r="I3329" s="24"/>
      <c r="L3329"/>
    </row>
    <row r="3330" spans="1:12" x14ac:dyDescent="0.25">
      <c r="A3330" s="16"/>
      <c r="D3330" s="16"/>
      <c r="F3330" s="16"/>
      <c r="G3330" s="16"/>
      <c r="H3330" s="24"/>
      <c r="I3330" s="24"/>
      <c r="L3330"/>
    </row>
    <row r="3331" spans="1:12" x14ac:dyDescent="0.25">
      <c r="A3331" s="16"/>
      <c r="D3331" s="16"/>
      <c r="F3331" s="16"/>
      <c r="G3331" s="16"/>
      <c r="H3331" s="24"/>
      <c r="I3331" s="24"/>
      <c r="L3331"/>
    </row>
    <row r="3332" spans="1:12" x14ac:dyDescent="0.25">
      <c r="A3332" s="16"/>
      <c r="D3332" s="16"/>
      <c r="F3332" s="16"/>
      <c r="G3332" s="16"/>
      <c r="H3332" s="24"/>
      <c r="I3332" s="24"/>
      <c r="L3332"/>
    </row>
    <row r="3333" spans="1:12" x14ac:dyDescent="0.25">
      <c r="A3333" s="16"/>
      <c r="D3333" s="16"/>
      <c r="F3333" s="16"/>
      <c r="G3333" s="16"/>
      <c r="H3333" s="24"/>
      <c r="I3333" s="24"/>
      <c r="L3333"/>
    </row>
    <row r="3334" spans="1:12" x14ac:dyDescent="0.25">
      <c r="A3334" s="16"/>
      <c r="D3334" s="16"/>
      <c r="F3334" s="16"/>
      <c r="G3334" s="16"/>
      <c r="H3334" s="24"/>
      <c r="I3334" s="24"/>
      <c r="L3334"/>
    </row>
    <row r="3335" spans="1:12" x14ac:dyDescent="0.25">
      <c r="A3335" s="16"/>
      <c r="D3335" s="16"/>
      <c r="F3335" s="16"/>
      <c r="G3335" s="16"/>
      <c r="H3335" s="24"/>
      <c r="I3335" s="24"/>
      <c r="L3335"/>
    </row>
    <row r="3336" spans="1:12" x14ac:dyDescent="0.25">
      <c r="A3336" s="16"/>
      <c r="D3336" s="16"/>
      <c r="F3336" s="16"/>
      <c r="G3336" s="16"/>
      <c r="H3336" s="24"/>
      <c r="I3336" s="24"/>
      <c r="L3336"/>
    </row>
    <row r="3337" spans="1:12" x14ac:dyDescent="0.25">
      <c r="A3337" s="16"/>
      <c r="D3337" s="16"/>
      <c r="F3337" s="16"/>
      <c r="G3337" s="16"/>
      <c r="H3337" s="24"/>
      <c r="I3337" s="24"/>
      <c r="L3337"/>
    </row>
    <row r="3338" spans="1:12" x14ac:dyDescent="0.25">
      <c r="A3338" s="16"/>
      <c r="D3338" s="16"/>
      <c r="F3338" s="16"/>
      <c r="G3338" s="16"/>
      <c r="H3338" s="24"/>
      <c r="I3338" s="24"/>
      <c r="L3338"/>
    </row>
    <row r="3339" spans="1:12" x14ac:dyDescent="0.25">
      <c r="A3339" s="16"/>
      <c r="D3339" s="16"/>
      <c r="F3339" s="16"/>
      <c r="G3339" s="16"/>
      <c r="H3339" s="24"/>
      <c r="I3339" s="24"/>
      <c r="L3339"/>
    </row>
    <row r="3340" spans="1:12" x14ac:dyDescent="0.25">
      <c r="A3340" s="16"/>
      <c r="D3340" s="16"/>
      <c r="F3340" s="16"/>
      <c r="G3340" s="16"/>
      <c r="H3340" s="24"/>
      <c r="I3340" s="24"/>
      <c r="L3340"/>
    </row>
    <row r="3341" spans="1:12" x14ac:dyDescent="0.25">
      <c r="A3341" s="16"/>
      <c r="D3341" s="16"/>
      <c r="F3341" s="16"/>
      <c r="G3341" s="16"/>
      <c r="H3341" s="24"/>
      <c r="I3341" s="24"/>
      <c r="L3341"/>
    </row>
    <row r="3342" spans="1:12" x14ac:dyDescent="0.25">
      <c r="A3342" s="16"/>
      <c r="D3342" s="16"/>
      <c r="F3342" s="16"/>
      <c r="G3342" s="16"/>
      <c r="H3342" s="24"/>
      <c r="I3342" s="24"/>
      <c r="L3342"/>
    </row>
    <row r="3343" spans="1:12" x14ac:dyDescent="0.25">
      <c r="A3343" s="16"/>
      <c r="D3343" s="16"/>
      <c r="F3343" s="16"/>
      <c r="G3343" s="16"/>
      <c r="H3343" s="24"/>
      <c r="I3343" s="24"/>
      <c r="L3343"/>
    </row>
    <row r="3344" spans="1:12" x14ac:dyDescent="0.25">
      <c r="A3344" s="16"/>
      <c r="D3344" s="16"/>
      <c r="F3344" s="16"/>
      <c r="G3344" s="16"/>
      <c r="H3344" s="24"/>
      <c r="I3344" s="24"/>
      <c r="L3344"/>
    </row>
    <row r="3345" spans="1:12" x14ac:dyDescent="0.25">
      <c r="A3345" s="16"/>
      <c r="D3345" s="16"/>
      <c r="F3345" s="16"/>
      <c r="G3345" s="16"/>
      <c r="H3345" s="24"/>
      <c r="I3345" s="24"/>
      <c r="L3345"/>
    </row>
    <row r="3346" spans="1:12" x14ac:dyDescent="0.25">
      <c r="A3346" s="16"/>
      <c r="D3346" s="16"/>
      <c r="F3346" s="16"/>
      <c r="G3346" s="16"/>
      <c r="H3346" s="24"/>
      <c r="I3346" s="24"/>
      <c r="L3346"/>
    </row>
    <row r="3347" spans="1:12" x14ac:dyDescent="0.25">
      <c r="A3347" s="16"/>
      <c r="D3347" s="16"/>
      <c r="F3347" s="16"/>
      <c r="G3347" s="16"/>
      <c r="H3347" s="24"/>
      <c r="I3347" s="24"/>
      <c r="L3347"/>
    </row>
    <row r="3348" spans="1:12" x14ac:dyDescent="0.25">
      <c r="A3348" s="16"/>
      <c r="D3348" s="16"/>
      <c r="F3348" s="16"/>
      <c r="G3348" s="16"/>
      <c r="H3348" s="24"/>
      <c r="I3348" s="24"/>
      <c r="L3348"/>
    </row>
    <row r="3349" spans="1:12" x14ac:dyDescent="0.25">
      <c r="A3349" s="16"/>
      <c r="D3349" s="16"/>
      <c r="F3349" s="16"/>
      <c r="G3349" s="16"/>
      <c r="H3349" s="24"/>
      <c r="I3349" s="24"/>
      <c r="L3349"/>
    </row>
    <row r="3350" spans="1:12" x14ac:dyDescent="0.25">
      <c r="A3350" s="16"/>
      <c r="D3350" s="16"/>
      <c r="F3350" s="16"/>
      <c r="G3350" s="16"/>
      <c r="H3350" s="24"/>
      <c r="I3350" s="24"/>
      <c r="L3350"/>
    </row>
    <row r="3351" spans="1:12" x14ac:dyDescent="0.25">
      <c r="A3351" s="16"/>
      <c r="D3351" s="16"/>
      <c r="F3351" s="16"/>
      <c r="G3351" s="16"/>
      <c r="H3351" s="24"/>
      <c r="I3351" s="24"/>
      <c r="L3351"/>
    </row>
    <row r="3352" spans="1:12" x14ac:dyDescent="0.25">
      <c r="A3352" s="16"/>
      <c r="D3352" s="16"/>
      <c r="F3352" s="16"/>
      <c r="G3352" s="16"/>
      <c r="H3352" s="24"/>
      <c r="I3352" s="24"/>
      <c r="L3352"/>
    </row>
    <row r="3353" spans="1:12" x14ac:dyDescent="0.25">
      <c r="A3353" s="16"/>
      <c r="D3353" s="16"/>
      <c r="F3353" s="16"/>
      <c r="G3353" s="16"/>
      <c r="H3353" s="24"/>
      <c r="I3353" s="24"/>
      <c r="L3353"/>
    </row>
    <row r="3354" spans="1:12" x14ac:dyDescent="0.25">
      <c r="A3354" s="16"/>
      <c r="D3354" s="16"/>
      <c r="F3354" s="16"/>
      <c r="G3354" s="16"/>
      <c r="H3354" s="24"/>
      <c r="I3354" s="24"/>
      <c r="L3354"/>
    </row>
    <row r="3355" spans="1:12" x14ac:dyDescent="0.25">
      <c r="A3355" s="16"/>
      <c r="D3355" s="16"/>
      <c r="F3355" s="16"/>
      <c r="G3355" s="16"/>
      <c r="H3355" s="24"/>
      <c r="I3355" s="24"/>
      <c r="L3355"/>
    </row>
    <row r="3356" spans="1:12" x14ac:dyDescent="0.25">
      <c r="A3356" s="16"/>
      <c r="D3356" s="16"/>
      <c r="F3356" s="16"/>
      <c r="G3356" s="16"/>
      <c r="H3356" s="24"/>
      <c r="I3356" s="24"/>
      <c r="L3356"/>
    </row>
    <row r="3357" spans="1:12" x14ac:dyDescent="0.25">
      <c r="A3357" s="16"/>
      <c r="D3357" s="16"/>
      <c r="F3357" s="16"/>
      <c r="G3357" s="16"/>
      <c r="H3357" s="24"/>
      <c r="I3357" s="24"/>
      <c r="L3357"/>
    </row>
    <row r="3358" spans="1:12" x14ac:dyDescent="0.25">
      <c r="A3358" s="16"/>
      <c r="D3358" s="16"/>
      <c r="F3358" s="16"/>
      <c r="G3358" s="16"/>
      <c r="H3358" s="24"/>
      <c r="I3358" s="24"/>
      <c r="L3358"/>
    </row>
    <row r="3359" spans="1:12" x14ac:dyDescent="0.25">
      <c r="A3359" s="16"/>
      <c r="D3359" s="16"/>
      <c r="F3359" s="16"/>
      <c r="G3359" s="16"/>
      <c r="H3359" s="24"/>
      <c r="I3359" s="24"/>
      <c r="L3359"/>
    </row>
    <row r="3360" spans="1:12" x14ac:dyDescent="0.25">
      <c r="A3360" s="16"/>
      <c r="D3360" s="16"/>
      <c r="F3360" s="16"/>
      <c r="G3360" s="16"/>
      <c r="H3360" s="24"/>
      <c r="I3360" s="24"/>
      <c r="L3360"/>
    </row>
    <row r="3361" spans="1:12" x14ac:dyDescent="0.25">
      <c r="A3361" s="16"/>
      <c r="D3361" s="16"/>
      <c r="F3361" s="16"/>
      <c r="G3361" s="16"/>
      <c r="H3361" s="24"/>
      <c r="I3361" s="24"/>
      <c r="L3361"/>
    </row>
    <row r="3362" spans="1:12" x14ac:dyDescent="0.25">
      <c r="A3362" s="16"/>
      <c r="D3362" s="16"/>
      <c r="F3362" s="16"/>
      <c r="G3362" s="16"/>
      <c r="H3362" s="24"/>
      <c r="I3362" s="24"/>
      <c r="L3362"/>
    </row>
    <row r="3363" spans="1:12" x14ac:dyDescent="0.25">
      <c r="A3363" s="16"/>
      <c r="D3363" s="16"/>
      <c r="F3363" s="16"/>
      <c r="G3363" s="16"/>
      <c r="H3363" s="24"/>
      <c r="I3363" s="24"/>
      <c r="L3363"/>
    </row>
    <row r="3364" spans="1:12" x14ac:dyDescent="0.25">
      <c r="A3364" s="16"/>
      <c r="D3364" s="16"/>
      <c r="F3364" s="16"/>
      <c r="G3364" s="16"/>
      <c r="H3364" s="24"/>
      <c r="I3364" s="24"/>
      <c r="L3364"/>
    </row>
    <row r="3365" spans="1:12" x14ac:dyDescent="0.25">
      <c r="A3365" s="16"/>
      <c r="D3365" s="16"/>
      <c r="F3365" s="16"/>
      <c r="G3365" s="16"/>
      <c r="H3365" s="24"/>
      <c r="I3365" s="24"/>
      <c r="L3365"/>
    </row>
    <row r="3366" spans="1:12" x14ac:dyDescent="0.25">
      <c r="A3366" s="16"/>
      <c r="D3366" s="16"/>
      <c r="F3366" s="16"/>
      <c r="G3366" s="16"/>
      <c r="H3366" s="24"/>
      <c r="I3366" s="24"/>
      <c r="L3366"/>
    </row>
    <row r="3367" spans="1:12" x14ac:dyDescent="0.25">
      <c r="A3367" s="16"/>
      <c r="D3367" s="16"/>
      <c r="F3367" s="16"/>
      <c r="G3367" s="16"/>
      <c r="H3367" s="24"/>
      <c r="I3367" s="24"/>
      <c r="L3367"/>
    </row>
    <row r="3368" spans="1:12" x14ac:dyDescent="0.25">
      <c r="A3368" s="16"/>
      <c r="D3368" s="16"/>
      <c r="F3368" s="16"/>
      <c r="G3368" s="16"/>
      <c r="H3368" s="24"/>
      <c r="I3368" s="24"/>
      <c r="L3368"/>
    </row>
    <row r="3369" spans="1:12" x14ac:dyDescent="0.25">
      <c r="A3369" s="16"/>
      <c r="D3369" s="16"/>
      <c r="F3369" s="16"/>
      <c r="G3369" s="16"/>
      <c r="H3369" s="24"/>
      <c r="I3369" s="24"/>
      <c r="L3369"/>
    </row>
    <row r="3370" spans="1:12" x14ac:dyDescent="0.25">
      <c r="A3370" s="16"/>
      <c r="D3370" s="16"/>
      <c r="F3370" s="16"/>
      <c r="G3370" s="16"/>
      <c r="H3370" s="24"/>
      <c r="I3370" s="24"/>
      <c r="L3370"/>
    </row>
    <row r="3371" spans="1:12" x14ac:dyDescent="0.25">
      <c r="A3371" s="16"/>
      <c r="D3371" s="16"/>
      <c r="F3371" s="16"/>
      <c r="G3371" s="16"/>
      <c r="H3371" s="24"/>
      <c r="I3371" s="24"/>
      <c r="L3371"/>
    </row>
    <row r="3372" spans="1:12" x14ac:dyDescent="0.25">
      <c r="A3372" s="16"/>
      <c r="D3372" s="16"/>
      <c r="F3372" s="16"/>
      <c r="G3372" s="16"/>
      <c r="H3372" s="24"/>
      <c r="I3372" s="24"/>
      <c r="L3372"/>
    </row>
    <row r="3373" spans="1:12" x14ac:dyDescent="0.25">
      <c r="A3373" s="16"/>
      <c r="D3373" s="16"/>
      <c r="F3373" s="16"/>
      <c r="G3373" s="16"/>
      <c r="H3373" s="24"/>
      <c r="I3373" s="24"/>
      <c r="L3373"/>
    </row>
    <row r="3374" spans="1:12" x14ac:dyDescent="0.25">
      <c r="A3374" s="16"/>
      <c r="D3374" s="16"/>
      <c r="F3374" s="16"/>
      <c r="G3374" s="16"/>
      <c r="H3374" s="24"/>
      <c r="I3374" s="24"/>
      <c r="L3374"/>
    </row>
    <row r="3375" spans="1:12" x14ac:dyDescent="0.25">
      <c r="A3375" s="16"/>
      <c r="D3375" s="16"/>
      <c r="F3375" s="16"/>
      <c r="G3375" s="16"/>
      <c r="H3375" s="24"/>
      <c r="I3375" s="24"/>
      <c r="L3375"/>
    </row>
    <row r="3376" spans="1:12" x14ac:dyDescent="0.25">
      <c r="A3376" s="16"/>
      <c r="D3376" s="16"/>
      <c r="F3376" s="16"/>
      <c r="G3376" s="16"/>
      <c r="H3376" s="24"/>
      <c r="I3376" s="24"/>
      <c r="L3376"/>
    </row>
    <row r="3377" spans="1:12" x14ac:dyDescent="0.25">
      <c r="A3377" s="16"/>
      <c r="D3377" s="16"/>
      <c r="F3377" s="16"/>
      <c r="G3377" s="16"/>
      <c r="H3377" s="24"/>
      <c r="I3377" s="24"/>
      <c r="L3377"/>
    </row>
    <row r="3378" spans="1:12" x14ac:dyDescent="0.25">
      <c r="A3378" s="16"/>
      <c r="D3378" s="16"/>
      <c r="F3378" s="16"/>
      <c r="G3378" s="16"/>
      <c r="H3378" s="24"/>
      <c r="I3378" s="24"/>
      <c r="L3378"/>
    </row>
    <row r="3379" spans="1:12" x14ac:dyDescent="0.25">
      <c r="A3379" s="16"/>
      <c r="D3379" s="16"/>
      <c r="F3379" s="16"/>
      <c r="G3379" s="16"/>
      <c r="H3379" s="24"/>
      <c r="I3379" s="24"/>
      <c r="L3379"/>
    </row>
    <row r="3380" spans="1:12" x14ac:dyDescent="0.25">
      <c r="A3380" s="16"/>
      <c r="D3380" s="16"/>
      <c r="F3380" s="16"/>
      <c r="G3380" s="16"/>
      <c r="H3380" s="24"/>
      <c r="I3380" s="24"/>
      <c r="L3380"/>
    </row>
    <row r="3381" spans="1:12" x14ac:dyDescent="0.25">
      <c r="A3381" s="16"/>
      <c r="D3381" s="16"/>
      <c r="F3381" s="16"/>
      <c r="G3381" s="16"/>
      <c r="H3381" s="24"/>
      <c r="I3381" s="24"/>
      <c r="L3381"/>
    </row>
    <row r="3382" spans="1:12" x14ac:dyDescent="0.25">
      <c r="A3382" s="16"/>
      <c r="D3382" s="16"/>
      <c r="F3382" s="16"/>
      <c r="G3382" s="16"/>
      <c r="H3382" s="24"/>
      <c r="I3382" s="24"/>
      <c r="L3382"/>
    </row>
    <row r="3383" spans="1:12" x14ac:dyDescent="0.25">
      <c r="A3383" s="16"/>
      <c r="D3383" s="16"/>
      <c r="F3383" s="16"/>
      <c r="G3383" s="16"/>
      <c r="H3383" s="24"/>
      <c r="I3383" s="24"/>
      <c r="L3383"/>
    </row>
    <row r="3384" spans="1:12" x14ac:dyDescent="0.25">
      <c r="A3384" s="16"/>
      <c r="D3384" s="16"/>
      <c r="F3384" s="16"/>
      <c r="G3384" s="16"/>
      <c r="H3384" s="24"/>
      <c r="I3384" s="24"/>
      <c r="L3384"/>
    </row>
    <row r="3385" spans="1:12" x14ac:dyDescent="0.25">
      <c r="A3385" s="16"/>
      <c r="D3385" s="16"/>
      <c r="F3385" s="16"/>
      <c r="G3385" s="16"/>
      <c r="H3385" s="24"/>
      <c r="I3385" s="24"/>
      <c r="L3385"/>
    </row>
    <row r="3386" spans="1:12" x14ac:dyDescent="0.25">
      <c r="A3386" s="16"/>
      <c r="D3386" s="16"/>
      <c r="F3386" s="16"/>
      <c r="G3386" s="16"/>
      <c r="H3386" s="24"/>
      <c r="I3386" s="24"/>
      <c r="L3386"/>
    </row>
    <row r="3387" spans="1:12" x14ac:dyDescent="0.25">
      <c r="A3387" s="16"/>
      <c r="D3387" s="16"/>
      <c r="F3387" s="16"/>
      <c r="G3387" s="16"/>
      <c r="H3387" s="24"/>
      <c r="I3387" s="24"/>
      <c r="L3387"/>
    </row>
    <row r="3388" spans="1:12" x14ac:dyDescent="0.25">
      <c r="A3388" s="16"/>
      <c r="D3388" s="16"/>
      <c r="F3388" s="16"/>
      <c r="G3388" s="16"/>
      <c r="H3388" s="24"/>
      <c r="I3388" s="24"/>
      <c r="L3388"/>
    </row>
    <row r="3389" spans="1:12" x14ac:dyDescent="0.25">
      <c r="A3389" s="16"/>
      <c r="D3389" s="16"/>
      <c r="F3389" s="16"/>
      <c r="G3389" s="16"/>
      <c r="H3389" s="24"/>
      <c r="I3389" s="24"/>
      <c r="L3389"/>
    </row>
    <row r="3390" spans="1:12" x14ac:dyDescent="0.25">
      <c r="A3390" s="16"/>
      <c r="D3390" s="16"/>
      <c r="F3390" s="16"/>
      <c r="G3390" s="16"/>
      <c r="H3390" s="24"/>
      <c r="I3390" s="24"/>
      <c r="L3390"/>
    </row>
    <row r="3391" spans="1:12" x14ac:dyDescent="0.25">
      <c r="A3391" s="16"/>
      <c r="D3391" s="16"/>
      <c r="F3391" s="16"/>
      <c r="G3391" s="16"/>
      <c r="H3391" s="24"/>
      <c r="I3391" s="24"/>
      <c r="L3391"/>
    </row>
    <row r="3392" spans="1:12" x14ac:dyDescent="0.25">
      <c r="A3392" s="16"/>
      <c r="D3392" s="16"/>
      <c r="F3392" s="16"/>
      <c r="G3392" s="16"/>
      <c r="H3392" s="24"/>
      <c r="I3392" s="24"/>
      <c r="L3392"/>
    </row>
    <row r="3393" spans="1:12" x14ac:dyDescent="0.25">
      <c r="A3393" s="16"/>
      <c r="D3393" s="16"/>
      <c r="F3393" s="16"/>
      <c r="G3393" s="16"/>
      <c r="H3393" s="24"/>
      <c r="I3393" s="24"/>
      <c r="L3393"/>
    </row>
    <row r="3394" spans="1:12" x14ac:dyDescent="0.25">
      <c r="A3394" s="16"/>
      <c r="D3394" s="16"/>
      <c r="F3394" s="16"/>
      <c r="G3394" s="16"/>
      <c r="H3394" s="24"/>
      <c r="I3394" s="24"/>
      <c r="L3394"/>
    </row>
    <row r="3395" spans="1:12" x14ac:dyDescent="0.25">
      <c r="A3395" s="16"/>
      <c r="D3395" s="16"/>
      <c r="F3395" s="16"/>
      <c r="G3395" s="16"/>
      <c r="H3395" s="24"/>
      <c r="I3395" s="24"/>
      <c r="L3395"/>
    </row>
    <row r="3396" spans="1:12" x14ac:dyDescent="0.25">
      <c r="A3396" s="16"/>
      <c r="D3396" s="16"/>
      <c r="F3396" s="16"/>
      <c r="G3396" s="16"/>
      <c r="H3396" s="24"/>
      <c r="I3396" s="24"/>
      <c r="L3396"/>
    </row>
    <row r="3397" spans="1:12" x14ac:dyDescent="0.25">
      <c r="A3397" s="16"/>
      <c r="D3397" s="16"/>
      <c r="F3397" s="16"/>
      <c r="G3397" s="16"/>
      <c r="H3397" s="24"/>
      <c r="I3397" s="24"/>
      <c r="L3397"/>
    </row>
    <row r="3398" spans="1:12" x14ac:dyDescent="0.25">
      <c r="A3398" s="16"/>
      <c r="D3398" s="16"/>
      <c r="F3398" s="16"/>
      <c r="G3398" s="16"/>
      <c r="H3398" s="24"/>
      <c r="I3398" s="24"/>
      <c r="L3398"/>
    </row>
    <row r="3399" spans="1:12" x14ac:dyDescent="0.25">
      <c r="A3399" s="16"/>
      <c r="D3399" s="16"/>
      <c r="F3399" s="16"/>
      <c r="G3399" s="16"/>
      <c r="H3399" s="24"/>
      <c r="I3399" s="24"/>
      <c r="L3399"/>
    </row>
    <row r="3400" spans="1:12" x14ac:dyDescent="0.25">
      <c r="A3400" s="16"/>
      <c r="D3400" s="16"/>
      <c r="F3400" s="16"/>
      <c r="G3400" s="16"/>
      <c r="H3400" s="24"/>
      <c r="I3400" s="24"/>
      <c r="L3400"/>
    </row>
    <row r="3401" spans="1:12" x14ac:dyDescent="0.25">
      <c r="A3401" s="16"/>
      <c r="D3401" s="16"/>
      <c r="F3401" s="16"/>
      <c r="G3401" s="16"/>
      <c r="H3401" s="24"/>
      <c r="I3401" s="24"/>
      <c r="L3401"/>
    </row>
    <row r="3402" spans="1:12" x14ac:dyDescent="0.25">
      <c r="A3402" s="16"/>
      <c r="D3402" s="16"/>
      <c r="F3402" s="16"/>
      <c r="G3402" s="16"/>
      <c r="H3402" s="24"/>
      <c r="I3402" s="24"/>
      <c r="L3402"/>
    </row>
    <row r="3403" spans="1:12" x14ac:dyDescent="0.25">
      <c r="A3403" s="16"/>
      <c r="D3403" s="16"/>
      <c r="F3403" s="16"/>
      <c r="G3403" s="16"/>
      <c r="H3403" s="24"/>
      <c r="I3403" s="24"/>
      <c r="L3403"/>
    </row>
    <row r="3404" spans="1:12" x14ac:dyDescent="0.25">
      <c r="A3404" s="16"/>
      <c r="D3404" s="16"/>
      <c r="F3404" s="16"/>
      <c r="G3404" s="16"/>
      <c r="H3404" s="24"/>
      <c r="I3404" s="24"/>
      <c r="L3404"/>
    </row>
    <row r="3405" spans="1:12" x14ac:dyDescent="0.25">
      <c r="A3405" s="16"/>
      <c r="D3405" s="16"/>
      <c r="F3405" s="16"/>
      <c r="G3405" s="16"/>
      <c r="H3405" s="24"/>
      <c r="I3405" s="24"/>
      <c r="L3405"/>
    </row>
    <row r="3406" spans="1:12" x14ac:dyDescent="0.25">
      <c r="A3406" s="16"/>
      <c r="D3406" s="16"/>
      <c r="F3406" s="16"/>
      <c r="G3406" s="16"/>
      <c r="H3406" s="24"/>
      <c r="I3406" s="24"/>
      <c r="L3406"/>
    </row>
    <row r="3407" spans="1:12" x14ac:dyDescent="0.25">
      <c r="A3407" s="16"/>
      <c r="D3407" s="16"/>
      <c r="F3407" s="16"/>
      <c r="G3407" s="16"/>
      <c r="H3407" s="24"/>
      <c r="I3407" s="24"/>
      <c r="L3407"/>
    </row>
    <row r="3408" spans="1:12" x14ac:dyDescent="0.25">
      <c r="A3408" s="16"/>
      <c r="D3408" s="16"/>
      <c r="F3408" s="16"/>
      <c r="G3408" s="16"/>
      <c r="H3408" s="24"/>
      <c r="I3408" s="24"/>
      <c r="L3408"/>
    </row>
    <row r="3409" spans="1:12" x14ac:dyDescent="0.25">
      <c r="A3409" s="16"/>
      <c r="D3409" s="16"/>
      <c r="F3409" s="16"/>
      <c r="G3409" s="16"/>
      <c r="H3409" s="24"/>
      <c r="I3409" s="24"/>
      <c r="L3409"/>
    </row>
    <row r="3410" spans="1:12" x14ac:dyDescent="0.25">
      <c r="A3410" s="16"/>
      <c r="D3410" s="16"/>
      <c r="F3410" s="16"/>
      <c r="G3410" s="16"/>
      <c r="H3410" s="24"/>
      <c r="I3410" s="24"/>
      <c r="L3410"/>
    </row>
    <row r="3411" spans="1:12" x14ac:dyDescent="0.25">
      <c r="A3411" s="16"/>
      <c r="D3411" s="16"/>
      <c r="F3411" s="16"/>
      <c r="G3411" s="16"/>
      <c r="H3411" s="24"/>
      <c r="I3411" s="24"/>
      <c r="L3411"/>
    </row>
    <row r="3412" spans="1:12" x14ac:dyDescent="0.25">
      <c r="A3412" s="16"/>
      <c r="D3412" s="16"/>
      <c r="F3412" s="16"/>
      <c r="G3412" s="16"/>
      <c r="H3412" s="24"/>
      <c r="I3412" s="24"/>
      <c r="L3412"/>
    </row>
    <row r="3413" spans="1:12" x14ac:dyDescent="0.25">
      <c r="A3413" s="16"/>
      <c r="D3413" s="16"/>
      <c r="F3413" s="16"/>
      <c r="G3413" s="16"/>
      <c r="H3413" s="24"/>
      <c r="I3413" s="24"/>
      <c r="L3413"/>
    </row>
    <row r="3414" spans="1:12" x14ac:dyDescent="0.25">
      <c r="A3414" s="16"/>
      <c r="D3414" s="16"/>
      <c r="F3414" s="16"/>
      <c r="G3414" s="16"/>
      <c r="H3414" s="24"/>
      <c r="I3414" s="24"/>
      <c r="L3414"/>
    </row>
    <row r="3415" spans="1:12" x14ac:dyDescent="0.25">
      <c r="A3415" s="16"/>
      <c r="D3415" s="16"/>
      <c r="F3415" s="16"/>
      <c r="G3415" s="16"/>
      <c r="H3415" s="24"/>
      <c r="I3415" s="24"/>
      <c r="L3415"/>
    </row>
    <row r="3416" spans="1:12" x14ac:dyDescent="0.25">
      <c r="A3416" s="16"/>
      <c r="D3416" s="16"/>
      <c r="F3416" s="16"/>
      <c r="G3416" s="16"/>
      <c r="H3416" s="24"/>
      <c r="I3416" s="24"/>
      <c r="L3416"/>
    </row>
    <row r="3417" spans="1:12" x14ac:dyDescent="0.25">
      <c r="A3417" s="16"/>
      <c r="D3417" s="16"/>
      <c r="F3417" s="16"/>
      <c r="G3417" s="16"/>
      <c r="H3417" s="24"/>
      <c r="I3417" s="24"/>
      <c r="L3417"/>
    </row>
    <row r="3418" spans="1:12" x14ac:dyDescent="0.25">
      <c r="A3418" s="16"/>
      <c r="D3418" s="16"/>
      <c r="F3418" s="16"/>
      <c r="G3418" s="16"/>
      <c r="H3418" s="24"/>
      <c r="I3418" s="24"/>
      <c r="L3418"/>
    </row>
    <row r="3419" spans="1:12" x14ac:dyDescent="0.25">
      <c r="A3419" s="16"/>
      <c r="D3419" s="16"/>
      <c r="F3419" s="16"/>
      <c r="G3419" s="16"/>
      <c r="H3419" s="24"/>
      <c r="I3419" s="24"/>
      <c r="L3419"/>
    </row>
    <row r="3420" spans="1:12" x14ac:dyDescent="0.25">
      <c r="A3420" s="16"/>
      <c r="D3420" s="16"/>
      <c r="F3420" s="16"/>
      <c r="G3420" s="16"/>
      <c r="H3420" s="24"/>
      <c r="I3420" s="24"/>
      <c r="L3420"/>
    </row>
    <row r="3421" spans="1:12" x14ac:dyDescent="0.25">
      <c r="A3421" s="16"/>
      <c r="D3421" s="16"/>
      <c r="F3421" s="16"/>
      <c r="G3421" s="16"/>
      <c r="H3421" s="24"/>
      <c r="I3421" s="24"/>
      <c r="L3421"/>
    </row>
    <row r="3422" spans="1:12" x14ac:dyDescent="0.25">
      <c r="A3422" s="16"/>
      <c r="D3422" s="16"/>
      <c r="F3422" s="16"/>
      <c r="G3422" s="16"/>
      <c r="H3422" s="24"/>
      <c r="I3422" s="24"/>
      <c r="L3422"/>
    </row>
    <row r="3423" spans="1:12" x14ac:dyDescent="0.25">
      <c r="A3423" s="16"/>
      <c r="D3423" s="16"/>
      <c r="F3423" s="16"/>
      <c r="G3423" s="16"/>
      <c r="H3423" s="24"/>
      <c r="I3423" s="24"/>
      <c r="L3423"/>
    </row>
    <row r="3424" spans="1:12" x14ac:dyDescent="0.25">
      <c r="A3424" s="16"/>
      <c r="D3424" s="16"/>
      <c r="F3424" s="16"/>
      <c r="G3424" s="16"/>
      <c r="H3424" s="24"/>
      <c r="I3424" s="24"/>
      <c r="L3424"/>
    </row>
    <row r="3425" spans="1:12" x14ac:dyDescent="0.25">
      <c r="A3425" s="16"/>
      <c r="D3425" s="16"/>
      <c r="F3425" s="16"/>
      <c r="G3425" s="16"/>
      <c r="H3425" s="24"/>
      <c r="I3425" s="24"/>
      <c r="L3425"/>
    </row>
    <row r="3426" spans="1:12" x14ac:dyDescent="0.25">
      <c r="A3426" s="16"/>
      <c r="D3426" s="16"/>
      <c r="F3426" s="16"/>
      <c r="G3426" s="16"/>
      <c r="H3426" s="24"/>
      <c r="I3426" s="24"/>
      <c r="L3426"/>
    </row>
    <row r="3427" spans="1:12" x14ac:dyDescent="0.25">
      <c r="A3427" s="16"/>
      <c r="D3427" s="16"/>
      <c r="F3427" s="16"/>
      <c r="G3427" s="16"/>
      <c r="H3427" s="24"/>
      <c r="I3427" s="24"/>
      <c r="L3427"/>
    </row>
    <row r="3428" spans="1:12" x14ac:dyDescent="0.25">
      <c r="A3428" s="16"/>
      <c r="D3428" s="16"/>
      <c r="F3428" s="16"/>
      <c r="G3428" s="16"/>
      <c r="H3428" s="24"/>
      <c r="I3428" s="24"/>
      <c r="L3428"/>
    </row>
    <row r="3429" spans="1:12" x14ac:dyDescent="0.25">
      <c r="A3429" s="16"/>
      <c r="D3429" s="16"/>
      <c r="F3429" s="16"/>
      <c r="G3429" s="16"/>
      <c r="H3429" s="24"/>
      <c r="I3429" s="24"/>
      <c r="L3429"/>
    </row>
    <row r="3430" spans="1:12" x14ac:dyDescent="0.25">
      <c r="A3430" s="16"/>
      <c r="D3430" s="16"/>
      <c r="F3430" s="16"/>
      <c r="G3430" s="16"/>
      <c r="H3430" s="24"/>
      <c r="I3430" s="24"/>
      <c r="L3430"/>
    </row>
    <row r="3431" spans="1:12" x14ac:dyDescent="0.25">
      <c r="A3431" s="16"/>
      <c r="D3431" s="16"/>
      <c r="F3431" s="16"/>
      <c r="G3431" s="16"/>
      <c r="H3431" s="24"/>
      <c r="I3431" s="24"/>
      <c r="L3431"/>
    </row>
    <row r="3432" spans="1:12" x14ac:dyDescent="0.25">
      <c r="A3432" s="16"/>
      <c r="D3432" s="16"/>
      <c r="F3432" s="16"/>
      <c r="G3432" s="16"/>
      <c r="H3432" s="24"/>
      <c r="I3432" s="24"/>
      <c r="L3432"/>
    </row>
    <row r="3433" spans="1:12" x14ac:dyDescent="0.25">
      <c r="A3433" s="16"/>
      <c r="D3433" s="16"/>
      <c r="F3433" s="16"/>
      <c r="G3433" s="16"/>
      <c r="H3433" s="24"/>
      <c r="I3433" s="24"/>
      <c r="L3433"/>
    </row>
    <row r="3434" spans="1:12" x14ac:dyDescent="0.25">
      <c r="A3434" s="16"/>
      <c r="D3434" s="16"/>
      <c r="F3434" s="16"/>
      <c r="G3434" s="16"/>
      <c r="H3434" s="24"/>
      <c r="I3434" s="24"/>
      <c r="L3434"/>
    </row>
    <row r="3435" spans="1:12" x14ac:dyDescent="0.25">
      <c r="A3435" s="16"/>
      <c r="D3435" s="16"/>
      <c r="F3435" s="16"/>
      <c r="G3435" s="16"/>
      <c r="H3435" s="24"/>
      <c r="I3435" s="24"/>
      <c r="L3435"/>
    </row>
    <row r="3436" spans="1:12" x14ac:dyDescent="0.25">
      <c r="A3436" s="16"/>
      <c r="D3436" s="16"/>
      <c r="F3436" s="16"/>
      <c r="G3436" s="16"/>
      <c r="H3436" s="24"/>
      <c r="I3436" s="24"/>
      <c r="L3436"/>
    </row>
    <row r="3437" spans="1:12" x14ac:dyDescent="0.25">
      <c r="A3437" s="16"/>
      <c r="D3437" s="16"/>
      <c r="F3437" s="16"/>
      <c r="G3437" s="16"/>
      <c r="H3437" s="24"/>
      <c r="I3437" s="24"/>
      <c r="L3437"/>
    </row>
    <row r="3438" spans="1:12" x14ac:dyDescent="0.25">
      <c r="A3438" s="16"/>
      <c r="D3438" s="16"/>
      <c r="F3438" s="16"/>
      <c r="G3438" s="16"/>
      <c r="H3438" s="24"/>
      <c r="I3438" s="24"/>
      <c r="L3438"/>
    </row>
    <row r="3439" spans="1:12" x14ac:dyDescent="0.25">
      <c r="A3439" s="16"/>
      <c r="D3439" s="16"/>
      <c r="F3439" s="16"/>
      <c r="G3439" s="16"/>
      <c r="H3439" s="24"/>
      <c r="I3439" s="24"/>
      <c r="L3439"/>
    </row>
    <row r="3440" spans="1:12" x14ac:dyDescent="0.25">
      <c r="A3440" s="16"/>
      <c r="D3440" s="16"/>
      <c r="F3440" s="16"/>
      <c r="G3440" s="16"/>
      <c r="H3440" s="24"/>
      <c r="I3440" s="24"/>
      <c r="L3440"/>
    </row>
    <row r="3441" spans="1:12" x14ac:dyDescent="0.25">
      <c r="A3441" s="16"/>
      <c r="D3441" s="16"/>
      <c r="F3441" s="16"/>
      <c r="G3441" s="16"/>
      <c r="H3441" s="24"/>
      <c r="I3441" s="24"/>
      <c r="L3441"/>
    </row>
    <row r="3442" spans="1:12" x14ac:dyDescent="0.25">
      <c r="A3442" s="16"/>
      <c r="D3442" s="16"/>
      <c r="F3442" s="16"/>
      <c r="G3442" s="16"/>
      <c r="H3442" s="24"/>
      <c r="I3442" s="24"/>
      <c r="L3442"/>
    </row>
    <row r="3443" spans="1:12" x14ac:dyDescent="0.25">
      <c r="A3443" s="16"/>
      <c r="D3443" s="16"/>
      <c r="F3443" s="16"/>
      <c r="G3443" s="16"/>
      <c r="H3443" s="24"/>
      <c r="I3443" s="24"/>
      <c r="L3443"/>
    </row>
    <row r="3444" spans="1:12" x14ac:dyDescent="0.25">
      <c r="A3444" s="16"/>
      <c r="D3444" s="16"/>
      <c r="F3444" s="16"/>
      <c r="G3444" s="16"/>
      <c r="H3444" s="24"/>
      <c r="I3444" s="24"/>
      <c r="L3444"/>
    </row>
    <row r="3445" spans="1:12" x14ac:dyDescent="0.25">
      <c r="A3445" s="16"/>
      <c r="D3445" s="16"/>
      <c r="F3445" s="16"/>
      <c r="G3445" s="16"/>
      <c r="H3445" s="24"/>
      <c r="I3445" s="24"/>
      <c r="L3445"/>
    </row>
    <row r="3446" spans="1:12" x14ac:dyDescent="0.25">
      <c r="A3446" s="16"/>
      <c r="D3446" s="16"/>
      <c r="F3446" s="16"/>
      <c r="G3446" s="16"/>
      <c r="H3446" s="24"/>
      <c r="I3446" s="24"/>
      <c r="L3446"/>
    </row>
    <row r="3447" spans="1:12" x14ac:dyDescent="0.25">
      <c r="A3447" s="16"/>
      <c r="D3447" s="16"/>
      <c r="F3447" s="16"/>
      <c r="G3447" s="16"/>
      <c r="H3447" s="24"/>
      <c r="I3447" s="24"/>
      <c r="L3447"/>
    </row>
    <row r="3448" spans="1:12" x14ac:dyDescent="0.25">
      <c r="A3448" s="16"/>
      <c r="D3448" s="16"/>
      <c r="F3448" s="16"/>
      <c r="G3448" s="16"/>
      <c r="H3448" s="24"/>
      <c r="I3448" s="24"/>
      <c r="L3448"/>
    </row>
    <row r="3449" spans="1:12" x14ac:dyDescent="0.25">
      <c r="A3449" s="16"/>
      <c r="D3449" s="16"/>
      <c r="F3449" s="16"/>
      <c r="G3449" s="16"/>
      <c r="H3449" s="24"/>
      <c r="I3449" s="24"/>
      <c r="L3449"/>
    </row>
    <row r="3450" spans="1:12" x14ac:dyDescent="0.25">
      <c r="A3450" s="16"/>
      <c r="D3450" s="16"/>
      <c r="F3450" s="16"/>
      <c r="G3450" s="16"/>
      <c r="H3450" s="24"/>
      <c r="I3450" s="24"/>
      <c r="L3450"/>
    </row>
    <row r="3451" spans="1:12" x14ac:dyDescent="0.25">
      <c r="A3451" s="16"/>
      <c r="D3451" s="16"/>
      <c r="F3451" s="16"/>
      <c r="G3451" s="16"/>
      <c r="H3451" s="24"/>
      <c r="I3451" s="24"/>
      <c r="L3451"/>
    </row>
    <row r="3452" spans="1:12" x14ac:dyDescent="0.25">
      <c r="A3452" s="16"/>
      <c r="D3452" s="16"/>
      <c r="F3452" s="16"/>
      <c r="G3452" s="16"/>
      <c r="H3452" s="24"/>
      <c r="I3452" s="24"/>
      <c r="L3452"/>
    </row>
    <row r="3453" spans="1:12" x14ac:dyDescent="0.25">
      <c r="A3453" s="16"/>
      <c r="D3453" s="16"/>
      <c r="F3453" s="16"/>
      <c r="G3453" s="16"/>
      <c r="H3453" s="24"/>
      <c r="I3453" s="24"/>
      <c r="L3453"/>
    </row>
    <row r="3454" spans="1:12" x14ac:dyDescent="0.25">
      <c r="A3454" s="16"/>
      <c r="D3454" s="16"/>
      <c r="F3454" s="16"/>
      <c r="G3454" s="16"/>
      <c r="H3454" s="24"/>
      <c r="I3454" s="24"/>
      <c r="L3454"/>
    </row>
    <row r="3455" spans="1:12" x14ac:dyDescent="0.25">
      <c r="A3455" s="16"/>
      <c r="D3455" s="16"/>
      <c r="F3455" s="16"/>
      <c r="G3455" s="16"/>
      <c r="H3455" s="24"/>
      <c r="I3455" s="24"/>
      <c r="L3455"/>
    </row>
    <row r="3456" spans="1:12" x14ac:dyDescent="0.25">
      <c r="A3456" s="16"/>
      <c r="D3456" s="16"/>
      <c r="F3456" s="16"/>
      <c r="G3456" s="16"/>
      <c r="H3456" s="24"/>
      <c r="I3456" s="24"/>
      <c r="L3456"/>
    </row>
    <row r="3457" spans="1:12" x14ac:dyDescent="0.25">
      <c r="A3457" s="16"/>
      <c r="D3457" s="16"/>
      <c r="F3457" s="16"/>
      <c r="G3457" s="16"/>
      <c r="H3457" s="24"/>
      <c r="I3457" s="24"/>
      <c r="L3457"/>
    </row>
    <row r="3458" spans="1:12" x14ac:dyDescent="0.25">
      <c r="A3458" s="16"/>
      <c r="D3458" s="16"/>
      <c r="F3458" s="16"/>
      <c r="G3458" s="16"/>
      <c r="H3458" s="24"/>
      <c r="I3458" s="24"/>
      <c r="L3458"/>
    </row>
    <row r="3459" spans="1:12" x14ac:dyDescent="0.25">
      <c r="A3459" s="16"/>
      <c r="D3459" s="16"/>
      <c r="F3459" s="16"/>
      <c r="G3459" s="16"/>
      <c r="H3459" s="24"/>
      <c r="I3459" s="24"/>
      <c r="L3459"/>
    </row>
    <row r="3460" spans="1:12" x14ac:dyDescent="0.25">
      <c r="A3460" s="16"/>
      <c r="D3460" s="16"/>
      <c r="F3460" s="16"/>
      <c r="G3460" s="16"/>
      <c r="H3460" s="24"/>
      <c r="I3460" s="24"/>
      <c r="L3460"/>
    </row>
    <row r="3461" spans="1:12" x14ac:dyDescent="0.25">
      <c r="A3461" s="16"/>
      <c r="D3461" s="16"/>
      <c r="F3461" s="16"/>
      <c r="G3461" s="16"/>
      <c r="H3461" s="24"/>
      <c r="I3461" s="24"/>
      <c r="L3461"/>
    </row>
    <row r="3462" spans="1:12" x14ac:dyDescent="0.25">
      <c r="A3462" s="16"/>
      <c r="D3462" s="16"/>
      <c r="F3462" s="16"/>
      <c r="G3462" s="16"/>
      <c r="H3462" s="24"/>
      <c r="I3462" s="24"/>
      <c r="L3462"/>
    </row>
    <row r="3463" spans="1:12" x14ac:dyDescent="0.25">
      <c r="A3463" s="16"/>
      <c r="D3463" s="16"/>
      <c r="F3463" s="16"/>
      <c r="G3463" s="16"/>
      <c r="H3463" s="24"/>
      <c r="I3463" s="24"/>
      <c r="L3463"/>
    </row>
    <row r="3464" spans="1:12" x14ac:dyDescent="0.25">
      <c r="A3464" s="16"/>
      <c r="D3464" s="16"/>
      <c r="F3464" s="16"/>
      <c r="G3464" s="16"/>
      <c r="H3464" s="24"/>
      <c r="I3464" s="24"/>
      <c r="L3464"/>
    </row>
    <row r="3465" spans="1:12" x14ac:dyDescent="0.25">
      <c r="A3465" s="16"/>
      <c r="D3465" s="16"/>
      <c r="F3465" s="16"/>
      <c r="G3465" s="16"/>
      <c r="H3465" s="24"/>
      <c r="I3465" s="24"/>
      <c r="L3465"/>
    </row>
    <row r="3466" spans="1:12" x14ac:dyDescent="0.25">
      <c r="A3466" s="16"/>
      <c r="D3466" s="16"/>
      <c r="F3466" s="16"/>
      <c r="G3466" s="16"/>
      <c r="H3466" s="24"/>
      <c r="I3466" s="24"/>
      <c r="L3466"/>
    </row>
    <row r="3467" spans="1:12" x14ac:dyDescent="0.25">
      <c r="A3467" s="16"/>
      <c r="D3467" s="16"/>
      <c r="F3467" s="16"/>
      <c r="G3467" s="16"/>
      <c r="H3467" s="24"/>
      <c r="I3467" s="24"/>
      <c r="L3467"/>
    </row>
    <row r="3468" spans="1:12" x14ac:dyDescent="0.25">
      <c r="A3468" s="16"/>
      <c r="D3468" s="16"/>
      <c r="F3468" s="16"/>
      <c r="G3468" s="16"/>
      <c r="H3468" s="24"/>
      <c r="I3468" s="24"/>
      <c r="L3468"/>
    </row>
    <row r="3469" spans="1:12" x14ac:dyDescent="0.25">
      <c r="A3469" s="16"/>
      <c r="D3469" s="16"/>
      <c r="F3469" s="16"/>
      <c r="G3469" s="16"/>
      <c r="H3469" s="24"/>
      <c r="I3469" s="24"/>
      <c r="L3469"/>
    </row>
    <row r="3470" spans="1:12" x14ac:dyDescent="0.25">
      <c r="A3470" s="16"/>
      <c r="D3470" s="16"/>
      <c r="F3470" s="16"/>
      <c r="G3470" s="16"/>
      <c r="H3470" s="24"/>
      <c r="I3470" s="24"/>
      <c r="L3470"/>
    </row>
    <row r="3471" spans="1:12" x14ac:dyDescent="0.25">
      <c r="A3471" s="16"/>
      <c r="D3471" s="16"/>
      <c r="F3471" s="16"/>
      <c r="G3471" s="16"/>
      <c r="H3471" s="24"/>
      <c r="I3471" s="24"/>
      <c r="L3471"/>
    </row>
    <row r="3472" spans="1:12" x14ac:dyDescent="0.25">
      <c r="A3472" s="16"/>
      <c r="D3472" s="16"/>
      <c r="F3472" s="16"/>
      <c r="G3472" s="16"/>
      <c r="H3472" s="24"/>
      <c r="I3472" s="24"/>
      <c r="L3472"/>
    </row>
    <row r="3473" spans="1:12" x14ac:dyDescent="0.25">
      <c r="A3473" s="16"/>
      <c r="D3473" s="16"/>
      <c r="F3473" s="16"/>
      <c r="G3473" s="16"/>
      <c r="H3473" s="24"/>
      <c r="I3473" s="24"/>
      <c r="L3473"/>
    </row>
    <row r="3474" spans="1:12" x14ac:dyDescent="0.25">
      <c r="A3474" s="16"/>
      <c r="D3474" s="16"/>
      <c r="F3474" s="16"/>
      <c r="G3474" s="16"/>
      <c r="H3474" s="24"/>
      <c r="I3474" s="24"/>
      <c r="L3474"/>
    </row>
    <row r="3475" spans="1:12" x14ac:dyDescent="0.25">
      <c r="A3475" s="16"/>
      <c r="D3475" s="16"/>
      <c r="F3475" s="16"/>
      <c r="G3475" s="16"/>
      <c r="H3475" s="24"/>
      <c r="I3475" s="24"/>
      <c r="L3475"/>
    </row>
    <row r="3476" spans="1:12" x14ac:dyDescent="0.25">
      <c r="A3476" s="16"/>
      <c r="D3476" s="16"/>
      <c r="F3476" s="16"/>
      <c r="G3476" s="16"/>
      <c r="H3476" s="24"/>
      <c r="I3476" s="24"/>
      <c r="L3476"/>
    </row>
    <row r="3477" spans="1:12" x14ac:dyDescent="0.25">
      <c r="A3477" s="16"/>
      <c r="D3477" s="16"/>
      <c r="F3477" s="16"/>
      <c r="G3477" s="16"/>
      <c r="H3477" s="24"/>
      <c r="I3477" s="24"/>
      <c r="L3477"/>
    </row>
    <row r="3478" spans="1:12" x14ac:dyDescent="0.25">
      <c r="A3478" s="16"/>
      <c r="D3478" s="16"/>
      <c r="F3478" s="16"/>
      <c r="G3478" s="16"/>
      <c r="H3478" s="24"/>
      <c r="I3478" s="24"/>
      <c r="L3478"/>
    </row>
    <row r="3479" spans="1:12" x14ac:dyDescent="0.25">
      <c r="A3479" s="16"/>
      <c r="D3479" s="16"/>
      <c r="F3479" s="16"/>
      <c r="G3479" s="16"/>
      <c r="H3479" s="24"/>
      <c r="I3479" s="24"/>
      <c r="L3479"/>
    </row>
    <row r="3480" spans="1:12" x14ac:dyDescent="0.25">
      <c r="A3480" s="16"/>
      <c r="D3480" s="16"/>
      <c r="F3480" s="16"/>
      <c r="G3480" s="16"/>
      <c r="H3480" s="24"/>
      <c r="I3480" s="24"/>
      <c r="L3480"/>
    </row>
    <row r="3481" spans="1:12" x14ac:dyDescent="0.25">
      <c r="A3481" s="16"/>
      <c r="D3481" s="16"/>
      <c r="F3481" s="16"/>
      <c r="G3481" s="16"/>
      <c r="H3481" s="24"/>
      <c r="I3481" s="24"/>
      <c r="L3481"/>
    </row>
    <row r="3482" spans="1:12" x14ac:dyDescent="0.25">
      <c r="A3482" s="16"/>
      <c r="D3482" s="16"/>
      <c r="F3482" s="16"/>
      <c r="G3482" s="16"/>
      <c r="H3482" s="24"/>
      <c r="I3482" s="24"/>
      <c r="L3482"/>
    </row>
    <row r="3483" spans="1:12" x14ac:dyDescent="0.25">
      <c r="A3483" s="16"/>
      <c r="D3483" s="16"/>
      <c r="F3483" s="16"/>
      <c r="G3483" s="16"/>
      <c r="H3483" s="24"/>
      <c r="I3483" s="24"/>
      <c r="L3483"/>
    </row>
    <row r="3484" spans="1:12" x14ac:dyDescent="0.25">
      <c r="A3484" s="16"/>
      <c r="D3484" s="16"/>
      <c r="F3484" s="16"/>
      <c r="G3484" s="16"/>
      <c r="H3484" s="24"/>
      <c r="I3484" s="24"/>
      <c r="L3484"/>
    </row>
    <row r="3485" spans="1:12" x14ac:dyDescent="0.25">
      <c r="A3485" s="16"/>
      <c r="D3485" s="16"/>
      <c r="F3485" s="16"/>
      <c r="G3485" s="16"/>
      <c r="H3485" s="24"/>
      <c r="I3485" s="24"/>
      <c r="L3485"/>
    </row>
    <row r="3486" spans="1:12" x14ac:dyDescent="0.25">
      <c r="A3486" s="16"/>
      <c r="D3486" s="16"/>
      <c r="F3486" s="16"/>
      <c r="G3486" s="16"/>
      <c r="H3486" s="24"/>
      <c r="I3486" s="24"/>
      <c r="L3486"/>
    </row>
    <row r="3487" spans="1:12" x14ac:dyDescent="0.25">
      <c r="A3487" s="16"/>
      <c r="D3487" s="16"/>
      <c r="F3487" s="16"/>
      <c r="G3487" s="16"/>
      <c r="H3487" s="24"/>
      <c r="I3487" s="24"/>
      <c r="L3487"/>
    </row>
    <row r="3488" spans="1:12" x14ac:dyDescent="0.25">
      <c r="A3488" s="16"/>
      <c r="D3488" s="16"/>
      <c r="F3488" s="16"/>
      <c r="G3488" s="16"/>
      <c r="H3488" s="24"/>
      <c r="I3488" s="24"/>
      <c r="L3488"/>
    </row>
    <row r="3489" spans="1:12" x14ac:dyDescent="0.25">
      <c r="A3489" s="16"/>
      <c r="D3489" s="16"/>
      <c r="F3489" s="16"/>
      <c r="G3489" s="16"/>
      <c r="H3489" s="24"/>
      <c r="I3489" s="24"/>
      <c r="L3489"/>
    </row>
    <row r="3490" spans="1:12" x14ac:dyDescent="0.25">
      <c r="A3490" s="16"/>
      <c r="D3490" s="16"/>
      <c r="F3490" s="16"/>
      <c r="G3490" s="16"/>
      <c r="H3490" s="24"/>
      <c r="I3490" s="24"/>
      <c r="L3490"/>
    </row>
    <row r="3491" spans="1:12" x14ac:dyDescent="0.25">
      <c r="A3491" s="16"/>
      <c r="D3491" s="16"/>
      <c r="F3491" s="16"/>
      <c r="G3491" s="16"/>
      <c r="H3491" s="24"/>
      <c r="I3491" s="24"/>
      <c r="L3491"/>
    </row>
    <row r="3492" spans="1:12" x14ac:dyDescent="0.25">
      <c r="A3492" s="16"/>
      <c r="D3492" s="16"/>
      <c r="F3492" s="16"/>
      <c r="G3492" s="16"/>
      <c r="H3492" s="24"/>
      <c r="I3492" s="24"/>
      <c r="L3492"/>
    </row>
    <row r="3493" spans="1:12" x14ac:dyDescent="0.25">
      <c r="A3493" s="16"/>
      <c r="D3493" s="16"/>
      <c r="F3493" s="16"/>
      <c r="G3493" s="16"/>
      <c r="H3493" s="24"/>
      <c r="I3493" s="24"/>
      <c r="L3493"/>
    </row>
    <row r="3494" spans="1:12" x14ac:dyDescent="0.25">
      <c r="A3494" s="16"/>
      <c r="D3494" s="16"/>
      <c r="F3494" s="16"/>
      <c r="G3494" s="16"/>
      <c r="H3494" s="24"/>
      <c r="I3494" s="24"/>
      <c r="L3494"/>
    </row>
    <row r="3495" spans="1:12" x14ac:dyDescent="0.25">
      <c r="A3495" s="16"/>
      <c r="D3495" s="16"/>
      <c r="F3495" s="16"/>
      <c r="G3495" s="16"/>
      <c r="H3495" s="24"/>
      <c r="I3495" s="24"/>
      <c r="L3495"/>
    </row>
    <row r="3496" spans="1:12" x14ac:dyDescent="0.25">
      <c r="A3496" s="16"/>
      <c r="D3496" s="16"/>
      <c r="F3496" s="16"/>
      <c r="G3496" s="16"/>
      <c r="H3496" s="24"/>
      <c r="I3496" s="24"/>
      <c r="L3496"/>
    </row>
    <row r="3497" spans="1:12" x14ac:dyDescent="0.25">
      <c r="A3497" s="16"/>
      <c r="D3497" s="16"/>
      <c r="F3497" s="16"/>
      <c r="G3497" s="16"/>
      <c r="H3497" s="24"/>
      <c r="I3497" s="24"/>
      <c r="L3497"/>
    </row>
    <row r="3498" spans="1:12" x14ac:dyDescent="0.25">
      <c r="A3498" s="16"/>
      <c r="D3498" s="16"/>
      <c r="F3498" s="16"/>
      <c r="G3498" s="16"/>
      <c r="H3498" s="24"/>
      <c r="I3498" s="24"/>
      <c r="L3498"/>
    </row>
    <row r="3499" spans="1:12" x14ac:dyDescent="0.25">
      <c r="A3499" s="16"/>
      <c r="D3499" s="16"/>
      <c r="F3499" s="16"/>
      <c r="G3499" s="16"/>
      <c r="H3499" s="24"/>
      <c r="I3499" s="24"/>
      <c r="L3499"/>
    </row>
    <row r="3500" spans="1:12" x14ac:dyDescent="0.25">
      <c r="A3500" s="16"/>
      <c r="D3500" s="16"/>
      <c r="F3500" s="16"/>
      <c r="G3500" s="16"/>
      <c r="H3500" s="24"/>
      <c r="I3500" s="24"/>
      <c r="L3500"/>
    </row>
    <row r="3501" spans="1:12" x14ac:dyDescent="0.25">
      <c r="A3501" s="16"/>
      <c r="D3501" s="16"/>
      <c r="F3501" s="16"/>
      <c r="G3501" s="16"/>
      <c r="H3501" s="24"/>
      <c r="I3501" s="24"/>
      <c r="L3501"/>
    </row>
    <row r="3502" spans="1:12" x14ac:dyDescent="0.25">
      <c r="A3502" s="16"/>
      <c r="D3502" s="16"/>
      <c r="F3502" s="16"/>
      <c r="G3502" s="16"/>
      <c r="H3502" s="24"/>
      <c r="I3502" s="24"/>
      <c r="L3502"/>
    </row>
    <row r="3503" spans="1:12" x14ac:dyDescent="0.25">
      <c r="A3503" s="16"/>
      <c r="D3503" s="16"/>
      <c r="F3503" s="16"/>
      <c r="G3503" s="16"/>
      <c r="H3503" s="24"/>
      <c r="I3503" s="24"/>
      <c r="L3503"/>
    </row>
    <row r="3504" spans="1:12" x14ac:dyDescent="0.25">
      <c r="A3504" s="16"/>
      <c r="D3504" s="16"/>
      <c r="F3504" s="16"/>
      <c r="G3504" s="16"/>
      <c r="H3504" s="24"/>
      <c r="I3504" s="24"/>
      <c r="L3504"/>
    </row>
    <row r="3505" spans="1:12" x14ac:dyDescent="0.25">
      <c r="A3505" s="16"/>
      <c r="D3505" s="16"/>
      <c r="F3505" s="16"/>
      <c r="G3505" s="16"/>
      <c r="H3505" s="24"/>
      <c r="I3505" s="24"/>
      <c r="L3505"/>
    </row>
    <row r="3506" spans="1:12" x14ac:dyDescent="0.25">
      <c r="A3506" s="16"/>
      <c r="D3506" s="16"/>
      <c r="F3506" s="16"/>
      <c r="G3506" s="16"/>
      <c r="H3506" s="24"/>
      <c r="I3506" s="24"/>
      <c r="L3506"/>
    </row>
    <row r="3507" spans="1:12" x14ac:dyDescent="0.25">
      <c r="A3507" s="16"/>
      <c r="D3507" s="16"/>
      <c r="F3507" s="16"/>
      <c r="G3507" s="16"/>
      <c r="H3507" s="24"/>
      <c r="I3507" s="24"/>
      <c r="L3507"/>
    </row>
    <row r="3508" spans="1:12" x14ac:dyDescent="0.25">
      <c r="A3508" s="16"/>
      <c r="D3508" s="16"/>
      <c r="F3508" s="16"/>
      <c r="G3508" s="16"/>
      <c r="H3508" s="24"/>
      <c r="I3508" s="24"/>
      <c r="L3508"/>
    </row>
    <row r="3509" spans="1:12" x14ac:dyDescent="0.25">
      <c r="A3509" s="16"/>
      <c r="D3509" s="16"/>
      <c r="F3509" s="16"/>
      <c r="G3509" s="16"/>
      <c r="H3509" s="24"/>
      <c r="I3509" s="24"/>
      <c r="L3509"/>
    </row>
    <row r="3510" spans="1:12" x14ac:dyDescent="0.25">
      <c r="A3510" s="16"/>
      <c r="D3510" s="16"/>
      <c r="F3510" s="16"/>
      <c r="G3510" s="16"/>
      <c r="H3510" s="24"/>
      <c r="I3510" s="24"/>
      <c r="L3510"/>
    </row>
    <row r="3511" spans="1:12" x14ac:dyDescent="0.25">
      <c r="A3511" s="16"/>
      <c r="D3511" s="16"/>
      <c r="F3511" s="16"/>
      <c r="G3511" s="16"/>
      <c r="H3511" s="24"/>
      <c r="I3511" s="24"/>
      <c r="L3511"/>
    </row>
    <row r="3512" spans="1:12" x14ac:dyDescent="0.25">
      <c r="A3512" s="16"/>
      <c r="D3512" s="16"/>
      <c r="F3512" s="16"/>
      <c r="G3512" s="16"/>
      <c r="H3512" s="24"/>
      <c r="I3512" s="24"/>
      <c r="L3512"/>
    </row>
    <row r="3513" spans="1:12" x14ac:dyDescent="0.25">
      <c r="A3513" s="16"/>
      <c r="D3513" s="16"/>
      <c r="F3513" s="16"/>
      <c r="G3513" s="16"/>
      <c r="H3513" s="24"/>
      <c r="I3513" s="24"/>
      <c r="L3513"/>
    </row>
    <row r="3514" spans="1:12" x14ac:dyDescent="0.25">
      <c r="A3514" s="16"/>
      <c r="D3514" s="16"/>
      <c r="F3514" s="16"/>
      <c r="G3514" s="16"/>
      <c r="H3514" s="24"/>
      <c r="I3514" s="24"/>
      <c r="L3514"/>
    </row>
    <row r="3515" spans="1:12" x14ac:dyDescent="0.25">
      <c r="A3515" s="16"/>
      <c r="D3515" s="16"/>
      <c r="F3515" s="16"/>
      <c r="G3515" s="16"/>
      <c r="H3515" s="24"/>
      <c r="I3515" s="24"/>
      <c r="L3515"/>
    </row>
    <row r="3516" spans="1:12" x14ac:dyDescent="0.25">
      <c r="A3516" s="16"/>
      <c r="D3516" s="16"/>
      <c r="F3516" s="16"/>
      <c r="G3516" s="16"/>
      <c r="H3516" s="24"/>
      <c r="I3516" s="24"/>
      <c r="L3516"/>
    </row>
    <row r="3517" spans="1:12" x14ac:dyDescent="0.25">
      <c r="A3517" s="16"/>
      <c r="D3517" s="16"/>
      <c r="F3517" s="16"/>
      <c r="G3517" s="16"/>
      <c r="H3517" s="24"/>
      <c r="I3517" s="24"/>
      <c r="L3517"/>
    </row>
    <row r="3518" spans="1:12" x14ac:dyDescent="0.25">
      <c r="A3518" s="16"/>
      <c r="D3518" s="16"/>
      <c r="F3518" s="16"/>
      <c r="G3518" s="16"/>
      <c r="H3518" s="24"/>
      <c r="I3518" s="24"/>
      <c r="L3518"/>
    </row>
    <row r="3519" spans="1:12" x14ac:dyDescent="0.25">
      <c r="A3519" s="16"/>
      <c r="D3519" s="16"/>
      <c r="F3519" s="16"/>
      <c r="G3519" s="16"/>
      <c r="H3519" s="24"/>
      <c r="I3519" s="24"/>
      <c r="L3519"/>
    </row>
    <row r="3520" spans="1:12" x14ac:dyDescent="0.25">
      <c r="A3520" s="16"/>
      <c r="D3520" s="16"/>
      <c r="F3520" s="16"/>
      <c r="G3520" s="16"/>
      <c r="H3520" s="24"/>
      <c r="I3520" s="24"/>
      <c r="L3520"/>
    </row>
    <row r="3521" spans="1:12" x14ac:dyDescent="0.25">
      <c r="A3521" s="16"/>
      <c r="D3521" s="16"/>
      <c r="F3521" s="16"/>
      <c r="G3521" s="16"/>
      <c r="H3521" s="24"/>
      <c r="I3521" s="24"/>
      <c r="L3521"/>
    </row>
    <row r="3522" spans="1:12" x14ac:dyDescent="0.25">
      <c r="A3522" s="16"/>
      <c r="D3522" s="16"/>
      <c r="F3522" s="16"/>
      <c r="G3522" s="16"/>
      <c r="H3522" s="24"/>
      <c r="I3522" s="24"/>
      <c r="L3522"/>
    </row>
    <row r="3523" spans="1:12" x14ac:dyDescent="0.25">
      <c r="A3523" s="16"/>
      <c r="D3523" s="16"/>
      <c r="F3523" s="16"/>
      <c r="G3523" s="16"/>
      <c r="H3523" s="24"/>
      <c r="I3523" s="24"/>
      <c r="L3523"/>
    </row>
    <row r="3524" spans="1:12" x14ac:dyDescent="0.25">
      <c r="A3524" s="16"/>
      <c r="D3524" s="16"/>
      <c r="F3524" s="16"/>
      <c r="G3524" s="16"/>
      <c r="H3524" s="24"/>
      <c r="I3524" s="24"/>
      <c r="L3524"/>
    </row>
    <row r="3525" spans="1:12" x14ac:dyDescent="0.25">
      <c r="A3525" s="16"/>
      <c r="D3525" s="16"/>
      <c r="F3525" s="16"/>
      <c r="G3525" s="16"/>
      <c r="H3525" s="24"/>
      <c r="I3525" s="24"/>
      <c r="L3525"/>
    </row>
    <row r="3526" spans="1:12" x14ac:dyDescent="0.25">
      <c r="A3526" s="16"/>
      <c r="D3526" s="16"/>
      <c r="F3526" s="16"/>
      <c r="G3526" s="16"/>
      <c r="H3526" s="24"/>
      <c r="I3526" s="24"/>
      <c r="L3526"/>
    </row>
    <row r="3527" spans="1:12" x14ac:dyDescent="0.25">
      <c r="A3527" s="16"/>
      <c r="D3527" s="16"/>
      <c r="F3527" s="16"/>
      <c r="G3527" s="16"/>
      <c r="H3527" s="24"/>
      <c r="I3527" s="24"/>
      <c r="L3527"/>
    </row>
    <row r="3528" spans="1:12" x14ac:dyDescent="0.25">
      <c r="A3528" s="16"/>
      <c r="D3528" s="16"/>
      <c r="F3528" s="16"/>
      <c r="G3528" s="16"/>
      <c r="H3528" s="24"/>
      <c r="I3528" s="24"/>
      <c r="L3528"/>
    </row>
    <row r="3529" spans="1:12" x14ac:dyDescent="0.25">
      <c r="A3529" s="16"/>
      <c r="D3529" s="16"/>
      <c r="F3529" s="16"/>
      <c r="G3529" s="16"/>
      <c r="H3529" s="24"/>
      <c r="I3529" s="24"/>
      <c r="L3529"/>
    </row>
    <row r="3530" spans="1:12" x14ac:dyDescent="0.25">
      <c r="A3530" s="16"/>
      <c r="D3530" s="16"/>
      <c r="F3530" s="16"/>
      <c r="G3530" s="16"/>
      <c r="H3530" s="24"/>
      <c r="I3530" s="24"/>
      <c r="L3530"/>
    </row>
    <row r="3531" spans="1:12" x14ac:dyDescent="0.25">
      <c r="A3531" s="16"/>
      <c r="D3531" s="16"/>
      <c r="F3531" s="16"/>
      <c r="G3531" s="16"/>
      <c r="H3531" s="24"/>
      <c r="I3531" s="24"/>
      <c r="L3531"/>
    </row>
    <row r="3532" spans="1:12" x14ac:dyDescent="0.25">
      <c r="A3532" s="16"/>
      <c r="D3532" s="16"/>
      <c r="F3532" s="16"/>
      <c r="G3532" s="16"/>
      <c r="H3532" s="24"/>
      <c r="I3532" s="24"/>
      <c r="L3532"/>
    </row>
    <row r="3533" spans="1:12" x14ac:dyDescent="0.25">
      <c r="A3533" s="16"/>
      <c r="D3533" s="16"/>
      <c r="F3533" s="16"/>
      <c r="G3533" s="16"/>
      <c r="H3533" s="24"/>
      <c r="I3533" s="24"/>
      <c r="L3533"/>
    </row>
    <row r="3534" spans="1:12" x14ac:dyDescent="0.25">
      <c r="A3534" s="16"/>
      <c r="D3534" s="16"/>
      <c r="F3534" s="16"/>
      <c r="G3534" s="16"/>
      <c r="H3534" s="24"/>
      <c r="I3534" s="24"/>
      <c r="L3534"/>
    </row>
    <row r="3535" spans="1:12" x14ac:dyDescent="0.25">
      <c r="A3535" s="16"/>
      <c r="D3535" s="16"/>
      <c r="F3535" s="16"/>
      <c r="G3535" s="16"/>
      <c r="H3535" s="24"/>
      <c r="I3535" s="24"/>
      <c r="L3535"/>
    </row>
    <row r="3536" spans="1:12" x14ac:dyDescent="0.25">
      <c r="A3536" s="16"/>
      <c r="D3536" s="16"/>
      <c r="F3536" s="16"/>
      <c r="G3536" s="16"/>
      <c r="H3536" s="24"/>
      <c r="I3536" s="24"/>
      <c r="L3536"/>
    </row>
    <row r="3537" spans="1:12" x14ac:dyDescent="0.25">
      <c r="A3537" s="16"/>
      <c r="D3537" s="16"/>
      <c r="F3537" s="16"/>
      <c r="G3537" s="16"/>
      <c r="H3537" s="24"/>
      <c r="I3537" s="24"/>
      <c r="L3537"/>
    </row>
    <row r="3538" spans="1:12" x14ac:dyDescent="0.25">
      <c r="A3538" s="16"/>
      <c r="D3538" s="16"/>
      <c r="F3538" s="16"/>
      <c r="G3538" s="16"/>
      <c r="H3538" s="24"/>
      <c r="I3538" s="24"/>
      <c r="L3538"/>
    </row>
    <row r="3539" spans="1:12" x14ac:dyDescent="0.25">
      <c r="A3539" s="16"/>
      <c r="D3539" s="16"/>
      <c r="F3539" s="16"/>
      <c r="G3539" s="16"/>
      <c r="H3539" s="24"/>
      <c r="I3539" s="24"/>
      <c r="L3539"/>
    </row>
    <row r="3540" spans="1:12" x14ac:dyDescent="0.25">
      <c r="A3540" s="16"/>
      <c r="D3540" s="16"/>
      <c r="F3540" s="16"/>
      <c r="G3540" s="16"/>
      <c r="H3540" s="24"/>
      <c r="I3540" s="24"/>
      <c r="L3540"/>
    </row>
    <row r="3541" spans="1:12" x14ac:dyDescent="0.25">
      <c r="A3541" s="16"/>
      <c r="D3541" s="16"/>
      <c r="F3541" s="16"/>
      <c r="G3541" s="16"/>
      <c r="H3541" s="24"/>
      <c r="I3541" s="24"/>
      <c r="L3541"/>
    </row>
    <row r="3542" spans="1:12" x14ac:dyDescent="0.25">
      <c r="A3542" s="16"/>
      <c r="D3542" s="16"/>
      <c r="F3542" s="16"/>
      <c r="G3542" s="16"/>
      <c r="H3542" s="24"/>
      <c r="I3542" s="24"/>
      <c r="L3542"/>
    </row>
    <row r="3543" spans="1:12" x14ac:dyDescent="0.25">
      <c r="A3543" s="16"/>
      <c r="D3543" s="16"/>
      <c r="F3543" s="16"/>
      <c r="G3543" s="16"/>
      <c r="H3543" s="24"/>
      <c r="I3543" s="24"/>
      <c r="L3543"/>
    </row>
    <row r="3544" spans="1:12" x14ac:dyDescent="0.25">
      <c r="A3544" s="16"/>
      <c r="D3544" s="16"/>
      <c r="F3544" s="16"/>
      <c r="G3544" s="16"/>
      <c r="H3544" s="24"/>
      <c r="I3544" s="24"/>
      <c r="L3544"/>
    </row>
    <row r="3545" spans="1:12" x14ac:dyDescent="0.25">
      <c r="A3545" s="16"/>
      <c r="D3545" s="16"/>
      <c r="F3545" s="16"/>
      <c r="G3545" s="16"/>
      <c r="H3545" s="24"/>
      <c r="I3545" s="24"/>
      <c r="L3545"/>
    </row>
    <row r="3546" spans="1:12" x14ac:dyDescent="0.25">
      <c r="A3546" s="16"/>
      <c r="D3546" s="16"/>
      <c r="F3546" s="16"/>
      <c r="G3546" s="16"/>
      <c r="H3546" s="24"/>
      <c r="I3546" s="24"/>
      <c r="L3546"/>
    </row>
    <row r="3547" spans="1:12" x14ac:dyDescent="0.25">
      <c r="A3547" s="16"/>
      <c r="D3547" s="16"/>
      <c r="F3547" s="16"/>
      <c r="G3547" s="16"/>
      <c r="H3547" s="24"/>
      <c r="I3547" s="24"/>
      <c r="L3547"/>
    </row>
    <row r="3548" spans="1:12" x14ac:dyDescent="0.25">
      <c r="A3548" s="16"/>
      <c r="D3548" s="16"/>
      <c r="F3548" s="16"/>
      <c r="G3548" s="16"/>
      <c r="H3548" s="24"/>
      <c r="I3548" s="24"/>
      <c r="L3548"/>
    </row>
    <row r="3549" spans="1:12" x14ac:dyDescent="0.25">
      <c r="A3549" s="16"/>
      <c r="D3549" s="16"/>
      <c r="F3549" s="16"/>
      <c r="G3549" s="16"/>
      <c r="H3549" s="24"/>
      <c r="I3549" s="24"/>
      <c r="L3549"/>
    </row>
    <row r="3550" spans="1:12" x14ac:dyDescent="0.25">
      <c r="A3550" s="16"/>
      <c r="D3550" s="16"/>
      <c r="F3550" s="16"/>
      <c r="G3550" s="16"/>
      <c r="H3550" s="24"/>
      <c r="I3550" s="24"/>
      <c r="L3550"/>
    </row>
    <row r="3551" spans="1:12" x14ac:dyDescent="0.25">
      <c r="A3551" s="16"/>
      <c r="D3551" s="16"/>
      <c r="F3551" s="16"/>
      <c r="G3551" s="16"/>
      <c r="H3551" s="24"/>
      <c r="I3551" s="24"/>
      <c r="L3551"/>
    </row>
    <row r="3552" spans="1:12" x14ac:dyDescent="0.25">
      <c r="A3552" s="16"/>
      <c r="D3552" s="16"/>
      <c r="F3552" s="16"/>
      <c r="G3552" s="16"/>
      <c r="H3552" s="24"/>
      <c r="I3552" s="24"/>
      <c r="L3552"/>
    </row>
    <row r="3553" spans="1:12" x14ac:dyDescent="0.25">
      <c r="A3553" s="16"/>
      <c r="D3553" s="16"/>
      <c r="F3553" s="16"/>
      <c r="G3553" s="16"/>
      <c r="H3553" s="24"/>
      <c r="I3553" s="24"/>
      <c r="L3553"/>
    </row>
    <row r="3554" spans="1:12" x14ac:dyDescent="0.25">
      <c r="A3554" s="16"/>
      <c r="D3554" s="16"/>
      <c r="F3554" s="16"/>
      <c r="G3554" s="16"/>
      <c r="H3554" s="24"/>
      <c r="I3554" s="24"/>
      <c r="L3554"/>
    </row>
    <row r="3555" spans="1:12" x14ac:dyDescent="0.25">
      <c r="A3555" s="16"/>
      <c r="D3555" s="16"/>
      <c r="F3555" s="16"/>
      <c r="G3555" s="16"/>
      <c r="H3555" s="24"/>
      <c r="I3555" s="24"/>
      <c r="L3555"/>
    </row>
    <row r="3556" spans="1:12" x14ac:dyDescent="0.25">
      <c r="A3556" s="16"/>
      <c r="D3556" s="16"/>
      <c r="F3556" s="16"/>
      <c r="G3556" s="16"/>
      <c r="H3556" s="24"/>
      <c r="I3556" s="24"/>
      <c r="L3556"/>
    </row>
    <row r="3557" spans="1:12" x14ac:dyDescent="0.25">
      <c r="A3557" s="16"/>
      <c r="D3557" s="16"/>
      <c r="F3557" s="16"/>
      <c r="G3557" s="16"/>
      <c r="H3557" s="24"/>
      <c r="I3557" s="24"/>
      <c r="L3557"/>
    </row>
    <row r="3558" spans="1:12" x14ac:dyDescent="0.25">
      <c r="A3558" s="16"/>
      <c r="D3558" s="16"/>
      <c r="F3558" s="16"/>
      <c r="G3558" s="16"/>
      <c r="H3558" s="24"/>
      <c r="I3558" s="24"/>
      <c r="L3558"/>
    </row>
    <row r="3559" spans="1:12" x14ac:dyDescent="0.25">
      <c r="A3559" s="16"/>
      <c r="D3559" s="16"/>
      <c r="F3559" s="16"/>
      <c r="G3559" s="16"/>
      <c r="H3559" s="24"/>
      <c r="I3559" s="24"/>
      <c r="L3559"/>
    </row>
    <row r="3560" spans="1:12" x14ac:dyDescent="0.25">
      <c r="A3560" s="16"/>
      <c r="D3560" s="16"/>
      <c r="F3560" s="16"/>
      <c r="G3560" s="16"/>
      <c r="H3560" s="24"/>
      <c r="I3560" s="24"/>
      <c r="L3560"/>
    </row>
    <row r="3561" spans="1:12" x14ac:dyDescent="0.25">
      <c r="A3561" s="16"/>
      <c r="D3561" s="16"/>
      <c r="F3561" s="16"/>
      <c r="G3561" s="16"/>
      <c r="H3561" s="24"/>
      <c r="I3561" s="24"/>
      <c r="L3561"/>
    </row>
    <row r="3562" spans="1:12" x14ac:dyDescent="0.25">
      <c r="A3562" s="16"/>
      <c r="D3562" s="16"/>
      <c r="F3562" s="16"/>
      <c r="G3562" s="16"/>
      <c r="H3562" s="24"/>
      <c r="I3562" s="24"/>
      <c r="L3562"/>
    </row>
    <row r="3563" spans="1:12" x14ac:dyDescent="0.25">
      <c r="A3563" s="16"/>
      <c r="D3563" s="16"/>
      <c r="F3563" s="16"/>
      <c r="G3563" s="16"/>
      <c r="H3563" s="24"/>
      <c r="I3563" s="24"/>
      <c r="L3563"/>
    </row>
    <row r="3564" spans="1:12" x14ac:dyDescent="0.25">
      <c r="A3564" s="16"/>
      <c r="D3564" s="16"/>
      <c r="F3564" s="16"/>
      <c r="G3564" s="16"/>
      <c r="H3564" s="24"/>
      <c r="I3564" s="24"/>
      <c r="L3564"/>
    </row>
    <row r="3565" spans="1:12" x14ac:dyDescent="0.25">
      <c r="A3565" s="16"/>
      <c r="D3565" s="16"/>
      <c r="F3565" s="16"/>
      <c r="G3565" s="16"/>
      <c r="H3565" s="24"/>
      <c r="I3565" s="24"/>
      <c r="L3565"/>
    </row>
    <row r="3566" spans="1:12" x14ac:dyDescent="0.25">
      <c r="A3566" s="16"/>
      <c r="D3566" s="16"/>
      <c r="F3566" s="16"/>
      <c r="G3566" s="16"/>
      <c r="H3566" s="24"/>
      <c r="I3566" s="24"/>
      <c r="L3566"/>
    </row>
    <row r="3567" spans="1:12" x14ac:dyDescent="0.25">
      <c r="A3567" s="16"/>
      <c r="D3567" s="16"/>
      <c r="F3567" s="16"/>
      <c r="G3567" s="16"/>
      <c r="H3567" s="24"/>
      <c r="I3567" s="24"/>
      <c r="L3567"/>
    </row>
    <row r="3568" spans="1:12" x14ac:dyDescent="0.25">
      <c r="A3568" s="16"/>
      <c r="D3568" s="16"/>
      <c r="F3568" s="16"/>
      <c r="G3568" s="16"/>
      <c r="H3568" s="24"/>
      <c r="I3568" s="24"/>
      <c r="L3568"/>
    </row>
    <row r="3569" spans="1:12" x14ac:dyDescent="0.25">
      <c r="A3569" s="16"/>
      <c r="D3569" s="16"/>
      <c r="F3569" s="16"/>
      <c r="G3569" s="16"/>
      <c r="H3569" s="24"/>
      <c r="I3569" s="24"/>
      <c r="L3569"/>
    </row>
    <row r="3570" spans="1:12" x14ac:dyDescent="0.25">
      <c r="A3570" s="16"/>
      <c r="D3570" s="16"/>
      <c r="F3570" s="16"/>
      <c r="G3570" s="16"/>
      <c r="H3570" s="24"/>
      <c r="I3570" s="24"/>
      <c r="L3570"/>
    </row>
    <row r="3571" spans="1:12" x14ac:dyDescent="0.25">
      <c r="A3571" s="16"/>
      <c r="D3571" s="16"/>
      <c r="F3571" s="16"/>
      <c r="G3571" s="16"/>
      <c r="H3571" s="24"/>
      <c r="I3571" s="24"/>
      <c r="L3571"/>
    </row>
    <row r="3572" spans="1:12" x14ac:dyDescent="0.25">
      <c r="A3572" s="16"/>
      <c r="D3572" s="16"/>
      <c r="F3572" s="16"/>
      <c r="G3572" s="16"/>
      <c r="H3572" s="24"/>
      <c r="I3572" s="24"/>
      <c r="L3572"/>
    </row>
    <row r="3573" spans="1:12" x14ac:dyDescent="0.25">
      <c r="A3573" s="16"/>
      <c r="D3573" s="16"/>
      <c r="F3573" s="16"/>
      <c r="G3573" s="16"/>
      <c r="H3573" s="24"/>
      <c r="I3573" s="24"/>
      <c r="L3573"/>
    </row>
    <row r="3574" spans="1:12" x14ac:dyDescent="0.25">
      <c r="A3574" s="16"/>
      <c r="D3574" s="16"/>
      <c r="F3574" s="16"/>
      <c r="G3574" s="16"/>
      <c r="H3574" s="24"/>
      <c r="I3574" s="24"/>
      <c r="L3574"/>
    </row>
    <row r="3575" spans="1:12" x14ac:dyDescent="0.25">
      <c r="A3575" s="16"/>
      <c r="D3575" s="16"/>
      <c r="F3575" s="16"/>
      <c r="G3575" s="16"/>
      <c r="H3575" s="24"/>
      <c r="I3575" s="24"/>
      <c r="L3575"/>
    </row>
    <row r="3576" spans="1:12" x14ac:dyDescent="0.25">
      <c r="A3576" s="16"/>
      <c r="D3576" s="16"/>
      <c r="F3576" s="16"/>
      <c r="G3576" s="16"/>
      <c r="H3576" s="24"/>
      <c r="I3576" s="24"/>
      <c r="L3576"/>
    </row>
    <row r="3577" spans="1:12" x14ac:dyDescent="0.25">
      <c r="A3577" s="16"/>
      <c r="D3577" s="16"/>
      <c r="F3577" s="16"/>
      <c r="G3577" s="16"/>
      <c r="H3577" s="24"/>
      <c r="I3577" s="24"/>
      <c r="L3577"/>
    </row>
    <row r="3578" spans="1:12" x14ac:dyDescent="0.25">
      <c r="A3578" s="16"/>
      <c r="D3578" s="16"/>
      <c r="F3578" s="16"/>
      <c r="G3578" s="16"/>
      <c r="H3578" s="24"/>
      <c r="I3578" s="24"/>
      <c r="L3578"/>
    </row>
    <row r="3579" spans="1:12" x14ac:dyDescent="0.25">
      <c r="A3579" s="16"/>
      <c r="D3579" s="16"/>
      <c r="F3579" s="16"/>
      <c r="G3579" s="16"/>
      <c r="H3579" s="24"/>
      <c r="I3579" s="24"/>
      <c r="L3579"/>
    </row>
    <row r="3580" spans="1:12" x14ac:dyDescent="0.25">
      <c r="A3580" s="16"/>
      <c r="D3580" s="16"/>
      <c r="F3580" s="16"/>
      <c r="G3580" s="16"/>
      <c r="H3580" s="24"/>
      <c r="I3580" s="24"/>
      <c r="L3580"/>
    </row>
    <row r="3581" spans="1:12" x14ac:dyDescent="0.25">
      <c r="A3581" s="16"/>
      <c r="D3581" s="16"/>
      <c r="F3581" s="16"/>
      <c r="G3581" s="16"/>
      <c r="H3581" s="24"/>
      <c r="I3581" s="24"/>
      <c r="L3581"/>
    </row>
    <row r="3582" spans="1:12" x14ac:dyDescent="0.25">
      <c r="A3582" s="16"/>
      <c r="D3582" s="16"/>
      <c r="F3582" s="16"/>
      <c r="G3582" s="16"/>
      <c r="H3582" s="24"/>
      <c r="I3582" s="24"/>
      <c r="L3582"/>
    </row>
    <row r="3583" spans="1:12" x14ac:dyDescent="0.25">
      <c r="A3583" s="16"/>
      <c r="D3583" s="16"/>
      <c r="F3583" s="16"/>
      <c r="G3583" s="16"/>
      <c r="H3583" s="24"/>
      <c r="I3583" s="24"/>
      <c r="L3583"/>
    </row>
    <row r="3584" spans="1:12" x14ac:dyDescent="0.25">
      <c r="A3584" s="16"/>
      <c r="D3584" s="16"/>
      <c r="F3584" s="16"/>
      <c r="G3584" s="16"/>
      <c r="H3584" s="24"/>
      <c r="I3584" s="24"/>
      <c r="L3584"/>
    </row>
    <row r="3585" spans="1:12" x14ac:dyDescent="0.25">
      <c r="A3585" s="16"/>
      <c r="D3585" s="16"/>
      <c r="F3585" s="16"/>
      <c r="G3585" s="16"/>
      <c r="H3585" s="24"/>
      <c r="I3585" s="24"/>
      <c r="L3585"/>
    </row>
    <row r="3586" spans="1:12" x14ac:dyDescent="0.25">
      <c r="A3586" s="16"/>
      <c r="D3586" s="16"/>
      <c r="F3586" s="16"/>
      <c r="G3586" s="16"/>
      <c r="H3586" s="24"/>
      <c r="I3586" s="24"/>
      <c r="L3586"/>
    </row>
    <row r="3587" spans="1:12" x14ac:dyDescent="0.25">
      <c r="A3587" s="16"/>
      <c r="D3587" s="16"/>
      <c r="F3587" s="16"/>
      <c r="G3587" s="16"/>
      <c r="H3587" s="24"/>
      <c r="I3587" s="24"/>
      <c r="L3587"/>
    </row>
    <row r="3588" spans="1:12" x14ac:dyDescent="0.25">
      <c r="A3588" s="16"/>
      <c r="D3588" s="16"/>
      <c r="F3588" s="16"/>
      <c r="G3588" s="16"/>
      <c r="H3588" s="24"/>
      <c r="I3588" s="24"/>
      <c r="L3588"/>
    </row>
    <row r="3589" spans="1:12" x14ac:dyDescent="0.25">
      <c r="A3589" s="16"/>
      <c r="D3589" s="16"/>
      <c r="F3589" s="16"/>
      <c r="G3589" s="16"/>
      <c r="H3589" s="24"/>
      <c r="I3589" s="24"/>
      <c r="L3589"/>
    </row>
    <row r="3590" spans="1:12" x14ac:dyDescent="0.25">
      <c r="A3590" s="16"/>
      <c r="D3590" s="16"/>
      <c r="F3590" s="16"/>
      <c r="G3590" s="16"/>
      <c r="H3590" s="24"/>
      <c r="I3590" s="24"/>
      <c r="L3590"/>
    </row>
    <row r="3591" spans="1:12" x14ac:dyDescent="0.25">
      <c r="A3591" s="16"/>
      <c r="D3591" s="16"/>
      <c r="F3591" s="16"/>
      <c r="G3591" s="16"/>
      <c r="H3591" s="24"/>
      <c r="I3591" s="24"/>
      <c r="L3591"/>
    </row>
    <row r="3592" spans="1:12" x14ac:dyDescent="0.25">
      <c r="A3592" s="16"/>
      <c r="D3592" s="16"/>
      <c r="F3592" s="16"/>
      <c r="G3592" s="16"/>
      <c r="H3592" s="24"/>
      <c r="I3592" s="24"/>
      <c r="L3592"/>
    </row>
    <row r="3593" spans="1:12" x14ac:dyDescent="0.25">
      <c r="A3593" s="16"/>
      <c r="D3593" s="16"/>
      <c r="F3593" s="16"/>
      <c r="G3593" s="16"/>
      <c r="H3593" s="24"/>
      <c r="I3593" s="24"/>
      <c r="L3593"/>
    </row>
    <row r="3594" spans="1:12" x14ac:dyDescent="0.25">
      <c r="A3594" s="16"/>
      <c r="D3594" s="16"/>
      <c r="F3594" s="16"/>
      <c r="G3594" s="16"/>
      <c r="H3594" s="24"/>
      <c r="I3594" s="24"/>
      <c r="L3594"/>
    </row>
    <row r="3595" spans="1:12" x14ac:dyDescent="0.25">
      <c r="A3595" s="16"/>
      <c r="D3595" s="16"/>
      <c r="F3595" s="16"/>
      <c r="G3595" s="16"/>
      <c r="H3595" s="24"/>
      <c r="I3595" s="24"/>
      <c r="L3595"/>
    </row>
    <row r="3596" spans="1:12" x14ac:dyDescent="0.25">
      <c r="A3596" s="16"/>
      <c r="D3596" s="16"/>
      <c r="F3596" s="16"/>
      <c r="G3596" s="16"/>
      <c r="H3596" s="24"/>
      <c r="I3596" s="24"/>
      <c r="L3596"/>
    </row>
    <row r="3597" spans="1:12" x14ac:dyDescent="0.25">
      <c r="A3597" s="16"/>
      <c r="D3597" s="16"/>
      <c r="F3597" s="16"/>
      <c r="G3597" s="16"/>
      <c r="H3597" s="24"/>
      <c r="I3597" s="24"/>
      <c r="L3597"/>
    </row>
    <row r="3598" spans="1:12" x14ac:dyDescent="0.25">
      <c r="A3598" s="16"/>
      <c r="D3598" s="16"/>
      <c r="F3598" s="16"/>
      <c r="G3598" s="16"/>
      <c r="H3598" s="24"/>
      <c r="I3598" s="24"/>
      <c r="L3598"/>
    </row>
    <row r="3599" spans="1:12" x14ac:dyDescent="0.25">
      <c r="A3599" s="16"/>
      <c r="D3599" s="16"/>
      <c r="F3599" s="16"/>
      <c r="G3599" s="16"/>
      <c r="H3599" s="24"/>
      <c r="I3599" s="24"/>
      <c r="L3599"/>
    </row>
    <row r="3600" spans="1:12" x14ac:dyDescent="0.25">
      <c r="A3600" s="16"/>
      <c r="D3600" s="16"/>
      <c r="F3600" s="16"/>
      <c r="G3600" s="16"/>
      <c r="H3600" s="24"/>
      <c r="I3600" s="24"/>
      <c r="L3600"/>
    </row>
    <row r="3601" spans="1:12" x14ac:dyDescent="0.25">
      <c r="A3601" s="16"/>
      <c r="D3601" s="16"/>
      <c r="F3601" s="16"/>
      <c r="G3601" s="16"/>
      <c r="H3601" s="24"/>
      <c r="I3601" s="24"/>
      <c r="L3601"/>
    </row>
    <row r="3602" spans="1:12" x14ac:dyDescent="0.25">
      <c r="A3602" s="16"/>
      <c r="D3602" s="16"/>
      <c r="F3602" s="16"/>
      <c r="G3602" s="16"/>
      <c r="H3602" s="24"/>
      <c r="I3602" s="24"/>
      <c r="L3602"/>
    </row>
    <row r="3603" spans="1:12" x14ac:dyDescent="0.25">
      <c r="A3603" s="16"/>
      <c r="D3603" s="16"/>
      <c r="F3603" s="16"/>
      <c r="G3603" s="16"/>
      <c r="H3603" s="24"/>
      <c r="I3603" s="24"/>
      <c r="L3603"/>
    </row>
    <row r="3604" spans="1:12" x14ac:dyDescent="0.25">
      <c r="A3604" s="16"/>
      <c r="D3604" s="16"/>
      <c r="F3604" s="16"/>
      <c r="G3604" s="16"/>
      <c r="H3604" s="24"/>
      <c r="I3604" s="24"/>
      <c r="L3604"/>
    </row>
    <row r="3605" spans="1:12" x14ac:dyDescent="0.25">
      <c r="A3605" s="16"/>
      <c r="D3605" s="16"/>
      <c r="F3605" s="16"/>
      <c r="G3605" s="16"/>
      <c r="H3605" s="24"/>
      <c r="I3605" s="24"/>
      <c r="L3605"/>
    </row>
    <row r="3606" spans="1:12" x14ac:dyDescent="0.25">
      <c r="A3606" s="16"/>
      <c r="D3606" s="16"/>
      <c r="F3606" s="16"/>
      <c r="G3606" s="16"/>
      <c r="H3606" s="24"/>
      <c r="I3606" s="24"/>
      <c r="L3606"/>
    </row>
    <row r="3607" spans="1:12" x14ac:dyDescent="0.25">
      <c r="A3607" s="16"/>
      <c r="D3607" s="16"/>
      <c r="F3607" s="16"/>
      <c r="G3607" s="16"/>
      <c r="H3607" s="24"/>
      <c r="I3607" s="24"/>
      <c r="L3607"/>
    </row>
    <row r="3608" spans="1:12" x14ac:dyDescent="0.25">
      <c r="A3608" s="16"/>
      <c r="D3608" s="16"/>
      <c r="F3608" s="16"/>
      <c r="G3608" s="16"/>
      <c r="H3608" s="24"/>
      <c r="I3608" s="24"/>
      <c r="L3608"/>
    </row>
    <row r="3609" spans="1:12" x14ac:dyDescent="0.25">
      <c r="A3609" s="16"/>
      <c r="D3609" s="16"/>
      <c r="F3609" s="16"/>
      <c r="G3609" s="16"/>
      <c r="H3609" s="24"/>
      <c r="I3609" s="24"/>
      <c r="L3609"/>
    </row>
    <row r="3610" spans="1:12" x14ac:dyDescent="0.25">
      <c r="A3610" s="16"/>
      <c r="D3610" s="16"/>
      <c r="F3610" s="16"/>
      <c r="G3610" s="16"/>
      <c r="H3610" s="24"/>
      <c r="I3610" s="24"/>
      <c r="L3610"/>
    </row>
    <row r="3611" spans="1:12" x14ac:dyDescent="0.25">
      <c r="A3611" s="16"/>
      <c r="D3611" s="16"/>
      <c r="F3611" s="16"/>
      <c r="G3611" s="16"/>
      <c r="H3611" s="24"/>
      <c r="I3611" s="24"/>
      <c r="L3611"/>
    </row>
    <row r="3612" spans="1:12" x14ac:dyDescent="0.25">
      <c r="A3612" s="16"/>
      <c r="D3612" s="16"/>
      <c r="F3612" s="16"/>
      <c r="G3612" s="16"/>
      <c r="H3612" s="24"/>
      <c r="I3612" s="24"/>
      <c r="L3612"/>
    </row>
    <row r="3613" spans="1:12" x14ac:dyDescent="0.25">
      <c r="A3613" s="16"/>
      <c r="D3613" s="16"/>
      <c r="F3613" s="16"/>
      <c r="G3613" s="16"/>
      <c r="H3613" s="24"/>
      <c r="I3613" s="24"/>
      <c r="L3613"/>
    </row>
    <row r="3614" spans="1:12" x14ac:dyDescent="0.25">
      <c r="A3614" s="16"/>
      <c r="D3614" s="16"/>
      <c r="F3614" s="16"/>
      <c r="G3614" s="16"/>
      <c r="H3614" s="24"/>
      <c r="I3614" s="24"/>
      <c r="L3614"/>
    </row>
    <row r="3615" spans="1:12" x14ac:dyDescent="0.25">
      <c r="A3615" s="16"/>
      <c r="D3615" s="16"/>
      <c r="F3615" s="16"/>
      <c r="G3615" s="16"/>
      <c r="H3615" s="24"/>
      <c r="I3615" s="24"/>
      <c r="L3615"/>
    </row>
    <row r="3616" spans="1:12" x14ac:dyDescent="0.25">
      <c r="A3616" s="16"/>
      <c r="D3616" s="16"/>
      <c r="F3616" s="16"/>
      <c r="G3616" s="16"/>
      <c r="H3616" s="24"/>
      <c r="I3616" s="24"/>
      <c r="L3616"/>
    </row>
    <row r="3617" spans="1:12" x14ac:dyDescent="0.25">
      <c r="A3617" s="16"/>
      <c r="D3617" s="16"/>
      <c r="F3617" s="16"/>
      <c r="G3617" s="16"/>
      <c r="H3617" s="24"/>
      <c r="I3617" s="24"/>
      <c r="L3617"/>
    </row>
    <row r="3618" spans="1:12" x14ac:dyDescent="0.25">
      <c r="A3618" s="16"/>
      <c r="D3618" s="16"/>
      <c r="F3618" s="16"/>
      <c r="G3618" s="16"/>
      <c r="H3618" s="24"/>
      <c r="I3618" s="24"/>
      <c r="L3618"/>
    </row>
    <row r="3619" spans="1:12" x14ac:dyDescent="0.25">
      <c r="A3619" s="16"/>
      <c r="D3619" s="16"/>
      <c r="F3619" s="16"/>
      <c r="G3619" s="16"/>
      <c r="H3619" s="24"/>
      <c r="I3619" s="24"/>
      <c r="L3619"/>
    </row>
    <row r="3620" spans="1:12" x14ac:dyDescent="0.25">
      <c r="A3620" s="16"/>
      <c r="D3620" s="16"/>
      <c r="F3620" s="16"/>
      <c r="G3620" s="16"/>
      <c r="H3620" s="24"/>
      <c r="I3620" s="24"/>
      <c r="L3620"/>
    </row>
    <row r="3621" spans="1:12" x14ac:dyDescent="0.25">
      <c r="A3621" s="16"/>
      <c r="D3621" s="16"/>
      <c r="F3621" s="16"/>
      <c r="G3621" s="16"/>
      <c r="H3621" s="24"/>
      <c r="I3621" s="24"/>
      <c r="L3621"/>
    </row>
    <row r="3622" spans="1:12" x14ac:dyDescent="0.25">
      <c r="A3622" s="16"/>
      <c r="D3622" s="16"/>
      <c r="F3622" s="16"/>
      <c r="G3622" s="16"/>
      <c r="H3622" s="24"/>
      <c r="I3622" s="24"/>
      <c r="L3622"/>
    </row>
    <row r="3623" spans="1:12" x14ac:dyDescent="0.25">
      <c r="A3623" s="16"/>
      <c r="D3623" s="16"/>
      <c r="F3623" s="16"/>
      <c r="G3623" s="16"/>
      <c r="H3623" s="24"/>
      <c r="I3623" s="24"/>
      <c r="L3623"/>
    </row>
    <row r="3624" spans="1:12" x14ac:dyDescent="0.25">
      <c r="A3624" s="16"/>
      <c r="D3624" s="16"/>
      <c r="F3624" s="16"/>
      <c r="G3624" s="16"/>
      <c r="H3624" s="24"/>
      <c r="I3624" s="24"/>
      <c r="L3624"/>
    </row>
    <row r="3625" spans="1:12" x14ac:dyDescent="0.25">
      <c r="A3625" s="16"/>
      <c r="D3625" s="16"/>
      <c r="F3625" s="16"/>
      <c r="G3625" s="16"/>
      <c r="H3625" s="24"/>
      <c r="I3625" s="24"/>
      <c r="L3625"/>
    </row>
    <row r="3626" spans="1:12" x14ac:dyDescent="0.25">
      <c r="A3626" s="16"/>
      <c r="D3626" s="16"/>
      <c r="F3626" s="16"/>
      <c r="G3626" s="16"/>
      <c r="H3626" s="24"/>
      <c r="I3626" s="24"/>
      <c r="L3626"/>
    </row>
    <row r="3627" spans="1:12" x14ac:dyDescent="0.25">
      <c r="A3627" s="16"/>
      <c r="D3627" s="16"/>
      <c r="F3627" s="16"/>
      <c r="G3627" s="16"/>
      <c r="H3627" s="24"/>
      <c r="I3627" s="24"/>
      <c r="L3627"/>
    </row>
    <row r="3628" spans="1:12" x14ac:dyDescent="0.25">
      <c r="A3628" s="16"/>
      <c r="D3628" s="16"/>
      <c r="F3628" s="16"/>
      <c r="G3628" s="16"/>
      <c r="H3628" s="24"/>
      <c r="I3628" s="24"/>
      <c r="L3628"/>
    </row>
    <row r="3629" spans="1:12" x14ac:dyDescent="0.25">
      <c r="A3629" s="16"/>
      <c r="D3629" s="16"/>
      <c r="F3629" s="16"/>
      <c r="G3629" s="16"/>
      <c r="H3629" s="24"/>
      <c r="I3629" s="24"/>
      <c r="L3629"/>
    </row>
    <row r="3630" spans="1:12" x14ac:dyDescent="0.25">
      <c r="A3630" s="16"/>
      <c r="D3630" s="16"/>
      <c r="F3630" s="16"/>
      <c r="G3630" s="16"/>
      <c r="H3630" s="24"/>
      <c r="I3630" s="24"/>
      <c r="L3630"/>
    </row>
    <row r="3631" spans="1:12" x14ac:dyDescent="0.25">
      <c r="A3631" s="16"/>
      <c r="D3631" s="16"/>
      <c r="F3631" s="16"/>
      <c r="G3631" s="16"/>
      <c r="H3631" s="24"/>
      <c r="I3631" s="24"/>
      <c r="L3631"/>
    </row>
    <row r="3632" spans="1:12" x14ac:dyDescent="0.25">
      <c r="A3632" s="16"/>
      <c r="D3632" s="16"/>
      <c r="F3632" s="16"/>
      <c r="G3632" s="16"/>
      <c r="H3632" s="24"/>
      <c r="I3632" s="24"/>
      <c r="L3632"/>
    </row>
    <row r="3633" spans="1:12" x14ac:dyDescent="0.25">
      <c r="A3633" s="16"/>
      <c r="D3633" s="16"/>
      <c r="F3633" s="16"/>
      <c r="G3633" s="16"/>
      <c r="H3633" s="24"/>
      <c r="I3633" s="24"/>
      <c r="L3633"/>
    </row>
    <row r="3634" spans="1:12" x14ac:dyDescent="0.25">
      <c r="A3634" s="16"/>
      <c r="D3634" s="16"/>
      <c r="F3634" s="16"/>
      <c r="G3634" s="16"/>
      <c r="H3634" s="24"/>
      <c r="I3634" s="24"/>
      <c r="L3634"/>
    </row>
    <row r="3635" spans="1:12" x14ac:dyDescent="0.25">
      <c r="A3635" s="16"/>
      <c r="D3635" s="16"/>
      <c r="F3635" s="16"/>
      <c r="G3635" s="16"/>
      <c r="H3635" s="24"/>
      <c r="I3635" s="24"/>
      <c r="L3635"/>
    </row>
    <row r="3636" spans="1:12" x14ac:dyDescent="0.25">
      <c r="A3636" s="16"/>
      <c r="D3636" s="16"/>
      <c r="F3636" s="16"/>
      <c r="G3636" s="16"/>
      <c r="H3636" s="24"/>
      <c r="I3636" s="24"/>
      <c r="L3636"/>
    </row>
    <row r="3637" spans="1:12" x14ac:dyDescent="0.25">
      <c r="A3637" s="16"/>
      <c r="D3637" s="16"/>
      <c r="F3637" s="16"/>
      <c r="G3637" s="16"/>
      <c r="H3637" s="24"/>
      <c r="I3637" s="24"/>
      <c r="L3637"/>
    </row>
    <row r="3638" spans="1:12" x14ac:dyDescent="0.25">
      <c r="A3638" s="16"/>
      <c r="D3638" s="16"/>
      <c r="F3638" s="16"/>
      <c r="G3638" s="16"/>
      <c r="H3638" s="24"/>
      <c r="I3638" s="24"/>
      <c r="L3638"/>
    </row>
    <row r="3639" spans="1:12" x14ac:dyDescent="0.25">
      <c r="A3639" s="16"/>
      <c r="D3639" s="16"/>
      <c r="F3639" s="16"/>
      <c r="G3639" s="16"/>
      <c r="H3639" s="24"/>
      <c r="I3639" s="24"/>
      <c r="L3639"/>
    </row>
    <row r="3640" spans="1:12" x14ac:dyDescent="0.25">
      <c r="A3640" s="16"/>
      <c r="D3640" s="16"/>
      <c r="F3640" s="16"/>
      <c r="G3640" s="16"/>
      <c r="H3640" s="24"/>
      <c r="I3640" s="24"/>
      <c r="L3640"/>
    </row>
    <row r="3641" spans="1:12" x14ac:dyDescent="0.25">
      <c r="A3641" s="16"/>
      <c r="D3641" s="16"/>
      <c r="F3641" s="16"/>
      <c r="G3641" s="16"/>
      <c r="H3641" s="24"/>
      <c r="I3641" s="24"/>
      <c r="L3641"/>
    </row>
    <row r="3642" spans="1:12" x14ac:dyDescent="0.25">
      <c r="A3642" s="16"/>
      <c r="D3642" s="16"/>
      <c r="F3642" s="16"/>
      <c r="G3642" s="16"/>
      <c r="H3642" s="24"/>
      <c r="I3642" s="24"/>
      <c r="L3642"/>
    </row>
    <row r="3643" spans="1:12" x14ac:dyDescent="0.25">
      <c r="A3643" s="16"/>
      <c r="D3643" s="16"/>
      <c r="F3643" s="16"/>
      <c r="G3643" s="16"/>
      <c r="H3643" s="24"/>
      <c r="I3643" s="24"/>
      <c r="L3643"/>
    </row>
    <row r="3644" spans="1:12" x14ac:dyDescent="0.25">
      <c r="A3644" s="16"/>
      <c r="D3644" s="16"/>
      <c r="F3644" s="16"/>
      <c r="G3644" s="16"/>
      <c r="H3644" s="24"/>
      <c r="I3644" s="24"/>
      <c r="L3644"/>
    </row>
    <row r="3645" spans="1:12" x14ac:dyDescent="0.25">
      <c r="A3645" s="16"/>
      <c r="D3645" s="16"/>
      <c r="F3645" s="16"/>
      <c r="G3645" s="16"/>
      <c r="H3645" s="24"/>
      <c r="I3645" s="24"/>
      <c r="L3645"/>
    </row>
    <row r="3646" spans="1:12" x14ac:dyDescent="0.25">
      <c r="A3646" s="16"/>
      <c r="D3646" s="16"/>
      <c r="F3646" s="16"/>
      <c r="G3646" s="16"/>
      <c r="H3646" s="24"/>
      <c r="I3646" s="24"/>
      <c r="L3646"/>
    </row>
    <row r="3647" spans="1:12" x14ac:dyDescent="0.25">
      <c r="A3647" s="16"/>
      <c r="D3647" s="16"/>
      <c r="F3647" s="16"/>
      <c r="G3647" s="16"/>
      <c r="H3647" s="24"/>
      <c r="I3647" s="24"/>
      <c r="L3647"/>
    </row>
    <row r="3648" spans="1:12" x14ac:dyDescent="0.25">
      <c r="A3648" s="16"/>
      <c r="D3648" s="16"/>
      <c r="F3648" s="16"/>
      <c r="G3648" s="16"/>
      <c r="H3648" s="24"/>
      <c r="I3648" s="24"/>
      <c r="L3648"/>
    </row>
    <row r="3649" spans="1:12" x14ac:dyDescent="0.25">
      <c r="A3649" s="16"/>
      <c r="D3649" s="16"/>
      <c r="F3649" s="16"/>
      <c r="G3649" s="16"/>
      <c r="H3649" s="24"/>
      <c r="I3649" s="24"/>
      <c r="L3649"/>
    </row>
    <row r="3650" spans="1:12" x14ac:dyDescent="0.25">
      <c r="A3650" s="16"/>
      <c r="D3650" s="16"/>
      <c r="F3650" s="16"/>
      <c r="G3650" s="16"/>
      <c r="H3650" s="24"/>
      <c r="I3650" s="24"/>
      <c r="L3650"/>
    </row>
    <row r="3651" spans="1:12" x14ac:dyDescent="0.25">
      <c r="A3651" s="16"/>
      <c r="D3651" s="16"/>
      <c r="F3651" s="16"/>
      <c r="G3651" s="16"/>
      <c r="H3651" s="24"/>
      <c r="I3651" s="24"/>
      <c r="L3651"/>
    </row>
    <row r="3652" spans="1:12" x14ac:dyDescent="0.25">
      <c r="A3652" s="16"/>
      <c r="D3652" s="16"/>
      <c r="F3652" s="16"/>
      <c r="G3652" s="16"/>
      <c r="H3652" s="24"/>
      <c r="I3652" s="24"/>
      <c r="L3652"/>
    </row>
    <row r="3653" spans="1:12" x14ac:dyDescent="0.25">
      <c r="A3653" s="16"/>
      <c r="D3653" s="16"/>
      <c r="F3653" s="16"/>
      <c r="G3653" s="16"/>
      <c r="H3653" s="24"/>
      <c r="I3653" s="24"/>
      <c r="L3653"/>
    </row>
    <row r="3654" spans="1:12" x14ac:dyDescent="0.25">
      <c r="A3654" s="16"/>
      <c r="D3654" s="16"/>
      <c r="F3654" s="16"/>
      <c r="G3654" s="16"/>
      <c r="H3654" s="24"/>
      <c r="I3654" s="24"/>
      <c r="L3654"/>
    </row>
    <row r="3655" spans="1:12" x14ac:dyDescent="0.25">
      <c r="A3655" s="16"/>
      <c r="D3655" s="16"/>
      <c r="F3655" s="16"/>
      <c r="G3655" s="16"/>
      <c r="H3655" s="24"/>
      <c r="I3655" s="24"/>
      <c r="L3655"/>
    </row>
    <row r="3656" spans="1:12" x14ac:dyDescent="0.25">
      <c r="A3656" s="16"/>
      <c r="D3656" s="16"/>
      <c r="F3656" s="16"/>
      <c r="G3656" s="16"/>
      <c r="H3656" s="24"/>
      <c r="I3656" s="24"/>
      <c r="L3656"/>
    </row>
    <row r="3657" spans="1:12" x14ac:dyDescent="0.25">
      <c r="A3657" s="16"/>
      <c r="D3657" s="16"/>
      <c r="F3657" s="16"/>
      <c r="G3657" s="16"/>
      <c r="H3657" s="24"/>
      <c r="I3657" s="24"/>
      <c r="L3657"/>
    </row>
    <row r="3658" spans="1:12" x14ac:dyDescent="0.25">
      <c r="A3658" s="16"/>
      <c r="D3658" s="16"/>
      <c r="F3658" s="16"/>
      <c r="G3658" s="16"/>
      <c r="H3658" s="24"/>
      <c r="I3658" s="24"/>
      <c r="L3658"/>
    </row>
    <row r="3659" spans="1:12" x14ac:dyDescent="0.25">
      <c r="A3659" s="16"/>
      <c r="D3659" s="16"/>
      <c r="F3659" s="16"/>
      <c r="G3659" s="16"/>
      <c r="H3659" s="24"/>
      <c r="I3659" s="24"/>
      <c r="L3659"/>
    </row>
    <row r="3660" spans="1:12" x14ac:dyDescent="0.25">
      <c r="A3660" s="16"/>
      <c r="D3660" s="16"/>
      <c r="F3660" s="16"/>
      <c r="G3660" s="16"/>
      <c r="H3660" s="24"/>
      <c r="I3660" s="24"/>
      <c r="L3660"/>
    </row>
    <row r="3661" spans="1:12" x14ac:dyDescent="0.25">
      <c r="A3661" s="16"/>
      <c r="D3661" s="16"/>
      <c r="F3661" s="16"/>
      <c r="G3661" s="16"/>
      <c r="H3661" s="24"/>
      <c r="I3661" s="24"/>
      <c r="L3661"/>
    </row>
    <row r="3662" spans="1:12" x14ac:dyDescent="0.25">
      <c r="A3662" s="16"/>
      <c r="D3662" s="16"/>
      <c r="F3662" s="16"/>
      <c r="G3662" s="16"/>
      <c r="H3662" s="24"/>
      <c r="I3662" s="24"/>
      <c r="L3662"/>
    </row>
    <row r="3663" spans="1:12" x14ac:dyDescent="0.25">
      <c r="A3663" s="16"/>
      <c r="D3663" s="16"/>
      <c r="F3663" s="16"/>
      <c r="G3663" s="16"/>
      <c r="H3663" s="24"/>
      <c r="I3663" s="24"/>
      <c r="L3663"/>
    </row>
    <row r="3664" spans="1:12" x14ac:dyDescent="0.25">
      <c r="A3664" s="16"/>
      <c r="D3664" s="16"/>
      <c r="F3664" s="16"/>
      <c r="G3664" s="16"/>
      <c r="H3664" s="24"/>
      <c r="I3664" s="24"/>
      <c r="L3664"/>
    </row>
    <row r="3665" spans="1:12" x14ac:dyDescent="0.25">
      <c r="A3665" s="16"/>
      <c r="D3665" s="16"/>
      <c r="F3665" s="16"/>
      <c r="G3665" s="16"/>
      <c r="H3665" s="24"/>
      <c r="I3665" s="24"/>
      <c r="L3665"/>
    </row>
    <row r="3666" spans="1:12" x14ac:dyDescent="0.25">
      <c r="A3666" s="16"/>
      <c r="D3666" s="16"/>
      <c r="F3666" s="16"/>
      <c r="G3666" s="16"/>
      <c r="H3666" s="24"/>
      <c r="I3666" s="24"/>
      <c r="L3666"/>
    </row>
    <row r="3667" spans="1:12" x14ac:dyDescent="0.25">
      <c r="A3667" s="16"/>
      <c r="D3667" s="16"/>
      <c r="F3667" s="16"/>
      <c r="G3667" s="16"/>
      <c r="H3667" s="24"/>
      <c r="I3667" s="24"/>
      <c r="L3667"/>
    </row>
    <row r="3668" spans="1:12" x14ac:dyDescent="0.25">
      <c r="A3668" s="16"/>
      <c r="D3668" s="16"/>
      <c r="F3668" s="16"/>
      <c r="G3668" s="16"/>
      <c r="H3668" s="24"/>
      <c r="I3668" s="24"/>
      <c r="L3668"/>
    </row>
    <row r="3669" spans="1:12" x14ac:dyDescent="0.25">
      <c r="A3669" s="16"/>
      <c r="D3669" s="16"/>
      <c r="F3669" s="16"/>
      <c r="G3669" s="16"/>
      <c r="H3669" s="24"/>
      <c r="I3669" s="24"/>
      <c r="L3669"/>
    </row>
    <row r="3670" spans="1:12" x14ac:dyDescent="0.25">
      <c r="A3670" s="16"/>
      <c r="D3670" s="16"/>
      <c r="F3670" s="16"/>
      <c r="G3670" s="16"/>
      <c r="H3670" s="24"/>
      <c r="I3670" s="24"/>
      <c r="L3670"/>
    </row>
    <row r="3671" spans="1:12" x14ac:dyDescent="0.25">
      <c r="A3671" s="16"/>
      <c r="D3671" s="16"/>
      <c r="F3671" s="16"/>
      <c r="G3671" s="16"/>
      <c r="H3671" s="24"/>
      <c r="I3671" s="24"/>
      <c r="L3671"/>
    </row>
    <row r="3672" spans="1:12" x14ac:dyDescent="0.25">
      <c r="A3672" s="16"/>
      <c r="D3672" s="16"/>
      <c r="F3672" s="16"/>
      <c r="G3672" s="16"/>
      <c r="H3672" s="24"/>
      <c r="I3672" s="24"/>
      <c r="L3672"/>
    </row>
    <row r="3673" spans="1:12" x14ac:dyDescent="0.25">
      <c r="A3673" s="16"/>
      <c r="D3673" s="16"/>
      <c r="F3673" s="16"/>
      <c r="G3673" s="16"/>
      <c r="H3673" s="24"/>
      <c r="I3673" s="24"/>
      <c r="L3673"/>
    </row>
    <row r="3674" spans="1:12" x14ac:dyDescent="0.25">
      <c r="A3674" s="16"/>
      <c r="D3674" s="16"/>
      <c r="F3674" s="16"/>
      <c r="G3674" s="16"/>
      <c r="H3674" s="24"/>
      <c r="I3674" s="24"/>
      <c r="L3674"/>
    </row>
    <row r="3675" spans="1:12" x14ac:dyDescent="0.25">
      <c r="A3675" s="16"/>
      <c r="D3675" s="16"/>
      <c r="F3675" s="16"/>
      <c r="G3675" s="16"/>
      <c r="H3675" s="24"/>
      <c r="I3675" s="24"/>
      <c r="L3675"/>
    </row>
    <row r="3676" spans="1:12" x14ac:dyDescent="0.25">
      <c r="A3676" s="16"/>
      <c r="D3676" s="16"/>
      <c r="F3676" s="16"/>
      <c r="G3676" s="16"/>
      <c r="H3676" s="24"/>
      <c r="I3676" s="24"/>
      <c r="L3676"/>
    </row>
    <row r="3677" spans="1:12" x14ac:dyDescent="0.25">
      <c r="A3677" s="16"/>
      <c r="D3677" s="16"/>
      <c r="F3677" s="16"/>
      <c r="G3677" s="16"/>
      <c r="H3677" s="24"/>
      <c r="I3677" s="24"/>
      <c r="L3677"/>
    </row>
    <row r="3678" spans="1:12" x14ac:dyDescent="0.25">
      <c r="A3678" s="16"/>
      <c r="D3678" s="16"/>
      <c r="F3678" s="16"/>
      <c r="G3678" s="16"/>
      <c r="H3678" s="24"/>
      <c r="I3678" s="24"/>
      <c r="L3678"/>
    </row>
    <row r="3679" spans="1:12" x14ac:dyDescent="0.25">
      <c r="A3679" s="16"/>
      <c r="D3679" s="16"/>
      <c r="F3679" s="16"/>
      <c r="G3679" s="16"/>
      <c r="H3679" s="24"/>
      <c r="I3679" s="24"/>
      <c r="L3679"/>
    </row>
    <row r="3680" spans="1:12" x14ac:dyDescent="0.25">
      <c r="A3680" s="16"/>
      <c r="D3680" s="16"/>
      <c r="F3680" s="16"/>
      <c r="G3680" s="16"/>
      <c r="H3680" s="24"/>
      <c r="I3680" s="24"/>
      <c r="L3680"/>
    </row>
    <row r="3681" spans="1:12" x14ac:dyDescent="0.25">
      <c r="A3681" s="16"/>
      <c r="D3681" s="16"/>
      <c r="F3681" s="16"/>
      <c r="G3681" s="16"/>
      <c r="H3681" s="24"/>
      <c r="I3681" s="24"/>
      <c r="L3681"/>
    </row>
    <row r="3682" spans="1:12" x14ac:dyDescent="0.25">
      <c r="A3682" s="16"/>
      <c r="D3682" s="16"/>
      <c r="F3682" s="16"/>
      <c r="G3682" s="16"/>
      <c r="H3682" s="24"/>
      <c r="I3682" s="24"/>
      <c r="L3682"/>
    </row>
    <row r="3683" spans="1:12" x14ac:dyDescent="0.25">
      <c r="A3683" s="16"/>
      <c r="D3683" s="16"/>
      <c r="F3683" s="16"/>
      <c r="G3683" s="16"/>
      <c r="H3683" s="24"/>
      <c r="I3683" s="24"/>
      <c r="L3683"/>
    </row>
    <row r="3684" spans="1:12" x14ac:dyDescent="0.25">
      <c r="A3684" s="16"/>
      <c r="D3684" s="16"/>
      <c r="F3684" s="16"/>
      <c r="G3684" s="16"/>
      <c r="H3684" s="24"/>
      <c r="I3684" s="24"/>
      <c r="L3684"/>
    </row>
    <row r="3685" spans="1:12" x14ac:dyDescent="0.25">
      <c r="A3685" s="16"/>
      <c r="D3685" s="16"/>
      <c r="F3685" s="16"/>
      <c r="G3685" s="16"/>
      <c r="H3685" s="24"/>
      <c r="I3685" s="24"/>
      <c r="L3685"/>
    </row>
    <row r="3686" spans="1:12" x14ac:dyDescent="0.25">
      <c r="A3686" s="16"/>
      <c r="D3686" s="16"/>
      <c r="F3686" s="16"/>
      <c r="G3686" s="16"/>
      <c r="H3686" s="24"/>
      <c r="I3686" s="24"/>
      <c r="L3686"/>
    </row>
    <row r="3687" spans="1:12" x14ac:dyDescent="0.25">
      <c r="A3687" s="16"/>
      <c r="D3687" s="16"/>
      <c r="F3687" s="16"/>
      <c r="G3687" s="16"/>
      <c r="H3687" s="24"/>
      <c r="I3687" s="24"/>
      <c r="L3687"/>
    </row>
    <row r="3688" spans="1:12" x14ac:dyDescent="0.25">
      <c r="A3688" s="16"/>
      <c r="D3688" s="16"/>
      <c r="F3688" s="16"/>
      <c r="G3688" s="16"/>
      <c r="H3688" s="24"/>
      <c r="I3688" s="24"/>
      <c r="L3688"/>
    </row>
    <row r="3689" spans="1:12" x14ac:dyDescent="0.25">
      <c r="A3689" s="16"/>
      <c r="D3689" s="16"/>
      <c r="F3689" s="16"/>
      <c r="G3689" s="16"/>
      <c r="H3689" s="24"/>
      <c r="I3689" s="24"/>
      <c r="L3689"/>
    </row>
    <row r="3690" spans="1:12" x14ac:dyDescent="0.25">
      <c r="A3690" s="16"/>
      <c r="D3690" s="16"/>
      <c r="F3690" s="16"/>
      <c r="G3690" s="16"/>
      <c r="H3690" s="24"/>
      <c r="I3690" s="24"/>
      <c r="L3690"/>
    </row>
    <row r="3691" spans="1:12" x14ac:dyDescent="0.25">
      <c r="A3691" s="16"/>
      <c r="D3691" s="16"/>
      <c r="F3691" s="16"/>
      <c r="G3691" s="16"/>
      <c r="H3691" s="24"/>
      <c r="I3691" s="24"/>
      <c r="L3691"/>
    </row>
    <row r="3692" spans="1:12" x14ac:dyDescent="0.25">
      <c r="A3692" s="16"/>
      <c r="D3692" s="16"/>
      <c r="F3692" s="16"/>
      <c r="G3692" s="16"/>
      <c r="H3692" s="24"/>
      <c r="I3692" s="24"/>
      <c r="L3692"/>
    </row>
    <row r="3693" spans="1:12" x14ac:dyDescent="0.25">
      <c r="A3693" s="16"/>
      <c r="D3693" s="16"/>
      <c r="F3693" s="16"/>
      <c r="G3693" s="16"/>
      <c r="H3693" s="24"/>
      <c r="I3693" s="24"/>
      <c r="L3693"/>
    </row>
    <row r="3694" spans="1:12" x14ac:dyDescent="0.25">
      <c r="A3694" s="16"/>
      <c r="D3694" s="16"/>
      <c r="F3694" s="16"/>
      <c r="G3694" s="16"/>
      <c r="H3694" s="24"/>
      <c r="I3694" s="24"/>
      <c r="L3694"/>
    </row>
    <row r="3695" spans="1:12" x14ac:dyDescent="0.25">
      <c r="A3695" s="16"/>
      <c r="D3695" s="16"/>
      <c r="F3695" s="16"/>
      <c r="G3695" s="16"/>
      <c r="H3695" s="24"/>
      <c r="I3695" s="24"/>
      <c r="L3695"/>
    </row>
    <row r="3696" spans="1:12" x14ac:dyDescent="0.25">
      <c r="A3696" s="16"/>
      <c r="D3696" s="16"/>
      <c r="F3696" s="16"/>
      <c r="G3696" s="16"/>
      <c r="H3696" s="24"/>
      <c r="I3696" s="24"/>
      <c r="L3696"/>
    </row>
    <row r="3697" spans="1:12" x14ac:dyDescent="0.25">
      <c r="A3697" s="16"/>
      <c r="D3697" s="16"/>
      <c r="F3697" s="16"/>
      <c r="G3697" s="16"/>
      <c r="H3697" s="24"/>
      <c r="I3697" s="24"/>
      <c r="L3697"/>
    </row>
    <row r="3698" spans="1:12" x14ac:dyDescent="0.25">
      <c r="A3698" s="16"/>
      <c r="D3698" s="16"/>
      <c r="F3698" s="16"/>
      <c r="G3698" s="16"/>
      <c r="H3698" s="24"/>
      <c r="I3698" s="24"/>
      <c r="L3698"/>
    </row>
    <row r="3699" spans="1:12" x14ac:dyDescent="0.25">
      <c r="A3699" s="16"/>
      <c r="D3699" s="16"/>
      <c r="F3699" s="16"/>
      <c r="G3699" s="16"/>
      <c r="H3699" s="24"/>
      <c r="I3699" s="24"/>
      <c r="L3699"/>
    </row>
    <row r="3700" spans="1:12" x14ac:dyDescent="0.25">
      <c r="A3700" s="16"/>
      <c r="D3700" s="16"/>
      <c r="F3700" s="16"/>
      <c r="G3700" s="16"/>
      <c r="H3700" s="24"/>
      <c r="I3700" s="24"/>
      <c r="L3700"/>
    </row>
    <row r="3701" spans="1:12" x14ac:dyDescent="0.25">
      <c r="A3701" s="16"/>
      <c r="D3701" s="16"/>
      <c r="F3701" s="16"/>
      <c r="G3701" s="16"/>
      <c r="H3701" s="24"/>
      <c r="I3701" s="24"/>
      <c r="L3701"/>
    </row>
    <row r="3702" spans="1:12" x14ac:dyDescent="0.25">
      <c r="A3702" s="16"/>
      <c r="D3702" s="16"/>
      <c r="F3702" s="16"/>
      <c r="G3702" s="16"/>
      <c r="H3702" s="24"/>
      <c r="I3702" s="24"/>
      <c r="L3702"/>
    </row>
    <row r="3703" spans="1:12" x14ac:dyDescent="0.25">
      <c r="A3703" s="16"/>
      <c r="D3703" s="16"/>
      <c r="F3703" s="16"/>
      <c r="G3703" s="16"/>
      <c r="H3703" s="24"/>
      <c r="I3703" s="24"/>
      <c r="L3703"/>
    </row>
    <row r="3704" spans="1:12" x14ac:dyDescent="0.25">
      <c r="A3704" s="16"/>
      <c r="D3704" s="16"/>
      <c r="F3704" s="16"/>
      <c r="G3704" s="16"/>
      <c r="H3704" s="24"/>
      <c r="I3704" s="24"/>
      <c r="L3704"/>
    </row>
    <row r="3705" spans="1:12" x14ac:dyDescent="0.25">
      <c r="A3705" s="16"/>
      <c r="D3705" s="16"/>
      <c r="F3705" s="16"/>
      <c r="G3705" s="16"/>
      <c r="H3705" s="24"/>
      <c r="I3705" s="24"/>
      <c r="L3705"/>
    </row>
    <row r="3706" spans="1:12" x14ac:dyDescent="0.25">
      <c r="A3706" s="16"/>
      <c r="D3706" s="16"/>
      <c r="F3706" s="16"/>
      <c r="G3706" s="16"/>
      <c r="H3706" s="24"/>
      <c r="I3706" s="24"/>
      <c r="L3706"/>
    </row>
    <row r="3707" spans="1:12" x14ac:dyDescent="0.25">
      <c r="A3707" s="16"/>
      <c r="D3707" s="16"/>
      <c r="F3707" s="16"/>
      <c r="G3707" s="16"/>
      <c r="H3707" s="24"/>
      <c r="I3707" s="24"/>
      <c r="L3707"/>
    </row>
    <row r="3708" spans="1:12" x14ac:dyDescent="0.25">
      <c r="A3708" s="16"/>
      <c r="D3708" s="16"/>
      <c r="F3708" s="16"/>
      <c r="G3708" s="16"/>
      <c r="H3708" s="24"/>
      <c r="I3708" s="24"/>
      <c r="L3708"/>
    </row>
    <row r="3709" spans="1:12" x14ac:dyDescent="0.25">
      <c r="A3709" s="16"/>
      <c r="D3709" s="16"/>
      <c r="F3709" s="16"/>
      <c r="G3709" s="16"/>
      <c r="H3709" s="24"/>
      <c r="I3709" s="24"/>
      <c r="L3709"/>
    </row>
    <row r="3710" spans="1:12" x14ac:dyDescent="0.25">
      <c r="A3710" s="16"/>
      <c r="D3710" s="16"/>
      <c r="F3710" s="16"/>
      <c r="G3710" s="16"/>
      <c r="H3710" s="24"/>
      <c r="I3710" s="24"/>
      <c r="L3710"/>
    </row>
    <row r="3711" spans="1:12" x14ac:dyDescent="0.25">
      <c r="A3711" s="16"/>
      <c r="D3711" s="16"/>
      <c r="F3711" s="16"/>
      <c r="G3711" s="16"/>
      <c r="H3711" s="24"/>
      <c r="I3711" s="24"/>
      <c r="L3711"/>
    </row>
    <row r="3712" spans="1:12" x14ac:dyDescent="0.25">
      <c r="A3712" s="16"/>
      <c r="D3712" s="16"/>
      <c r="F3712" s="16"/>
      <c r="G3712" s="16"/>
      <c r="H3712" s="24"/>
      <c r="I3712" s="24"/>
      <c r="L3712"/>
    </row>
    <row r="3713" spans="1:12" x14ac:dyDescent="0.25">
      <c r="A3713" s="16"/>
      <c r="D3713" s="16"/>
      <c r="F3713" s="16"/>
      <c r="G3713" s="16"/>
      <c r="H3713" s="24"/>
      <c r="I3713" s="24"/>
      <c r="L3713"/>
    </row>
    <row r="3714" spans="1:12" x14ac:dyDescent="0.25">
      <c r="A3714" s="16"/>
      <c r="D3714" s="16"/>
      <c r="F3714" s="16"/>
      <c r="G3714" s="16"/>
      <c r="H3714" s="24"/>
      <c r="I3714" s="24"/>
      <c r="L3714"/>
    </row>
    <row r="3715" spans="1:12" x14ac:dyDescent="0.25">
      <c r="A3715" s="16"/>
      <c r="D3715" s="16"/>
      <c r="F3715" s="16"/>
      <c r="G3715" s="16"/>
      <c r="H3715" s="24"/>
      <c r="I3715" s="24"/>
      <c r="L3715"/>
    </row>
    <row r="3716" spans="1:12" x14ac:dyDescent="0.25">
      <c r="A3716" s="16"/>
      <c r="D3716" s="16"/>
      <c r="F3716" s="16"/>
      <c r="G3716" s="16"/>
      <c r="H3716" s="24"/>
      <c r="I3716" s="24"/>
      <c r="L3716"/>
    </row>
    <row r="3717" spans="1:12" x14ac:dyDescent="0.25">
      <c r="A3717" s="16"/>
      <c r="D3717" s="16"/>
      <c r="F3717" s="16"/>
      <c r="G3717" s="16"/>
      <c r="H3717" s="24"/>
      <c r="I3717" s="24"/>
      <c r="L3717"/>
    </row>
    <row r="3718" spans="1:12" x14ac:dyDescent="0.25">
      <c r="A3718" s="16"/>
      <c r="D3718" s="16"/>
      <c r="F3718" s="16"/>
      <c r="G3718" s="16"/>
      <c r="H3718" s="24"/>
      <c r="I3718" s="24"/>
      <c r="L3718"/>
    </row>
    <row r="3719" spans="1:12" x14ac:dyDescent="0.25">
      <c r="A3719" s="16"/>
      <c r="D3719" s="16"/>
      <c r="F3719" s="16"/>
      <c r="G3719" s="16"/>
      <c r="H3719" s="24"/>
      <c r="I3719" s="24"/>
      <c r="L3719"/>
    </row>
    <row r="3720" spans="1:12" x14ac:dyDescent="0.25">
      <c r="A3720" s="16"/>
      <c r="D3720" s="16"/>
      <c r="F3720" s="16"/>
      <c r="G3720" s="16"/>
      <c r="H3720" s="24"/>
      <c r="I3720" s="24"/>
      <c r="L3720"/>
    </row>
    <row r="3721" spans="1:12" x14ac:dyDescent="0.25">
      <c r="A3721" s="16"/>
      <c r="D3721" s="16"/>
      <c r="F3721" s="16"/>
      <c r="G3721" s="16"/>
      <c r="H3721" s="24"/>
      <c r="I3721" s="24"/>
      <c r="L3721"/>
    </row>
    <row r="3722" spans="1:12" x14ac:dyDescent="0.25">
      <c r="A3722" s="16"/>
      <c r="D3722" s="16"/>
      <c r="F3722" s="16"/>
      <c r="G3722" s="16"/>
      <c r="H3722" s="24"/>
      <c r="I3722" s="24"/>
      <c r="L3722"/>
    </row>
    <row r="3723" spans="1:12" x14ac:dyDescent="0.25">
      <c r="A3723" s="16"/>
      <c r="D3723" s="16"/>
      <c r="F3723" s="16"/>
      <c r="G3723" s="16"/>
      <c r="H3723" s="24"/>
      <c r="I3723" s="24"/>
      <c r="L3723"/>
    </row>
    <row r="3724" spans="1:12" x14ac:dyDescent="0.25">
      <c r="A3724" s="16"/>
      <c r="D3724" s="16"/>
      <c r="F3724" s="16"/>
      <c r="G3724" s="16"/>
      <c r="H3724" s="24"/>
      <c r="I3724" s="24"/>
      <c r="L3724"/>
    </row>
    <row r="3725" spans="1:12" x14ac:dyDescent="0.25">
      <c r="A3725" s="16"/>
      <c r="D3725" s="16"/>
      <c r="F3725" s="16"/>
      <c r="G3725" s="16"/>
      <c r="H3725" s="24"/>
      <c r="I3725" s="24"/>
      <c r="L3725"/>
    </row>
    <row r="3726" spans="1:12" x14ac:dyDescent="0.25">
      <c r="A3726" s="16"/>
      <c r="D3726" s="16"/>
      <c r="F3726" s="16"/>
      <c r="G3726" s="16"/>
      <c r="H3726" s="24"/>
      <c r="I3726" s="24"/>
      <c r="L3726"/>
    </row>
    <row r="3727" spans="1:12" x14ac:dyDescent="0.25">
      <c r="A3727" s="16"/>
      <c r="D3727" s="16"/>
      <c r="F3727" s="16"/>
      <c r="G3727" s="16"/>
      <c r="H3727" s="24"/>
      <c r="I3727" s="24"/>
      <c r="L3727"/>
    </row>
    <row r="3728" spans="1:12" x14ac:dyDescent="0.25">
      <c r="A3728" s="16"/>
      <c r="D3728" s="16"/>
      <c r="F3728" s="16"/>
      <c r="G3728" s="16"/>
      <c r="H3728" s="24"/>
      <c r="I3728" s="24"/>
      <c r="L3728"/>
    </row>
    <row r="3729" spans="1:12" x14ac:dyDescent="0.25">
      <c r="A3729" s="16"/>
      <c r="D3729" s="16"/>
      <c r="F3729" s="16"/>
      <c r="G3729" s="16"/>
      <c r="H3729" s="24"/>
      <c r="I3729" s="24"/>
      <c r="L3729"/>
    </row>
    <row r="3730" spans="1:12" x14ac:dyDescent="0.25">
      <c r="A3730" s="16"/>
      <c r="D3730" s="16"/>
      <c r="F3730" s="16"/>
      <c r="G3730" s="16"/>
      <c r="H3730" s="24"/>
      <c r="I3730" s="24"/>
      <c r="L3730"/>
    </row>
    <row r="3731" spans="1:12" x14ac:dyDescent="0.25">
      <c r="A3731" s="16"/>
      <c r="D3731" s="16"/>
      <c r="F3731" s="16"/>
      <c r="G3731" s="16"/>
      <c r="H3731" s="24"/>
      <c r="I3731" s="24"/>
      <c r="L3731"/>
    </row>
    <row r="3732" spans="1:12" x14ac:dyDescent="0.25">
      <c r="A3732" s="16"/>
      <c r="D3732" s="16"/>
      <c r="F3732" s="16"/>
      <c r="G3732" s="16"/>
      <c r="H3732" s="24"/>
      <c r="I3732" s="24"/>
      <c r="L3732"/>
    </row>
    <row r="3733" spans="1:12" x14ac:dyDescent="0.25">
      <c r="A3733" s="16"/>
      <c r="D3733" s="16"/>
      <c r="F3733" s="16"/>
      <c r="G3733" s="16"/>
      <c r="H3733" s="24"/>
      <c r="I3733" s="24"/>
      <c r="L3733"/>
    </row>
    <row r="3734" spans="1:12" x14ac:dyDescent="0.25">
      <c r="A3734" s="16"/>
      <c r="D3734" s="16"/>
      <c r="F3734" s="16"/>
      <c r="G3734" s="16"/>
      <c r="H3734" s="24"/>
      <c r="I3734" s="24"/>
      <c r="L3734"/>
    </row>
    <row r="3735" spans="1:12" x14ac:dyDescent="0.25">
      <c r="A3735" s="16"/>
      <c r="D3735" s="16"/>
      <c r="F3735" s="16"/>
      <c r="G3735" s="16"/>
      <c r="H3735" s="24"/>
      <c r="I3735" s="24"/>
      <c r="L3735"/>
    </row>
    <row r="3736" spans="1:12" x14ac:dyDescent="0.25">
      <c r="A3736" s="16"/>
      <c r="D3736" s="16"/>
      <c r="F3736" s="16"/>
      <c r="G3736" s="16"/>
      <c r="H3736" s="24"/>
      <c r="I3736" s="24"/>
      <c r="L3736"/>
    </row>
    <row r="3737" spans="1:12" x14ac:dyDescent="0.25">
      <c r="A3737" s="16"/>
      <c r="D3737" s="16"/>
      <c r="F3737" s="16"/>
      <c r="G3737" s="16"/>
      <c r="H3737" s="24"/>
      <c r="I3737" s="24"/>
      <c r="L3737"/>
    </row>
    <row r="3738" spans="1:12" x14ac:dyDescent="0.25">
      <c r="A3738" s="16"/>
      <c r="D3738" s="16"/>
      <c r="F3738" s="16"/>
      <c r="G3738" s="16"/>
      <c r="H3738" s="24"/>
      <c r="I3738" s="24"/>
      <c r="L3738"/>
    </row>
    <row r="3739" spans="1:12" x14ac:dyDescent="0.25">
      <c r="A3739" s="16"/>
      <c r="D3739" s="16"/>
      <c r="F3739" s="16"/>
      <c r="G3739" s="16"/>
      <c r="H3739" s="24"/>
      <c r="I3739" s="24"/>
      <c r="L3739"/>
    </row>
    <row r="3740" spans="1:12" x14ac:dyDescent="0.25">
      <c r="A3740" s="16"/>
      <c r="D3740" s="16"/>
      <c r="F3740" s="16"/>
      <c r="G3740" s="16"/>
      <c r="H3740" s="24"/>
      <c r="I3740" s="24"/>
      <c r="L3740"/>
    </row>
    <row r="3741" spans="1:12" x14ac:dyDescent="0.25">
      <c r="A3741" s="16"/>
      <c r="D3741" s="16"/>
      <c r="F3741" s="16"/>
      <c r="G3741" s="16"/>
      <c r="H3741" s="24"/>
      <c r="I3741" s="24"/>
      <c r="L3741"/>
    </row>
    <row r="3742" spans="1:12" x14ac:dyDescent="0.25">
      <c r="A3742" s="16"/>
      <c r="D3742" s="16"/>
      <c r="F3742" s="16"/>
      <c r="G3742" s="16"/>
      <c r="H3742" s="24"/>
      <c r="I3742" s="24"/>
      <c r="L3742"/>
    </row>
    <row r="3743" spans="1:12" x14ac:dyDescent="0.25">
      <c r="A3743" s="16"/>
      <c r="D3743" s="16"/>
      <c r="F3743" s="16"/>
      <c r="G3743" s="16"/>
      <c r="H3743" s="24"/>
      <c r="I3743" s="24"/>
      <c r="L3743"/>
    </row>
    <row r="3744" spans="1:12" x14ac:dyDescent="0.25">
      <c r="A3744" s="16"/>
      <c r="D3744" s="16"/>
      <c r="F3744" s="16"/>
      <c r="G3744" s="16"/>
      <c r="H3744" s="24"/>
      <c r="I3744" s="24"/>
      <c r="L3744"/>
    </row>
    <row r="3745" spans="1:12" x14ac:dyDescent="0.25">
      <c r="A3745" s="16"/>
      <c r="D3745" s="16"/>
      <c r="F3745" s="16"/>
      <c r="G3745" s="16"/>
      <c r="H3745" s="24"/>
      <c r="I3745" s="24"/>
      <c r="L3745"/>
    </row>
    <row r="3746" spans="1:12" x14ac:dyDescent="0.25">
      <c r="A3746" s="16"/>
      <c r="D3746" s="16"/>
      <c r="F3746" s="16"/>
      <c r="G3746" s="16"/>
      <c r="H3746" s="24"/>
      <c r="I3746" s="24"/>
      <c r="L3746"/>
    </row>
    <row r="3747" spans="1:12" x14ac:dyDescent="0.25">
      <c r="A3747" s="16"/>
      <c r="D3747" s="16"/>
      <c r="F3747" s="16"/>
      <c r="G3747" s="16"/>
      <c r="H3747" s="24"/>
      <c r="I3747" s="24"/>
      <c r="L3747"/>
    </row>
    <row r="3748" spans="1:12" x14ac:dyDescent="0.25">
      <c r="A3748" s="16"/>
      <c r="D3748" s="16"/>
      <c r="F3748" s="16"/>
      <c r="G3748" s="16"/>
      <c r="H3748" s="24"/>
      <c r="I3748" s="24"/>
      <c r="L3748"/>
    </row>
    <row r="3749" spans="1:12" x14ac:dyDescent="0.25">
      <c r="A3749" s="16"/>
      <c r="D3749" s="16"/>
      <c r="F3749" s="16"/>
      <c r="G3749" s="16"/>
      <c r="H3749" s="24"/>
      <c r="I3749" s="24"/>
      <c r="L3749"/>
    </row>
    <row r="3750" spans="1:12" x14ac:dyDescent="0.25">
      <c r="A3750" s="16"/>
      <c r="D3750" s="16"/>
      <c r="F3750" s="16"/>
      <c r="G3750" s="16"/>
      <c r="H3750" s="24"/>
      <c r="I3750" s="24"/>
      <c r="L3750"/>
    </row>
    <row r="3751" spans="1:12" x14ac:dyDescent="0.25">
      <c r="A3751" s="16"/>
      <c r="D3751" s="16"/>
      <c r="F3751" s="16"/>
      <c r="G3751" s="16"/>
      <c r="H3751" s="24"/>
      <c r="I3751" s="24"/>
      <c r="L3751"/>
    </row>
    <row r="3752" spans="1:12" x14ac:dyDescent="0.25">
      <c r="A3752" s="16"/>
      <c r="D3752" s="16"/>
      <c r="F3752" s="16"/>
      <c r="G3752" s="16"/>
      <c r="H3752" s="24"/>
      <c r="I3752" s="24"/>
      <c r="L3752"/>
    </row>
    <row r="3753" spans="1:12" x14ac:dyDescent="0.25">
      <c r="A3753" s="16"/>
      <c r="D3753" s="16"/>
      <c r="F3753" s="16"/>
      <c r="G3753" s="16"/>
      <c r="H3753" s="24"/>
      <c r="I3753" s="24"/>
      <c r="L3753"/>
    </row>
    <row r="3754" spans="1:12" x14ac:dyDescent="0.25">
      <c r="A3754" s="16"/>
      <c r="D3754" s="16"/>
      <c r="F3754" s="16"/>
      <c r="G3754" s="16"/>
      <c r="H3754" s="24"/>
      <c r="I3754" s="24"/>
      <c r="L3754"/>
    </row>
    <row r="3755" spans="1:12" x14ac:dyDescent="0.25">
      <c r="A3755" s="16"/>
      <c r="D3755" s="16"/>
      <c r="F3755" s="16"/>
      <c r="G3755" s="16"/>
      <c r="H3755" s="24"/>
      <c r="I3755" s="24"/>
      <c r="L3755"/>
    </row>
    <row r="3756" spans="1:12" x14ac:dyDescent="0.25">
      <c r="A3756" s="16"/>
      <c r="D3756" s="16"/>
      <c r="F3756" s="16"/>
      <c r="G3756" s="16"/>
      <c r="H3756" s="24"/>
      <c r="I3756" s="24"/>
      <c r="L3756"/>
    </row>
    <row r="3757" spans="1:12" x14ac:dyDescent="0.25">
      <c r="A3757" s="16"/>
      <c r="D3757" s="16"/>
      <c r="F3757" s="16"/>
      <c r="G3757" s="16"/>
      <c r="H3757" s="24"/>
      <c r="I3757" s="24"/>
      <c r="L3757"/>
    </row>
    <row r="3758" spans="1:12" x14ac:dyDescent="0.25">
      <c r="A3758" s="16"/>
      <c r="D3758" s="16"/>
      <c r="F3758" s="16"/>
      <c r="G3758" s="16"/>
      <c r="H3758" s="24"/>
      <c r="I3758" s="24"/>
      <c r="L3758"/>
    </row>
    <row r="3759" spans="1:12" x14ac:dyDescent="0.25">
      <c r="A3759" s="16"/>
      <c r="D3759" s="16"/>
      <c r="F3759" s="16"/>
      <c r="G3759" s="16"/>
      <c r="H3759" s="24"/>
      <c r="I3759" s="24"/>
      <c r="L3759"/>
    </row>
    <row r="3760" spans="1:12" x14ac:dyDescent="0.25">
      <c r="A3760" s="16"/>
      <c r="D3760" s="16"/>
      <c r="F3760" s="16"/>
      <c r="G3760" s="16"/>
      <c r="H3760" s="24"/>
      <c r="I3760" s="24"/>
      <c r="L3760"/>
    </row>
    <row r="3761" spans="1:12" x14ac:dyDescent="0.25">
      <c r="A3761" s="16"/>
      <c r="D3761" s="16"/>
      <c r="F3761" s="16"/>
      <c r="G3761" s="16"/>
      <c r="H3761" s="24"/>
      <c r="I3761" s="24"/>
      <c r="L3761"/>
    </row>
    <row r="3762" spans="1:12" x14ac:dyDescent="0.25">
      <c r="A3762" s="16"/>
      <c r="D3762" s="16"/>
      <c r="F3762" s="16"/>
      <c r="G3762" s="16"/>
      <c r="H3762" s="24"/>
      <c r="I3762" s="24"/>
      <c r="L3762"/>
    </row>
    <row r="3763" spans="1:12" x14ac:dyDescent="0.25">
      <c r="A3763" s="16"/>
      <c r="D3763" s="16"/>
      <c r="F3763" s="16"/>
      <c r="G3763" s="16"/>
      <c r="H3763" s="24"/>
      <c r="I3763" s="24"/>
      <c r="L3763"/>
    </row>
    <row r="3764" spans="1:12" x14ac:dyDescent="0.25">
      <c r="A3764" s="16"/>
      <c r="D3764" s="16"/>
      <c r="F3764" s="16"/>
      <c r="G3764" s="16"/>
      <c r="H3764" s="24"/>
      <c r="I3764" s="24"/>
      <c r="L3764"/>
    </row>
    <row r="3765" spans="1:12" x14ac:dyDescent="0.25">
      <c r="A3765" s="16"/>
      <c r="D3765" s="16"/>
      <c r="F3765" s="16"/>
      <c r="G3765" s="16"/>
      <c r="H3765" s="24"/>
      <c r="I3765" s="24"/>
      <c r="L3765"/>
    </row>
    <row r="3766" spans="1:12" x14ac:dyDescent="0.25">
      <c r="A3766" s="16"/>
      <c r="D3766" s="16"/>
      <c r="F3766" s="16"/>
      <c r="G3766" s="16"/>
      <c r="H3766" s="24"/>
      <c r="I3766" s="24"/>
      <c r="L3766"/>
    </row>
    <row r="3767" spans="1:12" x14ac:dyDescent="0.25">
      <c r="A3767" s="16"/>
      <c r="D3767" s="16"/>
      <c r="F3767" s="16"/>
      <c r="G3767" s="16"/>
      <c r="H3767" s="24"/>
      <c r="I3767" s="24"/>
      <c r="L3767"/>
    </row>
    <row r="3768" spans="1:12" x14ac:dyDescent="0.25">
      <c r="A3768" s="16"/>
      <c r="D3768" s="16"/>
      <c r="F3768" s="16"/>
      <c r="G3768" s="16"/>
      <c r="H3768" s="24"/>
      <c r="I3768" s="24"/>
      <c r="L3768"/>
    </row>
    <row r="3769" spans="1:12" x14ac:dyDescent="0.25">
      <c r="A3769" s="16"/>
      <c r="D3769" s="16"/>
      <c r="F3769" s="16"/>
      <c r="G3769" s="16"/>
      <c r="H3769" s="24"/>
      <c r="I3769" s="24"/>
      <c r="L3769"/>
    </row>
    <row r="3770" spans="1:12" x14ac:dyDescent="0.25">
      <c r="A3770" s="16"/>
      <c r="D3770" s="16"/>
      <c r="F3770" s="16"/>
      <c r="G3770" s="16"/>
      <c r="H3770" s="24"/>
      <c r="I3770" s="24"/>
      <c r="L3770"/>
    </row>
    <row r="3771" spans="1:12" x14ac:dyDescent="0.25">
      <c r="A3771" s="16"/>
      <c r="D3771" s="16"/>
      <c r="F3771" s="16"/>
      <c r="G3771" s="16"/>
      <c r="H3771" s="24"/>
      <c r="I3771" s="24"/>
      <c r="L3771"/>
    </row>
    <row r="3772" spans="1:12" x14ac:dyDescent="0.25">
      <c r="A3772" s="16"/>
      <c r="D3772" s="16"/>
      <c r="F3772" s="16"/>
      <c r="G3772" s="16"/>
      <c r="H3772" s="24"/>
      <c r="I3772" s="24"/>
      <c r="L3772"/>
    </row>
    <row r="3773" spans="1:12" x14ac:dyDescent="0.25">
      <c r="A3773" s="16"/>
      <c r="D3773" s="16"/>
      <c r="F3773" s="16"/>
      <c r="G3773" s="16"/>
      <c r="H3773" s="24"/>
      <c r="I3773" s="24"/>
      <c r="L3773"/>
    </row>
    <row r="3774" spans="1:12" x14ac:dyDescent="0.25">
      <c r="A3774" s="16"/>
      <c r="D3774" s="16"/>
      <c r="F3774" s="16"/>
      <c r="G3774" s="16"/>
      <c r="H3774" s="24"/>
      <c r="I3774" s="24"/>
      <c r="L3774"/>
    </row>
    <row r="3775" spans="1:12" x14ac:dyDescent="0.25">
      <c r="A3775" s="16"/>
      <c r="D3775" s="16"/>
      <c r="F3775" s="16"/>
      <c r="G3775" s="16"/>
      <c r="H3775" s="24"/>
      <c r="I3775" s="24"/>
      <c r="L3775"/>
    </row>
    <row r="3776" spans="1:12" x14ac:dyDescent="0.25">
      <c r="A3776" s="16"/>
      <c r="D3776" s="16"/>
      <c r="F3776" s="16"/>
      <c r="G3776" s="16"/>
      <c r="H3776" s="24"/>
      <c r="I3776" s="24"/>
      <c r="L3776"/>
    </row>
    <row r="3777" spans="1:12" x14ac:dyDescent="0.25">
      <c r="A3777" s="16"/>
      <c r="D3777" s="16"/>
      <c r="F3777" s="16"/>
      <c r="G3777" s="16"/>
      <c r="H3777" s="24"/>
      <c r="I3777" s="24"/>
      <c r="L3777"/>
    </row>
    <row r="3778" spans="1:12" x14ac:dyDescent="0.25">
      <c r="A3778" s="16"/>
      <c r="D3778" s="16"/>
      <c r="F3778" s="16"/>
      <c r="G3778" s="16"/>
      <c r="H3778" s="24"/>
      <c r="I3778" s="24"/>
      <c r="L3778"/>
    </row>
    <row r="3779" spans="1:12" x14ac:dyDescent="0.25">
      <c r="A3779" s="16"/>
      <c r="D3779" s="16"/>
      <c r="F3779" s="16"/>
      <c r="G3779" s="16"/>
      <c r="H3779" s="24"/>
      <c r="I3779" s="24"/>
      <c r="L3779"/>
    </row>
    <row r="3780" spans="1:12" x14ac:dyDescent="0.25">
      <c r="A3780" s="16"/>
      <c r="D3780" s="16"/>
      <c r="F3780" s="16"/>
      <c r="G3780" s="16"/>
      <c r="H3780" s="24"/>
      <c r="I3780" s="24"/>
      <c r="L3780"/>
    </row>
    <row r="3781" spans="1:12" x14ac:dyDescent="0.25">
      <c r="A3781" s="16"/>
      <c r="D3781" s="16"/>
      <c r="F3781" s="16"/>
      <c r="G3781" s="16"/>
      <c r="H3781" s="24"/>
      <c r="I3781" s="24"/>
      <c r="L3781"/>
    </row>
    <row r="3782" spans="1:12" x14ac:dyDescent="0.25">
      <c r="A3782" s="16"/>
      <c r="D3782" s="16"/>
      <c r="F3782" s="16"/>
      <c r="G3782" s="16"/>
      <c r="H3782" s="24"/>
      <c r="I3782" s="24"/>
      <c r="L3782"/>
    </row>
    <row r="3783" spans="1:12" x14ac:dyDescent="0.25">
      <c r="A3783" s="16"/>
      <c r="D3783" s="16"/>
      <c r="F3783" s="16"/>
      <c r="G3783" s="16"/>
      <c r="H3783" s="24"/>
      <c r="I3783" s="24"/>
      <c r="L3783"/>
    </row>
    <row r="3784" spans="1:12" x14ac:dyDescent="0.25">
      <c r="A3784" s="16"/>
      <c r="D3784" s="16"/>
      <c r="F3784" s="16"/>
      <c r="G3784" s="16"/>
      <c r="H3784" s="24"/>
      <c r="I3784" s="24"/>
      <c r="L3784"/>
    </row>
    <row r="3785" spans="1:12" x14ac:dyDescent="0.25">
      <c r="A3785" s="16"/>
      <c r="D3785" s="16"/>
      <c r="F3785" s="16"/>
      <c r="G3785" s="16"/>
      <c r="H3785" s="24"/>
      <c r="I3785" s="24"/>
      <c r="L3785"/>
    </row>
    <row r="3786" spans="1:12" x14ac:dyDescent="0.25">
      <c r="A3786" s="16"/>
      <c r="D3786" s="16"/>
      <c r="F3786" s="16"/>
      <c r="G3786" s="16"/>
      <c r="H3786" s="24"/>
      <c r="I3786" s="24"/>
      <c r="L3786"/>
    </row>
    <row r="3787" spans="1:12" x14ac:dyDescent="0.25">
      <c r="A3787" s="16"/>
      <c r="D3787" s="16"/>
      <c r="F3787" s="16"/>
      <c r="G3787" s="16"/>
      <c r="H3787" s="24"/>
      <c r="I3787" s="24"/>
      <c r="L3787"/>
    </row>
    <row r="3788" spans="1:12" x14ac:dyDescent="0.25">
      <c r="A3788" s="16"/>
      <c r="D3788" s="16"/>
      <c r="F3788" s="16"/>
      <c r="G3788" s="16"/>
      <c r="H3788" s="24"/>
      <c r="I3788" s="24"/>
      <c r="L3788"/>
    </row>
    <row r="3789" spans="1:12" x14ac:dyDescent="0.25">
      <c r="A3789" s="16"/>
      <c r="D3789" s="16"/>
      <c r="F3789" s="16"/>
      <c r="G3789" s="16"/>
      <c r="H3789" s="24"/>
      <c r="I3789" s="24"/>
      <c r="L3789"/>
    </row>
    <row r="3790" spans="1:12" x14ac:dyDescent="0.25">
      <c r="A3790" s="16"/>
      <c r="D3790" s="16"/>
      <c r="F3790" s="16"/>
      <c r="G3790" s="16"/>
      <c r="H3790" s="24"/>
      <c r="I3790" s="24"/>
      <c r="L3790"/>
    </row>
    <row r="3791" spans="1:12" x14ac:dyDescent="0.25">
      <c r="A3791" s="16"/>
      <c r="D3791" s="16"/>
      <c r="F3791" s="16"/>
      <c r="G3791" s="16"/>
      <c r="H3791" s="24"/>
      <c r="I3791" s="24"/>
      <c r="L3791"/>
    </row>
    <row r="3792" spans="1:12" x14ac:dyDescent="0.25">
      <c r="A3792" s="16"/>
      <c r="D3792" s="16"/>
      <c r="F3792" s="16"/>
      <c r="G3792" s="16"/>
      <c r="H3792" s="24"/>
      <c r="I3792" s="24"/>
      <c r="L3792"/>
    </row>
    <row r="3793" spans="1:12" x14ac:dyDescent="0.25">
      <c r="A3793" s="16"/>
      <c r="D3793" s="16"/>
      <c r="F3793" s="16"/>
      <c r="G3793" s="16"/>
      <c r="H3793" s="24"/>
      <c r="I3793" s="24"/>
      <c r="L3793"/>
    </row>
    <row r="3794" spans="1:12" x14ac:dyDescent="0.25">
      <c r="A3794" s="16"/>
      <c r="D3794" s="16"/>
      <c r="F3794" s="16"/>
      <c r="G3794" s="16"/>
      <c r="H3794" s="24"/>
      <c r="I3794" s="24"/>
      <c r="L3794"/>
    </row>
    <row r="3795" spans="1:12" x14ac:dyDescent="0.25">
      <c r="A3795" s="16"/>
      <c r="D3795" s="16"/>
      <c r="F3795" s="16"/>
      <c r="G3795" s="16"/>
      <c r="H3795" s="24"/>
      <c r="I3795" s="24"/>
      <c r="L3795"/>
    </row>
    <row r="3796" spans="1:12" x14ac:dyDescent="0.25">
      <c r="A3796" s="16"/>
      <c r="D3796" s="16"/>
      <c r="F3796" s="16"/>
      <c r="G3796" s="16"/>
      <c r="H3796" s="24"/>
      <c r="I3796" s="24"/>
      <c r="L3796"/>
    </row>
    <row r="3797" spans="1:12" x14ac:dyDescent="0.25">
      <c r="A3797" s="16"/>
      <c r="D3797" s="16"/>
      <c r="F3797" s="16"/>
      <c r="G3797" s="16"/>
      <c r="H3797" s="24"/>
      <c r="I3797" s="24"/>
      <c r="L3797"/>
    </row>
    <row r="3798" spans="1:12" x14ac:dyDescent="0.25">
      <c r="A3798" s="16"/>
      <c r="D3798" s="16"/>
      <c r="F3798" s="16"/>
      <c r="G3798" s="16"/>
      <c r="H3798" s="24"/>
      <c r="I3798" s="24"/>
      <c r="L3798"/>
    </row>
    <row r="3799" spans="1:12" x14ac:dyDescent="0.25">
      <c r="A3799" s="16"/>
      <c r="D3799" s="16"/>
      <c r="F3799" s="16"/>
      <c r="G3799" s="16"/>
      <c r="H3799" s="24"/>
      <c r="I3799" s="24"/>
      <c r="L3799"/>
    </row>
    <row r="3800" spans="1:12" x14ac:dyDescent="0.25">
      <c r="A3800" s="16"/>
      <c r="D3800" s="16"/>
      <c r="F3800" s="16"/>
      <c r="G3800" s="16"/>
      <c r="H3800" s="24"/>
      <c r="I3800" s="24"/>
      <c r="L3800"/>
    </row>
    <row r="3801" spans="1:12" x14ac:dyDescent="0.25">
      <c r="A3801" s="16"/>
      <c r="D3801" s="16"/>
      <c r="F3801" s="16"/>
      <c r="G3801" s="16"/>
      <c r="H3801" s="24"/>
      <c r="I3801" s="24"/>
      <c r="L3801"/>
    </row>
    <row r="3802" spans="1:12" x14ac:dyDescent="0.25">
      <c r="A3802" s="16"/>
      <c r="D3802" s="16"/>
      <c r="F3802" s="16"/>
      <c r="G3802" s="16"/>
      <c r="H3802" s="24"/>
      <c r="I3802" s="24"/>
      <c r="L3802"/>
    </row>
    <row r="3803" spans="1:12" x14ac:dyDescent="0.25">
      <c r="A3803" s="16"/>
      <c r="D3803" s="16"/>
      <c r="F3803" s="16"/>
      <c r="G3803" s="16"/>
      <c r="H3803" s="24"/>
      <c r="I3803" s="24"/>
      <c r="L3803"/>
    </row>
    <row r="3804" spans="1:12" x14ac:dyDescent="0.25">
      <c r="A3804" s="16"/>
      <c r="D3804" s="16"/>
      <c r="F3804" s="16"/>
      <c r="G3804" s="16"/>
      <c r="H3804" s="24"/>
      <c r="I3804" s="24"/>
      <c r="L3804"/>
    </row>
    <row r="3805" spans="1:12" x14ac:dyDescent="0.25">
      <c r="A3805" s="16"/>
      <c r="D3805" s="16"/>
      <c r="F3805" s="16"/>
      <c r="G3805" s="16"/>
      <c r="H3805" s="24"/>
      <c r="I3805" s="24"/>
      <c r="L3805"/>
    </row>
    <row r="3806" spans="1:12" x14ac:dyDescent="0.25">
      <c r="A3806" s="16"/>
      <c r="D3806" s="16"/>
      <c r="F3806" s="16"/>
      <c r="G3806" s="16"/>
      <c r="H3806" s="24"/>
      <c r="I3806" s="24"/>
      <c r="L3806"/>
    </row>
    <row r="3807" spans="1:12" x14ac:dyDescent="0.25">
      <c r="A3807" s="16"/>
      <c r="D3807" s="16"/>
      <c r="F3807" s="16"/>
      <c r="G3807" s="16"/>
      <c r="H3807" s="24"/>
      <c r="I3807" s="24"/>
      <c r="L3807"/>
    </row>
    <row r="3808" spans="1:12" x14ac:dyDescent="0.25">
      <c r="A3808" s="16"/>
      <c r="D3808" s="16"/>
      <c r="F3808" s="16"/>
      <c r="G3808" s="16"/>
      <c r="H3808" s="24"/>
      <c r="I3808" s="24"/>
      <c r="L3808"/>
    </row>
    <row r="3809" spans="1:12" x14ac:dyDescent="0.25">
      <c r="A3809" s="16"/>
      <c r="D3809" s="16"/>
      <c r="F3809" s="16"/>
      <c r="G3809" s="16"/>
      <c r="H3809" s="24"/>
      <c r="I3809" s="24"/>
      <c r="L3809"/>
    </row>
    <row r="3810" spans="1:12" x14ac:dyDescent="0.25">
      <c r="A3810" s="16"/>
      <c r="D3810" s="16"/>
      <c r="F3810" s="16"/>
      <c r="G3810" s="16"/>
      <c r="H3810" s="24"/>
      <c r="I3810" s="24"/>
      <c r="L3810"/>
    </row>
    <row r="3811" spans="1:12" x14ac:dyDescent="0.25">
      <c r="A3811" s="16"/>
      <c r="D3811" s="16"/>
      <c r="F3811" s="16"/>
      <c r="G3811" s="16"/>
      <c r="H3811" s="24"/>
      <c r="I3811" s="24"/>
      <c r="L3811"/>
    </row>
    <row r="3812" spans="1:12" x14ac:dyDescent="0.25">
      <c r="A3812" s="16"/>
      <c r="D3812" s="16"/>
      <c r="F3812" s="16"/>
      <c r="G3812" s="16"/>
      <c r="H3812" s="24"/>
      <c r="I3812" s="24"/>
      <c r="L3812"/>
    </row>
    <row r="3813" spans="1:12" x14ac:dyDescent="0.25">
      <c r="A3813" s="16"/>
      <c r="D3813" s="16"/>
      <c r="F3813" s="16"/>
      <c r="G3813" s="16"/>
      <c r="H3813" s="24"/>
      <c r="I3813" s="24"/>
      <c r="L3813"/>
    </row>
    <row r="3814" spans="1:12" x14ac:dyDescent="0.25">
      <c r="A3814" s="16"/>
      <c r="D3814" s="16"/>
      <c r="F3814" s="16"/>
      <c r="G3814" s="16"/>
      <c r="H3814" s="24"/>
      <c r="I3814" s="24"/>
      <c r="L3814"/>
    </row>
    <row r="3815" spans="1:12" x14ac:dyDescent="0.25">
      <c r="A3815" s="16"/>
      <c r="D3815" s="16"/>
      <c r="F3815" s="16"/>
      <c r="G3815" s="16"/>
      <c r="H3815" s="24"/>
      <c r="I3815" s="24"/>
      <c r="L3815"/>
    </row>
    <row r="3816" spans="1:12" x14ac:dyDescent="0.25">
      <c r="A3816" s="16"/>
      <c r="D3816" s="16"/>
      <c r="F3816" s="16"/>
      <c r="G3816" s="16"/>
      <c r="H3816" s="24"/>
      <c r="I3816" s="24"/>
      <c r="L3816"/>
    </row>
    <row r="3817" spans="1:12" x14ac:dyDescent="0.25">
      <c r="A3817" s="16"/>
      <c r="D3817" s="16"/>
      <c r="F3817" s="16"/>
      <c r="G3817" s="16"/>
      <c r="H3817" s="24"/>
      <c r="I3817" s="24"/>
      <c r="L3817"/>
    </row>
    <row r="3818" spans="1:12" x14ac:dyDescent="0.25">
      <c r="A3818" s="16"/>
      <c r="D3818" s="16"/>
      <c r="F3818" s="16"/>
      <c r="G3818" s="16"/>
      <c r="H3818" s="24"/>
      <c r="I3818" s="24"/>
      <c r="L3818"/>
    </row>
    <row r="3819" spans="1:12" x14ac:dyDescent="0.25">
      <c r="A3819" s="16"/>
      <c r="D3819" s="16"/>
      <c r="F3819" s="16"/>
      <c r="G3819" s="16"/>
      <c r="H3819" s="24"/>
      <c r="I3819" s="24"/>
      <c r="L3819"/>
    </row>
    <row r="3820" spans="1:12" x14ac:dyDescent="0.25">
      <c r="A3820" s="16"/>
      <c r="D3820" s="16"/>
      <c r="F3820" s="16"/>
      <c r="G3820" s="16"/>
      <c r="H3820" s="24"/>
      <c r="I3820" s="24"/>
      <c r="L3820"/>
    </row>
    <row r="3821" spans="1:12" x14ac:dyDescent="0.25">
      <c r="A3821" s="16"/>
      <c r="D3821" s="16"/>
      <c r="F3821" s="16"/>
      <c r="G3821" s="16"/>
      <c r="H3821" s="24"/>
      <c r="I3821" s="24"/>
      <c r="L3821"/>
    </row>
    <row r="3822" spans="1:12" x14ac:dyDescent="0.25">
      <c r="A3822" s="16"/>
      <c r="D3822" s="16"/>
      <c r="F3822" s="16"/>
      <c r="G3822" s="16"/>
      <c r="H3822" s="24"/>
      <c r="I3822" s="24"/>
      <c r="L3822"/>
    </row>
    <row r="3823" spans="1:12" x14ac:dyDescent="0.25">
      <c r="A3823" s="16"/>
      <c r="D3823" s="16"/>
      <c r="F3823" s="16"/>
      <c r="G3823" s="16"/>
      <c r="H3823" s="24"/>
      <c r="I3823" s="24"/>
      <c r="L3823"/>
    </row>
    <row r="3824" spans="1:12" x14ac:dyDescent="0.25">
      <c r="A3824" s="16"/>
      <c r="D3824" s="16"/>
      <c r="F3824" s="16"/>
      <c r="G3824" s="16"/>
      <c r="H3824" s="24"/>
      <c r="I3824" s="24"/>
      <c r="L3824"/>
    </row>
    <row r="3825" spans="1:12" x14ac:dyDescent="0.25">
      <c r="A3825" s="16"/>
      <c r="D3825" s="16"/>
      <c r="F3825" s="16"/>
      <c r="G3825" s="16"/>
      <c r="H3825" s="24"/>
      <c r="I3825" s="24"/>
      <c r="L3825"/>
    </row>
    <row r="3826" spans="1:12" x14ac:dyDescent="0.25">
      <c r="A3826" s="16"/>
      <c r="D3826" s="16"/>
      <c r="F3826" s="16"/>
      <c r="G3826" s="16"/>
      <c r="H3826" s="24"/>
      <c r="I3826" s="24"/>
      <c r="L3826"/>
    </row>
    <row r="3827" spans="1:12" x14ac:dyDescent="0.25">
      <c r="A3827" s="16"/>
      <c r="D3827" s="16"/>
      <c r="F3827" s="16"/>
      <c r="G3827" s="16"/>
      <c r="H3827" s="24"/>
      <c r="I3827" s="24"/>
      <c r="L3827"/>
    </row>
    <row r="3828" spans="1:12" x14ac:dyDescent="0.25">
      <c r="A3828" s="16"/>
      <c r="D3828" s="16"/>
      <c r="F3828" s="16"/>
      <c r="G3828" s="16"/>
      <c r="H3828" s="24"/>
      <c r="I3828" s="24"/>
      <c r="L3828"/>
    </row>
    <row r="3829" spans="1:12" x14ac:dyDescent="0.25">
      <c r="A3829" s="16"/>
      <c r="D3829" s="16"/>
      <c r="F3829" s="16"/>
      <c r="G3829" s="16"/>
      <c r="H3829" s="24"/>
      <c r="I3829" s="24"/>
      <c r="L3829"/>
    </row>
    <row r="3830" spans="1:12" x14ac:dyDescent="0.25">
      <c r="A3830" s="16"/>
      <c r="D3830" s="16"/>
      <c r="F3830" s="16"/>
      <c r="G3830" s="16"/>
      <c r="H3830" s="24"/>
      <c r="I3830" s="24"/>
      <c r="L3830"/>
    </row>
    <row r="3831" spans="1:12" x14ac:dyDescent="0.25">
      <c r="A3831" s="16"/>
      <c r="D3831" s="16"/>
      <c r="F3831" s="16"/>
      <c r="G3831" s="16"/>
      <c r="H3831" s="24"/>
      <c r="I3831" s="24"/>
      <c r="L3831"/>
    </row>
    <row r="3832" spans="1:12" x14ac:dyDescent="0.25">
      <c r="A3832" s="16"/>
      <c r="D3832" s="16"/>
      <c r="F3832" s="16"/>
      <c r="G3832" s="16"/>
      <c r="H3832" s="24"/>
      <c r="I3832" s="24"/>
      <c r="L3832"/>
    </row>
    <row r="3833" spans="1:12" x14ac:dyDescent="0.25">
      <c r="A3833" s="16"/>
      <c r="D3833" s="16"/>
      <c r="F3833" s="16"/>
      <c r="G3833" s="16"/>
      <c r="H3833" s="24"/>
      <c r="I3833" s="24"/>
      <c r="L3833"/>
    </row>
    <row r="3834" spans="1:12" x14ac:dyDescent="0.25">
      <c r="A3834" s="16"/>
      <c r="D3834" s="16"/>
      <c r="F3834" s="16"/>
      <c r="G3834" s="16"/>
      <c r="H3834" s="24"/>
      <c r="I3834" s="24"/>
      <c r="L3834"/>
    </row>
    <row r="3835" spans="1:12" x14ac:dyDescent="0.25">
      <c r="A3835" s="16"/>
      <c r="D3835" s="16"/>
      <c r="F3835" s="16"/>
      <c r="G3835" s="16"/>
      <c r="H3835" s="24"/>
      <c r="I3835" s="24"/>
      <c r="L3835"/>
    </row>
    <row r="3836" spans="1:12" x14ac:dyDescent="0.25">
      <c r="A3836" s="16"/>
      <c r="D3836" s="16"/>
      <c r="F3836" s="16"/>
      <c r="G3836" s="16"/>
      <c r="H3836" s="24"/>
      <c r="I3836" s="24"/>
      <c r="L3836"/>
    </row>
    <row r="3837" spans="1:12" x14ac:dyDescent="0.25">
      <c r="A3837" s="16"/>
      <c r="D3837" s="16"/>
      <c r="F3837" s="16"/>
      <c r="G3837" s="16"/>
      <c r="H3837" s="24"/>
      <c r="I3837" s="24"/>
      <c r="L3837"/>
    </row>
    <row r="3838" spans="1:12" x14ac:dyDescent="0.25">
      <c r="A3838" s="16"/>
      <c r="D3838" s="16"/>
      <c r="F3838" s="16"/>
      <c r="G3838" s="16"/>
      <c r="H3838" s="24"/>
      <c r="I3838" s="24"/>
      <c r="L3838"/>
    </row>
    <row r="3839" spans="1:12" x14ac:dyDescent="0.25">
      <c r="A3839" s="16"/>
      <c r="D3839" s="16"/>
      <c r="F3839" s="16"/>
      <c r="G3839" s="16"/>
      <c r="H3839" s="24"/>
      <c r="I3839" s="24"/>
      <c r="L3839"/>
    </row>
    <row r="3840" spans="1:12" x14ac:dyDescent="0.25">
      <c r="A3840" s="16"/>
      <c r="D3840" s="16"/>
      <c r="F3840" s="16"/>
      <c r="G3840" s="16"/>
      <c r="H3840" s="24"/>
      <c r="I3840" s="24"/>
      <c r="L3840"/>
    </row>
    <row r="3841" spans="1:12" x14ac:dyDescent="0.25">
      <c r="A3841" s="16"/>
      <c r="D3841" s="16"/>
      <c r="F3841" s="16"/>
      <c r="G3841" s="16"/>
      <c r="H3841" s="24"/>
      <c r="I3841" s="24"/>
      <c r="L3841"/>
    </row>
    <row r="3842" spans="1:12" x14ac:dyDescent="0.25">
      <c r="A3842" s="16"/>
      <c r="D3842" s="16"/>
      <c r="F3842" s="16"/>
      <c r="G3842" s="16"/>
      <c r="H3842" s="24"/>
      <c r="I3842" s="24"/>
      <c r="L3842"/>
    </row>
    <row r="3843" spans="1:12" x14ac:dyDescent="0.25">
      <c r="A3843" s="16"/>
      <c r="D3843" s="16"/>
      <c r="F3843" s="16"/>
      <c r="G3843" s="16"/>
      <c r="H3843" s="24"/>
      <c r="I3843" s="24"/>
      <c r="L3843"/>
    </row>
    <row r="3844" spans="1:12" x14ac:dyDescent="0.25">
      <c r="A3844" s="16"/>
      <c r="D3844" s="16"/>
      <c r="F3844" s="16"/>
      <c r="G3844" s="16"/>
      <c r="H3844" s="24"/>
      <c r="I3844" s="24"/>
      <c r="L3844"/>
    </row>
    <row r="3845" spans="1:12" x14ac:dyDescent="0.25">
      <c r="A3845" s="16"/>
      <c r="D3845" s="16"/>
      <c r="F3845" s="16"/>
      <c r="G3845" s="16"/>
      <c r="H3845" s="24"/>
      <c r="I3845" s="24"/>
      <c r="L3845"/>
    </row>
    <row r="3846" spans="1:12" x14ac:dyDescent="0.25">
      <c r="A3846" s="16"/>
      <c r="D3846" s="16"/>
      <c r="F3846" s="16"/>
      <c r="G3846" s="16"/>
      <c r="H3846" s="24"/>
      <c r="I3846" s="24"/>
      <c r="L3846"/>
    </row>
    <row r="3847" spans="1:12" x14ac:dyDescent="0.25">
      <c r="A3847" s="16"/>
      <c r="D3847" s="16"/>
      <c r="F3847" s="16"/>
      <c r="G3847" s="16"/>
      <c r="H3847" s="24"/>
      <c r="I3847" s="24"/>
      <c r="L3847"/>
    </row>
    <row r="3848" spans="1:12" x14ac:dyDescent="0.25">
      <c r="A3848" s="16"/>
      <c r="D3848" s="16"/>
      <c r="F3848" s="16"/>
      <c r="G3848" s="16"/>
      <c r="H3848" s="24"/>
      <c r="I3848" s="24"/>
      <c r="L3848"/>
    </row>
    <row r="3849" spans="1:12" x14ac:dyDescent="0.25">
      <c r="A3849" s="16"/>
      <c r="D3849" s="16"/>
      <c r="F3849" s="16"/>
      <c r="G3849" s="16"/>
      <c r="H3849" s="24"/>
      <c r="I3849" s="24"/>
      <c r="L3849"/>
    </row>
    <row r="3850" spans="1:12" x14ac:dyDescent="0.25">
      <c r="A3850" s="16"/>
      <c r="D3850" s="16"/>
      <c r="F3850" s="16"/>
      <c r="G3850" s="16"/>
      <c r="H3850" s="24"/>
      <c r="I3850" s="24"/>
      <c r="L3850"/>
    </row>
    <row r="3851" spans="1:12" x14ac:dyDescent="0.25">
      <c r="A3851" s="16"/>
      <c r="D3851" s="16"/>
      <c r="F3851" s="16"/>
      <c r="G3851" s="16"/>
      <c r="H3851" s="24"/>
      <c r="I3851" s="24"/>
      <c r="L3851"/>
    </row>
    <row r="3852" spans="1:12" x14ac:dyDescent="0.25">
      <c r="A3852" s="16"/>
      <c r="D3852" s="16"/>
      <c r="F3852" s="16"/>
      <c r="G3852" s="16"/>
      <c r="H3852" s="24"/>
      <c r="I3852" s="24"/>
      <c r="L3852"/>
    </row>
    <row r="3853" spans="1:12" x14ac:dyDescent="0.25">
      <c r="A3853" s="16"/>
      <c r="D3853" s="16"/>
      <c r="F3853" s="16"/>
      <c r="G3853" s="16"/>
      <c r="H3853" s="24"/>
      <c r="I3853" s="24"/>
      <c r="L3853"/>
    </row>
    <row r="3854" spans="1:12" x14ac:dyDescent="0.25">
      <c r="A3854" s="16"/>
      <c r="D3854" s="16"/>
      <c r="F3854" s="16"/>
      <c r="G3854" s="16"/>
      <c r="H3854" s="24"/>
      <c r="I3854" s="24"/>
      <c r="L3854"/>
    </row>
    <row r="3855" spans="1:12" x14ac:dyDescent="0.25">
      <c r="A3855" s="16"/>
      <c r="D3855" s="16"/>
      <c r="F3855" s="16"/>
      <c r="G3855" s="16"/>
      <c r="H3855" s="24"/>
      <c r="I3855" s="24"/>
      <c r="L3855"/>
    </row>
    <row r="3856" spans="1:12" x14ac:dyDescent="0.25">
      <c r="A3856" s="16"/>
      <c r="D3856" s="16"/>
      <c r="F3856" s="16"/>
      <c r="G3856" s="16"/>
      <c r="H3856" s="24"/>
      <c r="I3856" s="24"/>
      <c r="L3856"/>
    </row>
    <row r="3857" spans="1:12" x14ac:dyDescent="0.25">
      <c r="A3857" s="16"/>
      <c r="D3857" s="16"/>
      <c r="F3857" s="16"/>
      <c r="G3857" s="16"/>
      <c r="H3857" s="24"/>
      <c r="I3857" s="24"/>
      <c r="L3857"/>
    </row>
    <row r="3858" spans="1:12" x14ac:dyDescent="0.25">
      <c r="A3858" s="16"/>
      <c r="D3858" s="16"/>
      <c r="F3858" s="16"/>
      <c r="G3858" s="16"/>
      <c r="H3858" s="24"/>
      <c r="I3858" s="24"/>
      <c r="L3858"/>
    </row>
    <row r="3859" spans="1:12" x14ac:dyDescent="0.25">
      <c r="A3859" s="16"/>
      <c r="D3859" s="16"/>
      <c r="F3859" s="16"/>
      <c r="G3859" s="16"/>
      <c r="H3859" s="24"/>
      <c r="I3859" s="24"/>
      <c r="L3859"/>
    </row>
    <row r="3860" spans="1:12" x14ac:dyDescent="0.25">
      <c r="A3860" s="16"/>
      <c r="D3860" s="16"/>
      <c r="F3860" s="16"/>
      <c r="G3860" s="16"/>
      <c r="H3860" s="24"/>
      <c r="I3860" s="24"/>
      <c r="L3860"/>
    </row>
    <row r="3861" spans="1:12" x14ac:dyDescent="0.25">
      <c r="A3861" s="16"/>
      <c r="D3861" s="16"/>
      <c r="F3861" s="16"/>
      <c r="G3861" s="16"/>
      <c r="H3861" s="24"/>
      <c r="I3861" s="24"/>
      <c r="L3861"/>
    </row>
    <row r="3862" spans="1:12" x14ac:dyDescent="0.25">
      <c r="A3862" s="16"/>
      <c r="D3862" s="16"/>
      <c r="F3862" s="16"/>
      <c r="G3862" s="16"/>
      <c r="H3862" s="24"/>
      <c r="I3862" s="24"/>
      <c r="L3862"/>
    </row>
    <row r="3863" spans="1:12" x14ac:dyDescent="0.25">
      <c r="A3863" s="16"/>
      <c r="D3863" s="16"/>
      <c r="F3863" s="16"/>
      <c r="G3863" s="16"/>
      <c r="H3863" s="24"/>
      <c r="I3863" s="24"/>
      <c r="L3863"/>
    </row>
    <row r="3864" spans="1:12" x14ac:dyDescent="0.25">
      <c r="A3864" s="16"/>
      <c r="D3864" s="16"/>
      <c r="F3864" s="16"/>
      <c r="G3864" s="16"/>
      <c r="H3864" s="24"/>
      <c r="I3864" s="24"/>
      <c r="L3864"/>
    </row>
    <row r="3865" spans="1:12" x14ac:dyDescent="0.25">
      <c r="A3865" s="16"/>
      <c r="D3865" s="16"/>
      <c r="F3865" s="16"/>
      <c r="G3865" s="16"/>
      <c r="H3865" s="24"/>
      <c r="I3865" s="24"/>
      <c r="L3865"/>
    </row>
    <row r="3866" spans="1:12" x14ac:dyDescent="0.25">
      <c r="A3866" s="16"/>
      <c r="D3866" s="16"/>
      <c r="F3866" s="16"/>
      <c r="G3866" s="16"/>
      <c r="H3866" s="24"/>
      <c r="I3866" s="24"/>
      <c r="L3866"/>
    </row>
    <row r="3867" spans="1:12" x14ac:dyDescent="0.25">
      <c r="A3867" s="16"/>
      <c r="D3867" s="16"/>
      <c r="F3867" s="16"/>
      <c r="G3867" s="16"/>
      <c r="H3867" s="24"/>
      <c r="I3867" s="24"/>
      <c r="L3867"/>
    </row>
    <row r="3868" spans="1:12" x14ac:dyDescent="0.25">
      <c r="A3868" s="16"/>
      <c r="D3868" s="16"/>
      <c r="F3868" s="16"/>
      <c r="G3868" s="16"/>
      <c r="H3868" s="24"/>
      <c r="I3868" s="24"/>
      <c r="L3868"/>
    </row>
    <row r="3869" spans="1:12" x14ac:dyDescent="0.25">
      <c r="A3869" s="16"/>
      <c r="D3869" s="16"/>
      <c r="F3869" s="16"/>
      <c r="G3869" s="16"/>
      <c r="H3869" s="24"/>
      <c r="I3869" s="24"/>
      <c r="L3869"/>
    </row>
    <row r="3870" spans="1:12" x14ac:dyDescent="0.25">
      <c r="A3870" s="16"/>
      <c r="D3870" s="16"/>
      <c r="F3870" s="16"/>
      <c r="G3870" s="16"/>
      <c r="H3870" s="24"/>
      <c r="I3870" s="24"/>
      <c r="L3870"/>
    </row>
    <row r="3871" spans="1:12" x14ac:dyDescent="0.25">
      <c r="A3871" s="16"/>
      <c r="D3871" s="16"/>
      <c r="F3871" s="16"/>
      <c r="G3871" s="16"/>
      <c r="H3871" s="24"/>
      <c r="I3871" s="24"/>
      <c r="L3871"/>
    </row>
    <row r="3872" spans="1:12" x14ac:dyDescent="0.25">
      <c r="A3872" s="16"/>
      <c r="D3872" s="16"/>
      <c r="F3872" s="16"/>
      <c r="G3872" s="16"/>
      <c r="H3872" s="24"/>
      <c r="I3872" s="24"/>
      <c r="L3872"/>
    </row>
    <row r="3873" spans="1:12" x14ac:dyDescent="0.25">
      <c r="A3873" s="16"/>
      <c r="D3873" s="16"/>
      <c r="F3873" s="16"/>
      <c r="G3873" s="16"/>
      <c r="H3873" s="24"/>
      <c r="I3873" s="24"/>
      <c r="L3873"/>
    </row>
    <row r="3874" spans="1:12" x14ac:dyDescent="0.25">
      <c r="A3874" s="16"/>
      <c r="D3874" s="16"/>
      <c r="F3874" s="16"/>
      <c r="G3874" s="16"/>
      <c r="H3874" s="24"/>
      <c r="I3874" s="24"/>
      <c r="L3874"/>
    </row>
    <row r="3875" spans="1:12" x14ac:dyDescent="0.25">
      <c r="A3875" s="16"/>
      <c r="D3875" s="16"/>
      <c r="F3875" s="16"/>
      <c r="G3875" s="16"/>
      <c r="H3875" s="24"/>
      <c r="I3875" s="24"/>
      <c r="L3875"/>
    </row>
    <row r="3876" spans="1:12" x14ac:dyDescent="0.25">
      <c r="A3876" s="16"/>
      <c r="D3876" s="16"/>
      <c r="F3876" s="16"/>
      <c r="G3876" s="16"/>
      <c r="H3876" s="24"/>
      <c r="I3876" s="24"/>
      <c r="L3876"/>
    </row>
    <row r="3877" spans="1:12" x14ac:dyDescent="0.25">
      <c r="A3877" s="16"/>
      <c r="D3877" s="16"/>
      <c r="F3877" s="16"/>
      <c r="G3877" s="16"/>
      <c r="H3877" s="24"/>
      <c r="I3877" s="24"/>
      <c r="L3877"/>
    </row>
    <row r="3878" spans="1:12" x14ac:dyDescent="0.25">
      <c r="A3878" s="16"/>
      <c r="D3878" s="16"/>
      <c r="F3878" s="16"/>
      <c r="G3878" s="16"/>
      <c r="H3878" s="24"/>
      <c r="I3878" s="24"/>
      <c r="L3878"/>
    </row>
    <row r="3879" spans="1:12" x14ac:dyDescent="0.25">
      <c r="A3879" s="16"/>
      <c r="D3879" s="16"/>
      <c r="F3879" s="16"/>
      <c r="G3879" s="16"/>
      <c r="H3879" s="24"/>
      <c r="I3879" s="24"/>
      <c r="L3879"/>
    </row>
    <row r="3880" spans="1:12" x14ac:dyDescent="0.25">
      <c r="A3880" s="16"/>
      <c r="D3880" s="16"/>
      <c r="F3880" s="16"/>
      <c r="G3880" s="16"/>
      <c r="H3880" s="24"/>
      <c r="I3880" s="24"/>
      <c r="L3880"/>
    </row>
    <row r="3881" spans="1:12" x14ac:dyDescent="0.25">
      <c r="A3881" s="16"/>
      <c r="D3881" s="16"/>
      <c r="F3881" s="16"/>
      <c r="G3881" s="16"/>
      <c r="H3881" s="24"/>
      <c r="I3881" s="24"/>
      <c r="L3881"/>
    </row>
    <row r="3882" spans="1:12" x14ac:dyDescent="0.25">
      <c r="A3882" s="16"/>
      <c r="D3882" s="16"/>
      <c r="F3882" s="16"/>
      <c r="G3882" s="16"/>
      <c r="H3882" s="24"/>
      <c r="I3882" s="24"/>
      <c r="L3882"/>
    </row>
    <row r="3883" spans="1:12" x14ac:dyDescent="0.25">
      <c r="A3883" s="16"/>
      <c r="D3883" s="16"/>
      <c r="F3883" s="16"/>
      <c r="G3883" s="16"/>
      <c r="H3883" s="24"/>
      <c r="I3883" s="24"/>
      <c r="L3883"/>
    </row>
    <row r="3884" spans="1:12" x14ac:dyDescent="0.25">
      <c r="A3884" s="16"/>
      <c r="D3884" s="16"/>
      <c r="F3884" s="16"/>
      <c r="G3884" s="16"/>
      <c r="H3884" s="24"/>
      <c r="I3884" s="24"/>
      <c r="L3884"/>
    </row>
    <row r="3885" spans="1:12" x14ac:dyDescent="0.25">
      <c r="A3885" s="16"/>
      <c r="D3885" s="16"/>
      <c r="F3885" s="16"/>
      <c r="G3885" s="16"/>
      <c r="H3885" s="24"/>
      <c r="I3885" s="24"/>
      <c r="L3885"/>
    </row>
    <row r="3886" spans="1:12" x14ac:dyDescent="0.25">
      <c r="A3886" s="16"/>
      <c r="D3886" s="16"/>
      <c r="F3886" s="16"/>
      <c r="G3886" s="16"/>
      <c r="H3886" s="24"/>
      <c r="I3886" s="24"/>
      <c r="L3886"/>
    </row>
    <row r="3887" spans="1:12" x14ac:dyDescent="0.25">
      <c r="A3887" s="16"/>
      <c r="D3887" s="16"/>
      <c r="F3887" s="16"/>
      <c r="G3887" s="16"/>
      <c r="H3887" s="24"/>
      <c r="I3887" s="24"/>
      <c r="L3887"/>
    </row>
    <row r="3888" spans="1:12" x14ac:dyDescent="0.25">
      <c r="A3888" s="16"/>
      <c r="D3888" s="16"/>
      <c r="F3888" s="16"/>
      <c r="G3888" s="16"/>
      <c r="H3888" s="24"/>
      <c r="I3888" s="24"/>
      <c r="L3888"/>
    </row>
    <row r="3889" spans="1:12" x14ac:dyDescent="0.25">
      <c r="A3889" s="16"/>
      <c r="D3889" s="16"/>
      <c r="F3889" s="16"/>
      <c r="G3889" s="16"/>
      <c r="H3889" s="24"/>
      <c r="I3889" s="24"/>
      <c r="L3889"/>
    </row>
    <row r="3890" spans="1:12" x14ac:dyDescent="0.25">
      <c r="A3890" s="16"/>
      <c r="D3890" s="16"/>
      <c r="F3890" s="16"/>
      <c r="G3890" s="16"/>
      <c r="H3890" s="24"/>
      <c r="I3890" s="24"/>
      <c r="L3890"/>
    </row>
    <row r="3891" spans="1:12" x14ac:dyDescent="0.25">
      <c r="A3891" s="16"/>
      <c r="D3891" s="16"/>
      <c r="F3891" s="16"/>
      <c r="G3891" s="16"/>
      <c r="H3891" s="24"/>
      <c r="I3891" s="24"/>
      <c r="L3891"/>
    </row>
    <row r="3892" spans="1:12" x14ac:dyDescent="0.25">
      <c r="A3892" s="16"/>
      <c r="D3892" s="16"/>
      <c r="F3892" s="16"/>
      <c r="G3892" s="16"/>
      <c r="H3892" s="24"/>
      <c r="I3892" s="24"/>
      <c r="L3892"/>
    </row>
    <row r="3893" spans="1:12" x14ac:dyDescent="0.25">
      <c r="A3893" s="16"/>
      <c r="D3893" s="16"/>
      <c r="F3893" s="16"/>
      <c r="G3893" s="16"/>
      <c r="H3893" s="24"/>
      <c r="I3893" s="24"/>
      <c r="L3893"/>
    </row>
    <row r="3894" spans="1:12" x14ac:dyDescent="0.25">
      <c r="A3894" s="16"/>
      <c r="D3894" s="16"/>
      <c r="F3894" s="16"/>
      <c r="G3894" s="16"/>
      <c r="H3894" s="24"/>
      <c r="I3894" s="24"/>
      <c r="L3894"/>
    </row>
    <row r="3895" spans="1:12" x14ac:dyDescent="0.25">
      <c r="A3895" s="16"/>
      <c r="D3895" s="16"/>
      <c r="F3895" s="16"/>
      <c r="G3895" s="16"/>
      <c r="H3895" s="24"/>
      <c r="I3895" s="24"/>
      <c r="L3895"/>
    </row>
    <row r="3896" spans="1:12" x14ac:dyDescent="0.25">
      <c r="A3896" s="16"/>
      <c r="D3896" s="16"/>
      <c r="F3896" s="16"/>
      <c r="G3896" s="16"/>
      <c r="H3896" s="24"/>
      <c r="I3896" s="24"/>
      <c r="L3896"/>
    </row>
    <row r="3897" spans="1:12" x14ac:dyDescent="0.25">
      <c r="A3897" s="16"/>
      <c r="D3897" s="16"/>
      <c r="F3897" s="16"/>
      <c r="G3897" s="16"/>
      <c r="H3897" s="24"/>
      <c r="I3897" s="24"/>
      <c r="L3897"/>
    </row>
    <row r="3898" spans="1:12" x14ac:dyDescent="0.25">
      <c r="A3898" s="16"/>
      <c r="D3898" s="16"/>
      <c r="F3898" s="16"/>
      <c r="G3898" s="16"/>
      <c r="H3898" s="24"/>
      <c r="I3898" s="24"/>
      <c r="L3898"/>
    </row>
    <row r="3899" spans="1:12" x14ac:dyDescent="0.25">
      <c r="A3899" s="16"/>
      <c r="D3899" s="16"/>
      <c r="F3899" s="16"/>
      <c r="G3899" s="16"/>
      <c r="H3899" s="24"/>
      <c r="I3899" s="24"/>
      <c r="L3899"/>
    </row>
    <row r="3900" spans="1:12" x14ac:dyDescent="0.25">
      <c r="A3900" s="16"/>
      <c r="D3900" s="16"/>
      <c r="F3900" s="16"/>
      <c r="G3900" s="16"/>
      <c r="H3900" s="24"/>
      <c r="I3900" s="24"/>
      <c r="L3900"/>
    </row>
    <row r="3901" spans="1:12" x14ac:dyDescent="0.25">
      <c r="A3901" s="16"/>
      <c r="D3901" s="16"/>
      <c r="F3901" s="16"/>
      <c r="G3901" s="16"/>
      <c r="H3901" s="24"/>
      <c r="I3901" s="24"/>
      <c r="L3901"/>
    </row>
    <row r="3902" spans="1:12" x14ac:dyDescent="0.25">
      <c r="A3902" s="16"/>
      <c r="D3902" s="16"/>
      <c r="F3902" s="16"/>
      <c r="G3902" s="16"/>
      <c r="H3902" s="24"/>
      <c r="I3902" s="24"/>
      <c r="L3902"/>
    </row>
    <row r="3903" spans="1:12" x14ac:dyDescent="0.25">
      <c r="A3903" s="16"/>
      <c r="D3903" s="16"/>
      <c r="F3903" s="16"/>
      <c r="G3903" s="16"/>
      <c r="H3903" s="24"/>
      <c r="I3903" s="24"/>
      <c r="L3903"/>
    </row>
    <row r="3904" spans="1:12" x14ac:dyDescent="0.25">
      <c r="A3904" s="16"/>
      <c r="D3904" s="16"/>
      <c r="F3904" s="16"/>
      <c r="G3904" s="16"/>
      <c r="H3904" s="24"/>
      <c r="I3904" s="24"/>
      <c r="L3904"/>
    </row>
    <row r="3905" spans="1:12" x14ac:dyDescent="0.25">
      <c r="A3905" s="16"/>
      <c r="D3905" s="16"/>
      <c r="F3905" s="16"/>
      <c r="G3905" s="16"/>
      <c r="H3905" s="24"/>
      <c r="I3905" s="24"/>
      <c r="L3905"/>
    </row>
    <row r="3906" spans="1:12" x14ac:dyDescent="0.25">
      <c r="A3906" s="16"/>
      <c r="D3906" s="16"/>
      <c r="F3906" s="16"/>
      <c r="G3906" s="16"/>
      <c r="H3906" s="24"/>
      <c r="I3906" s="24"/>
      <c r="L3906"/>
    </row>
    <row r="3907" spans="1:12" x14ac:dyDescent="0.25">
      <c r="A3907" s="16"/>
      <c r="D3907" s="16"/>
      <c r="F3907" s="16"/>
      <c r="G3907" s="16"/>
      <c r="H3907" s="24"/>
      <c r="I3907" s="24"/>
      <c r="L3907"/>
    </row>
    <row r="3908" spans="1:12" x14ac:dyDescent="0.25">
      <c r="A3908" s="16"/>
      <c r="D3908" s="16"/>
      <c r="F3908" s="16"/>
      <c r="G3908" s="16"/>
      <c r="H3908" s="24"/>
      <c r="I3908" s="24"/>
      <c r="L3908"/>
    </row>
    <row r="3909" spans="1:12" x14ac:dyDescent="0.25">
      <c r="A3909" s="16"/>
      <c r="D3909" s="16"/>
      <c r="F3909" s="16"/>
      <c r="G3909" s="16"/>
      <c r="H3909" s="24"/>
      <c r="I3909" s="24"/>
      <c r="L3909"/>
    </row>
    <row r="3910" spans="1:12" x14ac:dyDescent="0.25">
      <c r="A3910" s="16"/>
      <c r="D3910" s="16"/>
      <c r="F3910" s="16"/>
      <c r="G3910" s="16"/>
      <c r="H3910" s="24"/>
      <c r="I3910" s="24"/>
      <c r="L3910"/>
    </row>
    <row r="3911" spans="1:12" x14ac:dyDescent="0.25">
      <c r="A3911" s="16"/>
      <c r="D3911" s="16"/>
      <c r="F3911" s="16"/>
      <c r="G3911" s="16"/>
      <c r="H3911" s="24"/>
      <c r="I3911" s="24"/>
      <c r="L3911"/>
    </row>
    <row r="3912" spans="1:12" x14ac:dyDescent="0.25">
      <c r="A3912" s="16"/>
      <c r="D3912" s="16"/>
      <c r="F3912" s="16"/>
      <c r="G3912" s="16"/>
      <c r="H3912" s="24"/>
      <c r="I3912" s="24"/>
      <c r="L3912"/>
    </row>
    <row r="3913" spans="1:12" x14ac:dyDescent="0.25">
      <c r="A3913" s="16"/>
      <c r="D3913" s="16"/>
      <c r="F3913" s="16"/>
      <c r="G3913" s="16"/>
      <c r="H3913" s="24"/>
      <c r="I3913" s="24"/>
      <c r="L3913"/>
    </row>
    <row r="3914" spans="1:12" x14ac:dyDescent="0.25">
      <c r="A3914" s="16"/>
      <c r="D3914" s="16"/>
      <c r="F3914" s="16"/>
      <c r="G3914" s="16"/>
      <c r="H3914" s="24"/>
      <c r="I3914" s="24"/>
      <c r="L3914"/>
    </row>
    <row r="3915" spans="1:12" x14ac:dyDescent="0.25">
      <c r="A3915" s="16"/>
      <c r="D3915" s="16"/>
      <c r="F3915" s="16"/>
      <c r="G3915" s="16"/>
      <c r="H3915" s="24"/>
      <c r="I3915" s="24"/>
      <c r="L3915"/>
    </row>
    <row r="3916" spans="1:12" x14ac:dyDescent="0.25">
      <c r="A3916" s="16"/>
      <c r="D3916" s="16"/>
      <c r="F3916" s="16"/>
      <c r="G3916" s="16"/>
      <c r="H3916" s="24"/>
      <c r="I3916" s="24"/>
      <c r="L3916"/>
    </row>
    <row r="3917" spans="1:12" x14ac:dyDescent="0.25">
      <c r="A3917" s="16"/>
      <c r="D3917" s="16"/>
      <c r="F3917" s="16"/>
      <c r="G3917" s="16"/>
      <c r="H3917" s="24"/>
      <c r="I3917" s="24"/>
      <c r="L3917"/>
    </row>
    <row r="3918" spans="1:12" x14ac:dyDescent="0.25">
      <c r="A3918" s="16"/>
      <c r="D3918" s="16"/>
      <c r="F3918" s="16"/>
      <c r="G3918" s="16"/>
      <c r="H3918" s="24"/>
      <c r="I3918" s="24"/>
      <c r="L3918"/>
    </row>
    <row r="3919" spans="1:12" x14ac:dyDescent="0.25">
      <c r="A3919" s="16"/>
      <c r="D3919" s="16"/>
      <c r="F3919" s="16"/>
      <c r="G3919" s="16"/>
      <c r="H3919" s="24"/>
      <c r="I3919" s="24"/>
      <c r="L3919"/>
    </row>
    <row r="3920" spans="1:12" x14ac:dyDescent="0.25">
      <c r="A3920" s="16"/>
      <c r="D3920" s="16"/>
      <c r="F3920" s="16"/>
      <c r="G3920" s="16"/>
      <c r="H3920" s="24"/>
      <c r="I3920" s="24"/>
      <c r="L3920"/>
    </row>
    <row r="3921" spans="1:12" x14ac:dyDescent="0.25">
      <c r="A3921" s="16"/>
      <c r="D3921" s="16"/>
      <c r="F3921" s="16"/>
      <c r="G3921" s="16"/>
      <c r="H3921" s="24"/>
      <c r="I3921" s="24"/>
      <c r="L3921"/>
    </row>
    <row r="3922" spans="1:12" x14ac:dyDescent="0.25">
      <c r="A3922" s="16"/>
      <c r="D3922" s="16"/>
      <c r="F3922" s="16"/>
      <c r="G3922" s="16"/>
      <c r="H3922" s="24"/>
      <c r="I3922" s="24"/>
      <c r="L3922"/>
    </row>
    <row r="3923" spans="1:12" x14ac:dyDescent="0.25">
      <c r="A3923" s="16"/>
      <c r="D3923" s="16"/>
      <c r="F3923" s="16"/>
      <c r="G3923" s="16"/>
      <c r="H3923" s="24"/>
      <c r="I3923" s="24"/>
      <c r="L3923"/>
    </row>
    <row r="3924" spans="1:12" x14ac:dyDescent="0.25">
      <c r="A3924" s="16"/>
      <c r="D3924" s="16"/>
      <c r="F3924" s="16"/>
      <c r="G3924" s="16"/>
      <c r="H3924" s="24"/>
      <c r="I3924" s="24"/>
      <c r="L3924"/>
    </row>
    <row r="3925" spans="1:12" x14ac:dyDescent="0.25">
      <c r="A3925" s="16"/>
      <c r="D3925" s="16"/>
      <c r="F3925" s="16"/>
      <c r="G3925" s="16"/>
      <c r="H3925" s="24"/>
      <c r="I3925" s="24"/>
      <c r="L3925"/>
    </row>
    <row r="3926" spans="1:12" x14ac:dyDescent="0.25">
      <c r="A3926" s="16"/>
      <c r="D3926" s="16"/>
      <c r="F3926" s="16"/>
      <c r="G3926" s="16"/>
      <c r="H3926" s="24"/>
      <c r="I3926" s="24"/>
      <c r="L3926"/>
    </row>
    <row r="3927" spans="1:12" x14ac:dyDescent="0.25">
      <c r="A3927" s="16"/>
      <c r="D3927" s="16"/>
      <c r="F3927" s="16"/>
      <c r="G3927" s="16"/>
      <c r="H3927" s="24"/>
      <c r="I3927" s="24"/>
      <c r="L3927"/>
    </row>
    <row r="3928" spans="1:12" x14ac:dyDescent="0.25">
      <c r="A3928" s="16"/>
      <c r="D3928" s="16"/>
      <c r="F3928" s="16"/>
      <c r="G3928" s="16"/>
      <c r="H3928" s="24"/>
      <c r="I3928" s="24"/>
      <c r="L3928"/>
    </row>
    <row r="3929" spans="1:12" x14ac:dyDescent="0.25">
      <c r="A3929" s="16"/>
      <c r="D3929" s="16"/>
      <c r="F3929" s="16"/>
      <c r="G3929" s="16"/>
      <c r="H3929" s="24"/>
      <c r="I3929" s="24"/>
      <c r="L3929"/>
    </row>
    <row r="3930" spans="1:12" x14ac:dyDescent="0.25">
      <c r="A3930" s="16"/>
      <c r="D3930" s="16"/>
      <c r="F3930" s="16"/>
      <c r="G3930" s="16"/>
      <c r="H3930" s="24"/>
      <c r="I3930" s="24"/>
      <c r="L3930"/>
    </row>
    <row r="3931" spans="1:12" x14ac:dyDescent="0.25">
      <c r="A3931" s="16"/>
      <c r="D3931" s="16"/>
      <c r="F3931" s="16"/>
      <c r="G3931" s="16"/>
      <c r="H3931" s="24"/>
      <c r="I3931" s="24"/>
      <c r="L3931"/>
    </row>
    <row r="3932" spans="1:12" x14ac:dyDescent="0.25">
      <c r="A3932" s="16"/>
      <c r="D3932" s="16"/>
      <c r="F3932" s="16"/>
      <c r="G3932" s="16"/>
      <c r="H3932" s="24"/>
      <c r="I3932" s="24"/>
      <c r="L3932"/>
    </row>
    <row r="3933" spans="1:12" x14ac:dyDescent="0.25">
      <c r="A3933" s="16"/>
      <c r="D3933" s="16"/>
      <c r="F3933" s="16"/>
      <c r="G3933" s="16"/>
      <c r="H3933" s="24"/>
      <c r="I3933" s="24"/>
      <c r="L3933"/>
    </row>
    <row r="3934" spans="1:12" x14ac:dyDescent="0.25">
      <c r="A3934" s="16"/>
      <c r="D3934" s="16"/>
      <c r="F3934" s="16"/>
      <c r="G3934" s="16"/>
      <c r="H3934" s="24"/>
      <c r="I3934" s="24"/>
      <c r="L3934"/>
    </row>
    <row r="3935" spans="1:12" x14ac:dyDescent="0.25">
      <c r="A3935" s="16"/>
      <c r="D3935" s="16"/>
      <c r="F3935" s="16"/>
      <c r="G3935" s="16"/>
      <c r="H3935" s="24"/>
      <c r="I3935" s="24"/>
      <c r="L3935"/>
    </row>
    <row r="3936" spans="1:12" x14ac:dyDescent="0.25">
      <c r="A3936" s="16"/>
      <c r="D3936" s="16"/>
      <c r="F3936" s="16"/>
      <c r="G3936" s="16"/>
      <c r="H3936" s="24"/>
      <c r="I3936" s="24"/>
      <c r="L3936"/>
    </row>
    <row r="3937" spans="1:12" x14ac:dyDescent="0.25">
      <c r="A3937" s="16"/>
      <c r="D3937" s="16"/>
      <c r="F3937" s="16"/>
      <c r="G3937" s="16"/>
      <c r="H3937" s="24"/>
      <c r="I3937" s="24"/>
      <c r="L3937"/>
    </row>
    <row r="3938" spans="1:12" x14ac:dyDescent="0.25">
      <c r="A3938" s="16"/>
      <c r="D3938" s="16"/>
      <c r="F3938" s="16"/>
      <c r="G3938" s="16"/>
      <c r="H3938" s="24"/>
      <c r="I3938" s="24"/>
      <c r="L3938"/>
    </row>
    <row r="3939" spans="1:12" x14ac:dyDescent="0.25">
      <c r="A3939" s="16"/>
      <c r="D3939" s="16"/>
      <c r="F3939" s="16"/>
      <c r="G3939" s="16"/>
      <c r="H3939" s="24"/>
      <c r="I3939" s="24"/>
      <c r="L3939"/>
    </row>
    <row r="3940" spans="1:12" x14ac:dyDescent="0.25">
      <c r="A3940" s="16"/>
      <c r="D3940" s="16"/>
      <c r="F3940" s="16"/>
      <c r="G3940" s="16"/>
      <c r="H3940" s="24"/>
      <c r="I3940" s="24"/>
      <c r="L3940"/>
    </row>
    <row r="3941" spans="1:12" x14ac:dyDescent="0.25">
      <c r="A3941" s="16"/>
      <c r="D3941" s="16"/>
      <c r="F3941" s="16"/>
      <c r="G3941" s="16"/>
      <c r="H3941" s="24"/>
      <c r="I3941" s="24"/>
      <c r="L3941"/>
    </row>
    <row r="3942" spans="1:12" x14ac:dyDescent="0.25">
      <c r="A3942" s="16"/>
      <c r="D3942" s="16"/>
      <c r="F3942" s="16"/>
      <c r="G3942" s="16"/>
      <c r="H3942" s="24"/>
      <c r="I3942" s="24"/>
      <c r="L3942"/>
    </row>
    <row r="3943" spans="1:12" x14ac:dyDescent="0.25">
      <c r="A3943" s="16"/>
      <c r="D3943" s="16"/>
      <c r="F3943" s="16"/>
      <c r="G3943" s="16"/>
      <c r="H3943" s="24"/>
      <c r="I3943" s="24"/>
      <c r="L3943"/>
    </row>
    <row r="3944" spans="1:12" x14ac:dyDescent="0.25">
      <c r="A3944" s="16"/>
      <c r="D3944" s="16"/>
      <c r="F3944" s="16"/>
      <c r="G3944" s="16"/>
      <c r="H3944" s="24"/>
      <c r="I3944" s="24"/>
      <c r="L3944"/>
    </row>
    <row r="3945" spans="1:12" x14ac:dyDescent="0.25">
      <c r="A3945" s="16"/>
      <c r="D3945" s="16"/>
      <c r="F3945" s="16"/>
      <c r="G3945" s="16"/>
      <c r="H3945" s="24"/>
      <c r="I3945" s="24"/>
      <c r="L3945"/>
    </row>
    <row r="3946" spans="1:12" x14ac:dyDescent="0.25">
      <c r="A3946" s="16"/>
      <c r="D3946" s="16"/>
      <c r="F3946" s="16"/>
      <c r="G3946" s="16"/>
      <c r="H3946" s="24"/>
      <c r="I3946" s="24"/>
      <c r="L3946"/>
    </row>
    <row r="3947" spans="1:12" x14ac:dyDescent="0.25">
      <c r="A3947" s="16"/>
      <c r="D3947" s="16"/>
      <c r="F3947" s="16"/>
      <c r="G3947" s="16"/>
      <c r="H3947" s="24"/>
      <c r="I3947" s="24"/>
      <c r="L3947"/>
    </row>
    <row r="3948" spans="1:12" x14ac:dyDescent="0.25">
      <c r="A3948" s="16"/>
      <c r="D3948" s="16"/>
      <c r="F3948" s="16"/>
      <c r="G3948" s="16"/>
      <c r="H3948" s="24"/>
      <c r="I3948" s="24"/>
      <c r="L3948"/>
    </row>
    <row r="3949" spans="1:12" x14ac:dyDescent="0.25">
      <c r="A3949" s="16"/>
      <c r="D3949" s="16"/>
      <c r="F3949" s="16"/>
      <c r="G3949" s="16"/>
      <c r="H3949" s="24"/>
      <c r="I3949" s="24"/>
      <c r="L3949"/>
    </row>
    <row r="3950" spans="1:12" x14ac:dyDescent="0.25">
      <c r="A3950" s="16"/>
      <c r="D3950" s="16"/>
      <c r="F3950" s="16"/>
      <c r="G3950" s="16"/>
      <c r="H3950" s="24"/>
      <c r="I3950" s="24"/>
      <c r="L3950"/>
    </row>
    <row r="3951" spans="1:12" x14ac:dyDescent="0.25">
      <c r="A3951" s="16"/>
      <c r="D3951" s="16"/>
      <c r="F3951" s="16"/>
      <c r="G3951" s="16"/>
      <c r="H3951" s="24"/>
      <c r="I3951" s="24"/>
      <c r="L3951"/>
    </row>
    <row r="3952" spans="1:12" x14ac:dyDescent="0.25">
      <c r="A3952" s="16"/>
      <c r="D3952" s="16"/>
      <c r="F3952" s="16"/>
      <c r="G3952" s="16"/>
      <c r="H3952" s="24"/>
      <c r="I3952" s="24"/>
      <c r="L3952"/>
    </row>
    <row r="3953" spans="1:12" x14ac:dyDescent="0.25">
      <c r="A3953" s="16"/>
      <c r="D3953" s="16"/>
      <c r="F3953" s="16"/>
      <c r="G3953" s="16"/>
      <c r="H3953" s="24"/>
      <c r="I3953" s="24"/>
      <c r="L3953"/>
    </row>
    <row r="3954" spans="1:12" x14ac:dyDescent="0.25">
      <c r="A3954" s="16"/>
      <c r="D3954" s="16"/>
      <c r="F3954" s="16"/>
      <c r="G3954" s="16"/>
      <c r="H3954" s="24"/>
      <c r="I3954" s="24"/>
      <c r="L3954"/>
    </row>
    <row r="3955" spans="1:12" x14ac:dyDescent="0.25">
      <c r="A3955" s="16"/>
      <c r="D3955" s="16"/>
      <c r="F3955" s="16"/>
      <c r="G3955" s="16"/>
      <c r="H3955" s="24"/>
      <c r="I3955" s="24"/>
      <c r="L3955"/>
    </row>
    <row r="3956" spans="1:12" x14ac:dyDescent="0.25">
      <c r="A3956" s="16"/>
      <c r="D3956" s="16"/>
      <c r="F3956" s="16"/>
      <c r="G3956" s="16"/>
      <c r="H3956" s="24"/>
      <c r="I3956" s="24"/>
      <c r="L3956"/>
    </row>
    <row r="3957" spans="1:12" x14ac:dyDescent="0.25">
      <c r="A3957" s="16"/>
      <c r="D3957" s="16"/>
      <c r="F3957" s="16"/>
      <c r="G3957" s="16"/>
      <c r="H3957" s="24"/>
      <c r="I3957" s="24"/>
      <c r="L3957"/>
    </row>
    <row r="3958" spans="1:12" x14ac:dyDescent="0.25">
      <c r="A3958" s="16"/>
      <c r="D3958" s="16"/>
      <c r="F3958" s="16"/>
      <c r="G3958" s="16"/>
      <c r="H3958" s="24"/>
      <c r="I3958" s="24"/>
      <c r="L3958"/>
    </row>
    <row r="3959" spans="1:12" x14ac:dyDescent="0.25">
      <c r="A3959" s="16"/>
      <c r="D3959" s="16"/>
      <c r="F3959" s="16"/>
      <c r="G3959" s="16"/>
      <c r="H3959" s="24"/>
      <c r="I3959" s="24"/>
      <c r="L3959"/>
    </row>
    <row r="3960" spans="1:12" x14ac:dyDescent="0.25">
      <c r="A3960" s="16"/>
      <c r="D3960" s="16"/>
      <c r="F3960" s="16"/>
      <c r="G3960" s="16"/>
      <c r="H3960" s="24"/>
      <c r="I3960" s="24"/>
      <c r="L3960"/>
    </row>
    <row r="3961" spans="1:12" x14ac:dyDescent="0.25">
      <c r="A3961" s="16"/>
      <c r="D3961" s="16"/>
      <c r="F3961" s="16"/>
      <c r="G3961" s="16"/>
      <c r="H3961" s="24"/>
      <c r="I3961" s="24"/>
      <c r="L3961"/>
    </row>
    <row r="3962" spans="1:12" x14ac:dyDescent="0.25">
      <c r="A3962" s="16"/>
      <c r="D3962" s="16"/>
      <c r="F3962" s="16"/>
      <c r="G3962" s="16"/>
      <c r="H3962" s="24"/>
      <c r="I3962" s="24"/>
      <c r="L3962"/>
    </row>
    <row r="3963" spans="1:12" x14ac:dyDescent="0.25">
      <c r="A3963" s="16"/>
      <c r="D3963" s="16"/>
      <c r="F3963" s="16"/>
      <c r="G3963" s="16"/>
      <c r="H3963" s="24"/>
      <c r="I3963" s="24"/>
      <c r="L3963"/>
    </row>
    <row r="3964" spans="1:12" x14ac:dyDescent="0.25">
      <c r="A3964" s="16"/>
      <c r="D3964" s="16"/>
      <c r="F3964" s="16"/>
      <c r="G3964" s="16"/>
      <c r="H3964" s="24"/>
      <c r="I3964" s="24"/>
      <c r="L3964"/>
    </row>
    <row r="3965" spans="1:12" x14ac:dyDescent="0.25">
      <c r="A3965" s="16"/>
      <c r="D3965" s="16"/>
      <c r="F3965" s="16"/>
      <c r="G3965" s="16"/>
      <c r="H3965" s="24"/>
      <c r="I3965" s="24"/>
      <c r="L3965"/>
    </row>
    <row r="3966" spans="1:12" x14ac:dyDescent="0.25">
      <c r="A3966" s="16"/>
      <c r="D3966" s="16"/>
      <c r="F3966" s="16"/>
      <c r="G3966" s="16"/>
      <c r="H3966" s="24"/>
      <c r="I3966" s="24"/>
      <c r="L3966"/>
    </row>
    <row r="3967" spans="1:12" x14ac:dyDescent="0.25">
      <c r="A3967" s="16"/>
      <c r="D3967" s="16"/>
      <c r="F3967" s="16"/>
      <c r="G3967" s="16"/>
      <c r="H3967" s="24"/>
      <c r="I3967" s="24"/>
      <c r="L3967"/>
    </row>
    <row r="3968" spans="1:12" x14ac:dyDescent="0.25">
      <c r="A3968" s="16"/>
      <c r="D3968" s="16"/>
      <c r="F3968" s="16"/>
      <c r="G3968" s="16"/>
      <c r="H3968" s="24"/>
      <c r="I3968" s="24"/>
      <c r="L3968"/>
    </row>
    <row r="3969" spans="1:12" x14ac:dyDescent="0.25">
      <c r="A3969" s="16"/>
      <c r="D3969" s="16"/>
      <c r="F3969" s="16"/>
      <c r="G3969" s="16"/>
      <c r="H3969" s="24"/>
      <c r="I3969" s="24"/>
      <c r="L3969"/>
    </row>
    <row r="3970" spans="1:12" x14ac:dyDescent="0.25">
      <c r="A3970" s="16"/>
      <c r="D3970" s="16"/>
      <c r="F3970" s="16"/>
      <c r="G3970" s="16"/>
      <c r="H3970" s="24"/>
      <c r="I3970" s="24"/>
      <c r="L3970"/>
    </row>
    <row r="3971" spans="1:12" x14ac:dyDescent="0.25">
      <c r="A3971" s="16"/>
      <c r="D3971" s="16"/>
      <c r="F3971" s="16"/>
      <c r="G3971" s="16"/>
      <c r="H3971" s="24"/>
      <c r="I3971" s="24"/>
      <c r="L3971"/>
    </row>
    <row r="3972" spans="1:12" x14ac:dyDescent="0.25">
      <c r="A3972" s="16"/>
      <c r="D3972" s="16"/>
      <c r="F3972" s="16"/>
      <c r="G3972" s="16"/>
      <c r="H3972" s="24"/>
      <c r="I3972" s="24"/>
      <c r="L3972"/>
    </row>
    <row r="3973" spans="1:12" x14ac:dyDescent="0.25">
      <c r="A3973" s="16"/>
      <c r="D3973" s="16"/>
      <c r="F3973" s="16"/>
      <c r="G3973" s="16"/>
      <c r="H3973" s="24"/>
      <c r="I3973" s="24"/>
      <c r="L3973"/>
    </row>
    <row r="3974" spans="1:12" x14ac:dyDescent="0.25">
      <c r="A3974" s="16"/>
      <c r="D3974" s="16"/>
      <c r="F3974" s="16"/>
      <c r="G3974" s="16"/>
      <c r="H3974" s="24"/>
      <c r="I3974" s="24"/>
      <c r="L3974"/>
    </row>
    <row r="3975" spans="1:12" x14ac:dyDescent="0.25">
      <c r="A3975" s="16"/>
      <c r="D3975" s="16"/>
      <c r="F3975" s="16"/>
      <c r="G3975" s="16"/>
      <c r="H3975" s="24"/>
      <c r="I3975" s="24"/>
      <c r="L3975"/>
    </row>
    <row r="3976" spans="1:12" x14ac:dyDescent="0.25">
      <c r="A3976" s="16"/>
      <c r="D3976" s="16"/>
      <c r="F3976" s="16"/>
      <c r="G3976" s="16"/>
      <c r="H3976" s="24"/>
      <c r="I3976" s="24"/>
      <c r="L3976"/>
    </row>
    <row r="3977" spans="1:12" x14ac:dyDescent="0.25">
      <c r="A3977" s="16"/>
      <c r="D3977" s="16"/>
      <c r="F3977" s="16"/>
      <c r="G3977" s="16"/>
      <c r="H3977" s="24"/>
      <c r="I3977" s="24"/>
      <c r="L3977"/>
    </row>
    <row r="3978" spans="1:12" x14ac:dyDescent="0.25">
      <c r="A3978" s="16"/>
      <c r="D3978" s="16"/>
      <c r="F3978" s="16"/>
      <c r="G3978" s="16"/>
      <c r="H3978" s="24"/>
      <c r="I3978" s="24"/>
      <c r="L3978"/>
    </row>
    <row r="3979" spans="1:12" x14ac:dyDescent="0.25">
      <c r="A3979" s="16"/>
      <c r="D3979" s="16"/>
      <c r="F3979" s="16"/>
      <c r="G3979" s="16"/>
      <c r="H3979" s="24"/>
      <c r="I3979" s="24"/>
      <c r="L3979"/>
    </row>
    <row r="3980" spans="1:12" x14ac:dyDescent="0.25">
      <c r="A3980" s="16"/>
      <c r="D3980" s="16"/>
      <c r="F3980" s="16"/>
      <c r="G3980" s="16"/>
      <c r="H3980" s="24"/>
      <c r="I3980" s="24"/>
      <c r="L3980"/>
    </row>
    <row r="3981" spans="1:12" x14ac:dyDescent="0.25">
      <c r="A3981" s="16"/>
      <c r="D3981" s="16"/>
      <c r="F3981" s="16"/>
      <c r="G3981" s="16"/>
      <c r="H3981" s="24"/>
      <c r="I3981" s="24"/>
      <c r="L3981"/>
    </row>
    <row r="3982" spans="1:12" x14ac:dyDescent="0.25">
      <c r="A3982" s="16"/>
      <c r="D3982" s="16"/>
      <c r="F3982" s="16"/>
      <c r="G3982" s="16"/>
      <c r="H3982" s="24"/>
      <c r="I3982" s="24"/>
      <c r="L3982"/>
    </row>
    <row r="3983" spans="1:12" x14ac:dyDescent="0.25">
      <c r="A3983" s="16"/>
      <c r="D3983" s="16"/>
      <c r="F3983" s="16"/>
      <c r="G3983" s="16"/>
      <c r="H3983" s="24"/>
      <c r="I3983" s="24"/>
      <c r="L3983"/>
    </row>
    <row r="3984" spans="1:12" x14ac:dyDescent="0.25">
      <c r="A3984" s="16"/>
      <c r="D3984" s="16"/>
      <c r="F3984" s="16"/>
      <c r="G3984" s="16"/>
      <c r="H3984" s="24"/>
      <c r="I3984" s="24"/>
      <c r="L3984"/>
    </row>
    <row r="3985" spans="1:12" x14ac:dyDescent="0.25">
      <c r="A3985" s="16"/>
      <c r="D3985" s="16"/>
      <c r="F3985" s="16"/>
      <c r="G3985" s="16"/>
      <c r="H3985" s="24"/>
      <c r="I3985" s="24"/>
      <c r="L3985"/>
    </row>
    <row r="3986" spans="1:12" x14ac:dyDescent="0.25">
      <c r="A3986" s="16"/>
      <c r="D3986" s="16"/>
      <c r="F3986" s="16"/>
      <c r="G3986" s="16"/>
      <c r="H3986" s="24"/>
      <c r="I3986" s="24"/>
      <c r="L3986"/>
    </row>
    <row r="3987" spans="1:12" x14ac:dyDescent="0.25">
      <c r="A3987" s="16"/>
      <c r="D3987" s="16"/>
      <c r="F3987" s="16"/>
      <c r="G3987" s="16"/>
      <c r="H3987" s="24"/>
      <c r="I3987" s="24"/>
      <c r="L3987"/>
    </row>
    <row r="3988" spans="1:12" x14ac:dyDescent="0.25">
      <c r="A3988" s="16"/>
      <c r="D3988" s="16"/>
      <c r="F3988" s="16"/>
      <c r="G3988" s="16"/>
      <c r="H3988" s="24"/>
      <c r="I3988" s="24"/>
      <c r="L3988"/>
    </row>
    <row r="3989" spans="1:12" x14ac:dyDescent="0.25">
      <c r="A3989" s="16"/>
      <c r="D3989" s="16"/>
      <c r="F3989" s="16"/>
      <c r="G3989" s="16"/>
      <c r="H3989" s="24"/>
      <c r="I3989" s="24"/>
      <c r="L3989"/>
    </row>
    <row r="3990" spans="1:12" x14ac:dyDescent="0.25">
      <c r="A3990" s="16"/>
      <c r="D3990" s="16"/>
      <c r="F3990" s="16"/>
      <c r="G3990" s="16"/>
      <c r="H3990" s="24"/>
      <c r="I3990" s="24"/>
      <c r="L3990"/>
    </row>
    <row r="3991" spans="1:12" x14ac:dyDescent="0.25">
      <c r="A3991" s="16"/>
      <c r="D3991" s="16"/>
      <c r="F3991" s="16"/>
      <c r="G3991" s="16"/>
      <c r="H3991" s="24"/>
      <c r="I3991" s="24"/>
      <c r="L3991"/>
    </row>
    <row r="3992" spans="1:12" x14ac:dyDescent="0.25">
      <c r="A3992" s="16"/>
      <c r="D3992" s="16"/>
      <c r="F3992" s="16"/>
      <c r="G3992" s="16"/>
      <c r="H3992" s="24"/>
      <c r="I3992" s="24"/>
      <c r="L3992"/>
    </row>
    <row r="3993" spans="1:12" x14ac:dyDescent="0.25">
      <c r="A3993" s="16"/>
      <c r="D3993" s="16"/>
      <c r="F3993" s="16"/>
      <c r="G3993" s="16"/>
      <c r="H3993" s="24"/>
      <c r="I3993" s="24"/>
      <c r="L3993"/>
    </row>
    <row r="3994" spans="1:12" x14ac:dyDescent="0.25">
      <c r="A3994" s="16"/>
      <c r="D3994" s="16"/>
      <c r="F3994" s="16"/>
      <c r="G3994" s="16"/>
      <c r="H3994" s="24"/>
      <c r="I3994" s="24"/>
      <c r="L3994"/>
    </row>
    <row r="3995" spans="1:12" x14ac:dyDescent="0.25">
      <c r="A3995" s="16"/>
      <c r="D3995" s="16"/>
      <c r="F3995" s="16"/>
      <c r="G3995" s="16"/>
      <c r="H3995" s="24"/>
      <c r="I3995" s="24"/>
      <c r="L3995"/>
    </row>
    <row r="3996" spans="1:12" x14ac:dyDescent="0.25">
      <c r="A3996" s="16"/>
      <c r="D3996" s="16"/>
      <c r="F3996" s="16"/>
      <c r="G3996" s="16"/>
      <c r="H3996" s="24"/>
      <c r="I3996" s="24"/>
      <c r="L3996"/>
    </row>
    <row r="3997" spans="1:12" x14ac:dyDescent="0.25">
      <c r="A3997" s="16"/>
      <c r="D3997" s="16"/>
      <c r="F3997" s="16"/>
      <c r="G3997" s="16"/>
      <c r="H3997" s="24"/>
      <c r="I3997" s="24"/>
      <c r="L3997"/>
    </row>
    <row r="3998" spans="1:12" x14ac:dyDescent="0.25">
      <c r="A3998" s="16"/>
      <c r="D3998" s="16"/>
      <c r="F3998" s="16"/>
      <c r="G3998" s="16"/>
      <c r="H3998" s="24"/>
      <c r="I3998" s="24"/>
      <c r="L3998"/>
    </row>
    <row r="3999" spans="1:12" x14ac:dyDescent="0.25">
      <c r="A3999" s="16"/>
      <c r="D3999" s="16"/>
      <c r="F3999" s="16"/>
      <c r="G3999" s="16"/>
      <c r="H3999" s="24"/>
      <c r="I3999" s="24"/>
      <c r="L3999"/>
    </row>
    <row r="4000" spans="1:12" x14ac:dyDescent="0.25">
      <c r="A4000" s="16"/>
      <c r="D4000" s="16"/>
      <c r="F4000" s="16"/>
      <c r="G4000" s="16"/>
      <c r="H4000" s="24"/>
      <c r="I4000" s="24"/>
      <c r="L4000"/>
    </row>
    <row r="4001" spans="1:12" x14ac:dyDescent="0.25">
      <c r="A4001" s="16"/>
      <c r="D4001" s="16"/>
      <c r="F4001" s="16"/>
      <c r="G4001" s="16"/>
      <c r="H4001" s="24"/>
      <c r="I4001" s="24"/>
      <c r="L4001"/>
    </row>
    <row r="4002" spans="1:12" x14ac:dyDescent="0.25">
      <c r="A4002" s="16"/>
      <c r="D4002" s="16"/>
      <c r="F4002" s="16"/>
      <c r="G4002" s="16"/>
      <c r="H4002" s="24"/>
      <c r="I4002" s="24"/>
      <c r="L4002"/>
    </row>
    <row r="4003" spans="1:12" x14ac:dyDescent="0.25">
      <c r="A4003" s="16"/>
      <c r="D4003" s="16"/>
      <c r="F4003" s="16"/>
      <c r="G4003" s="16"/>
      <c r="H4003" s="24"/>
      <c r="I4003" s="24"/>
      <c r="L4003"/>
    </row>
    <row r="4004" spans="1:12" x14ac:dyDescent="0.25">
      <c r="A4004" s="16"/>
      <c r="D4004" s="16"/>
      <c r="F4004" s="16"/>
      <c r="G4004" s="16"/>
      <c r="H4004" s="24"/>
      <c r="I4004" s="24"/>
      <c r="L4004"/>
    </row>
    <row r="4005" spans="1:12" x14ac:dyDescent="0.25">
      <c r="A4005" s="16"/>
      <c r="D4005" s="16"/>
      <c r="F4005" s="16"/>
      <c r="G4005" s="16"/>
      <c r="H4005" s="24"/>
      <c r="I4005" s="24"/>
      <c r="L4005"/>
    </row>
    <row r="4006" spans="1:12" x14ac:dyDescent="0.25">
      <c r="A4006" s="16"/>
      <c r="D4006" s="16"/>
      <c r="F4006" s="16"/>
      <c r="G4006" s="16"/>
      <c r="H4006" s="24"/>
      <c r="I4006" s="24"/>
      <c r="L4006"/>
    </row>
    <row r="4007" spans="1:12" x14ac:dyDescent="0.25">
      <c r="A4007" s="16"/>
      <c r="D4007" s="16"/>
      <c r="F4007" s="16"/>
      <c r="G4007" s="16"/>
      <c r="H4007" s="24"/>
      <c r="I4007" s="24"/>
      <c r="L4007"/>
    </row>
    <row r="4008" spans="1:12" x14ac:dyDescent="0.25">
      <c r="A4008" s="16"/>
      <c r="D4008" s="16"/>
      <c r="F4008" s="16"/>
      <c r="G4008" s="16"/>
      <c r="H4008" s="24"/>
      <c r="I4008" s="24"/>
      <c r="L4008"/>
    </row>
    <row r="4009" spans="1:12" x14ac:dyDescent="0.25">
      <c r="A4009" s="16"/>
      <c r="D4009" s="16"/>
      <c r="F4009" s="16"/>
      <c r="G4009" s="16"/>
      <c r="H4009" s="24"/>
      <c r="I4009" s="24"/>
      <c r="L4009"/>
    </row>
    <row r="4010" spans="1:12" x14ac:dyDescent="0.25">
      <c r="A4010" s="16"/>
      <c r="D4010" s="16"/>
      <c r="F4010" s="16"/>
      <c r="G4010" s="16"/>
      <c r="H4010" s="24"/>
      <c r="I4010" s="24"/>
      <c r="L4010"/>
    </row>
    <row r="4011" spans="1:12" x14ac:dyDescent="0.25">
      <c r="A4011" s="16"/>
      <c r="D4011" s="16"/>
      <c r="F4011" s="16"/>
      <c r="G4011" s="16"/>
      <c r="H4011" s="24"/>
      <c r="I4011" s="24"/>
      <c r="L4011"/>
    </row>
    <row r="4012" spans="1:12" x14ac:dyDescent="0.25">
      <c r="A4012" s="16"/>
      <c r="D4012" s="16"/>
      <c r="F4012" s="16"/>
      <c r="G4012" s="16"/>
      <c r="H4012" s="24"/>
      <c r="I4012" s="24"/>
      <c r="L4012"/>
    </row>
    <row r="4013" spans="1:12" x14ac:dyDescent="0.25">
      <c r="A4013" s="16"/>
      <c r="D4013" s="16"/>
      <c r="F4013" s="16"/>
      <c r="G4013" s="16"/>
      <c r="H4013" s="24"/>
      <c r="I4013" s="24"/>
      <c r="L4013"/>
    </row>
    <row r="4014" spans="1:12" x14ac:dyDescent="0.25">
      <c r="A4014" s="16"/>
      <c r="D4014" s="16"/>
      <c r="F4014" s="16"/>
      <c r="G4014" s="16"/>
      <c r="H4014" s="24"/>
      <c r="I4014" s="24"/>
      <c r="L4014"/>
    </row>
    <row r="4015" spans="1:12" x14ac:dyDescent="0.25">
      <c r="A4015" s="16"/>
      <c r="D4015" s="16"/>
      <c r="F4015" s="16"/>
      <c r="G4015" s="16"/>
      <c r="H4015" s="24"/>
      <c r="I4015" s="24"/>
      <c r="L4015"/>
    </row>
    <row r="4016" spans="1:12" x14ac:dyDescent="0.25">
      <c r="A4016" s="16"/>
      <c r="D4016" s="16"/>
      <c r="F4016" s="16"/>
      <c r="G4016" s="16"/>
      <c r="H4016" s="24"/>
      <c r="I4016" s="24"/>
      <c r="L4016"/>
    </row>
    <row r="4017" spans="1:12" x14ac:dyDescent="0.25">
      <c r="A4017" s="16"/>
      <c r="D4017" s="16"/>
      <c r="F4017" s="16"/>
      <c r="G4017" s="16"/>
      <c r="H4017" s="24"/>
      <c r="I4017" s="24"/>
      <c r="L4017"/>
    </row>
    <row r="4018" spans="1:12" x14ac:dyDescent="0.25">
      <c r="A4018" s="16"/>
      <c r="D4018" s="16"/>
      <c r="F4018" s="16"/>
      <c r="G4018" s="16"/>
      <c r="H4018" s="24"/>
      <c r="I4018" s="24"/>
      <c r="L4018"/>
    </row>
    <row r="4019" spans="1:12" x14ac:dyDescent="0.25">
      <c r="A4019" s="16"/>
      <c r="D4019" s="16"/>
      <c r="F4019" s="16"/>
      <c r="G4019" s="16"/>
      <c r="H4019" s="24"/>
      <c r="I4019" s="24"/>
      <c r="L4019"/>
    </row>
    <row r="4020" spans="1:12" x14ac:dyDescent="0.25">
      <c r="A4020" s="16"/>
      <c r="D4020" s="16"/>
      <c r="F4020" s="16"/>
      <c r="G4020" s="16"/>
      <c r="H4020" s="24"/>
      <c r="I4020" s="24"/>
      <c r="L4020"/>
    </row>
    <row r="4021" spans="1:12" x14ac:dyDescent="0.25">
      <c r="A4021" s="16"/>
      <c r="D4021" s="16"/>
      <c r="F4021" s="16"/>
      <c r="G4021" s="16"/>
      <c r="H4021" s="24"/>
      <c r="I4021" s="24"/>
      <c r="L4021"/>
    </row>
    <row r="4022" spans="1:12" x14ac:dyDescent="0.25">
      <c r="A4022" s="16"/>
      <c r="D4022" s="16"/>
      <c r="F4022" s="16"/>
      <c r="G4022" s="16"/>
      <c r="H4022" s="24"/>
      <c r="I4022" s="24"/>
      <c r="L4022"/>
    </row>
    <row r="4023" spans="1:12" x14ac:dyDescent="0.25">
      <c r="A4023" s="16"/>
      <c r="D4023" s="16"/>
      <c r="F4023" s="16"/>
      <c r="G4023" s="16"/>
      <c r="H4023" s="24"/>
      <c r="I4023" s="24"/>
      <c r="L4023"/>
    </row>
    <row r="4024" spans="1:12" x14ac:dyDescent="0.25">
      <c r="A4024" s="16"/>
      <c r="D4024" s="16"/>
      <c r="F4024" s="16"/>
      <c r="G4024" s="16"/>
      <c r="H4024" s="24"/>
      <c r="I4024" s="24"/>
      <c r="L4024"/>
    </row>
    <row r="4025" spans="1:12" x14ac:dyDescent="0.25">
      <c r="A4025" s="16"/>
      <c r="D4025" s="16"/>
      <c r="F4025" s="16"/>
      <c r="G4025" s="16"/>
      <c r="H4025" s="24"/>
      <c r="I4025" s="24"/>
      <c r="L4025"/>
    </row>
    <row r="4026" spans="1:12" x14ac:dyDescent="0.25">
      <c r="A4026" s="16"/>
      <c r="D4026" s="16"/>
      <c r="F4026" s="16"/>
      <c r="G4026" s="16"/>
      <c r="H4026" s="24"/>
      <c r="I4026" s="24"/>
      <c r="L4026"/>
    </row>
    <row r="4027" spans="1:12" x14ac:dyDescent="0.25">
      <c r="A4027" s="16"/>
      <c r="D4027" s="16"/>
      <c r="F4027" s="16"/>
      <c r="G4027" s="16"/>
      <c r="H4027" s="24"/>
      <c r="I4027" s="24"/>
      <c r="L4027"/>
    </row>
    <row r="4028" spans="1:12" x14ac:dyDescent="0.25">
      <c r="A4028" s="16"/>
      <c r="D4028" s="16"/>
      <c r="F4028" s="16"/>
      <c r="G4028" s="16"/>
      <c r="H4028" s="24"/>
      <c r="I4028" s="24"/>
      <c r="L4028"/>
    </row>
    <row r="4029" spans="1:12" x14ac:dyDescent="0.25">
      <c r="A4029" s="16"/>
      <c r="D4029" s="16"/>
      <c r="F4029" s="16"/>
      <c r="G4029" s="16"/>
      <c r="H4029" s="24"/>
      <c r="I4029" s="24"/>
      <c r="L4029"/>
    </row>
    <row r="4030" spans="1:12" x14ac:dyDescent="0.25">
      <c r="A4030" s="16"/>
      <c r="D4030" s="16"/>
      <c r="F4030" s="16"/>
      <c r="G4030" s="16"/>
      <c r="H4030" s="24"/>
      <c r="I4030" s="24"/>
      <c r="L4030"/>
    </row>
    <row r="4031" spans="1:12" x14ac:dyDescent="0.25">
      <c r="A4031" s="16"/>
      <c r="D4031" s="16"/>
      <c r="F4031" s="16"/>
      <c r="G4031" s="16"/>
      <c r="H4031" s="24"/>
      <c r="I4031" s="24"/>
      <c r="L4031"/>
    </row>
    <row r="4032" spans="1:12" x14ac:dyDescent="0.25">
      <c r="A4032" s="16"/>
      <c r="D4032" s="16"/>
      <c r="F4032" s="16"/>
      <c r="G4032" s="16"/>
      <c r="H4032" s="24"/>
      <c r="I4032" s="24"/>
      <c r="L4032"/>
    </row>
    <row r="4033" spans="1:12" x14ac:dyDescent="0.25">
      <c r="A4033" s="16"/>
      <c r="D4033" s="16"/>
      <c r="F4033" s="16"/>
      <c r="G4033" s="16"/>
      <c r="H4033" s="24"/>
      <c r="I4033" s="24"/>
      <c r="L4033"/>
    </row>
    <row r="4034" spans="1:12" x14ac:dyDescent="0.25">
      <c r="A4034" s="16"/>
      <c r="D4034" s="16"/>
      <c r="F4034" s="16"/>
      <c r="G4034" s="16"/>
      <c r="H4034" s="24"/>
      <c r="I4034" s="24"/>
      <c r="L4034"/>
    </row>
    <row r="4035" spans="1:12" x14ac:dyDescent="0.25">
      <c r="A4035" s="16"/>
      <c r="D4035" s="16"/>
      <c r="F4035" s="16"/>
      <c r="G4035" s="16"/>
      <c r="H4035" s="24"/>
      <c r="I4035" s="24"/>
      <c r="L4035"/>
    </row>
    <row r="4036" spans="1:12" x14ac:dyDescent="0.25">
      <c r="A4036" s="16"/>
      <c r="D4036" s="16"/>
      <c r="F4036" s="16"/>
      <c r="G4036" s="16"/>
      <c r="H4036" s="24"/>
      <c r="I4036" s="24"/>
      <c r="L4036"/>
    </row>
    <row r="4037" spans="1:12" x14ac:dyDescent="0.25">
      <c r="A4037" s="16"/>
      <c r="D4037" s="16"/>
      <c r="F4037" s="16"/>
      <c r="G4037" s="16"/>
      <c r="H4037" s="24"/>
      <c r="I4037" s="24"/>
      <c r="L4037"/>
    </row>
    <row r="4038" spans="1:12" x14ac:dyDescent="0.25">
      <c r="A4038" s="16"/>
      <c r="D4038" s="16"/>
      <c r="F4038" s="16"/>
      <c r="G4038" s="16"/>
      <c r="H4038" s="24"/>
      <c r="I4038" s="24"/>
      <c r="L4038"/>
    </row>
    <row r="4039" spans="1:12" x14ac:dyDescent="0.25">
      <c r="A4039" s="16"/>
      <c r="D4039" s="16"/>
      <c r="F4039" s="16"/>
      <c r="G4039" s="16"/>
      <c r="H4039" s="24"/>
      <c r="I4039" s="24"/>
      <c r="L4039"/>
    </row>
    <row r="4040" spans="1:12" x14ac:dyDescent="0.25">
      <c r="A4040" s="16"/>
      <c r="D4040" s="16"/>
      <c r="F4040" s="16"/>
      <c r="G4040" s="16"/>
      <c r="H4040" s="24"/>
      <c r="I4040" s="24"/>
      <c r="L4040"/>
    </row>
    <row r="4041" spans="1:12" x14ac:dyDescent="0.25">
      <c r="A4041" s="16"/>
      <c r="D4041" s="16"/>
      <c r="F4041" s="16"/>
      <c r="G4041" s="16"/>
      <c r="H4041" s="24"/>
      <c r="I4041" s="24"/>
      <c r="L4041"/>
    </row>
    <row r="4042" spans="1:12" x14ac:dyDescent="0.25">
      <c r="A4042" s="16"/>
      <c r="D4042" s="16"/>
      <c r="F4042" s="16"/>
      <c r="G4042" s="16"/>
      <c r="H4042" s="24"/>
      <c r="I4042" s="24"/>
      <c r="L4042"/>
    </row>
    <row r="4043" spans="1:12" x14ac:dyDescent="0.25">
      <c r="A4043" s="16"/>
      <c r="D4043" s="16"/>
      <c r="F4043" s="16"/>
      <c r="G4043" s="16"/>
      <c r="H4043" s="24"/>
      <c r="I4043" s="24"/>
      <c r="L4043"/>
    </row>
    <row r="4044" spans="1:12" x14ac:dyDescent="0.25">
      <c r="A4044" s="16"/>
      <c r="D4044" s="16"/>
      <c r="F4044" s="16"/>
      <c r="G4044" s="16"/>
      <c r="H4044" s="24"/>
      <c r="I4044" s="24"/>
      <c r="L4044"/>
    </row>
    <row r="4045" spans="1:12" x14ac:dyDescent="0.25">
      <c r="A4045" s="16"/>
      <c r="D4045" s="16"/>
      <c r="F4045" s="16"/>
      <c r="G4045" s="16"/>
      <c r="H4045" s="24"/>
      <c r="I4045" s="24"/>
      <c r="L4045"/>
    </row>
    <row r="4046" spans="1:12" x14ac:dyDescent="0.25">
      <c r="A4046" s="16"/>
      <c r="D4046" s="16"/>
      <c r="F4046" s="16"/>
      <c r="G4046" s="16"/>
      <c r="H4046" s="24"/>
      <c r="I4046" s="24"/>
      <c r="L4046"/>
    </row>
    <row r="4047" spans="1:12" x14ac:dyDescent="0.25">
      <c r="A4047" s="16"/>
      <c r="D4047" s="16"/>
      <c r="F4047" s="16"/>
      <c r="G4047" s="16"/>
      <c r="H4047" s="24"/>
      <c r="I4047" s="24"/>
      <c r="L4047"/>
    </row>
    <row r="4048" spans="1:12" x14ac:dyDescent="0.25">
      <c r="A4048" s="16"/>
      <c r="D4048" s="16"/>
      <c r="F4048" s="16"/>
      <c r="G4048" s="16"/>
      <c r="H4048" s="24"/>
      <c r="I4048" s="24"/>
      <c r="L4048"/>
    </row>
    <row r="4049" spans="1:12" x14ac:dyDescent="0.25">
      <c r="A4049" s="16"/>
      <c r="D4049" s="16"/>
      <c r="F4049" s="16"/>
      <c r="G4049" s="16"/>
      <c r="H4049" s="24"/>
      <c r="I4049" s="24"/>
      <c r="L4049"/>
    </row>
    <row r="4050" spans="1:12" x14ac:dyDescent="0.25">
      <c r="A4050" s="16"/>
      <c r="D4050" s="16"/>
      <c r="F4050" s="16"/>
      <c r="G4050" s="16"/>
      <c r="H4050" s="24"/>
      <c r="I4050" s="24"/>
      <c r="L4050"/>
    </row>
    <row r="4051" spans="1:12" x14ac:dyDescent="0.25">
      <c r="A4051" s="16"/>
      <c r="D4051" s="16"/>
      <c r="F4051" s="16"/>
      <c r="G4051" s="16"/>
      <c r="H4051" s="24"/>
      <c r="I4051" s="24"/>
      <c r="L4051"/>
    </row>
    <row r="4052" spans="1:12" x14ac:dyDescent="0.25">
      <c r="A4052" s="16"/>
      <c r="D4052" s="16"/>
      <c r="F4052" s="16"/>
      <c r="G4052" s="16"/>
      <c r="H4052" s="24"/>
      <c r="I4052" s="24"/>
      <c r="L4052"/>
    </row>
    <row r="4053" spans="1:12" x14ac:dyDescent="0.25">
      <c r="A4053" s="16"/>
      <c r="D4053" s="16"/>
      <c r="F4053" s="16"/>
      <c r="G4053" s="16"/>
      <c r="H4053" s="24"/>
      <c r="I4053" s="24"/>
      <c r="L4053"/>
    </row>
    <row r="4054" spans="1:12" x14ac:dyDescent="0.25">
      <c r="A4054" s="16"/>
      <c r="D4054" s="16"/>
      <c r="F4054" s="16"/>
      <c r="G4054" s="16"/>
      <c r="H4054" s="24"/>
      <c r="I4054" s="24"/>
      <c r="L4054"/>
    </row>
    <row r="4055" spans="1:12" x14ac:dyDescent="0.25">
      <c r="A4055" s="16"/>
      <c r="D4055" s="16"/>
      <c r="F4055" s="16"/>
      <c r="G4055" s="16"/>
      <c r="H4055" s="24"/>
      <c r="I4055" s="24"/>
      <c r="L4055"/>
    </row>
    <row r="4056" spans="1:12" x14ac:dyDescent="0.25">
      <c r="A4056" s="16"/>
      <c r="D4056" s="16"/>
      <c r="F4056" s="16"/>
      <c r="G4056" s="16"/>
      <c r="H4056" s="24"/>
      <c r="I4056" s="24"/>
      <c r="L4056"/>
    </row>
    <row r="4057" spans="1:12" x14ac:dyDescent="0.25">
      <c r="A4057" s="16"/>
      <c r="D4057" s="16"/>
      <c r="F4057" s="16"/>
      <c r="G4057" s="16"/>
      <c r="H4057" s="24"/>
      <c r="I4057" s="24"/>
      <c r="L4057"/>
    </row>
    <row r="4058" spans="1:12" x14ac:dyDescent="0.25">
      <c r="A4058" s="16"/>
      <c r="D4058" s="16"/>
      <c r="F4058" s="16"/>
      <c r="G4058" s="16"/>
      <c r="H4058" s="24"/>
      <c r="I4058" s="24"/>
      <c r="L4058"/>
    </row>
    <row r="4059" spans="1:12" x14ac:dyDescent="0.25">
      <c r="A4059" s="16"/>
      <c r="D4059" s="16"/>
      <c r="F4059" s="16"/>
      <c r="G4059" s="16"/>
      <c r="H4059" s="24"/>
      <c r="I4059" s="24"/>
      <c r="L4059"/>
    </row>
    <row r="4060" spans="1:12" x14ac:dyDescent="0.25">
      <c r="A4060" s="16"/>
      <c r="D4060" s="16"/>
      <c r="F4060" s="16"/>
      <c r="G4060" s="16"/>
      <c r="H4060" s="24"/>
      <c r="I4060" s="24"/>
      <c r="L4060"/>
    </row>
    <row r="4061" spans="1:12" x14ac:dyDescent="0.25">
      <c r="A4061" s="16"/>
      <c r="D4061" s="16"/>
      <c r="F4061" s="16"/>
      <c r="G4061" s="16"/>
      <c r="H4061" s="24"/>
      <c r="I4061" s="24"/>
      <c r="L4061"/>
    </row>
    <row r="4062" spans="1:12" x14ac:dyDescent="0.25">
      <c r="A4062" s="16"/>
      <c r="D4062" s="16"/>
      <c r="F4062" s="16"/>
      <c r="G4062" s="16"/>
      <c r="H4062" s="24"/>
      <c r="I4062" s="24"/>
      <c r="L4062"/>
    </row>
    <row r="4063" spans="1:12" x14ac:dyDescent="0.25">
      <c r="A4063" s="16"/>
      <c r="D4063" s="16"/>
      <c r="F4063" s="16"/>
      <c r="G4063" s="16"/>
      <c r="H4063" s="24"/>
      <c r="I4063" s="24"/>
      <c r="L4063"/>
    </row>
    <row r="4064" spans="1:12" x14ac:dyDescent="0.25">
      <c r="A4064" s="16"/>
      <c r="D4064" s="16"/>
      <c r="F4064" s="16"/>
      <c r="G4064" s="16"/>
      <c r="H4064" s="24"/>
      <c r="I4064" s="24"/>
      <c r="L4064"/>
    </row>
    <row r="4065" spans="1:12" x14ac:dyDescent="0.25">
      <c r="A4065" s="16"/>
      <c r="D4065" s="16"/>
      <c r="F4065" s="16"/>
      <c r="G4065" s="16"/>
      <c r="H4065" s="24"/>
      <c r="I4065" s="24"/>
      <c r="L4065"/>
    </row>
    <row r="4066" spans="1:12" x14ac:dyDescent="0.25">
      <c r="A4066" s="16"/>
      <c r="D4066" s="16"/>
      <c r="F4066" s="16"/>
      <c r="G4066" s="16"/>
      <c r="H4066" s="24"/>
      <c r="I4066" s="24"/>
      <c r="L4066"/>
    </row>
    <row r="4067" spans="1:12" x14ac:dyDescent="0.25">
      <c r="A4067" s="16"/>
      <c r="D4067" s="16"/>
      <c r="F4067" s="16"/>
      <c r="G4067" s="16"/>
      <c r="H4067" s="24"/>
      <c r="I4067" s="24"/>
      <c r="L4067"/>
    </row>
    <row r="4068" spans="1:12" x14ac:dyDescent="0.25">
      <c r="A4068" s="16"/>
      <c r="D4068" s="16"/>
      <c r="F4068" s="16"/>
      <c r="G4068" s="16"/>
      <c r="H4068" s="24"/>
      <c r="I4068" s="24"/>
      <c r="L4068"/>
    </row>
    <row r="4069" spans="1:12" x14ac:dyDescent="0.25">
      <c r="A4069" s="16"/>
      <c r="D4069" s="16"/>
      <c r="F4069" s="16"/>
      <c r="G4069" s="16"/>
      <c r="H4069" s="24"/>
      <c r="I4069" s="24"/>
      <c r="L4069"/>
    </row>
    <row r="4070" spans="1:12" x14ac:dyDescent="0.25">
      <c r="A4070" s="16"/>
      <c r="D4070" s="16"/>
      <c r="F4070" s="16"/>
      <c r="G4070" s="16"/>
      <c r="H4070" s="24"/>
      <c r="I4070" s="24"/>
      <c r="L4070"/>
    </row>
    <row r="4071" spans="1:12" x14ac:dyDescent="0.25">
      <c r="A4071" s="16"/>
      <c r="D4071" s="16"/>
      <c r="F4071" s="16"/>
      <c r="G4071" s="16"/>
      <c r="H4071" s="24"/>
      <c r="I4071" s="24"/>
      <c r="L4071"/>
    </row>
    <row r="4072" spans="1:12" x14ac:dyDescent="0.25">
      <c r="A4072" s="16"/>
      <c r="D4072" s="16"/>
      <c r="F4072" s="16"/>
      <c r="G4072" s="16"/>
      <c r="H4072" s="24"/>
      <c r="I4072" s="24"/>
      <c r="L4072"/>
    </row>
    <row r="4073" spans="1:12" x14ac:dyDescent="0.25">
      <c r="A4073" s="16"/>
      <c r="D4073" s="16"/>
      <c r="F4073" s="16"/>
      <c r="G4073" s="16"/>
      <c r="H4073" s="24"/>
      <c r="I4073" s="24"/>
      <c r="L4073"/>
    </row>
    <row r="4074" spans="1:12" x14ac:dyDescent="0.25">
      <c r="A4074" s="16"/>
      <c r="D4074" s="16"/>
      <c r="F4074" s="16"/>
      <c r="G4074" s="16"/>
      <c r="H4074" s="24"/>
      <c r="I4074" s="24"/>
      <c r="L4074"/>
    </row>
    <row r="4075" spans="1:12" x14ac:dyDescent="0.25">
      <c r="A4075" s="16"/>
      <c r="D4075" s="16"/>
      <c r="F4075" s="16"/>
      <c r="G4075" s="16"/>
      <c r="H4075" s="24"/>
      <c r="I4075" s="24"/>
      <c r="L4075"/>
    </row>
    <row r="4076" spans="1:12" x14ac:dyDescent="0.25">
      <c r="A4076" s="16"/>
      <c r="D4076" s="16"/>
      <c r="F4076" s="16"/>
      <c r="G4076" s="16"/>
      <c r="H4076" s="24"/>
      <c r="I4076" s="24"/>
      <c r="L4076"/>
    </row>
    <row r="4077" spans="1:12" x14ac:dyDescent="0.25">
      <c r="A4077" s="16"/>
      <c r="D4077" s="16"/>
      <c r="F4077" s="16"/>
      <c r="G4077" s="16"/>
      <c r="H4077" s="24"/>
      <c r="I4077" s="24"/>
      <c r="L4077"/>
    </row>
    <row r="4078" spans="1:12" x14ac:dyDescent="0.25">
      <c r="A4078" s="16"/>
      <c r="D4078" s="16"/>
      <c r="F4078" s="16"/>
      <c r="G4078" s="16"/>
      <c r="H4078" s="24"/>
      <c r="I4078" s="24"/>
      <c r="L4078"/>
    </row>
    <row r="4079" spans="1:12" x14ac:dyDescent="0.25">
      <c r="A4079" s="16"/>
      <c r="D4079" s="16"/>
      <c r="F4079" s="16"/>
      <c r="G4079" s="16"/>
      <c r="H4079" s="24"/>
      <c r="I4079" s="24"/>
      <c r="L4079"/>
    </row>
    <row r="4080" spans="1:12" x14ac:dyDescent="0.25">
      <c r="A4080" s="16"/>
      <c r="D4080" s="16"/>
      <c r="F4080" s="16"/>
      <c r="G4080" s="16"/>
      <c r="H4080" s="24"/>
      <c r="I4080" s="24"/>
      <c r="L4080"/>
    </row>
    <row r="4081" spans="1:12" x14ac:dyDescent="0.25">
      <c r="A4081" s="16"/>
      <c r="D4081" s="16"/>
      <c r="F4081" s="16"/>
      <c r="G4081" s="16"/>
      <c r="H4081" s="24"/>
      <c r="I4081" s="24"/>
      <c r="L4081"/>
    </row>
    <row r="4082" spans="1:12" x14ac:dyDescent="0.25">
      <c r="A4082" s="16"/>
      <c r="D4082" s="16"/>
      <c r="F4082" s="16"/>
      <c r="G4082" s="16"/>
      <c r="H4082" s="24"/>
      <c r="I4082" s="24"/>
      <c r="L4082"/>
    </row>
    <row r="4083" spans="1:12" x14ac:dyDescent="0.25">
      <c r="A4083" s="16"/>
      <c r="D4083" s="16"/>
      <c r="F4083" s="16"/>
      <c r="G4083" s="16"/>
      <c r="H4083" s="24"/>
      <c r="I4083" s="24"/>
      <c r="L4083"/>
    </row>
    <row r="4084" spans="1:12" x14ac:dyDescent="0.25">
      <c r="A4084" s="16"/>
      <c r="D4084" s="16"/>
      <c r="F4084" s="16"/>
      <c r="G4084" s="16"/>
      <c r="H4084" s="24"/>
      <c r="I4084" s="24"/>
      <c r="L4084"/>
    </row>
    <row r="4085" spans="1:12" x14ac:dyDescent="0.25">
      <c r="A4085" s="16"/>
      <c r="D4085" s="16"/>
      <c r="F4085" s="16"/>
      <c r="G4085" s="16"/>
      <c r="H4085" s="24"/>
      <c r="I4085" s="24"/>
      <c r="L4085"/>
    </row>
    <row r="4086" spans="1:12" x14ac:dyDescent="0.25">
      <c r="A4086" s="16"/>
      <c r="D4086" s="16"/>
      <c r="F4086" s="16"/>
      <c r="G4086" s="16"/>
      <c r="H4086" s="24"/>
      <c r="I4086" s="24"/>
      <c r="L4086"/>
    </row>
    <row r="4087" spans="1:12" x14ac:dyDescent="0.25">
      <c r="A4087" s="16"/>
      <c r="D4087" s="16"/>
      <c r="F4087" s="16"/>
      <c r="G4087" s="16"/>
      <c r="H4087" s="24"/>
      <c r="I4087" s="24"/>
      <c r="L4087"/>
    </row>
    <row r="4088" spans="1:12" x14ac:dyDescent="0.25">
      <c r="A4088" s="16"/>
      <c r="D4088" s="16"/>
      <c r="F4088" s="16"/>
      <c r="G4088" s="16"/>
      <c r="H4088" s="24"/>
      <c r="I4088" s="24"/>
      <c r="L4088"/>
    </row>
    <row r="4089" spans="1:12" x14ac:dyDescent="0.25">
      <c r="A4089" s="16"/>
      <c r="D4089" s="16"/>
      <c r="F4089" s="16"/>
      <c r="G4089" s="16"/>
      <c r="H4089" s="24"/>
      <c r="I4089" s="24"/>
      <c r="L4089"/>
    </row>
    <row r="4090" spans="1:12" x14ac:dyDescent="0.25">
      <c r="A4090" s="16"/>
      <c r="D4090" s="16"/>
      <c r="F4090" s="16"/>
      <c r="G4090" s="16"/>
      <c r="H4090" s="24"/>
      <c r="I4090" s="24"/>
      <c r="L4090"/>
    </row>
    <row r="4091" spans="1:12" x14ac:dyDescent="0.25">
      <c r="A4091" s="16"/>
      <c r="D4091" s="16"/>
      <c r="F4091" s="16"/>
      <c r="G4091" s="16"/>
      <c r="H4091" s="24"/>
      <c r="I4091" s="24"/>
      <c r="L4091"/>
    </row>
    <row r="4092" spans="1:12" x14ac:dyDescent="0.25">
      <c r="A4092" s="16"/>
      <c r="D4092" s="16"/>
      <c r="F4092" s="16"/>
      <c r="G4092" s="16"/>
      <c r="H4092" s="24"/>
      <c r="I4092" s="24"/>
      <c r="L4092"/>
    </row>
    <row r="4093" spans="1:12" x14ac:dyDescent="0.25">
      <c r="A4093" s="16"/>
      <c r="D4093" s="16"/>
      <c r="F4093" s="16"/>
      <c r="G4093" s="16"/>
      <c r="H4093" s="24"/>
      <c r="I4093" s="24"/>
      <c r="L4093"/>
    </row>
    <row r="4094" spans="1:12" x14ac:dyDescent="0.25">
      <c r="A4094" s="16"/>
      <c r="D4094" s="16"/>
      <c r="F4094" s="16"/>
      <c r="G4094" s="16"/>
      <c r="H4094" s="24"/>
      <c r="I4094" s="24"/>
      <c r="L4094"/>
    </row>
    <row r="4095" spans="1:12" x14ac:dyDescent="0.25">
      <c r="A4095" s="16"/>
      <c r="D4095" s="16"/>
      <c r="F4095" s="16"/>
      <c r="G4095" s="16"/>
      <c r="H4095" s="24"/>
      <c r="I4095" s="24"/>
      <c r="L4095"/>
    </row>
    <row r="4096" spans="1:12" x14ac:dyDescent="0.25">
      <c r="A4096" s="16"/>
      <c r="D4096" s="16"/>
      <c r="F4096" s="16"/>
      <c r="G4096" s="16"/>
      <c r="H4096" s="24"/>
      <c r="I4096" s="24"/>
      <c r="L4096"/>
    </row>
    <row r="4097" spans="1:12" x14ac:dyDescent="0.25">
      <c r="A4097" s="16"/>
      <c r="D4097" s="16"/>
      <c r="F4097" s="16"/>
      <c r="G4097" s="16"/>
      <c r="H4097" s="24"/>
      <c r="I4097" s="24"/>
      <c r="L4097"/>
    </row>
    <row r="4098" spans="1:12" x14ac:dyDescent="0.25">
      <c r="A4098" s="16"/>
      <c r="D4098" s="16"/>
      <c r="F4098" s="16"/>
      <c r="G4098" s="16"/>
      <c r="H4098" s="24"/>
      <c r="I4098" s="24"/>
      <c r="L4098"/>
    </row>
    <row r="4099" spans="1:12" x14ac:dyDescent="0.25">
      <c r="A4099" s="16"/>
      <c r="D4099" s="16"/>
      <c r="F4099" s="16"/>
      <c r="G4099" s="16"/>
      <c r="H4099" s="24"/>
      <c r="I4099" s="24"/>
      <c r="L4099"/>
    </row>
    <row r="4100" spans="1:12" x14ac:dyDescent="0.25">
      <c r="A4100" s="16"/>
      <c r="D4100" s="16"/>
      <c r="F4100" s="16"/>
      <c r="G4100" s="16"/>
      <c r="H4100" s="24"/>
      <c r="I4100" s="24"/>
      <c r="L4100"/>
    </row>
    <row r="4101" spans="1:12" x14ac:dyDescent="0.25">
      <c r="A4101" s="16"/>
      <c r="D4101" s="16"/>
      <c r="F4101" s="16"/>
      <c r="G4101" s="16"/>
      <c r="H4101" s="24"/>
      <c r="I4101" s="24"/>
      <c r="L4101"/>
    </row>
    <row r="4102" spans="1:12" x14ac:dyDescent="0.25">
      <c r="A4102" s="16"/>
      <c r="D4102" s="16"/>
      <c r="F4102" s="16"/>
      <c r="G4102" s="16"/>
      <c r="H4102" s="24"/>
      <c r="I4102" s="24"/>
      <c r="L4102"/>
    </row>
    <row r="4103" spans="1:12" x14ac:dyDescent="0.25">
      <c r="A4103" s="16"/>
      <c r="D4103" s="16"/>
      <c r="F4103" s="16"/>
      <c r="G4103" s="16"/>
      <c r="H4103" s="24"/>
      <c r="I4103" s="24"/>
      <c r="L4103"/>
    </row>
    <row r="4104" spans="1:12" x14ac:dyDescent="0.25">
      <c r="A4104" s="16"/>
      <c r="D4104" s="16"/>
      <c r="F4104" s="16"/>
      <c r="G4104" s="16"/>
      <c r="H4104" s="24"/>
      <c r="I4104" s="24"/>
      <c r="L4104"/>
    </row>
    <row r="4105" spans="1:12" x14ac:dyDescent="0.25">
      <c r="A4105" s="16"/>
      <c r="D4105" s="16"/>
      <c r="F4105" s="16"/>
      <c r="G4105" s="16"/>
      <c r="H4105" s="24"/>
      <c r="I4105" s="24"/>
      <c r="L4105"/>
    </row>
    <row r="4106" spans="1:12" x14ac:dyDescent="0.25">
      <c r="A4106" s="16"/>
      <c r="D4106" s="16"/>
      <c r="F4106" s="16"/>
      <c r="G4106" s="16"/>
      <c r="H4106" s="24"/>
      <c r="I4106" s="24"/>
      <c r="L4106"/>
    </row>
    <row r="4107" spans="1:12" x14ac:dyDescent="0.25">
      <c r="A4107" s="16"/>
      <c r="D4107" s="16"/>
      <c r="F4107" s="16"/>
      <c r="G4107" s="16"/>
      <c r="H4107" s="24"/>
      <c r="I4107" s="24"/>
      <c r="L4107"/>
    </row>
    <row r="4108" spans="1:12" x14ac:dyDescent="0.25">
      <c r="A4108" s="16"/>
      <c r="D4108" s="16"/>
      <c r="F4108" s="16"/>
      <c r="G4108" s="16"/>
      <c r="H4108" s="24"/>
      <c r="I4108" s="24"/>
      <c r="L4108"/>
    </row>
    <row r="4109" spans="1:12" x14ac:dyDescent="0.25">
      <c r="A4109" s="16"/>
      <c r="D4109" s="16"/>
      <c r="F4109" s="16"/>
      <c r="G4109" s="16"/>
      <c r="H4109" s="24"/>
      <c r="I4109" s="24"/>
      <c r="L4109"/>
    </row>
    <row r="4110" spans="1:12" x14ac:dyDescent="0.25">
      <c r="A4110" s="16"/>
      <c r="D4110" s="16"/>
      <c r="F4110" s="16"/>
      <c r="G4110" s="16"/>
      <c r="H4110" s="24"/>
      <c r="I4110" s="24"/>
      <c r="L4110"/>
    </row>
    <row r="4111" spans="1:12" x14ac:dyDescent="0.25">
      <c r="A4111" s="16"/>
      <c r="D4111" s="16"/>
      <c r="F4111" s="16"/>
      <c r="G4111" s="16"/>
      <c r="H4111" s="24"/>
      <c r="I4111" s="24"/>
      <c r="L4111"/>
    </row>
    <row r="4112" spans="1:12" x14ac:dyDescent="0.25">
      <c r="A4112" s="16"/>
      <c r="D4112" s="16"/>
      <c r="F4112" s="16"/>
      <c r="G4112" s="16"/>
      <c r="H4112" s="24"/>
      <c r="I4112" s="24"/>
      <c r="L4112"/>
    </row>
    <row r="4113" spans="1:12" x14ac:dyDescent="0.25">
      <c r="A4113" s="16"/>
      <c r="D4113" s="16"/>
      <c r="F4113" s="16"/>
      <c r="G4113" s="16"/>
      <c r="H4113" s="24"/>
      <c r="I4113" s="24"/>
      <c r="L4113"/>
    </row>
    <row r="4114" spans="1:12" x14ac:dyDescent="0.25">
      <c r="A4114" s="16"/>
      <c r="D4114" s="16"/>
      <c r="F4114" s="16"/>
      <c r="G4114" s="16"/>
      <c r="H4114" s="24"/>
      <c r="I4114" s="24"/>
      <c r="L4114"/>
    </row>
    <row r="4115" spans="1:12" x14ac:dyDescent="0.25">
      <c r="A4115" s="16"/>
      <c r="D4115" s="16"/>
      <c r="F4115" s="16"/>
      <c r="G4115" s="16"/>
      <c r="H4115" s="24"/>
      <c r="I4115" s="24"/>
      <c r="L4115"/>
    </row>
    <row r="4116" spans="1:12" x14ac:dyDescent="0.25">
      <c r="A4116" s="16"/>
      <c r="D4116" s="16"/>
      <c r="F4116" s="16"/>
      <c r="G4116" s="16"/>
      <c r="H4116" s="24"/>
      <c r="I4116" s="24"/>
      <c r="L4116"/>
    </row>
    <row r="4117" spans="1:12" x14ac:dyDescent="0.25">
      <c r="A4117" s="16"/>
      <c r="D4117" s="16"/>
      <c r="F4117" s="16"/>
      <c r="G4117" s="16"/>
      <c r="H4117" s="24"/>
      <c r="I4117" s="24"/>
      <c r="L4117"/>
    </row>
    <row r="4118" spans="1:12" x14ac:dyDescent="0.25">
      <c r="A4118" s="16"/>
      <c r="D4118" s="16"/>
      <c r="F4118" s="16"/>
      <c r="G4118" s="16"/>
      <c r="H4118" s="24"/>
      <c r="I4118" s="24"/>
      <c r="L4118"/>
    </row>
    <row r="4119" spans="1:12" x14ac:dyDescent="0.25">
      <c r="A4119" s="16"/>
      <c r="D4119" s="16"/>
      <c r="F4119" s="16"/>
      <c r="G4119" s="16"/>
      <c r="H4119" s="24"/>
      <c r="I4119" s="24"/>
      <c r="L4119"/>
    </row>
    <row r="4120" spans="1:12" x14ac:dyDescent="0.25">
      <c r="A4120" s="16"/>
      <c r="D4120" s="16"/>
      <c r="F4120" s="16"/>
      <c r="G4120" s="16"/>
      <c r="H4120" s="24"/>
      <c r="I4120" s="24"/>
      <c r="L4120"/>
    </row>
    <row r="4121" spans="1:12" x14ac:dyDescent="0.25">
      <c r="A4121" s="16"/>
      <c r="D4121" s="16"/>
      <c r="F4121" s="16"/>
      <c r="G4121" s="16"/>
      <c r="H4121" s="24"/>
      <c r="I4121" s="24"/>
      <c r="L4121"/>
    </row>
    <row r="4122" spans="1:12" x14ac:dyDescent="0.25">
      <c r="A4122" s="16"/>
      <c r="D4122" s="16"/>
      <c r="F4122" s="16"/>
      <c r="G4122" s="16"/>
      <c r="H4122" s="24"/>
      <c r="I4122" s="24"/>
      <c r="L4122"/>
    </row>
    <row r="4123" spans="1:12" x14ac:dyDescent="0.25">
      <c r="A4123" s="16"/>
      <c r="D4123" s="16"/>
      <c r="F4123" s="16"/>
      <c r="G4123" s="16"/>
      <c r="H4123" s="24"/>
      <c r="I4123" s="24"/>
      <c r="L4123"/>
    </row>
    <row r="4124" spans="1:12" x14ac:dyDescent="0.25">
      <c r="A4124" s="16"/>
      <c r="D4124" s="16"/>
      <c r="F4124" s="16"/>
      <c r="G4124" s="16"/>
      <c r="H4124" s="24"/>
      <c r="I4124" s="24"/>
      <c r="L4124"/>
    </row>
    <row r="4125" spans="1:12" x14ac:dyDescent="0.25">
      <c r="A4125" s="16"/>
      <c r="D4125" s="16"/>
      <c r="F4125" s="16"/>
      <c r="G4125" s="16"/>
      <c r="H4125" s="24"/>
      <c r="I4125" s="24"/>
      <c r="L4125"/>
    </row>
    <row r="4126" spans="1:12" x14ac:dyDescent="0.25">
      <c r="A4126" s="16"/>
      <c r="D4126" s="16"/>
      <c r="F4126" s="16"/>
      <c r="G4126" s="16"/>
      <c r="H4126" s="24"/>
      <c r="I4126" s="24"/>
      <c r="L4126"/>
    </row>
    <row r="4127" spans="1:12" x14ac:dyDescent="0.25">
      <c r="A4127" s="16"/>
      <c r="D4127" s="16"/>
      <c r="F4127" s="16"/>
      <c r="G4127" s="16"/>
      <c r="H4127" s="24"/>
      <c r="I4127" s="24"/>
      <c r="L4127"/>
    </row>
    <row r="4128" spans="1:12" x14ac:dyDescent="0.25">
      <c r="A4128" s="16"/>
      <c r="D4128" s="16"/>
      <c r="F4128" s="16"/>
      <c r="G4128" s="16"/>
      <c r="H4128" s="24"/>
      <c r="I4128" s="24"/>
      <c r="L4128"/>
    </row>
    <row r="4129" spans="1:12" x14ac:dyDescent="0.25">
      <c r="A4129" s="16"/>
      <c r="D4129" s="16"/>
      <c r="F4129" s="16"/>
      <c r="G4129" s="16"/>
      <c r="H4129" s="24"/>
      <c r="I4129" s="24"/>
      <c r="L4129"/>
    </row>
    <row r="4130" spans="1:12" x14ac:dyDescent="0.25">
      <c r="A4130" s="16"/>
      <c r="D4130" s="16"/>
      <c r="F4130" s="16"/>
      <c r="G4130" s="16"/>
      <c r="H4130" s="24"/>
      <c r="I4130" s="24"/>
      <c r="L4130"/>
    </row>
    <row r="4131" spans="1:12" x14ac:dyDescent="0.25">
      <c r="A4131" s="16"/>
      <c r="D4131" s="16"/>
      <c r="F4131" s="16"/>
      <c r="G4131" s="16"/>
      <c r="H4131" s="24"/>
      <c r="I4131" s="24"/>
      <c r="L4131"/>
    </row>
    <row r="4132" spans="1:12" x14ac:dyDescent="0.25">
      <c r="A4132" s="16"/>
      <c r="D4132" s="16"/>
      <c r="F4132" s="16"/>
      <c r="G4132" s="16"/>
      <c r="H4132" s="24"/>
      <c r="I4132" s="24"/>
      <c r="L4132"/>
    </row>
    <row r="4133" spans="1:12" x14ac:dyDescent="0.25">
      <c r="A4133" s="16"/>
      <c r="D4133" s="16"/>
      <c r="F4133" s="16"/>
      <c r="G4133" s="16"/>
      <c r="H4133" s="24"/>
      <c r="I4133" s="24"/>
      <c r="L4133"/>
    </row>
    <row r="4134" spans="1:12" x14ac:dyDescent="0.25">
      <c r="A4134" s="16"/>
      <c r="D4134" s="16"/>
      <c r="F4134" s="16"/>
      <c r="G4134" s="16"/>
      <c r="H4134" s="24"/>
      <c r="I4134" s="24"/>
      <c r="L4134"/>
    </row>
    <row r="4135" spans="1:12" x14ac:dyDescent="0.25">
      <c r="A4135" s="16"/>
      <c r="D4135" s="16"/>
      <c r="F4135" s="16"/>
      <c r="G4135" s="16"/>
      <c r="H4135" s="24"/>
      <c r="I4135" s="24"/>
      <c r="L4135"/>
    </row>
    <row r="4136" spans="1:12" x14ac:dyDescent="0.25">
      <c r="A4136" s="16"/>
      <c r="D4136" s="16"/>
      <c r="F4136" s="16"/>
      <c r="G4136" s="16"/>
      <c r="H4136" s="24"/>
      <c r="I4136" s="24"/>
      <c r="L4136"/>
    </row>
    <row r="4137" spans="1:12" x14ac:dyDescent="0.25">
      <c r="A4137" s="16"/>
      <c r="D4137" s="16"/>
      <c r="F4137" s="16"/>
      <c r="G4137" s="16"/>
      <c r="H4137" s="24"/>
      <c r="I4137" s="24"/>
      <c r="L4137"/>
    </row>
    <row r="4138" spans="1:12" x14ac:dyDescent="0.25">
      <c r="A4138" s="16"/>
      <c r="D4138" s="16"/>
      <c r="F4138" s="16"/>
      <c r="G4138" s="16"/>
      <c r="H4138" s="24"/>
      <c r="I4138" s="24"/>
      <c r="L4138"/>
    </row>
    <row r="4139" spans="1:12" x14ac:dyDescent="0.25">
      <c r="A4139" s="16"/>
      <c r="D4139" s="16"/>
      <c r="F4139" s="16"/>
      <c r="G4139" s="16"/>
      <c r="H4139" s="24"/>
      <c r="I4139" s="24"/>
      <c r="L4139"/>
    </row>
    <row r="4140" spans="1:12" x14ac:dyDescent="0.25">
      <c r="A4140" s="16"/>
      <c r="D4140" s="16"/>
      <c r="F4140" s="16"/>
      <c r="G4140" s="16"/>
      <c r="H4140" s="24"/>
      <c r="I4140" s="24"/>
      <c r="L4140"/>
    </row>
    <row r="4141" spans="1:12" x14ac:dyDescent="0.25">
      <c r="A4141" s="16"/>
      <c r="D4141" s="16"/>
      <c r="F4141" s="16"/>
      <c r="G4141" s="16"/>
      <c r="H4141" s="24"/>
      <c r="I4141" s="24"/>
      <c r="L4141"/>
    </row>
    <row r="4142" spans="1:12" x14ac:dyDescent="0.25">
      <c r="A4142" s="16"/>
      <c r="D4142" s="16"/>
      <c r="F4142" s="16"/>
      <c r="G4142" s="16"/>
      <c r="H4142" s="24"/>
      <c r="I4142" s="24"/>
      <c r="L4142"/>
    </row>
    <row r="4143" spans="1:12" x14ac:dyDescent="0.25">
      <c r="A4143" s="16"/>
      <c r="D4143" s="16"/>
      <c r="F4143" s="16"/>
      <c r="G4143" s="16"/>
      <c r="H4143" s="24"/>
      <c r="I4143" s="24"/>
      <c r="L4143"/>
    </row>
    <row r="4144" spans="1:12" x14ac:dyDescent="0.25">
      <c r="A4144" s="16"/>
      <c r="D4144" s="16"/>
      <c r="F4144" s="16"/>
      <c r="G4144" s="16"/>
      <c r="H4144" s="24"/>
      <c r="I4144" s="24"/>
      <c r="L4144"/>
    </row>
    <row r="4145" spans="1:12" x14ac:dyDescent="0.25">
      <c r="A4145" s="16"/>
      <c r="D4145" s="16"/>
      <c r="F4145" s="16"/>
      <c r="G4145" s="16"/>
      <c r="H4145" s="24"/>
      <c r="I4145" s="24"/>
      <c r="L4145"/>
    </row>
    <row r="4146" spans="1:12" x14ac:dyDescent="0.25">
      <c r="A4146" s="16"/>
      <c r="D4146" s="16"/>
      <c r="F4146" s="16"/>
      <c r="G4146" s="16"/>
      <c r="H4146" s="24"/>
      <c r="I4146" s="24"/>
      <c r="L4146"/>
    </row>
    <row r="4147" spans="1:12" x14ac:dyDescent="0.25">
      <c r="A4147" s="16"/>
      <c r="D4147" s="16"/>
      <c r="F4147" s="16"/>
      <c r="G4147" s="16"/>
      <c r="H4147" s="24"/>
      <c r="I4147" s="24"/>
      <c r="L4147"/>
    </row>
    <row r="4148" spans="1:12" x14ac:dyDescent="0.25">
      <c r="A4148" s="16"/>
      <c r="D4148" s="16"/>
      <c r="F4148" s="16"/>
      <c r="G4148" s="16"/>
      <c r="H4148" s="24"/>
      <c r="I4148" s="24"/>
      <c r="L4148"/>
    </row>
    <row r="4149" spans="1:12" x14ac:dyDescent="0.25">
      <c r="A4149" s="16"/>
      <c r="D4149" s="16"/>
      <c r="F4149" s="16"/>
      <c r="G4149" s="16"/>
      <c r="H4149" s="24"/>
      <c r="I4149" s="24"/>
      <c r="L4149"/>
    </row>
    <row r="4150" spans="1:12" x14ac:dyDescent="0.25">
      <c r="A4150" s="16"/>
      <c r="D4150" s="16"/>
      <c r="F4150" s="16"/>
      <c r="G4150" s="16"/>
      <c r="H4150" s="24"/>
      <c r="I4150" s="24"/>
      <c r="L4150"/>
    </row>
    <row r="4151" spans="1:12" x14ac:dyDescent="0.25">
      <c r="A4151" s="16"/>
      <c r="D4151" s="16"/>
      <c r="F4151" s="16"/>
      <c r="G4151" s="16"/>
      <c r="H4151" s="24"/>
      <c r="I4151" s="24"/>
      <c r="L4151"/>
    </row>
    <row r="4152" spans="1:12" x14ac:dyDescent="0.25">
      <c r="A4152" s="16"/>
      <c r="D4152" s="16"/>
      <c r="F4152" s="16"/>
      <c r="G4152" s="16"/>
      <c r="H4152" s="24"/>
      <c r="I4152" s="24"/>
      <c r="L4152"/>
    </row>
    <row r="4153" spans="1:12" x14ac:dyDescent="0.25">
      <c r="A4153" s="16"/>
      <c r="D4153" s="16"/>
      <c r="F4153" s="16"/>
      <c r="G4153" s="16"/>
      <c r="H4153" s="24"/>
      <c r="I4153" s="24"/>
      <c r="L4153"/>
    </row>
    <row r="4154" spans="1:12" x14ac:dyDescent="0.25">
      <c r="A4154" s="16"/>
      <c r="D4154" s="16"/>
      <c r="F4154" s="16"/>
      <c r="G4154" s="16"/>
      <c r="H4154" s="24"/>
      <c r="I4154" s="24"/>
      <c r="L4154"/>
    </row>
    <row r="4155" spans="1:12" x14ac:dyDescent="0.25">
      <c r="A4155" s="16"/>
      <c r="D4155" s="16"/>
      <c r="F4155" s="16"/>
      <c r="G4155" s="16"/>
      <c r="H4155" s="24"/>
      <c r="I4155" s="24"/>
      <c r="L4155"/>
    </row>
    <row r="4156" spans="1:12" x14ac:dyDescent="0.25">
      <c r="A4156" s="16"/>
      <c r="D4156" s="16"/>
      <c r="F4156" s="16"/>
      <c r="G4156" s="16"/>
      <c r="H4156" s="24"/>
      <c r="I4156" s="24"/>
      <c r="L4156"/>
    </row>
    <row r="4157" spans="1:12" x14ac:dyDescent="0.25">
      <c r="A4157" s="16"/>
      <c r="D4157" s="16"/>
      <c r="F4157" s="16"/>
      <c r="G4157" s="16"/>
      <c r="H4157" s="24"/>
      <c r="I4157" s="24"/>
      <c r="L4157"/>
    </row>
    <row r="4158" spans="1:12" x14ac:dyDescent="0.25">
      <c r="A4158" s="16"/>
      <c r="D4158" s="16"/>
      <c r="F4158" s="16"/>
      <c r="G4158" s="16"/>
      <c r="H4158" s="24"/>
      <c r="I4158" s="24"/>
      <c r="L4158"/>
    </row>
    <row r="4159" spans="1:12" x14ac:dyDescent="0.25">
      <c r="A4159" s="16"/>
      <c r="D4159" s="16"/>
      <c r="F4159" s="16"/>
      <c r="G4159" s="16"/>
      <c r="H4159" s="24"/>
      <c r="I4159" s="24"/>
      <c r="L4159"/>
    </row>
    <row r="4160" spans="1:12" x14ac:dyDescent="0.25">
      <c r="A4160" s="16"/>
      <c r="D4160" s="16"/>
      <c r="F4160" s="16"/>
      <c r="G4160" s="16"/>
      <c r="H4160" s="24"/>
      <c r="I4160" s="24"/>
      <c r="L4160"/>
    </row>
    <row r="4161" spans="1:12" x14ac:dyDescent="0.25">
      <c r="A4161" s="16"/>
      <c r="D4161" s="16"/>
      <c r="F4161" s="16"/>
      <c r="G4161" s="16"/>
      <c r="H4161" s="24"/>
      <c r="I4161" s="24"/>
      <c r="L4161"/>
    </row>
    <row r="4162" spans="1:12" x14ac:dyDescent="0.25">
      <c r="A4162" s="16"/>
      <c r="D4162" s="16"/>
      <c r="F4162" s="16"/>
      <c r="G4162" s="16"/>
      <c r="H4162" s="24"/>
      <c r="I4162" s="24"/>
      <c r="L4162"/>
    </row>
    <row r="4163" spans="1:12" x14ac:dyDescent="0.25">
      <c r="A4163" s="16"/>
      <c r="D4163" s="16"/>
      <c r="F4163" s="16"/>
      <c r="G4163" s="16"/>
      <c r="H4163" s="24"/>
      <c r="I4163" s="24"/>
      <c r="L4163"/>
    </row>
    <row r="4164" spans="1:12" x14ac:dyDescent="0.25">
      <c r="A4164" s="16"/>
      <c r="D4164" s="16"/>
      <c r="F4164" s="16"/>
      <c r="G4164" s="16"/>
      <c r="H4164" s="24"/>
      <c r="I4164" s="24"/>
      <c r="L4164"/>
    </row>
    <row r="4165" spans="1:12" x14ac:dyDescent="0.25">
      <c r="A4165" s="16"/>
      <c r="D4165" s="16"/>
      <c r="F4165" s="16"/>
      <c r="G4165" s="16"/>
      <c r="H4165" s="24"/>
      <c r="I4165" s="24"/>
      <c r="L4165"/>
    </row>
    <row r="4166" spans="1:12" x14ac:dyDescent="0.25">
      <c r="A4166" s="16"/>
      <c r="D4166" s="16"/>
      <c r="F4166" s="16"/>
      <c r="G4166" s="16"/>
      <c r="H4166" s="24"/>
      <c r="I4166" s="24"/>
      <c r="L4166"/>
    </row>
    <row r="4167" spans="1:12" x14ac:dyDescent="0.25">
      <c r="A4167" s="16"/>
      <c r="D4167" s="16"/>
      <c r="F4167" s="16"/>
      <c r="G4167" s="16"/>
      <c r="H4167" s="24"/>
      <c r="I4167" s="24"/>
      <c r="L4167"/>
    </row>
    <row r="4168" spans="1:12" x14ac:dyDescent="0.25">
      <c r="A4168" s="16"/>
      <c r="D4168" s="16"/>
      <c r="F4168" s="16"/>
      <c r="G4168" s="16"/>
      <c r="H4168" s="24"/>
      <c r="I4168" s="24"/>
      <c r="L4168"/>
    </row>
    <row r="4169" spans="1:12" x14ac:dyDescent="0.25">
      <c r="A4169" s="16"/>
      <c r="D4169" s="16"/>
      <c r="F4169" s="16"/>
      <c r="G4169" s="16"/>
      <c r="H4169" s="24"/>
      <c r="I4169" s="24"/>
      <c r="L4169"/>
    </row>
    <row r="4170" spans="1:12" x14ac:dyDescent="0.25">
      <c r="A4170" s="16"/>
      <c r="D4170" s="16"/>
      <c r="F4170" s="16"/>
      <c r="G4170" s="16"/>
      <c r="H4170" s="24"/>
      <c r="I4170" s="24"/>
      <c r="L4170"/>
    </row>
    <row r="4171" spans="1:12" x14ac:dyDescent="0.25">
      <c r="A4171" s="16"/>
      <c r="D4171" s="16"/>
      <c r="F4171" s="16"/>
      <c r="G4171" s="16"/>
      <c r="H4171" s="24"/>
      <c r="I4171" s="24"/>
      <c r="L4171"/>
    </row>
    <row r="4172" spans="1:12" x14ac:dyDescent="0.25">
      <c r="A4172" s="16"/>
      <c r="D4172" s="16"/>
      <c r="F4172" s="16"/>
      <c r="G4172" s="16"/>
      <c r="H4172" s="24"/>
      <c r="I4172" s="24"/>
      <c r="L4172"/>
    </row>
    <row r="4173" spans="1:12" x14ac:dyDescent="0.25">
      <c r="A4173" s="16"/>
      <c r="D4173" s="16"/>
      <c r="F4173" s="16"/>
      <c r="G4173" s="16"/>
      <c r="H4173" s="24"/>
      <c r="I4173" s="24"/>
      <c r="L4173"/>
    </row>
    <row r="4174" spans="1:12" x14ac:dyDescent="0.25">
      <c r="A4174" s="16"/>
      <c r="D4174" s="16"/>
      <c r="F4174" s="16"/>
      <c r="G4174" s="16"/>
      <c r="H4174" s="24"/>
      <c r="I4174" s="24"/>
      <c r="L4174"/>
    </row>
    <row r="4175" spans="1:12" x14ac:dyDescent="0.25">
      <c r="A4175" s="16"/>
      <c r="D4175" s="16"/>
      <c r="F4175" s="16"/>
      <c r="G4175" s="16"/>
      <c r="H4175" s="24"/>
      <c r="I4175" s="24"/>
      <c r="L4175"/>
    </row>
    <row r="4176" spans="1:12" x14ac:dyDescent="0.25">
      <c r="A4176" s="16"/>
      <c r="D4176" s="16"/>
      <c r="F4176" s="16"/>
      <c r="G4176" s="16"/>
      <c r="H4176" s="24"/>
      <c r="I4176" s="24"/>
      <c r="L4176"/>
    </row>
    <row r="4177" spans="1:12" x14ac:dyDescent="0.25">
      <c r="A4177" s="16"/>
      <c r="D4177" s="16"/>
      <c r="F4177" s="16"/>
      <c r="G4177" s="16"/>
      <c r="H4177" s="24"/>
      <c r="I4177" s="24"/>
      <c r="L4177"/>
    </row>
    <row r="4178" spans="1:12" x14ac:dyDescent="0.25">
      <c r="A4178" s="16"/>
      <c r="D4178" s="16"/>
      <c r="F4178" s="16"/>
      <c r="G4178" s="16"/>
      <c r="H4178" s="24"/>
      <c r="I4178" s="24"/>
      <c r="L4178"/>
    </row>
    <row r="4179" spans="1:12" x14ac:dyDescent="0.25">
      <c r="A4179" s="16"/>
      <c r="D4179" s="16"/>
      <c r="F4179" s="16"/>
      <c r="G4179" s="16"/>
      <c r="H4179" s="24"/>
      <c r="I4179" s="24"/>
      <c r="L4179"/>
    </row>
    <row r="4180" spans="1:12" x14ac:dyDescent="0.25">
      <c r="A4180" s="16"/>
      <c r="D4180" s="16"/>
      <c r="F4180" s="16"/>
      <c r="G4180" s="16"/>
      <c r="H4180" s="24"/>
      <c r="I4180" s="24"/>
      <c r="L4180"/>
    </row>
    <row r="4181" spans="1:12" x14ac:dyDescent="0.25">
      <c r="A4181" s="16"/>
      <c r="D4181" s="16"/>
      <c r="F4181" s="16"/>
      <c r="G4181" s="16"/>
      <c r="H4181" s="24"/>
      <c r="I4181" s="24"/>
      <c r="L4181"/>
    </row>
    <row r="4182" spans="1:12" x14ac:dyDescent="0.25">
      <c r="A4182" s="16"/>
      <c r="D4182" s="16"/>
      <c r="F4182" s="16"/>
      <c r="G4182" s="16"/>
      <c r="H4182" s="24"/>
      <c r="I4182" s="24"/>
      <c r="L4182"/>
    </row>
    <row r="4183" spans="1:12" x14ac:dyDescent="0.25">
      <c r="A4183" s="16"/>
      <c r="D4183" s="16"/>
      <c r="F4183" s="16"/>
      <c r="G4183" s="16"/>
      <c r="H4183" s="24"/>
      <c r="I4183" s="24"/>
      <c r="L4183"/>
    </row>
    <row r="4184" spans="1:12" x14ac:dyDescent="0.25">
      <c r="A4184" s="16"/>
      <c r="D4184" s="16"/>
      <c r="F4184" s="16"/>
      <c r="G4184" s="16"/>
      <c r="H4184" s="24"/>
      <c r="I4184" s="24"/>
      <c r="L4184"/>
    </row>
    <row r="4185" spans="1:12" x14ac:dyDescent="0.25">
      <c r="A4185" s="16"/>
      <c r="D4185" s="16"/>
      <c r="F4185" s="16"/>
      <c r="G4185" s="16"/>
      <c r="H4185" s="24"/>
      <c r="I4185" s="24"/>
      <c r="L4185"/>
    </row>
    <row r="4186" spans="1:12" x14ac:dyDescent="0.25">
      <c r="A4186" s="16"/>
      <c r="D4186" s="16"/>
      <c r="F4186" s="16"/>
      <c r="G4186" s="16"/>
      <c r="H4186" s="24"/>
      <c r="I4186" s="24"/>
      <c r="L4186"/>
    </row>
    <row r="4187" spans="1:12" x14ac:dyDescent="0.25">
      <c r="A4187" s="16"/>
      <c r="D4187" s="16"/>
      <c r="F4187" s="16"/>
      <c r="G4187" s="16"/>
      <c r="H4187" s="24"/>
      <c r="I4187" s="24"/>
      <c r="L4187"/>
    </row>
    <row r="4188" spans="1:12" x14ac:dyDescent="0.25">
      <c r="A4188" s="16"/>
      <c r="D4188" s="16"/>
      <c r="F4188" s="16"/>
      <c r="G4188" s="16"/>
      <c r="H4188" s="24"/>
      <c r="I4188" s="24"/>
      <c r="L4188"/>
    </row>
    <row r="4189" spans="1:12" x14ac:dyDescent="0.25">
      <c r="A4189" s="16"/>
      <c r="D4189" s="16"/>
      <c r="F4189" s="16"/>
      <c r="G4189" s="16"/>
      <c r="H4189" s="24"/>
      <c r="I4189" s="24"/>
      <c r="L4189"/>
    </row>
    <row r="4190" spans="1:12" x14ac:dyDescent="0.25">
      <c r="A4190" s="16"/>
      <c r="D4190" s="16"/>
      <c r="F4190" s="16"/>
      <c r="G4190" s="16"/>
      <c r="H4190" s="24"/>
      <c r="I4190" s="24"/>
      <c r="L4190"/>
    </row>
    <row r="4191" spans="1:12" x14ac:dyDescent="0.25">
      <c r="A4191" s="16"/>
      <c r="D4191" s="16"/>
      <c r="F4191" s="16"/>
      <c r="G4191" s="16"/>
      <c r="H4191" s="24"/>
      <c r="I4191" s="24"/>
      <c r="L4191"/>
    </row>
    <row r="4192" spans="1:12" x14ac:dyDescent="0.25">
      <c r="A4192" s="16"/>
      <c r="D4192" s="16"/>
      <c r="F4192" s="16"/>
      <c r="G4192" s="16"/>
      <c r="H4192" s="24"/>
      <c r="I4192" s="24"/>
      <c r="L4192"/>
    </row>
    <row r="4193" spans="1:12" x14ac:dyDescent="0.25">
      <c r="A4193" s="16"/>
      <c r="D4193" s="16"/>
      <c r="F4193" s="16"/>
      <c r="G4193" s="16"/>
      <c r="H4193" s="24"/>
      <c r="I4193" s="24"/>
      <c r="L4193"/>
    </row>
    <row r="4194" spans="1:12" x14ac:dyDescent="0.25">
      <c r="A4194" s="16"/>
      <c r="D4194" s="16"/>
      <c r="F4194" s="16"/>
      <c r="G4194" s="16"/>
      <c r="H4194" s="24"/>
      <c r="I4194" s="24"/>
      <c r="L4194"/>
    </row>
    <row r="4195" spans="1:12" x14ac:dyDescent="0.25">
      <c r="A4195" s="16"/>
      <c r="D4195" s="16"/>
      <c r="F4195" s="16"/>
      <c r="G4195" s="16"/>
      <c r="H4195" s="24"/>
      <c r="I4195" s="24"/>
      <c r="L4195"/>
    </row>
    <row r="4196" spans="1:12" x14ac:dyDescent="0.25">
      <c r="A4196" s="16"/>
      <c r="D4196" s="16"/>
      <c r="F4196" s="16"/>
      <c r="G4196" s="16"/>
      <c r="H4196" s="24"/>
      <c r="I4196" s="24"/>
      <c r="L4196"/>
    </row>
    <row r="4197" spans="1:12" x14ac:dyDescent="0.25">
      <c r="A4197" s="16"/>
      <c r="D4197" s="16"/>
      <c r="F4197" s="16"/>
      <c r="G4197" s="16"/>
      <c r="H4197" s="24"/>
      <c r="I4197" s="24"/>
      <c r="L4197"/>
    </row>
    <row r="4198" spans="1:12" x14ac:dyDescent="0.25">
      <c r="A4198" s="16"/>
      <c r="D4198" s="16"/>
      <c r="F4198" s="16"/>
      <c r="G4198" s="16"/>
      <c r="H4198" s="24"/>
      <c r="I4198" s="24"/>
      <c r="L4198"/>
    </row>
    <row r="4199" spans="1:12" x14ac:dyDescent="0.25">
      <c r="A4199" s="16"/>
      <c r="D4199" s="16"/>
      <c r="F4199" s="16"/>
      <c r="G4199" s="16"/>
      <c r="H4199" s="24"/>
      <c r="I4199" s="24"/>
      <c r="L4199"/>
    </row>
    <row r="4200" spans="1:12" x14ac:dyDescent="0.25">
      <c r="A4200" s="16"/>
      <c r="D4200" s="16"/>
      <c r="F4200" s="16"/>
      <c r="G4200" s="16"/>
      <c r="H4200" s="24"/>
      <c r="I4200" s="24"/>
      <c r="L4200"/>
    </row>
    <row r="4201" spans="1:12" x14ac:dyDescent="0.25">
      <c r="A4201" s="16"/>
      <c r="D4201" s="16"/>
      <c r="F4201" s="16"/>
      <c r="G4201" s="16"/>
      <c r="H4201" s="24"/>
      <c r="I4201" s="24"/>
      <c r="L4201"/>
    </row>
    <row r="4202" spans="1:12" x14ac:dyDescent="0.25">
      <c r="A4202" s="16"/>
      <c r="D4202" s="16"/>
      <c r="F4202" s="16"/>
      <c r="G4202" s="16"/>
      <c r="H4202" s="24"/>
      <c r="I4202" s="24"/>
      <c r="L4202"/>
    </row>
    <row r="4203" spans="1:12" x14ac:dyDescent="0.25">
      <c r="A4203" s="16"/>
      <c r="D4203" s="16"/>
      <c r="F4203" s="16"/>
      <c r="G4203" s="16"/>
      <c r="H4203" s="24"/>
      <c r="I4203" s="24"/>
      <c r="L4203"/>
    </row>
    <row r="4204" spans="1:12" x14ac:dyDescent="0.25">
      <c r="A4204" s="16"/>
      <c r="D4204" s="16"/>
      <c r="F4204" s="16"/>
      <c r="G4204" s="16"/>
      <c r="H4204" s="24"/>
      <c r="I4204" s="24"/>
      <c r="L4204"/>
    </row>
    <row r="4205" spans="1:12" x14ac:dyDescent="0.25">
      <c r="A4205" s="16"/>
      <c r="D4205" s="16"/>
      <c r="F4205" s="16"/>
      <c r="G4205" s="16"/>
      <c r="H4205" s="24"/>
      <c r="I4205" s="24"/>
      <c r="L4205"/>
    </row>
    <row r="4206" spans="1:12" x14ac:dyDescent="0.25">
      <c r="A4206" s="16"/>
      <c r="D4206" s="16"/>
      <c r="F4206" s="16"/>
      <c r="G4206" s="16"/>
      <c r="H4206" s="24"/>
      <c r="I4206" s="24"/>
      <c r="L4206"/>
    </row>
    <row r="4207" spans="1:12" x14ac:dyDescent="0.25">
      <c r="A4207" s="16"/>
      <c r="D4207" s="16"/>
      <c r="F4207" s="16"/>
      <c r="G4207" s="16"/>
      <c r="H4207" s="24"/>
      <c r="I4207" s="24"/>
      <c r="L4207"/>
    </row>
    <row r="4208" spans="1:12" x14ac:dyDescent="0.25">
      <c r="A4208" s="16"/>
      <c r="D4208" s="16"/>
      <c r="F4208" s="16"/>
      <c r="G4208" s="16"/>
      <c r="H4208" s="24"/>
      <c r="I4208" s="24"/>
      <c r="L4208"/>
    </row>
    <row r="4209" spans="1:12" x14ac:dyDescent="0.25">
      <c r="A4209" s="16"/>
      <c r="D4209" s="16"/>
      <c r="F4209" s="16"/>
      <c r="G4209" s="16"/>
      <c r="H4209" s="24"/>
      <c r="I4209" s="24"/>
      <c r="L4209"/>
    </row>
    <row r="4210" spans="1:12" x14ac:dyDescent="0.25">
      <c r="A4210" s="16"/>
      <c r="D4210" s="16"/>
      <c r="F4210" s="16"/>
      <c r="G4210" s="16"/>
      <c r="H4210" s="24"/>
      <c r="I4210" s="24"/>
      <c r="L4210"/>
    </row>
    <row r="4211" spans="1:12" x14ac:dyDescent="0.25">
      <c r="A4211" s="16"/>
      <c r="D4211" s="16"/>
      <c r="F4211" s="16"/>
      <c r="G4211" s="16"/>
      <c r="H4211" s="24"/>
      <c r="I4211" s="24"/>
      <c r="L4211"/>
    </row>
    <row r="4212" spans="1:12" x14ac:dyDescent="0.25">
      <c r="A4212" s="16"/>
      <c r="D4212" s="16"/>
      <c r="F4212" s="16"/>
      <c r="G4212" s="16"/>
      <c r="H4212" s="24"/>
      <c r="I4212" s="24"/>
      <c r="L4212"/>
    </row>
    <row r="4213" spans="1:12" x14ac:dyDescent="0.25">
      <c r="A4213" s="16"/>
      <c r="D4213" s="16"/>
      <c r="F4213" s="16"/>
      <c r="G4213" s="16"/>
      <c r="H4213" s="24"/>
      <c r="I4213" s="24"/>
      <c r="L4213"/>
    </row>
    <row r="4214" spans="1:12" x14ac:dyDescent="0.25">
      <c r="A4214" s="16"/>
      <c r="D4214" s="16"/>
      <c r="F4214" s="16"/>
      <c r="G4214" s="16"/>
      <c r="H4214" s="24"/>
      <c r="I4214" s="24"/>
      <c r="L4214"/>
    </row>
    <row r="4215" spans="1:12" x14ac:dyDescent="0.25">
      <c r="A4215" s="16"/>
      <c r="D4215" s="16"/>
      <c r="F4215" s="16"/>
      <c r="G4215" s="16"/>
      <c r="H4215" s="24"/>
      <c r="I4215" s="24"/>
      <c r="L4215"/>
    </row>
    <row r="4216" spans="1:12" x14ac:dyDescent="0.25">
      <c r="A4216" s="16"/>
      <c r="D4216" s="16"/>
      <c r="F4216" s="16"/>
      <c r="G4216" s="16"/>
      <c r="H4216" s="24"/>
      <c r="I4216" s="24"/>
      <c r="L4216"/>
    </row>
    <row r="4217" spans="1:12" x14ac:dyDescent="0.25">
      <c r="A4217" s="16"/>
      <c r="D4217" s="16"/>
      <c r="F4217" s="16"/>
      <c r="G4217" s="16"/>
      <c r="H4217" s="24"/>
      <c r="I4217" s="24"/>
      <c r="L4217"/>
    </row>
    <row r="4218" spans="1:12" x14ac:dyDescent="0.25">
      <c r="A4218" s="16"/>
      <c r="D4218" s="16"/>
      <c r="F4218" s="16"/>
      <c r="G4218" s="16"/>
      <c r="H4218" s="24"/>
      <c r="I4218" s="24"/>
      <c r="L4218"/>
    </row>
    <row r="4219" spans="1:12" x14ac:dyDescent="0.25">
      <c r="A4219" s="16"/>
      <c r="D4219" s="16"/>
      <c r="F4219" s="16"/>
      <c r="G4219" s="16"/>
      <c r="H4219" s="24"/>
      <c r="I4219" s="24"/>
      <c r="L4219"/>
    </row>
    <row r="4220" spans="1:12" x14ac:dyDescent="0.25">
      <c r="A4220" s="16"/>
      <c r="D4220" s="16"/>
      <c r="F4220" s="16"/>
      <c r="G4220" s="16"/>
      <c r="H4220" s="24"/>
      <c r="I4220" s="24"/>
      <c r="L4220"/>
    </row>
    <row r="4221" spans="1:12" x14ac:dyDescent="0.25">
      <c r="A4221" s="16"/>
      <c r="D4221" s="16"/>
      <c r="F4221" s="16"/>
      <c r="G4221" s="16"/>
      <c r="H4221" s="24"/>
      <c r="I4221" s="24"/>
      <c r="L4221"/>
    </row>
    <row r="4222" spans="1:12" x14ac:dyDescent="0.25">
      <c r="A4222" s="16"/>
      <c r="D4222" s="16"/>
      <c r="F4222" s="16"/>
      <c r="G4222" s="16"/>
      <c r="H4222" s="24"/>
      <c r="I4222" s="24"/>
      <c r="L4222"/>
    </row>
    <row r="4223" spans="1:12" x14ac:dyDescent="0.25">
      <c r="A4223" s="16"/>
      <c r="D4223" s="16"/>
      <c r="F4223" s="16"/>
      <c r="G4223" s="16"/>
      <c r="H4223" s="24"/>
      <c r="I4223" s="24"/>
      <c r="L4223"/>
    </row>
    <row r="4224" spans="1:12" x14ac:dyDescent="0.25">
      <c r="A4224" s="16"/>
      <c r="D4224" s="16"/>
      <c r="F4224" s="16"/>
      <c r="G4224" s="16"/>
      <c r="H4224" s="24"/>
      <c r="I4224" s="24"/>
      <c r="L4224"/>
    </row>
    <row r="4225" spans="1:12" x14ac:dyDescent="0.25">
      <c r="A4225" s="16"/>
      <c r="D4225" s="16"/>
      <c r="F4225" s="16"/>
      <c r="G4225" s="16"/>
      <c r="H4225" s="24"/>
      <c r="I4225" s="24"/>
      <c r="L4225"/>
    </row>
    <row r="4226" spans="1:12" x14ac:dyDescent="0.25">
      <c r="A4226" s="16"/>
      <c r="D4226" s="16"/>
      <c r="F4226" s="16"/>
      <c r="G4226" s="16"/>
      <c r="H4226" s="24"/>
      <c r="I4226" s="24"/>
      <c r="L4226"/>
    </row>
    <row r="4227" spans="1:12" x14ac:dyDescent="0.25">
      <c r="A4227" s="16"/>
      <c r="D4227" s="16"/>
      <c r="F4227" s="16"/>
      <c r="G4227" s="16"/>
      <c r="H4227" s="24"/>
      <c r="I4227" s="24"/>
      <c r="L4227"/>
    </row>
    <row r="4228" spans="1:12" x14ac:dyDescent="0.25">
      <c r="A4228" s="16"/>
      <c r="D4228" s="16"/>
      <c r="F4228" s="16"/>
      <c r="G4228" s="16"/>
      <c r="H4228" s="24"/>
      <c r="I4228" s="24"/>
      <c r="L4228"/>
    </row>
    <row r="4229" spans="1:12" x14ac:dyDescent="0.25">
      <c r="A4229" s="16"/>
      <c r="D4229" s="16"/>
      <c r="F4229" s="16"/>
      <c r="G4229" s="16"/>
      <c r="H4229" s="24"/>
      <c r="I4229" s="24"/>
      <c r="L4229"/>
    </row>
    <row r="4230" spans="1:12" x14ac:dyDescent="0.25">
      <c r="A4230" s="16"/>
      <c r="D4230" s="16"/>
      <c r="F4230" s="16"/>
      <c r="G4230" s="16"/>
      <c r="H4230" s="24"/>
      <c r="I4230" s="24"/>
      <c r="L4230"/>
    </row>
    <row r="4231" spans="1:12" x14ac:dyDescent="0.25">
      <c r="A4231" s="16"/>
      <c r="D4231" s="16"/>
      <c r="F4231" s="16"/>
      <c r="G4231" s="16"/>
      <c r="H4231" s="24"/>
      <c r="I4231" s="24"/>
      <c r="L4231"/>
    </row>
    <row r="4232" spans="1:12" x14ac:dyDescent="0.25">
      <c r="A4232" s="16"/>
      <c r="D4232" s="16"/>
      <c r="F4232" s="16"/>
      <c r="G4232" s="16"/>
      <c r="H4232" s="24"/>
      <c r="I4232" s="24"/>
      <c r="L4232"/>
    </row>
    <row r="4233" spans="1:12" x14ac:dyDescent="0.25">
      <c r="A4233" s="16"/>
      <c r="D4233" s="16"/>
      <c r="F4233" s="16"/>
      <c r="G4233" s="16"/>
      <c r="H4233" s="24"/>
      <c r="I4233" s="24"/>
      <c r="L4233"/>
    </row>
    <row r="4234" spans="1:12" x14ac:dyDescent="0.25">
      <c r="A4234" s="16"/>
      <c r="D4234" s="16"/>
      <c r="F4234" s="16"/>
      <c r="G4234" s="16"/>
      <c r="H4234" s="24"/>
      <c r="I4234" s="24"/>
      <c r="L4234"/>
    </row>
    <row r="4235" spans="1:12" x14ac:dyDescent="0.25">
      <c r="A4235" s="16"/>
      <c r="D4235" s="16"/>
      <c r="F4235" s="16"/>
      <c r="G4235" s="16"/>
      <c r="H4235" s="24"/>
      <c r="I4235" s="24"/>
      <c r="L4235"/>
    </row>
    <row r="4236" spans="1:12" x14ac:dyDescent="0.25">
      <c r="A4236" s="16"/>
      <c r="D4236" s="16"/>
      <c r="F4236" s="16"/>
      <c r="G4236" s="16"/>
      <c r="H4236" s="24"/>
      <c r="I4236" s="24"/>
      <c r="L4236"/>
    </row>
    <row r="4237" spans="1:12" x14ac:dyDescent="0.25">
      <c r="A4237" s="16"/>
      <c r="D4237" s="16"/>
      <c r="F4237" s="16"/>
      <c r="G4237" s="16"/>
      <c r="H4237" s="24"/>
      <c r="I4237" s="24"/>
      <c r="L4237"/>
    </row>
    <row r="4238" spans="1:12" x14ac:dyDescent="0.25">
      <c r="A4238" s="16"/>
      <c r="D4238" s="16"/>
      <c r="F4238" s="16"/>
      <c r="G4238" s="16"/>
      <c r="H4238" s="24"/>
      <c r="I4238" s="24"/>
      <c r="L4238"/>
    </row>
    <row r="4239" spans="1:12" x14ac:dyDescent="0.25">
      <c r="A4239" s="16"/>
      <c r="D4239" s="16"/>
      <c r="F4239" s="16"/>
      <c r="G4239" s="16"/>
      <c r="H4239" s="24"/>
      <c r="I4239" s="24"/>
      <c r="L4239"/>
    </row>
    <row r="4240" spans="1:12" x14ac:dyDescent="0.25">
      <c r="A4240" s="16"/>
      <c r="D4240" s="16"/>
      <c r="F4240" s="16"/>
      <c r="G4240" s="16"/>
      <c r="H4240" s="24"/>
      <c r="I4240" s="24"/>
      <c r="L4240"/>
    </row>
    <row r="4241" spans="1:12" x14ac:dyDescent="0.25">
      <c r="A4241" s="16"/>
      <c r="D4241" s="16"/>
      <c r="F4241" s="16"/>
      <c r="G4241" s="16"/>
      <c r="H4241" s="24"/>
      <c r="I4241" s="24"/>
      <c r="L4241"/>
    </row>
    <row r="4242" spans="1:12" x14ac:dyDescent="0.25">
      <c r="A4242" s="16"/>
      <c r="D4242" s="16"/>
      <c r="F4242" s="16"/>
      <c r="G4242" s="16"/>
      <c r="H4242" s="24"/>
      <c r="I4242" s="24"/>
      <c r="L4242"/>
    </row>
    <row r="4243" spans="1:12" x14ac:dyDescent="0.25">
      <c r="A4243" s="16"/>
      <c r="D4243" s="16"/>
      <c r="F4243" s="16"/>
      <c r="G4243" s="16"/>
      <c r="H4243" s="24"/>
      <c r="I4243" s="24"/>
      <c r="L4243"/>
    </row>
    <row r="4244" spans="1:12" x14ac:dyDescent="0.25">
      <c r="A4244" s="16"/>
      <c r="D4244" s="16"/>
      <c r="F4244" s="16"/>
      <c r="G4244" s="16"/>
      <c r="H4244" s="24"/>
      <c r="I4244" s="24"/>
      <c r="L4244"/>
    </row>
    <row r="4245" spans="1:12" x14ac:dyDescent="0.25">
      <c r="A4245" s="16"/>
      <c r="D4245" s="16"/>
      <c r="F4245" s="16"/>
      <c r="G4245" s="16"/>
      <c r="H4245" s="24"/>
      <c r="I4245" s="24"/>
      <c r="L4245"/>
    </row>
    <row r="4246" spans="1:12" x14ac:dyDescent="0.25">
      <c r="A4246" s="16"/>
      <c r="D4246" s="16"/>
      <c r="F4246" s="16"/>
      <c r="G4246" s="16"/>
      <c r="H4246" s="24"/>
      <c r="I4246" s="24"/>
      <c r="L4246"/>
    </row>
    <row r="4247" spans="1:12" x14ac:dyDescent="0.25">
      <c r="A4247" s="16"/>
      <c r="D4247" s="16"/>
      <c r="F4247" s="16"/>
      <c r="G4247" s="16"/>
      <c r="H4247" s="24"/>
      <c r="I4247" s="24"/>
      <c r="L4247"/>
    </row>
    <row r="4248" spans="1:12" x14ac:dyDescent="0.25">
      <c r="A4248" s="16"/>
      <c r="D4248" s="16"/>
      <c r="F4248" s="16"/>
      <c r="G4248" s="16"/>
      <c r="H4248" s="24"/>
      <c r="I4248" s="24"/>
      <c r="L4248"/>
    </row>
    <row r="4249" spans="1:12" x14ac:dyDescent="0.25">
      <c r="A4249" s="16"/>
      <c r="D4249" s="16"/>
      <c r="F4249" s="16"/>
      <c r="G4249" s="16"/>
      <c r="H4249" s="24"/>
      <c r="I4249" s="24"/>
      <c r="L4249"/>
    </row>
    <row r="4250" spans="1:12" x14ac:dyDescent="0.25">
      <c r="A4250" s="16"/>
      <c r="D4250" s="16"/>
      <c r="F4250" s="16"/>
      <c r="G4250" s="16"/>
      <c r="H4250" s="24"/>
      <c r="I4250" s="24"/>
      <c r="L4250"/>
    </row>
    <row r="4251" spans="1:12" x14ac:dyDescent="0.25">
      <c r="A4251" s="16"/>
      <c r="D4251" s="16"/>
      <c r="F4251" s="16"/>
      <c r="G4251" s="16"/>
      <c r="H4251" s="24"/>
      <c r="I4251" s="24"/>
      <c r="L4251"/>
    </row>
    <row r="4252" spans="1:12" x14ac:dyDescent="0.25">
      <c r="A4252" s="16"/>
      <c r="D4252" s="16"/>
      <c r="F4252" s="16"/>
      <c r="G4252" s="16"/>
      <c r="H4252" s="24"/>
      <c r="I4252" s="24"/>
      <c r="L4252"/>
    </row>
    <row r="4253" spans="1:12" x14ac:dyDescent="0.25">
      <c r="A4253" s="16"/>
      <c r="D4253" s="16"/>
      <c r="F4253" s="16"/>
      <c r="G4253" s="16"/>
      <c r="H4253" s="24"/>
      <c r="I4253" s="24"/>
      <c r="L4253"/>
    </row>
    <row r="4254" spans="1:12" x14ac:dyDescent="0.25">
      <c r="A4254" s="16"/>
      <c r="D4254" s="16"/>
      <c r="F4254" s="16"/>
      <c r="G4254" s="16"/>
      <c r="H4254" s="24"/>
      <c r="I4254" s="24"/>
      <c r="L4254"/>
    </row>
    <row r="4255" spans="1:12" x14ac:dyDescent="0.25">
      <c r="A4255" s="16"/>
      <c r="D4255" s="16"/>
      <c r="F4255" s="16"/>
      <c r="G4255" s="16"/>
      <c r="H4255" s="24"/>
      <c r="I4255" s="24"/>
      <c r="L4255"/>
    </row>
    <row r="4256" spans="1:12" x14ac:dyDescent="0.25">
      <c r="A4256" s="16"/>
      <c r="D4256" s="16"/>
      <c r="F4256" s="16"/>
      <c r="G4256" s="16"/>
      <c r="H4256" s="24"/>
      <c r="I4256" s="24"/>
      <c r="L4256"/>
    </row>
    <row r="4257" spans="1:12" x14ac:dyDescent="0.25">
      <c r="A4257" s="16"/>
      <c r="D4257" s="16"/>
      <c r="F4257" s="16"/>
      <c r="G4257" s="16"/>
      <c r="H4257" s="24"/>
      <c r="I4257" s="24"/>
      <c r="L4257"/>
    </row>
    <row r="4258" spans="1:12" x14ac:dyDescent="0.25">
      <c r="A4258" s="16"/>
      <c r="D4258" s="16"/>
      <c r="F4258" s="16"/>
      <c r="G4258" s="16"/>
      <c r="H4258" s="24"/>
      <c r="I4258" s="24"/>
      <c r="L4258"/>
    </row>
    <row r="4259" spans="1:12" x14ac:dyDescent="0.25">
      <c r="A4259" s="16"/>
      <c r="D4259" s="16"/>
      <c r="F4259" s="16"/>
      <c r="G4259" s="16"/>
      <c r="H4259" s="24"/>
      <c r="I4259" s="24"/>
      <c r="L4259"/>
    </row>
    <row r="4260" spans="1:12" x14ac:dyDescent="0.25">
      <c r="A4260" s="16"/>
      <c r="D4260" s="16"/>
      <c r="F4260" s="16"/>
      <c r="G4260" s="16"/>
      <c r="H4260" s="24"/>
      <c r="I4260" s="24"/>
      <c r="L4260"/>
    </row>
    <row r="4261" spans="1:12" x14ac:dyDescent="0.25">
      <c r="A4261" s="16"/>
      <c r="D4261" s="16"/>
      <c r="F4261" s="16"/>
      <c r="G4261" s="16"/>
      <c r="H4261" s="24"/>
      <c r="I4261" s="24"/>
      <c r="L4261"/>
    </row>
    <row r="4262" spans="1:12" x14ac:dyDescent="0.25">
      <c r="A4262" s="16"/>
      <c r="D4262" s="16"/>
      <c r="F4262" s="16"/>
      <c r="G4262" s="16"/>
      <c r="H4262" s="24"/>
      <c r="I4262" s="24"/>
      <c r="L4262"/>
    </row>
    <row r="4263" spans="1:12" x14ac:dyDescent="0.25">
      <c r="A4263" s="16"/>
      <c r="D4263" s="16"/>
      <c r="F4263" s="16"/>
      <c r="G4263" s="16"/>
      <c r="H4263" s="24"/>
      <c r="I4263" s="24"/>
      <c r="L4263"/>
    </row>
    <row r="4264" spans="1:12" x14ac:dyDescent="0.25">
      <c r="A4264" s="16"/>
      <c r="D4264" s="16"/>
      <c r="F4264" s="16"/>
      <c r="G4264" s="16"/>
      <c r="H4264" s="24"/>
      <c r="I4264" s="24"/>
      <c r="L4264"/>
    </row>
    <row r="4265" spans="1:12" x14ac:dyDescent="0.25">
      <c r="A4265" s="16"/>
      <c r="D4265" s="16"/>
      <c r="F4265" s="16"/>
      <c r="G4265" s="16"/>
      <c r="H4265" s="24"/>
      <c r="I4265" s="24"/>
      <c r="L4265"/>
    </row>
    <row r="4266" spans="1:12" x14ac:dyDescent="0.25">
      <c r="A4266" s="16"/>
      <c r="D4266" s="16"/>
      <c r="F4266" s="16"/>
      <c r="G4266" s="16"/>
      <c r="H4266" s="24"/>
      <c r="I4266" s="24"/>
      <c r="L4266"/>
    </row>
    <row r="4267" spans="1:12" x14ac:dyDescent="0.25">
      <c r="A4267" s="16"/>
      <c r="D4267" s="16"/>
      <c r="F4267" s="16"/>
      <c r="G4267" s="16"/>
      <c r="H4267" s="24"/>
      <c r="I4267" s="24"/>
      <c r="L4267"/>
    </row>
    <row r="4268" spans="1:12" x14ac:dyDescent="0.25">
      <c r="A4268" s="16"/>
      <c r="D4268" s="16"/>
      <c r="F4268" s="16"/>
      <c r="G4268" s="16"/>
      <c r="H4268" s="24"/>
      <c r="I4268" s="24"/>
      <c r="L4268"/>
    </row>
    <row r="4269" spans="1:12" x14ac:dyDescent="0.25">
      <c r="A4269" s="16"/>
      <c r="D4269" s="16"/>
      <c r="F4269" s="16"/>
      <c r="G4269" s="16"/>
      <c r="H4269" s="24"/>
      <c r="I4269" s="24"/>
      <c r="L4269"/>
    </row>
    <row r="4270" spans="1:12" x14ac:dyDescent="0.25">
      <c r="A4270" s="16"/>
      <c r="D4270" s="16"/>
      <c r="F4270" s="16"/>
      <c r="G4270" s="16"/>
      <c r="H4270" s="24"/>
      <c r="I4270" s="24"/>
      <c r="L4270"/>
    </row>
    <row r="4271" spans="1:12" x14ac:dyDescent="0.25">
      <c r="A4271" s="16"/>
      <c r="D4271" s="16"/>
      <c r="F4271" s="16"/>
      <c r="G4271" s="16"/>
      <c r="H4271" s="24"/>
      <c r="I4271" s="24"/>
      <c r="L4271"/>
    </row>
    <row r="4272" spans="1:12" x14ac:dyDescent="0.25">
      <c r="A4272" s="16"/>
      <c r="D4272" s="16"/>
      <c r="F4272" s="16"/>
      <c r="G4272" s="16"/>
      <c r="H4272" s="24"/>
      <c r="I4272" s="24"/>
      <c r="L4272"/>
    </row>
    <row r="4273" spans="1:12" x14ac:dyDescent="0.25">
      <c r="A4273" s="16"/>
      <c r="D4273" s="16"/>
      <c r="F4273" s="16"/>
      <c r="G4273" s="16"/>
      <c r="H4273" s="24"/>
      <c r="I4273" s="24"/>
      <c r="L4273"/>
    </row>
    <row r="4274" spans="1:12" x14ac:dyDescent="0.25">
      <c r="A4274" s="16"/>
      <c r="D4274" s="16"/>
      <c r="F4274" s="16"/>
      <c r="G4274" s="16"/>
      <c r="H4274" s="24"/>
      <c r="I4274" s="24"/>
      <c r="L4274"/>
    </row>
    <row r="4275" spans="1:12" x14ac:dyDescent="0.25">
      <c r="A4275" s="16"/>
      <c r="D4275" s="16"/>
      <c r="F4275" s="16"/>
      <c r="G4275" s="16"/>
      <c r="H4275" s="24"/>
      <c r="I4275" s="24"/>
      <c r="L4275"/>
    </row>
    <row r="4276" spans="1:12" x14ac:dyDescent="0.25">
      <c r="A4276" s="16"/>
      <c r="D4276" s="16"/>
      <c r="F4276" s="16"/>
      <c r="G4276" s="16"/>
      <c r="H4276" s="24"/>
      <c r="I4276" s="24"/>
      <c r="L4276"/>
    </row>
    <row r="4277" spans="1:12" x14ac:dyDescent="0.25">
      <c r="A4277" s="16"/>
      <c r="D4277" s="16"/>
      <c r="F4277" s="16"/>
      <c r="G4277" s="16"/>
      <c r="H4277" s="24"/>
      <c r="I4277" s="24"/>
      <c r="L4277"/>
    </row>
    <row r="4278" spans="1:12" x14ac:dyDescent="0.25">
      <c r="A4278" s="16"/>
      <c r="D4278" s="16"/>
      <c r="F4278" s="16"/>
      <c r="G4278" s="16"/>
      <c r="H4278" s="24"/>
      <c r="I4278" s="24"/>
      <c r="L4278"/>
    </row>
    <row r="4279" spans="1:12" x14ac:dyDescent="0.25">
      <c r="A4279" s="16"/>
      <c r="D4279" s="16"/>
      <c r="F4279" s="16"/>
      <c r="G4279" s="16"/>
      <c r="H4279" s="24"/>
      <c r="I4279" s="24"/>
      <c r="L4279"/>
    </row>
    <row r="4280" spans="1:12" x14ac:dyDescent="0.25">
      <c r="A4280" s="16"/>
      <c r="D4280" s="16"/>
      <c r="F4280" s="16"/>
      <c r="G4280" s="16"/>
      <c r="H4280" s="24"/>
      <c r="I4280" s="24"/>
      <c r="L4280"/>
    </row>
    <row r="4281" spans="1:12" x14ac:dyDescent="0.25">
      <c r="A4281" s="16"/>
      <c r="D4281" s="16"/>
      <c r="F4281" s="16"/>
      <c r="G4281" s="16"/>
      <c r="H4281" s="24"/>
      <c r="I4281" s="24"/>
      <c r="L4281"/>
    </row>
    <row r="4282" spans="1:12" x14ac:dyDescent="0.25">
      <c r="A4282" s="16"/>
      <c r="D4282" s="16"/>
      <c r="F4282" s="16"/>
      <c r="G4282" s="16"/>
      <c r="H4282" s="24"/>
      <c r="I4282" s="24"/>
      <c r="L4282"/>
    </row>
    <row r="4283" spans="1:12" x14ac:dyDescent="0.25">
      <c r="A4283" s="16"/>
      <c r="D4283" s="16"/>
      <c r="F4283" s="16"/>
      <c r="G4283" s="16"/>
      <c r="H4283" s="24"/>
      <c r="I4283" s="24"/>
      <c r="L4283"/>
    </row>
    <row r="4284" spans="1:12" x14ac:dyDescent="0.25">
      <c r="A4284" s="16"/>
      <c r="D4284" s="16"/>
      <c r="F4284" s="16"/>
      <c r="G4284" s="16"/>
      <c r="H4284" s="24"/>
      <c r="I4284" s="24"/>
      <c r="L4284"/>
    </row>
    <row r="4285" spans="1:12" x14ac:dyDescent="0.25">
      <c r="A4285" s="16"/>
      <c r="D4285" s="16"/>
      <c r="F4285" s="16"/>
      <c r="G4285" s="16"/>
      <c r="H4285" s="24"/>
      <c r="I4285" s="24"/>
      <c r="L4285"/>
    </row>
    <row r="4286" spans="1:12" x14ac:dyDescent="0.25">
      <c r="A4286" s="16"/>
      <c r="D4286" s="16"/>
      <c r="F4286" s="16"/>
      <c r="G4286" s="16"/>
      <c r="H4286" s="24"/>
      <c r="I4286" s="24"/>
      <c r="L4286"/>
    </row>
    <row r="4287" spans="1:12" x14ac:dyDescent="0.25">
      <c r="A4287" s="16"/>
      <c r="D4287" s="16"/>
      <c r="F4287" s="16"/>
      <c r="G4287" s="16"/>
      <c r="H4287" s="24"/>
      <c r="I4287" s="24"/>
      <c r="L4287"/>
    </row>
    <row r="4288" spans="1:12" x14ac:dyDescent="0.25">
      <c r="A4288" s="16"/>
      <c r="D4288" s="16"/>
      <c r="F4288" s="16"/>
      <c r="G4288" s="16"/>
      <c r="H4288" s="24"/>
      <c r="I4288" s="24"/>
      <c r="L4288"/>
    </row>
    <row r="4289" spans="1:12" x14ac:dyDescent="0.25">
      <c r="A4289" s="16"/>
      <c r="D4289" s="16"/>
      <c r="F4289" s="16"/>
      <c r="G4289" s="16"/>
      <c r="H4289" s="24"/>
      <c r="I4289" s="24"/>
      <c r="L4289"/>
    </row>
    <row r="4290" spans="1:12" x14ac:dyDescent="0.25">
      <c r="A4290" s="16"/>
      <c r="D4290" s="16"/>
      <c r="F4290" s="16"/>
      <c r="G4290" s="16"/>
      <c r="H4290" s="24"/>
      <c r="I4290" s="24"/>
      <c r="L4290"/>
    </row>
    <row r="4291" spans="1:12" x14ac:dyDescent="0.25">
      <c r="A4291" s="16"/>
      <c r="D4291" s="16"/>
      <c r="F4291" s="16"/>
      <c r="G4291" s="16"/>
      <c r="H4291" s="24"/>
      <c r="I4291" s="24"/>
      <c r="L4291"/>
    </row>
    <row r="4292" spans="1:12" x14ac:dyDescent="0.25">
      <c r="A4292" s="16"/>
      <c r="D4292" s="16"/>
      <c r="F4292" s="16"/>
      <c r="G4292" s="16"/>
      <c r="H4292" s="24"/>
      <c r="I4292" s="24"/>
      <c r="L4292"/>
    </row>
    <row r="4293" spans="1:12" x14ac:dyDescent="0.25">
      <c r="A4293" s="16"/>
      <c r="D4293" s="16"/>
      <c r="F4293" s="16"/>
      <c r="G4293" s="16"/>
      <c r="H4293" s="24"/>
      <c r="I4293" s="24"/>
      <c r="L4293"/>
    </row>
    <row r="4294" spans="1:12" x14ac:dyDescent="0.25">
      <c r="A4294" s="16"/>
      <c r="D4294" s="16"/>
      <c r="F4294" s="16"/>
      <c r="G4294" s="16"/>
      <c r="H4294" s="24"/>
      <c r="I4294" s="24"/>
      <c r="L4294"/>
    </row>
    <row r="4295" spans="1:12" x14ac:dyDescent="0.25">
      <c r="A4295" s="16"/>
      <c r="D4295" s="16"/>
      <c r="F4295" s="16"/>
      <c r="G4295" s="16"/>
      <c r="H4295" s="24"/>
      <c r="I4295" s="24"/>
      <c r="L4295"/>
    </row>
    <row r="4296" spans="1:12" x14ac:dyDescent="0.25">
      <c r="A4296" s="16"/>
      <c r="D4296" s="16"/>
      <c r="F4296" s="16"/>
      <c r="G4296" s="16"/>
      <c r="H4296" s="24"/>
      <c r="I4296" s="24"/>
      <c r="L4296"/>
    </row>
    <row r="4297" spans="1:12" x14ac:dyDescent="0.25">
      <c r="A4297" s="16"/>
      <c r="D4297" s="16"/>
      <c r="F4297" s="16"/>
      <c r="G4297" s="16"/>
      <c r="H4297" s="24"/>
      <c r="I4297" s="24"/>
      <c r="L4297"/>
    </row>
    <row r="4298" spans="1:12" x14ac:dyDescent="0.25">
      <c r="A4298" s="16"/>
      <c r="D4298" s="16"/>
      <c r="F4298" s="16"/>
      <c r="G4298" s="16"/>
      <c r="H4298" s="24"/>
      <c r="I4298" s="24"/>
      <c r="L4298"/>
    </row>
    <row r="4299" spans="1:12" x14ac:dyDescent="0.25">
      <c r="A4299" s="16"/>
      <c r="D4299" s="16"/>
      <c r="F4299" s="16"/>
      <c r="G4299" s="16"/>
      <c r="H4299" s="24"/>
      <c r="I4299" s="24"/>
      <c r="L4299"/>
    </row>
    <row r="4300" spans="1:12" x14ac:dyDescent="0.25">
      <c r="A4300" s="16"/>
      <c r="D4300" s="16"/>
      <c r="F4300" s="16"/>
      <c r="G4300" s="16"/>
      <c r="H4300" s="24"/>
      <c r="I4300" s="24"/>
      <c r="L4300"/>
    </row>
    <row r="4301" spans="1:12" x14ac:dyDescent="0.25">
      <c r="A4301" s="16"/>
      <c r="D4301" s="16"/>
      <c r="F4301" s="16"/>
      <c r="G4301" s="16"/>
      <c r="H4301" s="24"/>
      <c r="I4301" s="24"/>
      <c r="L4301"/>
    </row>
    <row r="4302" spans="1:12" x14ac:dyDescent="0.25">
      <c r="A4302" s="16"/>
      <c r="D4302" s="16"/>
      <c r="F4302" s="16"/>
      <c r="G4302" s="16"/>
      <c r="H4302" s="24"/>
      <c r="I4302" s="24"/>
      <c r="L4302"/>
    </row>
    <row r="4303" spans="1:12" x14ac:dyDescent="0.25">
      <c r="A4303" s="16"/>
      <c r="D4303" s="16"/>
      <c r="F4303" s="16"/>
      <c r="G4303" s="16"/>
      <c r="H4303" s="24"/>
      <c r="I4303" s="24"/>
      <c r="L4303"/>
    </row>
    <row r="4304" spans="1:12" x14ac:dyDescent="0.25">
      <c r="A4304" s="16"/>
      <c r="D4304" s="16"/>
      <c r="F4304" s="16"/>
      <c r="G4304" s="16"/>
      <c r="H4304" s="24"/>
      <c r="I4304" s="24"/>
      <c r="L4304"/>
    </row>
    <row r="4305" spans="1:12" x14ac:dyDescent="0.25">
      <c r="A4305" s="16"/>
      <c r="D4305" s="16"/>
      <c r="F4305" s="16"/>
      <c r="G4305" s="16"/>
      <c r="H4305" s="24"/>
      <c r="I4305" s="24"/>
      <c r="L4305"/>
    </row>
    <row r="4306" spans="1:12" x14ac:dyDescent="0.25">
      <c r="A4306" s="16"/>
      <c r="D4306" s="16"/>
      <c r="F4306" s="16"/>
      <c r="G4306" s="16"/>
      <c r="H4306" s="24"/>
      <c r="I4306" s="24"/>
      <c r="L4306"/>
    </row>
    <row r="4307" spans="1:12" x14ac:dyDescent="0.25">
      <c r="A4307" s="16"/>
      <c r="D4307" s="16"/>
      <c r="F4307" s="16"/>
      <c r="G4307" s="16"/>
      <c r="H4307" s="24"/>
      <c r="I4307" s="24"/>
      <c r="L4307"/>
    </row>
    <row r="4308" spans="1:12" x14ac:dyDescent="0.25">
      <c r="A4308" s="16"/>
      <c r="D4308" s="16"/>
      <c r="F4308" s="16"/>
      <c r="G4308" s="16"/>
      <c r="H4308" s="24"/>
      <c r="I4308" s="24"/>
      <c r="L4308"/>
    </row>
    <row r="4309" spans="1:12" x14ac:dyDescent="0.25">
      <c r="A4309" s="16"/>
      <c r="D4309" s="16"/>
      <c r="F4309" s="16"/>
      <c r="G4309" s="16"/>
      <c r="H4309" s="24"/>
      <c r="I4309" s="24"/>
      <c r="L4309"/>
    </row>
    <row r="4310" spans="1:12" x14ac:dyDescent="0.25">
      <c r="A4310" s="16"/>
      <c r="D4310" s="16"/>
      <c r="F4310" s="16"/>
      <c r="G4310" s="16"/>
      <c r="H4310" s="24"/>
      <c r="I4310" s="24"/>
      <c r="L4310"/>
    </row>
    <row r="4311" spans="1:12" x14ac:dyDescent="0.25">
      <c r="A4311" s="16"/>
      <c r="D4311" s="16"/>
      <c r="F4311" s="16"/>
      <c r="G4311" s="16"/>
      <c r="H4311" s="24"/>
      <c r="I4311" s="24"/>
      <c r="L4311"/>
    </row>
    <row r="4312" spans="1:12" x14ac:dyDescent="0.25">
      <c r="A4312" s="16"/>
      <c r="D4312" s="16"/>
      <c r="F4312" s="16"/>
      <c r="G4312" s="16"/>
      <c r="H4312" s="24"/>
      <c r="I4312" s="24"/>
      <c r="L4312"/>
    </row>
    <row r="4313" spans="1:12" x14ac:dyDescent="0.25">
      <c r="A4313" s="16"/>
      <c r="D4313" s="16"/>
      <c r="F4313" s="16"/>
      <c r="G4313" s="16"/>
      <c r="H4313" s="24"/>
      <c r="I4313" s="24"/>
      <c r="L4313"/>
    </row>
    <row r="4314" spans="1:12" x14ac:dyDescent="0.25">
      <c r="A4314" s="16"/>
      <c r="D4314" s="16"/>
      <c r="F4314" s="16"/>
      <c r="G4314" s="16"/>
      <c r="H4314" s="24"/>
      <c r="I4314" s="24"/>
      <c r="L4314"/>
    </row>
    <row r="4315" spans="1:12" x14ac:dyDescent="0.25">
      <c r="A4315" s="16"/>
      <c r="D4315" s="16"/>
      <c r="F4315" s="16"/>
      <c r="G4315" s="16"/>
      <c r="H4315" s="24"/>
      <c r="I4315" s="24"/>
      <c r="L4315"/>
    </row>
    <row r="4316" spans="1:12" x14ac:dyDescent="0.25">
      <c r="A4316" s="16"/>
      <c r="D4316" s="16"/>
      <c r="F4316" s="16"/>
      <c r="G4316" s="16"/>
      <c r="H4316" s="24"/>
      <c r="I4316" s="24"/>
      <c r="L4316"/>
    </row>
    <row r="4317" spans="1:12" x14ac:dyDescent="0.25">
      <c r="A4317" s="16"/>
      <c r="D4317" s="16"/>
      <c r="F4317" s="16"/>
      <c r="G4317" s="16"/>
      <c r="H4317" s="24"/>
      <c r="I4317" s="24"/>
      <c r="L4317"/>
    </row>
    <row r="4318" spans="1:12" x14ac:dyDescent="0.25">
      <c r="A4318" s="16"/>
      <c r="D4318" s="16"/>
      <c r="F4318" s="16"/>
      <c r="G4318" s="16"/>
      <c r="H4318" s="24"/>
      <c r="I4318" s="24"/>
      <c r="L4318"/>
    </row>
    <row r="4319" spans="1:12" x14ac:dyDescent="0.25">
      <c r="A4319" s="16"/>
      <c r="D4319" s="16"/>
      <c r="F4319" s="16"/>
      <c r="G4319" s="16"/>
      <c r="H4319" s="24"/>
      <c r="I4319" s="24"/>
      <c r="L4319"/>
    </row>
    <row r="4320" spans="1:12" x14ac:dyDescent="0.25">
      <c r="A4320" s="16"/>
      <c r="D4320" s="16"/>
      <c r="F4320" s="16"/>
      <c r="G4320" s="16"/>
      <c r="H4320" s="24"/>
      <c r="I4320" s="24"/>
      <c r="L4320"/>
    </row>
    <row r="4321" spans="1:12" x14ac:dyDescent="0.25">
      <c r="A4321" s="16"/>
      <c r="D4321" s="16"/>
      <c r="F4321" s="16"/>
      <c r="G4321" s="16"/>
      <c r="H4321" s="24"/>
      <c r="I4321" s="24"/>
      <c r="L4321"/>
    </row>
    <row r="4322" spans="1:12" x14ac:dyDescent="0.25">
      <c r="A4322" s="16"/>
      <c r="D4322" s="16"/>
      <c r="F4322" s="16"/>
      <c r="G4322" s="16"/>
      <c r="H4322" s="24"/>
      <c r="I4322" s="24"/>
      <c r="L4322"/>
    </row>
    <row r="4323" spans="1:12" x14ac:dyDescent="0.25">
      <c r="A4323" s="16"/>
      <c r="D4323" s="16"/>
      <c r="F4323" s="16"/>
      <c r="G4323" s="16"/>
      <c r="H4323" s="24"/>
      <c r="I4323" s="24"/>
      <c r="L4323"/>
    </row>
    <row r="4324" spans="1:12" x14ac:dyDescent="0.25">
      <c r="A4324" s="16"/>
      <c r="D4324" s="16"/>
      <c r="F4324" s="16"/>
      <c r="G4324" s="16"/>
      <c r="H4324" s="24"/>
      <c r="I4324" s="24"/>
      <c r="L4324"/>
    </row>
    <row r="4325" spans="1:12" x14ac:dyDescent="0.25">
      <c r="A4325" s="16"/>
      <c r="D4325" s="16"/>
      <c r="F4325" s="16"/>
      <c r="G4325" s="16"/>
      <c r="H4325" s="24"/>
      <c r="I4325" s="24"/>
      <c r="L4325"/>
    </row>
    <row r="4326" spans="1:12" x14ac:dyDescent="0.25">
      <c r="A4326" s="16"/>
      <c r="D4326" s="16"/>
      <c r="F4326" s="16"/>
      <c r="G4326" s="16"/>
      <c r="H4326" s="24"/>
      <c r="I4326" s="24"/>
      <c r="L4326"/>
    </row>
    <row r="4327" spans="1:12" x14ac:dyDescent="0.25">
      <c r="A4327" s="16"/>
      <c r="D4327" s="16"/>
      <c r="F4327" s="16"/>
      <c r="G4327" s="16"/>
      <c r="H4327" s="24"/>
      <c r="I4327" s="24"/>
      <c r="L4327"/>
    </row>
    <row r="4328" spans="1:12" x14ac:dyDescent="0.25">
      <c r="A4328" s="16"/>
      <c r="D4328" s="16"/>
      <c r="F4328" s="16"/>
      <c r="G4328" s="16"/>
      <c r="H4328" s="24"/>
      <c r="I4328" s="24"/>
      <c r="L4328"/>
    </row>
    <row r="4329" spans="1:12" x14ac:dyDescent="0.25">
      <c r="A4329" s="16"/>
      <c r="D4329" s="16"/>
      <c r="F4329" s="16"/>
      <c r="G4329" s="16"/>
      <c r="H4329" s="24"/>
      <c r="I4329" s="24"/>
      <c r="L4329"/>
    </row>
    <row r="4330" spans="1:12" x14ac:dyDescent="0.25">
      <c r="A4330" s="16"/>
      <c r="D4330" s="16"/>
      <c r="F4330" s="16"/>
      <c r="G4330" s="16"/>
      <c r="H4330" s="24"/>
      <c r="I4330" s="24"/>
      <c r="L4330"/>
    </row>
    <row r="4331" spans="1:12" x14ac:dyDescent="0.25">
      <c r="A4331" s="16"/>
      <c r="D4331" s="16"/>
      <c r="F4331" s="16"/>
      <c r="G4331" s="16"/>
      <c r="H4331" s="24"/>
      <c r="I4331" s="24"/>
      <c r="L4331"/>
    </row>
    <row r="4332" spans="1:12" x14ac:dyDescent="0.25">
      <c r="A4332" s="16"/>
      <c r="D4332" s="16"/>
      <c r="F4332" s="16"/>
      <c r="G4332" s="16"/>
      <c r="H4332" s="24"/>
      <c r="I4332" s="24"/>
      <c r="L4332"/>
    </row>
    <row r="4333" spans="1:12" x14ac:dyDescent="0.25">
      <c r="A4333" s="16"/>
      <c r="D4333" s="16"/>
      <c r="F4333" s="16"/>
      <c r="G4333" s="16"/>
      <c r="H4333" s="24"/>
      <c r="I4333" s="24"/>
      <c r="L4333"/>
    </row>
    <row r="4334" spans="1:12" x14ac:dyDescent="0.25">
      <c r="A4334" s="16"/>
      <c r="D4334" s="16"/>
      <c r="F4334" s="16"/>
      <c r="G4334" s="16"/>
      <c r="H4334" s="24"/>
      <c r="I4334" s="24"/>
      <c r="L4334"/>
    </row>
    <row r="4335" spans="1:12" x14ac:dyDescent="0.25">
      <c r="A4335" s="16"/>
      <c r="D4335" s="16"/>
      <c r="F4335" s="16"/>
      <c r="G4335" s="16"/>
      <c r="H4335" s="24"/>
      <c r="I4335" s="24"/>
      <c r="L4335"/>
    </row>
    <row r="4336" spans="1:12" x14ac:dyDescent="0.25">
      <c r="A4336" s="16"/>
      <c r="D4336" s="16"/>
      <c r="F4336" s="16"/>
      <c r="G4336" s="16"/>
      <c r="H4336" s="24"/>
      <c r="I4336" s="24"/>
      <c r="L4336"/>
    </row>
    <row r="4337" spans="1:12" x14ac:dyDescent="0.25">
      <c r="A4337" s="16"/>
      <c r="D4337" s="16"/>
      <c r="F4337" s="16"/>
      <c r="G4337" s="16"/>
      <c r="H4337" s="24"/>
      <c r="I4337" s="24"/>
      <c r="L4337"/>
    </row>
    <row r="4338" spans="1:12" x14ac:dyDescent="0.25">
      <c r="A4338" s="16"/>
      <c r="D4338" s="16"/>
      <c r="F4338" s="16"/>
      <c r="G4338" s="16"/>
      <c r="H4338" s="24"/>
      <c r="I4338" s="24"/>
      <c r="L4338"/>
    </row>
    <row r="4339" spans="1:12" x14ac:dyDescent="0.25">
      <c r="A4339" s="16"/>
      <c r="D4339" s="16"/>
      <c r="F4339" s="16"/>
      <c r="G4339" s="16"/>
      <c r="H4339" s="24"/>
      <c r="I4339" s="24"/>
      <c r="L4339"/>
    </row>
    <row r="4340" spans="1:12" x14ac:dyDescent="0.25">
      <c r="A4340" s="16"/>
      <c r="D4340" s="16"/>
      <c r="F4340" s="16"/>
      <c r="G4340" s="16"/>
      <c r="H4340" s="24"/>
      <c r="I4340" s="24"/>
      <c r="L4340"/>
    </row>
    <row r="4341" spans="1:12" x14ac:dyDescent="0.25">
      <c r="A4341" s="16"/>
      <c r="D4341" s="16"/>
      <c r="F4341" s="16"/>
      <c r="G4341" s="16"/>
      <c r="H4341" s="24"/>
      <c r="I4341" s="24"/>
      <c r="L4341"/>
    </row>
    <row r="4342" spans="1:12" x14ac:dyDescent="0.25">
      <c r="A4342" s="16"/>
      <c r="D4342" s="16"/>
      <c r="F4342" s="16"/>
      <c r="G4342" s="16"/>
      <c r="H4342" s="24"/>
      <c r="I4342" s="24"/>
      <c r="L4342"/>
    </row>
    <row r="4343" spans="1:12" x14ac:dyDescent="0.25">
      <c r="A4343" s="16"/>
      <c r="D4343" s="16"/>
      <c r="F4343" s="16"/>
      <c r="G4343" s="16"/>
      <c r="H4343" s="24"/>
      <c r="I4343" s="24"/>
      <c r="L4343"/>
    </row>
    <row r="4344" spans="1:12" x14ac:dyDescent="0.25">
      <c r="A4344" s="16"/>
      <c r="D4344" s="16"/>
      <c r="F4344" s="16"/>
      <c r="G4344" s="16"/>
      <c r="H4344" s="24"/>
      <c r="I4344" s="24"/>
      <c r="L4344"/>
    </row>
    <row r="4345" spans="1:12" x14ac:dyDescent="0.25">
      <c r="A4345" s="16"/>
      <c r="D4345" s="16"/>
      <c r="F4345" s="16"/>
      <c r="G4345" s="16"/>
      <c r="H4345" s="24"/>
      <c r="I4345" s="24"/>
      <c r="L4345"/>
    </row>
    <row r="4346" spans="1:12" x14ac:dyDescent="0.25">
      <c r="A4346" s="16"/>
      <c r="D4346" s="16"/>
      <c r="F4346" s="16"/>
      <c r="G4346" s="16"/>
      <c r="H4346" s="24"/>
      <c r="I4346" s="24"/>
      <c r="L4346"/>
    </row>
    <row r="4347" spans="1:12" x14ac:dyDescent="0.25">
      <c r="A4347" s="16"/>
      <c r="D4347" s="16"/>
      <c r="F4347" s="16"/>
      <c r="G4347" s="16"/>
      <c r="H4347" s="24"/>
      <c r="I4347" s="24"/>
      <c r="L4347"/>
    </row>
    <row r="4348" spans="1:12" x14ac:dyDescent="0.25">
      <c r="A4348" s="16"/>
      <c r="D4348" s="16"/>
      <c r="F4348" s="16"/>
      <c r="G4348" s="16"/>
      <c r="H4348" s="24"/>
      <c r="I4348" s="24"/>
      <c r="L4348"/>
    </row>
    <row r="4349" spans="1:12" x14ac:dyDescent="0.25">
      <c r="A4349" s="16"/>
      <c r="D4349" s="16"/>
      <c r="F4349" s="16"/>
      <c r="G4349" s="16"/>
      <c r="H4349" s="24"/>
      <c r="I4349" s="24"/>
      <c r="L4349"/>
    </row>
    <row r="4350" spans="1:12" x14ac:dyDescent="0.25">
      <c r="A4350" s="16"/>
      <c r="D4350" s="16"/>
      <c r="F4350" s="16"/>
      <c r="G4350" s="16"/>
      <c r="H4350" s="24"/>
      <c r="I4350" s="24"/>
      <c r="L4350"/>
    </row>
    <row r="4351" spans="1:12" x14ac:dyDescent="0.25">
      <c r="A4351" s="16"/>
      <c r="D4351" s="16"/>
      <c r="F4351" s="16"/>
      <c r="G4351" s="16"/>
      <c r="H4351" s="24"/>
      <c r="I4351" s="24"/>
      <c r="L4351"/>
    </row>
    <row r="4352" spans="1:12" x14ac:dyDescent="0.25">
      <c r="A4352" s="16"/>
      <c r="D4352" s="16"/>
      <c r="F4352" s="16"/>
      <c r="G4352" s="16"/>
      <c r="H4352" s="24"/>
      <c r="I4352" s="24"/>
      <c r="L4352"/>
    </row>
    <row r="4353" spans="1:12" x14ac:dyDescent="0.25">
      <c r="A4353" s="16"/>
      <c r="D4353" s="16"/>
      <c r="F4353" s="16"/>
      <c r="G4353" s="16"/>
      <c r="H4353" s="24"/>
      <c r="I4353" s="24"/>
      <c r="L4353"/>
    </row>
    <row r="4354" spans="1:12" x14ac:dyDescent="0.25">
      <c r="A4354" s="16"/>
      <c r="D4354" s="16"/>
      <c r="F4354" s="16"/>
      <c r="G4354" s="16"/>
      <c r="H4354" s="24"/>
      <c r="I4354" s="24"/>
      <c r="L4354"/>
    </row>
    <row r="4355" spans="1:12" x14ac:dyDescent="0.25">
      <c r="A4355" s="16"/>
      <c r="D4355" s="16"/>
      <c r="F4355" s="16"/>
      <c r="G4355" s="16"/>
      <c r="H4355" s="24"/>
      <c r="I4355" s="24"/>
      <c r="L4355"/>
    </row>
    <row r="4356" spans="1:12" x14ac:dyDescent="0.25">
      <c r="A4356" s="16"/>
      <c r="D4356" s="16"/>
      <c r="F4356" s="16"/>
      <c r="G4356" s="16"/>
      <c r="H4356" s="24"/>
      <c r="I4356" s="24"/>
      <c r="L4356"/>
    </row>
    <row r="4357" spans="1:12" x14ac:dyDescent="0.25">
      <c r="A4357" s="16"/>
      <c r="D4357" s="16"/>
      <c r="F4357" s="16"/>
      <c r="G4357" s="16"/>
      <c r="H4357" s="24"/>
      <c r="I4357" s="24"/>
      <c r="L4357"/>
    </row>
    <row r="4358" spans="1:12" x14ac:dyDescent="0.25">
      <c r="A4358" s="16"/>
      <c r="D4358" s="16"/>
      <c r="F4358" s="16"/>
      <c r="G4358" s="16"/>
      <c r="H4358" s="24"/>
      <c r="I4358" s="24"/>
      <c r="L4358"/>
    </row>
    <row r="4359" spans="1:12" x14ac:dyDescent="0.25">
      <c r="A4359" s="16"/>
      <c r="D4359" s="16"/>
      <c r="F4359" s="16"/>
      <c r="G4359" s="16"/>
      <c r="H4359" s="24"/>
      <c r="I4359" s="24"/>
      <c r="L4359"/>
    </row>
    <row r="4360" spans="1:12" x14ac:dyDescent="0.25">
      <c r="A4360" s="16"/>
      <c r="D4360" s="16"/>
      <c r="F4360" s="16"/>
      <c r="G4360" s="16"/>
      <c r="H4360" s="24"/>
      <c r="I4360" s="24"/>
      <c r="L4360"/>
    </row>
    <row r="4361" spans="1:12" x14ac:dyDescent="0.25">
      <c r="A4361" s="16"/>
      <c r="D4361" s="16"/>
      <c r="F4361" s="16"/>
      <c r="G4361" s="16"/>
      <c r="H4361" s="24"/>
      <c r="I4361" s="24"/>
      <c r="L4361"/>
    </row>
    <row r="4362" spans="1:12" x14ac:dyDescent="0.25">
      <c r="A4362" s="16"/>
      <c r="D4362" s="16"/>
      <c r="F4362" s="16"/>
      <c r="G4362" s="16"/>
      <c r="H4362" s="24"/>
      <c r="I4362" s="24"/>
      <c r="L4362"/>
    </row>
    <row r="4363" spans="1:12" x14ac:dyDescent="0.25">
      <c r="A4363" s="16"/>
      <c r="D4363" s="16"/>
      <c r="F4363" s="16"/>
      <c r="G4363" s="16"/>
      <c r="H4363" s="24"/>
      <c r="I4363" s="24"/>
      <c r="L4363"/>
    </row>
    <row r="4364" spans="1:12" x14ac:dyDescent="0.25">
      <c r="A4364" s="16"/>
      <c r="D4364" s="16"/>
      <c r="F4364" s="16"/>
      <c r="G4364" s="16"/>
      <c r="H4364" s="24"/>
      <c r="I4364" s="24"/>
      <c r="L4364"/>
    </row>
    <row r="4365" spans="1:12" x14ac:dyDescent="0.25">
      <c r="A4365" s="16"/>
      <c r="D4365" s="16"/>
      <c r="F4365" s="16"/>
      <c r="G4365" s="16"/>
      <c r="H4365" s="24"/>
      <c r="I4365" s="24"/>
      <c r="L4365"/>
    </row>
    <row r="4366" spans="1:12" x14ac:dyDescent="0.25">
      <c r="A4366" s="16"/>
      <c r="D4366" s="16"/>
      <c r="F4366" s="16"/>
      <c r="G4366" s="16"/>
      <c r="H4366" s="24"/>
      <c r="I4366" s="24"/>
      <c r="L4366"/>
    </row>
    <row r="4367" spans="1:12" x14ac:dyDescent="0.25">
      <c r="A4367" s="16"/>
      <c r="D4367" s="16"/>
      <c r="F4367" s="16"/>
      <c r="G4367" s="16"/>
      <c r="H4367" s="24"/>
      <c r="I4367" s="24"/>
      <c r="L4367"/>
    </row>
    <row r="4368" spans="1:12" x14ac:dyDescent="0.25">
      <c r="A4368" s="16"/>
      <c r="D4368" s="16"/>
      <c r="F4368" s="16"/>
      <c r="G4368" s="16"/>
      <c r="H4368" s="24"/>
      <c r="I4368" s="24"/>
      <c r="L4368"/>
    </row>
    <row r="4369" spans="1:12" x14ac:dyDescent="0.25">
      <c r="A4369" s="16"/>
      <c r="D4369" s="16"/>
      <c r="F4369" s="16"/>
      <c r="G4369" s="16"/>
      <c r="H4369" s="24"/>
      <c r="I4369" s="24"/>
      <c r="L4369"/>
    </row>
    <row r="4370" spans="1:12" x14ac:dyDescent="0.25">
      <c r="A4370" s="16"/>
      <c r="D4370" s="16"/>
      <c r="F4370" s="16"/>
      <c r="G4370" s="16"/>
      <c r="H4370" s="24"/>
      <c r="I4370" s="24"/>
      <c r="L4370"/>
    </row>
    <row r="4371" spans="1:12" x14ac:dyDescent="0.25">
      <c r="A4371" s="16"/>
      <c r="D4371" s="16"/>
      <c r="F4371" s="16"/>
      <c r="G4371" s="16"/>
      <c r="H4371" s="24"/>
      <c r="I4371" s="24"/>
      <c r="L4371"/>
    </row>
    <row r="4372" spans="1:12" x14ac:dyDescent="0.25">
      <c r="A4372" s="16"/>
      <c r="D4372" s="16"/>
      <c r="F4372" s="16"/>
      <c r="G4372" s="16"/>
      <c r="H4372" s="24"/>
      <c r="I4372" s="24"/>
      <c r="L4372"/>
    </row>
    <row r="4373" spans="1:12" x14ac:dyDescent="0.25">
      <c r="A4373" s="16"/>
      <c r="D4373" s="16"/>
      <c r="F4373" s="16"/>
      <c r="G4373" s="16"/>
      <c r="H4373" s="24"/>
      <c r="I4373" s="24"/>
      <c r="L4373"/>
    </row>
    <row r="4374" spans="1:12" x14ac:dyDescent="0.25">
      <c r="A4374" s="16"/>
      <c r="D4374" s="16"/>
      <c r="F4374" s="16"/>
      <c r="G4374" s="16"/>
      <c r="H4374" s="24"/>
      <c r="I4374" s="24"/>
      <c r="L4374"/>
    </row>
    <row r="4375" spans="1:12" x14ac:dyDescent="0.25">
      <c r="A4375" s="16"/>
      <c r="D4375" s="16"/>
      <c r="F4375" s="16"/>
      <c r="G4375" s="16"/>
      <c r="H4375" s="24"/>
      <c r="I4375" s="24"/>
      <c r="L4375"/>
    </row>
    <row r="4376" spans="1:12" x14ac:dyDescent="0.25">
      <c r="A4376" s="16"/>
      <c r="D4376" s="16"/>
      <c r="F4376" s="16"/>
      <c r="G4376" s="16"/>
      <c r="H4376" s="24"/>
      <c r="I4376" s="24"/>
      <c r="L4376"/>
    </row>
    <row r="4377" spans="1:12" x14ac:dyDescent="0.25">
      <c r="A4377" s="16"/>
      <c r="D4377" s="16"/>
      <c r="F4377" s="16"/>
      <c r="G4377" s="16"/>
      <c r="H4377" s="24"/>
      <c r="I4377" s="24"/>
      <c r="L4377"/>
    </row>
    <row r="4378" spans="1:12" x14ac:dyDescent="0.25">
      <c r="A4378" s="16"/>
      <c r="D4378" s="16"/>
      <c r="F4378" s="16"/>
      <c r="G4378" s="16"/>
      <c r="H4378" s="24"/>
      <c r="I4378" s="24"/>
      <c r="L4378"/>
    </row>
    <row r="4379" spans="1:12" x14ac:dyDescent="0.25">
      <c r="A4379" s="16"/>
      <c r="D4379" s="16"/>
      <c r="F4379" s="16"/>
      <c r="G4379" s="16"/>
      <c r="H4379" s="24"/>
      <c r="I4379" s="24"/>
      <c r="L4379"/>
    </row>
    <row r="4380" spans="1:12" x14ac:dyDescent="0.25">
      <c r="A4380" s="16"/>
      <c r="D4380" s="16"/>
      <c r="F4380" s="16"/>
      <c r="G4380" s="16"/>
      <c r="H4380" s="24"/>
      <c r="I4380" s="24"/>
      <c r="L4380"/>
    </row>
    <row r="4381" spans="1:12" x14ac:dyDescent="0.25">
      <c r="A4381" s="16"/>
      <c r="D4381" s="16"/>
      <c r="F4381" s="16"/>
      <c r="G4381" s="16"/>
      <c r="H4381" s="24"/>
      <c r="I4381" s="24"/>
      <c r="L4381"/>
    </row>
    <row r="4382" spans="1:12" x14ac:dyDescent="0.25">
      <c r="A4382" s="16"/>
      <c r="D4382" s="16"/>
      <c r="F4382" s="16"/>
      <c r="G4382" s="16"/>
      <c r="H4382" s="24"/>
      <c r="I4382" s="24"/>
      <c r="L4382"/>
    </row>
    <row r="4383" spans="1:12" x14ac:dyDescent="0.25">
      <c r="A4383" s="16"/>
      <c r="D4383" s="16"/>
      <c r="F4383" s="16"/>
      <c r="G4383" s="16"/>
      <c r="H4383" s="24"/>
      <c r="I4383" s="24"/>
      <c r="L4383"/>
    </row>
    <row r="4384" spans="1:12" x14ac:dyDescent="0.25">
      <c r="A4384" s="16"/>
      <c r="D4384" s="16"/>
      <c r="F4384" s="16"/>
      <c r="G4384" s="16"/>
      <c r="H4384" s="24"/>
      <c r="I4384" s="24"/>
      <c r="L4384"/>
    </row>
    <row r="4385" spans="1:12" x14ac:dyDescent="0.25">
      <c r="A4385" s="16"/>
      <c r="D4385" s="16"/>
      <c r="F4385" s="16"/>
      <c r="G4385" s="16"/>
      <c r="H4385" s="24"/>
      <c r="I4385" s="24"/>
      <c r="L4385"/>
    </row>
    <row r="4386" spans="1:12" x14ac:dyDescent="0.25">
      <c r="A4386" s="16"/>
      <c r="D4386" s="16"/>
      <c r="F4386" s="16"/>
      <c r="G4386" s="16"/>
      <c r="H4386" s="24"/>
      <c r="I4386" s="24"/>
      <c r="L4386"/>
    </row>
    <row r="4387" spans="1:12" x14ac:dyDescent="0.25">
      <c r="A4387" s="16"/>
      <c r="D4387" s="16"/>
      <c r="F4387" s="16"/>
      <c r="G4387" s="16"/>
      <c r="H4387" s="24"/>
      <c r="I4387" s="24"/>
      <c r="L4387"/>
    </row>
    <row r="4388" spans="1:12" x14ac:dyDescent="0.25">
      <c r="A4388" s="16"/>
      <c r="D4388" s="16"/>
      <c r="F4388" s="16"/>
      <c r="G4388" s="16"/>
      <c r="H4388" s="24"/>
      <c r="I4388" s="24"/>
      <c r="L4388"/>
    </row>
    <row r="4389" spans="1:12" x14ac:dyDescent="0.25">
      <c r="A4389" s="16"/>
      <c r="D4389" s="16"/>
      <c r="F4389" s="16"/>
      <c r="G4389" s="16"/>
      <c r="H4389" s="24"/>
      <c r="I4389" s="24"/>
      <c r="L4389"/>
    </row>
    <row r="4390" spans="1:12" x14ac:dyDescent="0.25">
      <c r="A4390" s="16"/>
      <c r="D4390" s="16"/>
      <c r="F4390" s="16"/>
      <c r="G4390" s="16"/>
      <c r="H4390" s="24"/>
      <c r="I4390" s="24"/>
      <c r="L4390"/>
    </row>
    <row r="4391" spans="1:12" x14ac:dyDescent="0.25">
      <c r="A4391" s="16"/>
      <c r="D4391" s="16"/>
      <c r="F4391" s="16"/>
      <c r="G4391" s="16"/>
      <c r="H4391" s="24"/>
      <c r="I4391" s="24"/>
      <c r="L4391"/>
    </row>
    <row r="4392" spans="1:12" x14ac:dyDescent="0.25">
      <c r="A4392" s="16"/>
      <c r="D4392" s="16"/>
      <c r="F4392" s="16"/>
      <c r="G4392" s="16"/>
      <c r="H4392" s="24"/>
      <c r="I4392" s="24"/>
      <c r="L4392"/>
    </row>
    <row r="4393" spans="1:12" x14ac:dyDescent="0.25">
      <c r="A4393" s="16"/>
      <c r="D4393" s="16"/>
      <c r="F4393" s="16"/>
      <c r="G4393" s="16"/>
      <c r="H4393" s="24"/>
      <c r="I4393" s="24"/>
      <c r="L4393"/>
    </row>
    <row r="4394" spans="1:12" x14ac:dyDescent="0.25">
      <c r="A4394" s="16"/>
      <c r="D4394" s="16"/>
      <c r="F4394" s="16"/>
      <c r="G4394" s="16"/>
      <c r="H4394" s="24"/>
      <c r="I4394" s="24"/>
      <c r="L4394"/>
    </row>
    <row r="4395" spans="1:12" x14ac:dyDescent="0.25">
      <c r="A4395" s="16"/>
      <c r="D4395" s="16"/>
      <c r="F4395" s="16"/>
      <c r="G4395" s="16"/>
      <c r="H4395" s="24"/>
      <c r="I4395" s="24"/>
      <c r="L4395"/>
    </row>
    <row r="4396" spans="1:12" x14ac:dyDescent="0.25">
      <c r="A4396" s="16"/>
      <c r="D4396" s="16"/>
      <c r="F4396" s="16"/>
      <c r="G4396" s="16"/>
      <c r="H4396" s="24"/>
      <c r="I4396" s="24"/>
      <c r="L4396"/>
    </row>
    <row r="4397" spans="1:12" x14ac:dyDescent="0.25">
      <c r="A4397" s="16"/>
      <c r="D4397" s="16"/>
      <c r="F4397" s="16"/>
      <c r="G4397" s="16"/>
      <c r="H4397" s="24"/>
      <c r="I4397" s="24"/>
      <c r="L4397"/>
    </row>
    <row r="4398" spans="1:12" x14ac:dyDescent="0.25">
      <c r="A4398" s="16"/>
      <c r="D4398" s="16"/>
      <c r="F4398" s="16"/>
      <c r="G4398" s="16"/>
      <c r="H4398" s="24"/>
      <c r="I4398" s="24"/>
      <c r="L4398"/>
    </row>
    <row r="4399" spans="1:12" x14ac:dyDescent="0.25">
      <c r="A4399" s="16"/>
      <c r="D4399" s="16"/>
      <c r="F4399" s="16"/>
      <c r="G4399" s="16"/>
      <c r="H4399" s="24"/>
      <c r="I4399" s="24"/>
      <c r="L4399"/>
    </row>
    <row r="4400" spans="1:12" x14ac:dyDescent="0.25">
      <c r="A4400" s="16"/>
      <c r="D4400" s="16"/>
      <c r="F4400" s="16"/>
      <c r="G4400" s="16"/>
      <c r="H4400" s="24"/>
      <c r="I4400" s="24"/>
      <c r="L4400"/>
    </row>
    <row r="4401" spans="1:12" x14ac:dyDescent="0.25">
      <c r="A4401" s="16"/>
      <c r="D4401" s="16"/>
      <c r="F4401" s="16"/>
      <c r="G4401" s="16"/>
      <c r="H4401" s="24"/>
      <c r="I4401" s="24"/>
      <c r="L4401"/>
    </row>
    <row r="4402" spans="1:12" x14ac:dyDescent="0.25">
      <c r="A4402" s="16"/>
      <c r="D4402" s="16"/>
      <c r="F4402" s="16"/>
      <c r="G4402" s="16"/>
      <c r="H4402" s="24"/>
      <c r="I4402" s="24"/>
      <c r="L4402"/>
    </row>
    <row r="4403" spans="1:12" x14ac:dyDescent="0.25">
      <c r="A4403" s="16"/>
      <c r="D4403" s="16"/>
      <c r="F4403" s="16"/>
      <c r="G4403" s="16"/>
      <c r="H4403" s="24"/>
      <c r="I4403" s="24"/>
      <c r="L4403"/>
    </row>
    <row r="4404" spans="1:12" x14ac:dyDescent="0.25">
      <c r="A4404" s="16"/>
      <c r="D4404" s="16"/>
      <c r="F4404" s="16"/>
      <c r="G4404" s="16"/>
      <c r="H4404" s="24"/>
      <c r="I4404" s="24"/>
      <c r="L4404"/>
    </row>
    <row r="4405" spans="1:12" x14ac:dyDescent="0.25">
      <c r="A4405" s="16"/>
      <c r="D4405" s="16"/>
      <c r="F4405" s="16"/>
      <c r="G4405" s="16"/>
      <c r="H4405" s="24"/>
      <c r="I4405" s="24"/>
      <c r="L4405"/>
    </row>
    <row r="4406" spans="1:12" x14ac:dyDescent="0.25">
      <c r="A4406" s="16"/>
      <c r="D4406" s="16"/>
      <c r="F4406" s="16"/>
      <c r="G4406" s="16"/>
      <c r="H4406" s="24"/>
      <c r="I4406" s="24"/>
      <c r="L4406"/>
    </row>
    <row r="4407" spans="1:12" x14ac:dyDescent="0.25">
      <c r="A4407" s="16"/>
      <c r="D4407" s="16"/>
      <c r="F4407" s="16"/>
      <c r="G4407" s="16"/>
      <c r="H4407" s="24"/>
      <c r="I4407" s="24"/>
      <c r="L4407"/>
    </row>
    <row r="4408" spans="1:12" x14ac:dyDescent="0.25">
      <c r="A4408" s="16"/>
      <c r="D4408" s="16"/>
      <c r="F4408" s="16"/>
      <c r="G4408" s="16"/>
      <c r="H4408" s="24"/>
      <c r="I4408" s="24"/>
      <c r="L4408"/>
    </row>
    <row r="4409" spans="1:12" x14ac:dyDescent="0.25">
      <c r="A4409" s="16"/>
      <c r="D4409" s="16"/>
      <c r="F4409" s="16"/>
      <c r="G4409" s="16"/>
      <c r="H4409" s="24"/>
      <c r="I4409" s="24"/>
      <c r="L4409"/>
    </row>
    <row r="4410" spans="1:12" x14ac:dyDescent="0.25">
      <c r="A4410" s="16"/>
      <c r="D4410" s="16"/>
      <c r="F4410" s="16"/>
      <c r="G4410" s="16"/>
      <c r="H4410" s="24"/>
      <c r="I4410" s="24"/>
      <c r="L4410"/>
    </row>
    <row r="4411" spans="1:12" x14ac:dyDescent="0.25">
      <c r="A4411" s="16"/>
      <c r="D4411" s="16"/>
      <c r="F4411" s="16"/>
      <c r="G4411" s="16"/>
      <c r="H4411" s="24"/>
      <c r="I4411" s="24"/>
      <c r="L4411"/>
    </row>
    <row r="4412" spans="1:12" x14ac:dyDescent="0.25">
      <c r="A4412" s="16"/>
      <c r="D4412" s="16"/>
      <c r="F4412" s="16"/>
      <c r="G4412" s="16"/>
      <c r="H4412" s="24"/>
      <c r="I4412" s="24"/>
      <c r="L4412"/>
    </row>
    <row r="4413" spans="1:12" x14ac:dyDescent="0.25">
      <c r="A4413" s="16"/>
      <c r="D4413" s="16"/>
      <c r="F4413" s="16"/>
      <c r="G4413" s="16"/>
      <c r="H4413" s="24"/>
      <c r="I4413" s="24"/>
      <c r="L4413"/>
    </row>
    <row r="4414" spans="1:12" x14ac:dyDescent="0.25">
      <c r="A4414" s="16"/>
      <c r="D4414" s="16"/>
      <c r="F4414" s="16"/>
      <c r="G4414" s="16"/>
      <c r="H4414" s="24"/>
      <c r="I4414" s="24"/>
      <c r="L4414"/>
    </row>
    <row r="4415" spans="1:12" x14ac:dyDescent="0.25">
      <c r="A4415" s="16"/>
      <c r="D4415" s="16"/>
      <c r="F4415" s="16"/>
      <c r="G4415" s="16"/>
      <c r="H4415" s="24"/>
      <c r="I4415" s="24"/>
      <c r="L4415"/>
    </row>
    <row r="4416" spans="1:12" x14ac:dyDescent="0.25">
      <c r="A4416" s="16"/>
      <c r="D4416" s="16"/>
      <c r="F4416" s="16"/>
      <c r="G4416" s="16"/>
      <c r="H4416" s="24"/>
      <c r="I4416" s="24"/>
      <c r="L4416"/>
    </row>
    <row r="4417" spans="1:12" x14ac:dyDescent="0.25">
      <c r="A4417" s="16"/>
      <c r="D4417" s="16"/>
      <c r="F4417" s="16"/>
      <c r="G4417" s="16"/>
      <c r="H4417" s="24"/>
      <c r="I4417" s="24"/>
      <c r="L4417"/>
    </row>
    <row r="4418" spans="1:12" x14ac:dyDescent="0.25">
      <c r="A4418" s="16"/>
      <c r="D4418" s="16"/>
      <c r="F4418" s="16"/>
      <c r="G4418" s="16"/>
      <c r="H4418" s="24"/>
      <c r="I4418" s="24"/>
      <c r="L4418"/>
    </row>
    <row r="4419" spans="1:12" x14ac:dyDescent="0.25">
      <c r="A4419" s="16"/>
      <c r="D4419" s="16"/>
      <c r="F4419" s="16"/>
      <c r="G4419" s="16"/>
      <c r="H4419" s="24"/>
      <c r="I4419" s="24"/>
      <c r="L4419"/>
    </row>
    <row r="4420" spans="1:12" x14ac:dyDescent="0.25">
      <c r="A4420" s="16"/>
      <c r="D4420" s="16"/>
      <c r="F4420" s="16"/>
      <c r="G4420" s="16"/>
      <c r="H4420" s="24"/>
      <c r="I4420" s="24"/>
      <c r="L4420"/>
    </row>
    <row r="4421" spans="1:12" x14ac:dyDescent="0.25">
      <c r="A4421" s="16"/>
      <c r="D4421" s="16"/>
      <c r="F4421" s="16"/>
      <c r="G4421" s="16"/>
      <c r="H4421" s="24"/>
      <c r="I4421" s="24"/>
      <c r="L4421"/>
    </row>
    <row r="4422" spans="1:12" x14ac:dyDescent="0.25">
      <c r="A4422" s="16"/>
      <c r="D4422" s="16"/>
      <c r="F4422" s="16"/>
      <c r="G4422" s="16"/>
      <c r="H4422" s="24"/>
      <c r="I4422" s="24"/>
      <c r="L4422"/>
    </row>
    <row r="4423" spans="1:12" x14ac:dyDescent="0.25">
      <c r="A4423" s="16"/>
      <c r="D4423" s="16"/>
      <c r="F4423" s="16"/>
      <c r="G4423" s="16"/>
      <c r="H4423" s="24"/>
      <c r="I4423" s="24"/>
      <c r="L4423"/>
    </row>
    <row r="4424" spans="1:12" x14ac:dyDescent="0.25">
      <c r="A4424" s="16"/>
      <c r="D4424" s="16"/>
      <c r="F4424" s="16"/>
      <c r="G4424" s="16"/>
      <c r="H4424" s="24"/>
      <c r="I4424" s="24"/>
      <c r="L4424"/>
    </row>
    <row r="4425" spans="1:12" x14ac:dyDescent="0.25">
      <c r="A4425" s="16"/>
      <c r="D4425" s="16"/>
      <c r="F4425" s="16"/>
      <c r="G4425" s="16"/>
      <c r="H4425" s="24"/>
      <c r="I4425" s="24"/>
      <c r="L4425"/>
    </row>
    <row r="4426" spans="1:12" x14ac:dyDescent="0.25">
      <c r="A4426" s="16"/>
      <c r="D4426" s="16"/>
      <c r="F4426" s="16"/>
      <c r="G4426" s="16"/>
      <c r="H4426" s="24"/>
      <c r="I4426" s="24"/>
      <c r="L4426"/>
    </row>
    <row r="4427" spans="1:12" x14ac:dyDescent="0.25">
      <c r="A4427" s="16"/>
      <c r="D4427" s="16"/>
      <c r="F4427" s="16"/>
      <c r="G4427" s="16"/>
      <c r="H4427" s="24"/>
      <c r="I4427" s="24"/>
      <c r="L4427"/>
    </row>
    <row r="4428" spans="1:12" x14ac:dyDescent="0.25">
      <c r="A4428" s="16"/>
      <c r="D4428" s="16"/>
      <c r="F4428" s="16"/>
      <c r="G4428" s="16"/>
      <c r="H4428" s="24"/>
      <c r="I4428" s="24"/>
      <c r="L4428"/>
    </row>
    <row r="4429" spans="1:12" x14ac:dyDescent="0.25">
      <c r="A4429" s="16"/>
      <c r="D4429" s="16"/>
      <c r="F4429" s="16"/>
      <c r="G4429" s="16"/>
      <c r="H4429" s="24"/>
      <c r="I4429" s="24"/>
      <c r="L4429"/>
    </row>
    <row r="4430" spans="1:12" x14ac:dyDescent="0.25">
      <c r="A4430" s="16"/>
      <c r="D4430" s="16"/>
      <c r="F4430" s="16"/>
      <c r="G4430" s="16"/>
      <c r="H4430" s="24"/>
      <c r="I4430" s="24"/>
      <c r="L4430"/>
    </row>
    <row r="4431" spans="1:12" x14ac:dyDescent="0.25">
      <c r="A4431" s="16"/>
      <c r="D4431" s="16"/>
      <c r="F4431" s="16"/>
      <c r="G4431" s="16"/>
      <c r="H4431" s="24"/>
      <c r="I4431" s="24"/>
      <c r="L4431"/>
    </row>
    <row r="4432" spans="1:12" x14ac:dyDescent="0.25">
      <c r="A4432" s="16"/>
      <c r="D4432" s="16"/>
      <c r="F4432" s="16"/>
      <c r="G4432" s="16"/>
      <c r="H4432" s="24"/>
      <c r="I4432" s="24"/>
      <c r="L4432"/>
    </row>
    <row r="4433" spans="1:12" x14ac:dyDescent="0.25">
      <c r="A4433" s="16"/>
      <c r="D4433" s="16"/>
      <c r="F4433" s="16"/>
      <c r="G4433" s="16"/>
      <c r="H4433" s="24"/>
      <c r="I4433" s="24"/>
      <c r="L4433"/>
    </row>
    <row r="4434" spans="1:12" x14ac:dyDescent="0.25">
      <c r="A4434" s="16"/>
      <c r="D4434" s="16"/>
      <c r="F4434" s="16"/>
      <c r="G4434" s="16"/>
      <c r="H4434" s="24"/>
      <c r="I4434" s="24"/>
      <c r="L4434"/>
    </row>
    <row r="4435" spans="1:12" x14ac:dyDescent="0.25">
      <c r="A4435" s="16"/>
      <c r="D4435" s="16"/>
      <c r="F4435" s="16"/>
      <c r="G4435" s="16"/>
      <c r="H4435" s="24"/>
      <c r="I4435" s="24"/>
      <c r="L4435"/>
    </row>
    <row r="4436" spans="1:12" x14ac:dyDescent="0.25">
      <c r="A4436" s="16"/>
      <c r="D4436" s="16"/>
      <c r="F4436" s="16"/>
      <c r="G4436" s="16"/>
      <c r="H4436" s="24"/>
      <c r="I4436" s="24"/>
      <c r="L4436"/>
    </row>
    <row r="4437" spans="1:12" x14ac:dyDescent="0.25">
      <c r="A4437" s="16"/>
      <c r="D4437" s="16"/>
      <c r="F4437" s="16"/>
      <c r="G4437" s="16"/>
      <c r="H4437" s="24"/>
      <c r="I4437" s="24"/>
      <c r="L4437"/>
    </row>
    <row r="4438" spans="1:12" x14ac:dyDescent="0.25">
      <c r="A4438" s="16"/>
      <c r="D4438" s="16"/>
      <c r="F4438" s="16"/>
      <c r="G4438" s="16"/>
      <c r="H4438" s="24"/>
      <c r="I4438" s="24"/>
      <c r="L4438"/>
    </row>
    <row r="4439" spans="1:12" x14ac:dyDescent="0.25">
      <c r="A4439" s="16"/>
      <c r="D4439" s="16"/>
      <c r="F4439" s="16"/>
      <c r="G4439" s="16"/>
      <c r="H4439" s="24"/>
      <c r="I4439" s="24"/>
      <c r="L4439"/>
    </row>
    <row r="4440" spans="1:12" x14ac:dyDescent="0.25">
      <c r="A4440" s="16"/>
      <c r="D4440" s="16"/>
      <c r="F4440" s="16"/>
      <c r="G4440" s="16"/>
      <c r="H4440" s="24"/>
      <c r="I4440" s="24"/>
      <c r="L4440"/>
    </row>
    <row r="4441" spans="1:12" x14ac:dyDescent="0.25">
      <c r="A4441" s="16"/>
      <c r="D4441" s="16"/>
      <c r="F4441" s="16"/>
      <c r="G4441" s="16"/>
      <c r="H4441" s="24"/>
      <c r="I4441" s="24"/>
      <c r="L4441"/>
    </row>
    <row r="4442" spans="1:12" x14ac:dyDescent="0.25">
      <c r="A4442" s="16"/>
      <c r="D4442" s="16"/>
      <c r="F4442" s="16"/>
      <c r="G4442" s="16"/>
      <c r="H4442" s="24"/>
      <c r="I4442" s="24"/>
      <c r="L4442"/>
    </row>
    <row r="4443" spans="1:12" x14ac:dyDescent="0.25">
      <c r="A4443" s="16"/>
      <c r="D4443" s="16"/>
      <c r="F4443" s="16"/>
      <c r="G4443" s="16"/>
      <c r="H4443" s="24"/>
      <c r="I4443" s="24"/>
      <c r="L4443"/>
    </row>
    <row r="4444" spans="1:12" x14ac:dyDescent="0.25">
      <c r="A4444" s="16"/>
      <c r="D4444" s="16"/>
      <c r="F4444" s="16"/>
      <c r="G4444" s="16"/>
      <c r="H4444" s="24"/>
      <c r="I4444" s="24"/>
      <c r="L4444"/>
    </row>
    <row r="4445" spans="1:12" x14ac:dyDescent="0.25">
      <c r="A4445" s="16"/>
      <c r="D4445" s="16"/>
      <c r="F4445" s="16"/>
      <c r="G4445" s="16"/>
      <c r="H4445" s="24"/>
      <c r="I4445" s="24"/>
      <c r="L4445"/>
    </row>
    <row r="4446" spans="1:12" x14ac:dyDescent="0.25">
      <c r="A4446" s="16"/>
      <c r="D4446" s="16"/>
      <c r="F4446" s="16"/>
      <c r="G4446" s="16"/>
      <c r="H4446" s="24"/>
      <c r="I4446" s="24"/>
      <c r="L4446"/>
    </row>
    <row r="4447" spans="1:12" x14ac:dyDescent="0.25">
      <c r="A4447" s="16"/>
      <c r="D4447" s="16"/>
      <c r="F4447" s="16"/>
      <c r="G4447" s="16"/>
      <c r="H4447" s="24"/>
      <c r="I4447" s="24"/>
      <c r="L4447"/>
    </row>
    <row r="4448" spans="1:12" x14ac:dyDescent="0.25">
      <c r="A4448" s="16"/>
      <c r="D4448" s="16"/>
      <c r="F4448" s="16"/>
      <c r="G4448" s="16"/>
      <c r="H4448" s="24"/>
      <c r="I4448" s="24"/>
      <c r="L4448"/>
    </row>
    <row r="4449" spans="1:12" x14ac:dyDescent="0.25">
      <c r="A4449" s="16"/>
      <c r="D4449" s="16"/>
      <c r="F4449" s="16"/>
      <c r="G4449" s="16"/>
      <c r="H4449" s="24"/>
      <c r="I4449" s="24"/>
      <c r="L4449"/>
    </row>
    <row r="4450" spans="1:12" x14ac:dyDescent="0.25">
      <c r="A4450" s="16"/>
      <c r="D4450" s="16"/>
      <c r="F4450" s="16"/>
      <c r="G4450" s="16"/>
      <c r="H4450" s="24"/>
      <c r="I4450" s="24"/>
      <c r="L4450"/>
    </row>
    <row r="4451" spans="1:12" x14ac:dyDescent="0.25">
      <c r="A4451" s="16"/>
      <c r="D4451" s="16"/>
      <c r="F4451" s="16"/>
      <c r="G4451" s="16"/>
      <c r="H4451" s="24"/>
      <c r="I4451" s="24"/>
      <c r="L4451"/>
    </row>
    <row r="4452" spans="1:12" x14ac:dyDescent="0.25">
      <c r="A4452" s="16"/>
      <c r="D4452" s="16"/>
      <c r="F4452" s="16"/>
      <c r="G4452" s="16"/>
      <c r="H4452" s="24"/>
      <c r="I4452" s="24"/>
      <c r="L4452"/>
    </row>
    <row r="4453" spans="1:12" x14ac:dyDescent="0.25">
      <c r="A4453" s="16"/>
      <c r="D4453" s="16"/>
      <c r="F4453" s="16"/>
      <c r="G4453" s="16"/>
      <c r="H4453" s="24"/>
      <c r="I4453" s="24"/>
      <c r="L4453"/>
    </row>
    <row r="4454" spans="1:12" x14ac:dyDescent="0.25">
      <c r="A4454" s="16"/>
      <c r="D4454" s="16"/>
      <c r="F4454" s="16"/>
      <c r="G4454" s="16"/>
      <c r="H4454" s="24"/>
      <c r="I4454" s="24"/>
      <c r="L4454"/>
    </row>
    <row r="4455" spans="1:12" x14ac:dyDescent="0.25">
      <c r="A4455" s="16"/>
      <c r="D4455" s="16"/>
      <c r="F4455" s="16"/>
      <c r="G4455" s="16"/>
      <c r="H4455" s="24"/>
      <c r="I4455" s="24"/>
      <c r="L4455"/>
    </row>
    <row r="4456" spans="1:12" x14ac:dyDescent="0.25">
      <c r="A4456" s="16"/>
      <c r="D4456" s="16"/>
      <c r="F4456" s="16"/>
      <c r="G4456" s="16"/>
      <c r="H4456" s="24"/>
      <c r="I4456" s="24"/>
      <c r="L4456"/>
    </row>
    <row r="4457" spans="1:12" x14ac:dyDescent="0.25">
      <c r="A4457" s="16"/>
      <c r="D4457" s="16"/>
      <c r="F4457" s="16"/>
      <c r="G4457" s="16"/>
      <c r="H4457" s="24"/>
      <c r="I4457" s="24"/>
      <c r="L4457"/>
    </row>
    <row r="4458" spans="1:12" x14ac:dyDescent="0.25">
      <c r="A4458" s="16"/>
      <c r="D4458" s="16"/>
      <c r="F4458" s="16"/>
      <c r="G4458" s="16"/>
      <c r="H4458" s="24"/>
      <c r="I4458" s="24"/>
      <c r="L4458"/>
    </row>
    <row r="4459" spans="1:12" x14ac:dyDescent="0.25">
      <c r="A4459" s="16"/>
      <c r="D4459" s="16"/>
      <c r="F4459" s="16"/>
      <c r="G4459" s="16"/>
      <c r="H4459" s="24"/>
      <c r="I4459" s="24"/>
      <c r="L4459"/>
    </row>
    <row r="4460" spans="1:12" x14ac:dyDescent="0.25">
      <c r="A4460" s="16"/>
      <c r="D4460" s="16"/>
      <c r="F4460" s="16"/>
      <c r="G4460" s="16"/>
      <c r="H4460" s="24"/>
      <c r="I4460" s="24"/>
      <c r="L4460"/>
    </row>
    <row r="4461" spans="1:12" x14ac:dyDescent="0.25">
      <c r="A4461" s="16"/>
      <c r="D4461" s="16"/>
      <c r="F4461" s="16"/>
      <c r="G4461" s="16"/>
      <c r="H4461" s="24"/>
      <c r="I4461" s="24"/>
      <c r="L4461"/>
    </row>
    <row r="4462" spans="1:12" x14ac:dyDescent="0.25">
      <c r="A4462" s="16"/>
      <c r="D4462" s="16"/>
      <c r="F4462" s="16"/>
      <c r="G4462" s="16"/>
      <c r="H4462" s="24"/>
      <c r="I4462" s="24"/>
      <c r="L4462"/>
    </row>
    <row r="4463" spans="1:12" x14ac:dyDescent="0.25">
      <c r="A4463" s="16"/>
      <c r="D4463" s="16"/>
      <c r="F4463" s="16"/>
      <c r="G4463" s="16"/>
      <c r="H4463" s="24"/>
      <c r="I4463" s="24"/>
      <c r="L4463"/>
    </row>
    <row r="4464" spans="1:12" x14ac:dyDescent="0.25">
      <c r="A4464" s="16"/>
      <c r="D4464" s="16"/>
      <c r="F4464" s="16"/>
      <c r="G4464" s="16"/>
      <c r="H4464" s="24"/>
      <c r="I4464" s="24"/>
      <c r="L4464"/>
    </row>
    <row r="4465" spans="1:12" x14ac:dyDescent="0.25">
      <c r="A4465" s="16"/>
      <c r="D4465" s="16"/>
      <c r="F4465" s="16"/>
      <c r="G4465" s="16"/>
      <c r="H4465" s="24"/>
      <c r="I4465" s="24"/>
      <c r="L4465"/>
    </row>
    <row r="4466" spans="1:12" x14ac:dyDescent="0.25">
      <c r="A4466" s="16"/>
      <c r="D4466" s="16"/>
      <c r="F4466" s="16"/>
      <c r="G4466" s="16"/>
      <c r="H4466" s="24"/>
      <c r="I4466" s="24"/>
      <c r="L4466"/>
    </row>
    <row r="4467" spans="1:12" x14ac:dyDescent="0.25">
      <c r="A4467" s="16"/>
      <c r="D4467" s="16"/>
      <c r="F4467" s="16"/>
      <c r="G4467" s="16"/>
      <c r="H4467" s="24"/>
      <c r="I4467" s="24"/>
      <c r="L4467"/>
    </row>
    <row r="4468" spans="1:12" x14ac:dyDescent="0.25">
      <c r="A4468" s="16"/>
      <c r="D4468" s="16"/>
      <c r="F4468" s="16"/>
      <c r="G4468" s="16"/>
      <c r="H4468" s="24"/>
      <c r="I4468" s="24"/>
      <c r="L4468"/>
    </row>
    <row r="4469" spans="1:12" x14ac:dyDescent="0.25">
      <c r="A4469" s="16"/>
      <c r="D4469" s="16"/>
      <c r="F4469" s="16"/>
      <c r="G4469" s="16"/>
      <c r="H4469" s="24"/>
      <c r="I4469" s="24"/>
      <c r="L4469"/>
    </row>
    <row r="4470" spans="1:12" x14ac:dyDescent="0.25">
      <c r="A4470" s="16"/>
      <c r="D4470" s="16"/>
      <c r="F4470" s="16"/>
      <c r="G4470" s="16"/>
      <c r="H4470" s="24"/>
      <c r="I4470" s="24"/>
      <c r="L4470"/>
    </row>
    <row r="4471" spans="1:12" x14ac:dyDescent="0.25">
      <c r="A4471" s="16"/>
      <c r="D4471" s="16"/>
      <c r="F4471" s="16"/>
      <c r="G4471" s="16"/>
      <c r="H4471" s="24"/>
      <c r="I4471" s="24"/>
      <c r="L4471"/>
    </row>
    <row r="4472" spans="1:12" x14ac:dyDescent="0.25">
      <c r="A4472" s="16"/>
      <c r="D4472" s="16"/>
      <c r="F4472" s="16"/>
      <c r="G4472" s="16"/>
      <c r="H4472" s="24"/>
      <c r="I4472" s="24"/>
      <c r="L4472"/>
    </row>
    <row r="4473" spans="1:12" x14ac:dyDescent="0.25">
      <c r="A4473" s="16"/>
      <c r="D4473" s="16"/>
      <c r="F4473" s="16"/>
      <c r="G4473" s="16"/>
      <c r="H4473" s="24"/>
      <c r="I4473" s="24"/>
      <c r="L4473"/>
    </row>
    <row r="4474" spans="1:12" x14ac:dyDescent="0.25">
      <c r="A4474" s="16"/>
      <c r="D4474" s="16"/>
      <c r="F4474" s="16"/>
      <c r="G4474" s="16"/>
      <c r="H4474" s="24"/>
      <c r="I4474" s="24"/>
      <c r="L4474"/>
    </row>
    <row r="4475" spans="1:12" x14ac:dyDescent="0.25">
      <c r="A4475" s="16"/>
      <c r="D4475" s="16"/>
      <c r="F4475" s="16"/>
      <c r="G4475" s="16"/>
      <c r="H4475" s="24"/>
      <c r="I4475" s="24"/>
      <c r="L4475"/>
    </row>
    <row r="4476" spans="1:12" x14ac:dyDescent="0.25">
      <c r="A4476" s="16"/>
      <c r="D4476" s="16"/>
      <c r="F4476" s="16"/>
      <c r="G4476" s="16"/>
      <c r="H4476" s="24"/>
      <c r="I4476" s="24"/>
      <c r="L4476"/>
    </row>
    <row r="4477" spans="1:12" x14ac:dyDescent="0.25">
      <c r="A4477" s="16"/>
      <c r="D4477" s="16"/>
      <c r="F4477" s="16"/>
      <c r="G4477" s="16"/>
      <c r="H4477" s="24"/>
      <c r="I4477" s="24"/>
      <c r="L4477"/>
    </row>
    <row r="4478" spans="1:12" x14ac:dyDescent="0.25">
      <c r="A4478" s="16"/>
      <c r="D4478" s="16"/>
      <c r="F4478" s="16"/>
      <c r="G4478" s="16"/>
      <c r="H4478" s="24"/>
      <c r="I4478" s="24"/>
      <c r="L4478"/>
    </row>
    <row r="4479" spans="1:12" x14ac:dyDescent="0.25">
      <c r="A4479" s="16"/>
      <c r="D4479" s="16"/>
      <c r="F4479" s="16"/>
      <c r="G4479" s="16"/>
      <c r="H4479" s="24"/>
      <c r="I4479" s="24"/>
      <c r="L4479"/>
    </row>
    <row r="4480" spans="1:12" x14ac:dyDescent="0.25">
      <c r="A4480" s="16"/>
      <c r="D4480" s="16"/>
      <c r="F4480" s="16"/>
      <c r="G4480" s="16"/>
      <c r="H4480" s="24"/>
      <c r="I4480" s="24"/>
      <c r="L4480"/>
    </row>
    <row r="4481" spans="1:12" x14ac:dyDescent="0.25">
      <c r="A4481" s="16"/>
      <c r="D4481" s="16"/>
      <c r="F4481" s="16"/>
      <c r="G4481" s="16"/>
      <c r="H4481" s="24"/>
      <c r="I4481" s="24"/>
      <c r="L4481"/>
    </row>
    <row r="4482" spans="1:12" x14ac:dyDescent="0.25">
      <c r="A4482" s="16"/>
      <c r="D4482" s="16"/>
      <c r="F4482" s="16"/>
      <c r="G4482" s="16"/>
      <c r="H4482" s="24"/>
      <c r="I4482" s="24"/>
      <c r="L4482"/>
    </row>
    <row r="4483" spans="1:12" x14ac:dyDescent="0.25">
      <c r="A4483" s="16"/>
      <c r="D4483" s="16"/>
      <c r="F4483" s="16"/>
      <c r="G4483" s="16"/>
      <c r="H4483" s="24"/>
      <c r="I4483" s="24"/>
      <c r="L4483"/>
    </row>
    <row r="4484" spans="1:12" x14ac:dyDescent="0.25">
      <c r="A4484" s="16"/>
      <c r="D4484" s="16"/>
      <c r="F4484" s="16"/>
      <c r="G4484" s="16"/>
      <c r="H4484" s="24"/>
      <c r="I4484" s="24"/>
      <c r="L4484"/>
    </row>
    <row r="4485" spans="1:12" x14ac:dyDescent="0.25">
      <c r="A4485" s="16"/>
      <c r="D4485" s="16"/>
      <c r="F4485" s="16"/>
      <c r="G4485" s="16"/>
      <c r="H4485" s="24"/>
      <c r="I4485" s="24"/>
      <c r="L4485"/>
    </row>
    <row r="4486" spans="1:12" x14ac:dyDescent="0.25">
      <c r="A4486" s="16"/>
      <c r="D4486" s="16"/>
      <c r="F4486" s="16"/>
      <c r="G4486" s="16"/>
      <c r="H4486" s="24"/>
      <c r="I4486" s="24"/>
      <c r="L4486"/>
    </row>
    <row r="4487" spans="1:12" x14ac:dyDescent="0.25">
      <c r="A4487" s="16"/>
      <c r="D4487" s="16"/>
      <c r="F4487" s="16"/>
      <c r="G4487" s="16"/>
      <c r="H4487" s="24"/>
      <c r="I4487" s="24"/>
      <c r="L4487"/>
    </row>
    <row r="4488" spans="1:12" x14ac:dyDescent="0.25">
      <c r="A4488" s="16"/>
      <c r="D4488" s="16"/>
      <c r="F4488" s="16"/>
      <c r="G4488" s="16"/>
      <c r="H4488" s="24"/>
      <c r="I4488" s="24"/>
      <c r="L4488"/>
    </row>
    <row r="4489" spans="1:12" x14ac:dyDescent="0.25">
      <c r="A4489" s="16"/>
      <c r="D4489" s="16"/>
      <c r="F4489" s="16"/>
      <c r="G4489" s="16"/>
      <c r="H4489" s="24"/>
      <c r="I4489" s="24"/>
      <c r="L4489"/>
    </row>
    <row r="4490" spans="1:12" x14ac:dyDescent="0.25">
      <c r="A4490" s="16"/>
      <c r="D4490" s="16"/>
      <c r="F4490" s="16"/>
      <c r="G4490" s="16"/>
      <c r="H4490" s="24"/>
      <c r="I4490" s="24"/>
      <c r="L4490"/>
    </row>
    <row r="4491" spans="1:12" x14ac:dyDescent="0.25">
      <c r="A4491" s="16"/>
      <c r="D4491" s="16"/>
      <c r="F4491" s="16"/>
      <c r="G4491" s="16"/>
      <c r="H4491" s="24"/>
      <c r="I4491" s="24"/>
      <c r="L4491"/>
    </row>
    <row r="4492" spans="1:12" x14ac:dyDescent="0.25">
      <c r="A4492" s="16"/>
      <c r="D4492" s="16"/>
      <c r="F4492" s="16"/>
      <c r="G4492" s="16"/>
      <c r="H4492" s="24"/>
      <c r="I4492" s="24"/>
      <c r="L4492"/>
    </row>
    <row r="4493" spans="1:12" x14ac:dyDescent="0.25">
      <c r="A4493" s="16"/>
      <c r="D4493" s="16"/>
      <c r="F4493" s="16"/>
      <c r="G4493" s="16"/>
      <c r="H4493" s="24"/>
      <c r="I4493" s="24"/>
      <c r="L4493"/>
    </row>
    <row r="4494" spans="1:12" x14ac:dyDescent="0.25">
      <c r="A4494" s="16"/>
      <c r="D4494" s="16"/>
      <c r="F4494" s="16"/>
      <c r="G4494" s="16"/>
      <c r="H4494" s="24"/>
      <c r="I4494" s="24"/>
      <c r="L4494"/>
    </row>
    <row r="4495" spans="1:12" x14ac:dyDescent="0.25">
      <c r="A4495" s="16"/>
      <c r="D4495" s="16"/>
      <c r="F4495" s="16"/>
      <c r="G4495" s="16"/>
      <c r="H4495" s="24"/>
      <c r="I4495" s="24"/>
      <c r="L4495"/>
    </row>
    <row r="4496" spans="1:12" x14ac:dyDescent="0.25">
      <c r="A4496" s="16"/>
      <c r="D4496" s="16"/>
      <c r="F4496" s="16"/>
      <c r="G4496" s="16"/>
      <c r="H4496" s="24"/>
      <c r="I4496" s="24"/>
      <c r="L4496"/>
    </row>
    <row r="4497" spans="1:12" x14ac:dyDescent="0.25">
      <c r="A4497" s="16"/>
      <c r="D4497" s="16"/>
      <c r="F4497" s="16"/>
      <c r="G4497" s="16"/>
      <c r="H4497" s="24"/>
      <c r="I4497" s="24"/>
      <c r="L4497"/>
    </row>
    <row r="4498" spans="1:12" x14ac:dyDescent="0.25">
      <c r="A4498" s="16"/>
      <c r="D4498" s="16"/>
      <c r="F4498" s="16"/>
      <c r="G4498" s="16"/>
      <c r="H4498" s="24"/>
      <c r="I4498" s="24"/>
      <c r="L4498"/>
    </row>
    <row r="4499" spans="1:12" x14ac:dyDescent="0.25">
      <c r="A4499" s="16"/>
      <c r="D4499" s="16"/>
      <c r="F4499" s="16"/>
      <c r="G4499" s="16"/>
      <c r="H4499" s="24"/>
      <c r="I4499" s="24"/>
      <c r="L4499"/>
    </row>
    <row r="4500" spans="1:12" x14ac:dyDescent="0.25">
      <c r="A4500" s="16"/>
      <c r="D4500" s="16"/>
      <c r="F4500" s="16"/>
      <c r="G4500" s="16"/>
      <c r="H4500" s="24"/>
      <c r="I4500" s="24"/>
      <c r="L4500"/>
    </row>
    <row r="4501" spans="1:12" x14ac:dyDescent="0.25">
      <c r="A4501" s="16"/>
      <c r="D4501" s="16"/>
      <c r="F4501" s="16"/>
      <c r="G4501" s="16"/>
      <c r="H4501" s="24"/>
      <c r="I4501" s="24"/>
      <c r="L4501"/>
    </row>
    <row r="4502" spans="1:12" x14ac:dyDescent="0.25">
      <c r="A4502" s="16"/>
      <c r="D4502" s="16"/>
      <c r="F4502" s="16"/>
      <c r="G4502" s="16"/>
      <c r="H4502" s="24"/>
      <c r="I4502" s="24"/>
      <c r="L4502"/>
    </row>
    <row r="4503" spans="1:12" x14ac:dyDescent="0.25">
      <c r="A4503" s="16"/>
      <c r="D4503" s="16"/>
      <c r="F4503" s="16"/>
      <c r="G4503" s="16"/>
      <c r="H4503" s="24"/>
      <c r="I4503" s="24"/>
      <c r="L4503"/>
    </row>
    <row r="4504" spans="1:12" x14ac:dyDescent="0.25">
      <c r="A4504" s="16"/>
      <c r="D4504" s="16"/>
      <c r="F4504" s="16"/>
      <c r="G4504" s="16"/>
      <c r="H4504" s="24"/>
      <c r="I4504" s="24"/>
      <c r="L4504"/>
    </row>
    <row r="4505" spans="1:12" x14ac:dyDescent="0.25">
      <c r="A4505" s="16"/>
      <c r="D4505" s="16"/>
      <c r="F4505" s="16"/>
      <c r="G4505" s="16"/>
      <c r="H4505" s="24"/>
      <c r="I4505" s="24"/>
      <c r="L4505"/>
    </row>
    <row r="4506" spans="1:12" x14ac:dyDescent="0.25">
      <c r="A4506" s="16"/>
      <c r="D4506" s="16"/>
      <c r="F4506" s="16"/>
      <c r="G4506" s="16"/>
      <c r="H4506" s="24"/>
      <c r="I4506" s="24"/>
      <c r="L4506"/>
    </row>
    <row r="4507" spans="1:12" x14ac:dyDescent="0.25">
      <c r="A4507" s="16"/>
      <c r="D4507" s="16"/>
      <c r="F4507" s="16"/>
      <c r="G4507" s="16"/>
      <c r="H4507" s="24"/>
      <c r="I4507" s="24"/>
      <c r="L4507"/>
    </row>
    <row r="4508" spans="1:12" x14ac:dyDescent="0.25">
      <c r="A4508" s="16"/>
      <c r="D4508" s="16"/>
      <c r="F4508" s="16"/>
      <c r="G4508" s="16"/>
      <c r="H4508" s="24"/>
      <c r="I4508" s="24"/>
      <c r="L4508"/>
    </row>
    <row r="4509" spans="1:12" x14ac:dyDescent="0.25">
      <c r="A4509" s="16"/>
      <c r="D4509" s="16"/>
      <c r="F4509" s="16"/>
      <c r="G4509" s="16"/>
      <c r="H4509" s="24"/>
      <c r="I4509" s="24"/>
      <c r="L4509"/>
    </row>
    <row r="4510" spans="1:12" x14ac:dyDescent="0.25">
      <c r="A4510" s="16"/>
      <c r="D4510" s="16"/>
      <c r="F4510" s="16"/>
      <c r="G4510" s="16"/>
      <c r="H4510" s="24"/>
      <c r="I4510" s="24"/>
      <c r="L4510"/>
    </row>
    <row r="4511" spans="1:12" x14ac:dyDescent="0.25">
      <c r="A4511" s="16"/>
      <c r="D4511" s="16"/>
      <c r="F4511" s="16"/>
      <c r="G4511" s="16"/>
      <c r="H4511" s="24"/>
      <c r="I4511" s="24"/>
      <c r="L4511"/>
    </row>
    <row r="4512" spans="1:12" x14ac:dyDescent="0.25">
      <c r="A4512" s="16"/>
      <c r="D4512" s="16"/>
      <c r="F4512" s="16"/>
      <c r="G4512" s="16"/>
      <c r="H4512" s="24"/>
      <c r="I4512" s="24"/>
      <c r="L4512"/>
    </row>
    <row r="4513" spans="1:12" x14ac:dyDescent="0.25">
      <c r="A4513" s="16"/>
      <c r="D4513" s="16"/>
      <c r="F4513" s="16"/>
      <c r="G4513" s="16"/>
      <c r="H4513" s="24"/>
      <c r="I4513" s="24"/>
      <c r="L4513"/>
    </row>
    <row r="4514" spans="1:12" x14ac:dyDescent="0.25">
      <c r="A4514" s="16"/>
      <c r="D4514" s="16"/>
      <c r="F4514" s="16"/>
      <c r="G4514" s="16"/>
      <c r="H4514" s="24"/>
      <c r="I4514" s="24"/>
      <c r="L4514"/>
    </row>
    <row r="4515" spans="1:12" x14ac:dyDescent="0.25">
      <c r="A4515" s="16"/>
      <c r="D4515" s="16"/>
      <c r="F4515" s="16"/>
      <c r="G4515" s="16"/>
      <c r="H4515" s="24"/>
      <c r="I4515" s="24"/>
      <c r="L4515"/>
    </row>
    <row r="4516" spans="1:12" x14ac:dyDescent="0.25">
      <c r="A4516" s="16"/>
      <c r="D4516" s="16"/>
      <c r="F4516" s="16"/>
      <c r="G4516" s="16"/>
      <c r="H4516" s="24"/>
      <c r="I4516" s="24"/>
      <c r="L4516"/>
    </row>
    <row r="4517" spans="1:12" x14ac:dyDescent="0.25">
      <c r="A4517" s="16"/>
      <c r="D4517" s="16"/>
      <c r="F4517" s="16"/>
      <c r="G4517" s="16"/>
      <c r="H4517" s="24"/>
      <c r="I4517" s="24"/>
      <c r="L4517"/>
    </row>
    <row r="4518" spans="1:12" x14ac:dyDescent="0.25">
      <c r="A4518" s="16"/>
      <c r="D4518" s="16"/>
      <c r="F4518" s="16"/>
      <c r="G4518" s="16"/>
      <c r="H4518" s="24"/>
      <c r="I4518" s="24"/>
      <c r="L4518"/>
    </row>
    <row r="4519" spans="1:12" x14ac:dyDescent="0.25">
      <c r="A4519" s="16"/>
      <c r="D4519" s="16"/>
      <c r="F4519" s="16"/>
      <c r="G4519" s="16"/>
      <c r="H4519" s="24"/>
      <c r="I4519" s="24"/>
      <c r="L4519"/>
    </row>
    <row r="4520" spans="1:12" x14ac:dyDescent="0.25">
      <c r="A4520" s="16"/>
      <c r="D4520" s="16"/>
      <c r="F4520" s="16"/>
      <c r="G4520" s="16"/>
      <c r="H4520" s="24"/>
      <c r="I4520" s="24"/>
      <c r="L4520"/>
    </row>
    <row r="4521" spans="1:12" x14ac:dyDescent="0.25">
      <c r="A4521" s="16"/>
      <c r="D4521" s="16"/>
      <c r="F4521" s="16"/>
      <c r="G4521" s="16"/>
      <c r="H4521" s="24"/>
      <c r="I4521" s="24"/>
      <c r="L4521"/>
    </row>
    <row r="4522" spans="1:12" x14ac:dyDescent="0.25">
      <c r="A4522" s="16"/>
      <c r="D4522" s="16"/>
      <c r="F4522" s="16"/>
      <c r="G4522" s="16"/>
      <c r="H4522" s="24"/>
      <c r="I4522" s="24"/>
      <c r="L4522"/>
    </row>
    <row r="4523" spans="1:12" x14ac:dyDescent="0.25">
      <c r="A4523" s="16"/>
      <c r="D4523" s="16"/>
      <c r="F4523" s="16"/>
      <c r="G4523" s="16"/>
      <c r="H4523" s="24"/>
      <c r="I4523" s="24"/>
      <c r="L4523"/>
    </row>
    <row r="4524" spans="1:12" x14ac:dyDescent="0.25">
      <c r="A4524" s="16"/>
      <c r="D4524" s="16"/>
      <c r="F4524" s="16"/>
      <c r="G4524" s="16"/>
      <c r="H4524" s="24"/>
      <c r="I4524" s="24"/>
      <c r="L4524"/>
    </row>
    <row r="4525" spans="1:12" x14ac:dyDescent="0.25">
      <c r="A4525" s="16"/>
      <c r="D4525" s="16"/>
      <c r="F4525" s="16"/>
      <c r="G4525" s="16"/>
      <c r="H4525" s="24"/>
      <c r="I4525" s="24"/>
      <c r="L4525"/>
    </row>
    <row r="4526" spans="1:12" x14ac:dyDescent="0.25">
      <c r="A4526" s="16"/>
      <c r="D4526" s="16"/>
      <c r="F4526" s="16"/>
      <c r="G4526" s="16"/>
      <c r="H4526" s="24"/>
      <c r="I4526" s="24"/>
      <c r="L4526"/>
    </row>
    <row r="4527" spans="1:12" x14ac:dyDescent="0.25">
      <c r="A4527" s="16"/>
      <c r="D4527" s="16"/>
      <c r="F4527" s="16"/>
      <c r="G4527" s="16"/>
      <c r="H4527" s="24"/>
      <c r="I4527" s="24"/>
      <c r="L4527"/>
    </row>
    <row r="4528" spans="1:12" x14ac:dyDescent="0.25">
      <c r="A4528" s="16"/>
      <c r="D4528" s="16"/>
      <c r="F4528" s="16"/>
      <c r="G4528" s="16"/>
      <c r="H4528" s="24"/>
      <c r="I4528" s="24"/>
      <c r="L4528"/>
    </row>
    <row r="4529" spans="1:12" x14ac:dyDescent="0.25">
      <c r="A4529" s="16"/>
      <c r="D4529" s="16"/>
      <c r="F4529" s="16"/>
      <c r="G4529" s="16"/>
      <c r="H4529" s="24"/>
      <c r="I4529" s="24"/>
      <c r="L4529"/>
    </row>
    <row r="4530" spans="1:12" x14ac:dyDescent="0.25">
      <c r="A4530" s="16"/>
      <c r="D4530" s="16"/>
      <c r="F4530" s="16"/>
      <c r="G4530" s="16"/>
      <c r="H4530" s="24"/>
      <c r="I4530" s="24"/>
      <c r="L4530"/>
    </row>
    <row r="4531" spans="1:12" x14ac:dyDescent="0.25">
      <c r="A4531" s="16"/>
      <c r="D4531" s="16"/>
      <c r="F4531" s="16"/>
      <c r="G4531" s="16"/>
      <c r="H4531" s="24"/>
      <c r="I4531" s="24"/>
      <c r="L4531"/>
    </row>
    <row r="4532" spans="1:12" x14ac:dyDescent="0.25">
      <c r="A4532" s="16"/>
      <c r="D4532" s="16"/>
      <c r="F4532" s="16"/>
      <c r="G4532" s="16"/>
      <c r="H4532" s="24"/>
      <c r="I4532" s="24"/>
      <c r="L4532"/>
    </row>
    <row r="4533" spans="1:12" x14ac:dyDescent="0.25">
      <c r="A4533" s="16"/>
      <c r="D4533" s="16"/>
      <c r="F4533" s="16"/>
      <c r="G4533" s="16"/>
      <c r="H4533" s="24"/>
      <c r="I4533" s="24"/>
      <c r="L4533"/>
    </row>
    <row r="4534" spans="1:12" x14ac:dyDescent="0.25">
      <c r="A4534" s="16"/>
      <c r="D4534" s="16"/>
      <c r="F4534" s="16"/>
      <c r="G4534" s="16"/>
      <c r="H4534" s="24"/>
      <c r="I4534" s="24"/>
      <c r="L4534"/>
    </row>
    <row r="4535" spans="1:12" x14ac:dyDescent="0.25">
      <c r="A4535" s="16"/>
      <c r="D4535" s="16"/>
      <c r="F4535" s="16"/>
      <c r="G4535" s="16"/>
      <c r="H4535" s="24"/>
      <c r="I4535" s="24"/>
      <c r="L4535"/>
    </row>
    <row r="4536" spans="1:12" x14ac:dyDescent="0.25">
      <c r="A4536" s="16"/>
      <c r="D4536" s="16"/>
      <c r="F4536" s="16"/>
      <c r="G4536" s="16"/>
      <c r="H4536" s="24"/>
      <c r="I4536" s="24"/>
      <c r="L4536"/>
    </row>
    <row r="4537" spans="1:12" x14ac:dyDescent="0.25">
      <c r="A4537" s="16"/>
      <c r="D4537" s="16"/>
      <c r="F4537" s="16"/>
      <c r="G4537" s="16"/>
      <c r="H4537" s="24"/>
      <c r="I4537" s="24"/>
      <c r="L4537"/>
    </row>
    <row r="4538" spans="1:12" x14ac:dyDescent="0.25">
      <c r="A4538" s="16"/>
      <c r="D4538" s="16"/>
      <c r="F4538" s="16"/>
      <c r="G4538" s="16"/>
      <c r="H4538" s="24"/>
      <c r="I4538" s="24"/>
      <c r="L4538"/>
    </row>
    <row r="4539" spans="1:12" x14ac:dyDescent="0.25">
      <c r="A4539" s="16"/>
      <c r="D4539" s="16"/>
      <c r="F4539" s="16"/>
      <c r="G4539" s="16"/>
      <c r="H4539" s="24"/>
      <c r="I4539" s="24"/>
      <c r="L4539"/>
    </row>
    <row r="4540" spans="1:12" x14ac:dyDescent="0.25">
      <c r="A4540" s="16"/>
      <c r="D4540" s="16"/>
      <c r="F4540" s="16"/>
      <c r="G4540" s="16"/>
      <c r="H4540" s="24"/>
      <c r="I4540" s="24"/>
      <c r="L4540"/>
    </row>
    <row r="4541" spans="1:12" x14ac:dyDescent="0.25">
      <c r="A4541" s="16"/>
      <c r="D4541" s="16"/>
      <c r="F4541" s="16"/>
      <c r="G4541" s="16"/>
      <c r="H4541" s="24"/>
      <c r="I4541" s="24"/>
      <c r="L4541"/>
    </row>
    <row r="4542" spans="1:12" x14ac:dyDescent="0.25">
      <c r="A4542" s="16"/>
      <c r="D4542" s="16"/>
      <c r="F4542" s="16"/>
      <c r="G4542" s="16"/>
      <c r="H4542" s="24"/>
      <c r="I4542" s="24"/>
      <c r="L4542"/>
    </row>
    <row r="4543" spans="1:12" x14ac:dyDescent="0.25">
      <c r="A4543" s="16"/>
      <c r="D4543" s="16"/>
      <c r="F4543" s="16"/>
      <c r="G4543" s="16"/>
      <c r="H4543" s="24"/>
      <c r="I4543" s="24"/>
      <c r="L4543"/>
    </row>
    <row r="4544" spans="1:12" x14ac:dyDescent="0.25">
      <c r="A4544" s="16"/>
      <c r="D4544" s="16"/>
      <c r="F4544" s="16"/>
      <c r="G4544" s="16"/>
      <c r="H4544" s="24"/>
      <c r="I4544" s="24"/>
      <c r="L4544"/>
    </row>
    <row r="4545" spans="1:12" x14ac:dyDescent="0.25">
      <c r="A4545" s="16"/>
      <c r="D4545" s="16"/>
      <c r="F4545" s="16"/>
      <c r="G4545" s="16"/>
      <c r="H4545" s="24"/>
      <c r="I4545" s="24"/>
      <c r="L4545"/>
    </row>
    <row r="4546" spans="1:12" x14ac:dyDescent="0.25">
      <c r="A4546" s="16"/>
      <c r="D4546" s="16"/>
      <c r="F4546" s="16"/>
      <c r="G4546" s="16"/>
      <c r="H4546" s="24"/>
      <c r="I4546" s="24"/>
      <c r="L4546"/>
    </row>
    <row r="4547" spans="1:12" x14ac:dyDescent="0.25">
      <c r="A4547" s="16"/>
      <c r="D4547" s="16"/>
      <c r="F4547" s="16"/>
      <c r="G4547" s="16"/>
      <c r="H4547" s="24"/>
      <c r="I4547" s="24"/>
      <c r="L4547"/>
    </row>
    <row r="4548" spans="1:12" x14ac:dyDescent="0.25">
      <c r="A4548" s="16"/>
      <c r="D4548" s="16"/>
      <c r="F4548" s="16"/>
      <c r="G4548" s="16"/>
      <c r="H4548" s="24"/>
      <c r="I4548" s="24"/>
      <c r="L4548"/>
    </row>
    <row r="4549" spans="1:12" x14ac:dyDescent="0.25">
      <c r="A4549" s="16"/>
      <c r="D4549" s="16"/>
      <c r="F4549" s="16"/>
      <c r="G4549" s="16"/>
      <c r="H4549" s="24"/>
      <c r="I4549" s="24"/>
      <c r="L4549"/>
    </row>
    <row r="4550" spans="1:12" x14ac:dyDescent="0.25">
      <c r="A4550" s="16"/>
      <c r="D4550" s="16"/>
      <c r="F4550" s="16"/>
      <c r="G4550" s="16"/>
      <c r="H4550" s="24"/>
      <c r="I4550" s="24"/>
      <c r="L4550"/>
    </row>
    <row r="4551" spans="1:12" x14ac:dyDescent="0.25">
      <c r="A4551" s="16"/>
      <c r="D4551" s="16"/>
      <c r="F4551" s="16"/>
      <c r="G4551" s="16"/>
      <c r="H4551" s="24"/>
      <c r="I4551" s="24"/>
      <c r="L4551"/>
    </row>
    <row r="4552" spans="1:12" x14ac:dyDescent="0.25">
      <c r="A4552" s="16"/>
      <c r="D4552" s="16"/>
      <c r="F4552" s="16"/>
      <c r="G4552" s="16"/>
      <c r="H4552" s="24"/>
      <c r="I4552" s="24"/>
      <c r="L4552"/>
    </row>
    <row r="4553" spans="1:12" x14ac:dyDescent="0.25">
      <c r="A4553" s="16"/>
      <c r="D4553" s="16"/>
      <c r="F4553" s="16"/>
      <c r="G4553" s="16"/>
      <c r="H4553" s="24"/>
      <c r="I4553" s="24"/>
      <c r="L4553"/>
    </row>
    <row r="4554" spans="1:12" x14ac:dyDescent="0.25">
      <c r="A4554" s="16"/>
      <c r="D4554" s="16"/>
      <c r="F4554" s="16"/>
      <c r="G4554" s="16"/>
      <c r="H4554" s="24"/>
      <c r="I4554" s="24"/>
      <c r="L4554"/>
    </row>
    <row r="4555" spans="1:12" x14ac:dyDescent="0.25">
      <c r="A4555" s="16"/>
      <c r="D4555" s="16"/>
      <c r="F4555" s="16"/>
      <c r="G4555" s="16"/>
      <c r="H4555" s="24"/>
      <c r="I4555" s="24"/>
      <c r="L4555"/>
    </row>
    <row r="4556" spans="1:12" x14ac:dyDescent="0.25">
      <c r="A4556" s="16"/>
      <c r="D4556" s="16"/>
      <c r="F4556" s="16"/>
      <c r="G4556" s="16"/>
      <c r="H4556" s="24"/>
      <c r="I4556" s="24"/>
      <c r="L4556"/>
    </row>
    <row r="4557" spans="1:12" x14ac:dyDescent="0.25">
      <c r="A4557" s="16"/>
      <c r="D4557" s="16"/>
      <c r="F4557" s="16"/>
      <c r="G4557" s="16"/>
      <c r="H4557" s="24"/>
      <c r="I4557" s="24"/>
      <c r="L4557"/>
    </row>
    <row r="4558" spans="1:12" x14ac:dyDescent="0.25">
      <c r="A4558" s="16"/>
      <c r="D4558" s="16"/>
      <c r="F4558" s="16"/>
      <c r="G4558" s="16"/>
      <c r="H4558" s="24"/>
      <c r="I4558" s="24"/>
      <c r="L4558"/>
    </row>
    <row r="4559" spans="1:12" x14ac:dyDescent="0.25">
      <c r="A4559" s="16"/>
      <c r="D4559" s="16"/>
      <c r="F4559" s="16"/>
      <c r="G4559" s="16"/>
      <c r="H4559" s="24"/>
      <c r="I4559" s="24"/>
      <c r="L4559"/>
    </row>
    <row r="4560" spans="1:12" x14ac:dyDescent="0.25">
      <c r="A4560" s="16"/>
      <c r="D4560" s="16"/>
      <c r="F4560" s="16"/>
      <c r="G4560" s="16"/>
      <c r="H4560" s="24"/>
      <c r="I4560" s="24"/>
      <c r="L4560"/>
    </row>
    <row r="4561" spans="1:12" x14ac:dyDescent="0.25">
      <c r="A4561" s="16"/>
      <c r="D4561" s="16"/>
      <c r="F4561" s="16"/>
      <c r="G4561" s="16"/>
      <c r="H4561" s="24"/>
      <c r="I4561" s="24"/>
      <c r="L4561"/>
    </row>
    <row r="4562" spans="1:12" x14ac:dyDescent="0.25">
      <c r="A4562" s="16"/>
      <c r="D4562" s="16"/>
      <c r="F4562" s="16"/>
      <c r="G4562" s="16"/>
      <c r="H4562" s="24"/>
      <c r="I4562" s="24"/>
      <c r="L4562"/>
    </row>
    <row r="4563" spans="1:12" x14ac:dyDescent="0.25">
      <c r="A4563" s="16"/>
      <c r="D4563" s="16"/>
      <c r="F4563" s="16"/>
      <c r="G4563" s="16"/>
      <c r="H4563" s="24"/>
      <c r="I4563" s="24"/>
      <c r="L4563"/>
    </row>
    <row r="4564" spans="1:12" x14ac:dyDescent="0.25">
      <c r="A4564" s="16"/>
      <c r="D4564" s="16"/>
      <c r="F4564" s="16"/>
      <c r="G4564" s="16"/>
      <c r="H4564" s="24"/>
      <c r="I4564" s="24"/>
      <c r="L4564"/>
    </row>
    <row r="4565" spans="1:12" x14ac:dyDescent="0.25">
      <c r="A4565" s="16"/>
      <c r="D4565" s="16"/>
      <c r="F4565" s="16"/>
      <c r="G4565" s="16"/>
      <c r="H4565" s="24"/>
      <c r="I4565" s="24"/>
      <c r="L4565"/>
    </row>
    <row r="4566" spans="1:12" x14ac:dyDescent="0.25">
      <c r="A4566" s="16"/>
      <c r="D4566" s="16"/>
      <c r="F4566" s="16"/>
      <c r="G4566" s="16"/>
      <c r="H4566" s="24"/>
      <c r="I4566" s="24"/>
      <c r="L4566"/>
    </row>
    <row r="4567" spans="1:12" x14ac:dyDescent="0.25">
      <c r="A4567" s="16"/>
      <c r="D4567" s="16"/>
      <c r="F4567" s="16"/>
      <c r="G4567" s="16"/>
      <c r="H4567" s="24"/>
      <c r="I4567" s="24"/>
      <c r="L4567"/>
    </row>
    <row r="4568" spans="1:12" x14ac:dyDescent="0.25">
      <c r="A4568" s="16"/>
      <c r="D4568" s="16"/>
      <c r="F4568" s="16"/>
      <c r="G4568" s="16"/>
      <c r="H4568" s="24"/>
      <c r="I4568" s="24"/>
      <c r="L4568"/>
    </row>
    <row r="4569" spans="1:12" x14ac:dyDescent="0.25">
      <c r="A4569" s="16"/>
      <c r="D4569" s="16"/>
      <c r="F4569" s="16"/>
      <c r="G4569" s="16"/>
      <c r="H4569" s="24"/>
      <c r="I4569" s="24"/>
      <c r="L4569"/>
    </row>
    <row r="4570" spans="1:12" x14ac:dyDescent="0.25">
      <c r="A4570" s="16"/>
      <c r="D4570" s="16"/>
      <c r="F4570" s="16"/>
      <c r="G4570" s="16"/>
      <c r="H4570" s="24"/>
      <c r="I4570" s="24"/>
      <c r="L4570"/>
    </row>
    <row r="4571" spans="1:12" x14ac:dyDescent="0.25">
      <c r="A4571" s="16"/>
      <c r="D4571" s="16"/>
      <c r="F4571" s="16"/>
      <c r="G4571" s="16"/>
      <c r="H4571" s="24"/>
      <c r="I4571" s="24"/>
      <c r="L4571"/>
    </row>
    <row r="4572" spans="1:12" x14ac:dyDescent="0.25">
      <c r="A4572" s="16"/>
      <c r="D4572" s="16"/>
      <c r="F4572" s="16"/>
      <c r="G4572" s="16"/>
      <c r="H4572" s="24"/>
      <c r="I4572" s="24"/>
      <c r="L4572"/>
    </row>
    <row r="4573" spans="1:12" x14ac:dyDescent="0.25">
      <c r="A4573" s="16"/>
      <c r="D4573" s="16"/>
      <c r="F4573" s="16"/>
      <c r="G4573" s="16"/>
      <c r="H4573" s="24"/>
      <c r="I4573" s="24"/>
      <c r="L4573"/>
    </row>
    <row r="4574" spans="1:12" x14ac:dyDescent="0.25">
      <c r="A4574" s="16"/>
      <c r="D4574" s="16"/>
      <c r="F4574" s="16"/>
      <c r="G4574" s="16"/>
      <c r="H4574" s="24"/>
      <c r="I4574" s="24"/>
      <c r="L4574"/>
    </row>
    <row r="4575" spans="1:12" x14ac:dyDescent="0.25">
      <c r="A4575" s="16"/>
      <c r="D4575" s="16"/>
      <c r="F4575" s="16"/>
      <c r="G4575" s="16"/>
      <c r="H4575" s="24"/>
      <c r="I4575" s="24"/>
      <c r="L4575"/>
    </row>
    <row r="4576" spans="1:12" x14ac:dyDescent="0.25">
      <c r="A4576" s="16"/>
      <c r="D4576" s="16"/>
      <c r="F4576" s="16"/>
      <c r="G4576" s="16"/>
      <c r="H4576" s="24"/>
      <c r="I4576" s="24"/>
      <c r="L4576"/>
    </row>
    <row r="4577" spans="1:12" x14ac:dyDescent="0.25">
      <c r="A4577" s="16"/>
      <c r="D4577" s="16"/>
      <c r="F4577" s="16"/>
      <c r="G4577" s="16"/>
      <c r="H4577" s="24"/>
      <c r="I4577" s="24"/>
      <c r="L4577"/>
    </row>
    <row r="4578" spans="1:12" x14ac:dyDescent="0.25">
      <c r="A4578" s="16"/>
      <c r="D4578" s="16"/>
      <c r="F4578" s="16"/>
      <c r="G4578" s="16"/>
      <c r="H4578" s="24"/>
      <c r="I4578" s="24"/>
      <c r="L4578"/>
    </row>
    <row r="4579" spans="1:12" x14ac:dyDescent="0.25">
      <c r="A4579" s="16"/>
      <c r="D4579" s="16"/>
      <c r="F4579" s="16"/>
      <c r="G4579" s="16"/>
      <c r="H4579" s="24"/>
      <c r="I4579" s="24"/>
      <c r="L4579"/>
    </row>
    <row r="4580" spans="1:12" x14ac:dyDescent="0.25">
      <c r="A4580" s="16"/>
      <c r="D4580" s="16"/>
      <c r="F4580" s="16"/>
      <c r="G4580" s="16"/>
      <c r="H4580" s="24"/>
      <c r="I4580" s="24"/>
      <c r="L4580"/>
    </row>
    <row r="4581" spans="1:12" x14ac:dyDescent="0.25">
      <c r="A4581" s="16"/>
      <c r="D4581" s="16"/>
      <c r="F4581" s="16"/>
      <c r="G4581" s="16"/>
      <c r="H4581" s="24"/>
      <c r="I4581" s="24"/>
      <c r="L4581"/>
    </row>
    <row r="4582" spans="1:12" x14ac:dyDescent="0.25">
      <c r="A4582" s="16"/>
      <c r="D4582" s="16"/>
      <c r="F4582" s="16"/>
      <c r="G4582" s="16"/>
      <c r="H4582" s="24"/>
      <c r="I4582" s="24"/>
      <c r="L4582"/>
    </row>
    <row r="4583" spans="1:12" x14ac:dyDescent="0.25">
      <c r="A4583" s="16"/>
      <c r="D4583" s="16"/>
      <c r="F4583" s="16"/>
      <c r="G4583" s="16"/>
      <c r="H4583" s="24"/>
      <c r="I4583" s="24"/>
      <c r="L4583"/>
    </row>
    <row r="4584" spans="1:12" x14ac:dyDescent="0.25">
      <c r="A4584" s="16"/>
      <c r="D4584" s="16"/>
      <c r="F4584" s="16"/>
      <c r="G4584" s="16"/>
      <c r="H4584" s="24"/>
      <c r="I4584" s="24"/>
      <c r="L4584"/>
    </row>
    <row r="4585" spans="1:12" x14ac:dyDescent="0.25">
      <c r="A4585" s="16"/>
      <c r="D4585" s="16"/>
      <c r="F4585" s="16"/>
      <c r="G4585" s="16"/>
      <c r="H4585" s="24"/>
      <c r="I4585" s="24"/>
      <c r="L4585"/>
    </row>
    <row r="4586" spans="1:12" x14ac:dyDescent="0.25">
      <c r="A4586" s="16"/>
      <c r="D4586" s="16"/>
      <c r="F4586" s="16"/>
      <c r="G4586" s="16"/>
      <c r="H4586" s="24"/>
      <c r="I4586" s="24"/>
      <c r="L4586"/>
    </row>
    <row r="4587" spans="1:12" x14ac:dyDescent="0.25">
      <c r="A4587" s="16"/>
      <c r="D4587" s="16"/>
      <c r="F4587" s="16"/>
      <c r="G4587" s="16"/>
      <c r="H4587" s="24"/>
      <c r="I4587" s="24"/>
      <c r="L4587"/>
    </row>
    <row r="4588" spans="1:12" x14ac:dyDescent="0.25">
      <c r="A4588" s="16"/>
      <c r="D4588" s="16"/>
      <c r="F4588" s="16"/>
      <c r="G4588" s="16"/>
      <c r="H4588" s="24"/>
      <c r="I4588" s="24"/>
      <c r="L4588"/>
    </row>
    <row r="4589" spans="1:12" x14ac:dyDescent="0.25">
      <c r="A4589" s="16"/>
      <c r="D4589" s="16"/>
      <c r="F4589" s="16"/>
      <c r="G4589" s="16"/>
      <c r="H4589" s="24"/>
      <c r="I4589" s="24"/>
      <c r="L4589"/>
    </row>
    <row r="4590" spans="1:12" x14ac:dyDescent="0.25">
      <c r="A4590" s="16"/>
      <c r="D4590" s="16"/>
      <c r="F4590" s="16"/>
      <c r="G4590" s="16"/>
      <c r="H4590" s="24"/>
      <c r="I4590" s="24"/>
      <c r="L4590"/>
    </row>
    <row r="4591" spans="1:12" x14ac:dyDescent="0.25">
      <c r="A4591" s="16"/>
      <c r="D4591" s="16"/>
      <c r="F4591" s="16"/>
      <c r="G4591" s="16"/>
      <c r="H4591" s="24"/>
      <c r="I4591" s="24"/>
      <c r="L4591"/>
    </row>
    <row r="4592" spans="1:12" x14ac:dyDescent="0.25">
      <c r="A4592" s="16"/>
      <c r="D4592" s="16"/>
      <c r="F4592" s="16"/>
      <c r="G4592" s="16"/>
      <c r="H4592" s="24"/>
      <c r="I4592" s="24"/>
      <c r="L4592"/>
    </row>
    <row r="4593" spans="1:12" x14ac:dyDescent="0.25">
      <c r="A4593" s="16"/>
      <c r="D4593" s="16"/>
      <c r="F4593" s="16"/>
      <c r="G4593" s="16"/>
      <c r="H4593" s="24"/>
      <c r="I4593" s="24"/>
      <c r="L4593"/>
    </row>
    <row r="4594" spans="1:12" x14ac:dyDescent="0.25">
      <c r="A4594" s="16"/>
      <c r="D4594" s="16"/>
      <c r="F4594" s="16"/>
      <c r="G4594" s="16"/>
      <c r="H4594" s="24"/>
      <c r="I4594" s="24"/>
      <c r="L4594"/>
    </row>
    <row r="4595" spans="1:12" x14ac:dyDescent="0.25">
      <c r="A4595" s="16"/>
      <c r="D4595" s="16"/>
      <c r="F4595" s="16"/>
      <c r="G4595" s="16"/>
      <c r="H4595" s="24"/>
      <c r="I4595" s="24"/>
      <c r="L4595"/>
    </row>
    <row r="4596" spans="1:12" x14ac:dyDescent="0.25">
      <c r="A4596" s="16"/>
      <c r="D4596" s="16"/>
      <c r="F4596" s="16"/>
      <c r="G4596" s="16"/>
      <c r="H4596" s="24"/>
      <c r="I4596" s="24"/>
      <c r="L4596"/>
    </row>
    <row r="4597" spans="1:12" x14ac:dyDescent="0.25">
      <c r="A4597" s="16"/>
      <c r="D4597" s="16"/>
      <c r="F4597" s="16"/>
      <c r="G4597" s="16"/>
      <c r="H4597" s="24"/>
      <c r="I4597" s="24"/>
      <c r="L4597"/>
    </row>
    <row r="4598" spans="1:12" x14ac:dyDescent="0.25">
      <c r="A4598" s="16"/>
      <c r="D4598" s="16"/>
      <c r="F4598" s="16"/>
      <c r="G4598" s="16"/>
      <c r="H4598" s="24"/>
      <c r="I4598" s="24"/>
      <c r="L4598"/>
    </row>
    <row r="4599" spans="1:12" x14ac:dyDescent="0.25">
      <c r="A4599" s="16"/>
      <c r="D4599" s="16"/>
      <c r="F4599" s="16"/>
      <c r="G4599" s="16"/>
      <c r="H4599" s="24"/>
      <c r="I4599" s="24"/>
      <c r="L4599"/>
    </row>
    <row r="4600" spans="1:12" x14ac:dyDescent="0.25">
      <c r="A4600" s="16"/>
      <c r="D4600" s="16"/>
      <c r="F4600" s="16"/>
      <c r="G4600" s="16"/>
      <c r="H4600" s="24"/>
      <c r="I4600" s="24"/>
      <c r="L4600"/>
    </row>
    <row r="4601" spans="1:12" x14ac:dyDescent="0.25">
      <c r="A4601" s="16"/>
      <c r="D4601" s="16"/>
      <c r="F4601" s="16"/>
      <c r="G4601" s="16"/>
      <c r="H4601" s="24"/>
      <c r="I4601" s="24"/>
      <c r="L4601"/>
    </row>
    <row r="4602" spans="1:12" x14ac:dyDescent="0.25">
      <c r="A4602" s="16"/>
      <c r="D4602" s="16"/>
      <c r="F4602" s="16"/>
      <c r="G4602" s="16"/>
      <c r="H4602" s="24"/>
      <c r="I4602" s="24"/>
      <c r="L4602"/>
    </row>
    <row r="4603" spans="1:12" x14ac:dyDescent="0.25">
      <c r="A4603" s="16"/>
      <c r="D4603" s="16"/>
      <c r="F4603" s="16"/>
      <c r="G4603" s="16"/>
      <c r="H4603" s="24"/>
      <c r="I4603" s="24"/>
      <c r="L4603"/>
    </row>
    <row r="4604" spans="1:12" x14ac:dyDescent="0.25">
      <c r="A4604" s="16"/>
      <c r="D4604" s="16"/>
      <c r="F4604" s="16"/>
      <c r="G4604" s="16"/>
      <c r="H4604" s="24"/>
      <c r="I4604" s="24"/>
      <c r="L4604"/>
    </row>
    <row r="4605" spans="1:12" x14ac:dyDescent="0.25">
      <c r="A4605" s="16"/>
      <c r="D4605" s="16"/>
      <c r="F4605" s="16"/>
      <c r="G4605" s="16"/>
      <c r="H4605" s="24"/>
      <c r="I4605" s="24"/>
      <c r="L4605"/>
    </row>
    <row r="4606" spans="1:12" x14ac:dyDescent="0.25">
      <c r="A4606" s="16"/>
      <c r="D4606" s="16"/>
      <c r="F4606" s="16"/>
      <c r="G4606" s="16"/>
      <c r="H4606" s="24"/>
      <c r="I4606" s="24"/>
      <c r="L4606"/>
    </row>
    <row r="4607" spans="1:12" x14ac:dyDescent="0.25">
      <c r="A4607" s="16"/>
      <c r="D4607" s="16"/>
      <c r="F4607" s="16"/>
      <c r="G4607" s="16"/>
      <c r="H4607" s="24"/>
      <c r="I4607" s="24"/>
      <c r="L4607"/>
    </row>
    <row r="4608" spans="1:12" x14ac:dyDescent="0.25">
      <c r="A4608" s="16"/>
      <c r="D4608" s="16"/>
      <c r="F4608" s="16"/>
      <c r="G4608" s="16"/>
      <c r="H4608" s="24"/>
      <c r="I4608" s="24"/>
      <c r="L4608"/>
    </row>
    <row r="4609" spans="1:12" x14ac:dyDescent="0.25">
      <c r="A4609" s="16"/>
      <c r="D4609" s="16"/>
      <c r="F4609" s="16"/>
      <c r="G4609" s="16"/>
      <c r="H4609" s="24"/>
      <c r="I4609" s="24"/>
      <c r="L4609"/>
    </row>
    <row r="4610" spans="1:12" x14ac:dyDescent="0.25">
      <c r="A4610" s="16"/>
      <c r="D4610" s="16"/>
      <c r="F4610" s="16"/>
      <c r="G4610" s="16"/>
      <c r="H4610" s="24"/>
      <c r="I4610" s="24"/>
      <c r="L4610"/>
    </row>
    <row r="4611" spans="1:12" x14ac:dyDescent="0.25">
      <c r="A4611" s="16"/>
      <c r="D4611" s="16"/>
      <c r="F4611" s="16"/>
      <c r="G4611" s="16"/>
      <c r="H4611" s="24"/>
      <c r="I4611" s="24"/>
      <c r="L4611"/>
    </row>
    <row r="4612" spans="1:12" x14ac:dyDescent="0.25">
      <c r="A4612" s="16"/>
      <c r="D4612" s="16"/>
      <c r="F4612" s="16"/>
      <c r="G4612" s="16"/>
      <c r="H4612" s="24"/>
      <c r="I4612" s="24"/>
      <c r="L4612"/>
    </row>
    <row r="4613" spans="1:12" x14ac:dyDescent="0.25">
      <c r="A4613" s="16"/>
      <c r="D4613" s="16"/>
      <c r="F4613" s="16"/>
      <c r="G4613" s="16"/>
      <c r="H4613" s="24"/>
      <c r="I4613" s="24"/>
      <c r="L4613"/>
    </row>
    <row r="4614" spans="1:12" x14ac:dyDescent="0.25">
      <c r="A4614" s="16"/>
      <c r="D4614" s="16"/>
      <c r="F4614" s="16"/>
      <c r="G4614" s="16"/>
      <c r="H4614" s="24"/>
      <c r="I4614" s="24"/>
      <c r="L4614"/>
    </row>
    <row r="4615" spans="1:12" x14ac:dyDescent="0.25">
      <c r="A4615" s="16"/>
      <c r="D4615" s="16"/>
      <c r="F4615" s="16"/>
      <c r="G4615" s="16"/>
      <c r="H4615" s="24"/>
      <c r="I4615" s="24"/>
      <c r="L4615"/>
    </row>
    <row r="4616" spans="1:12" x14ac:dyDescent="0.25">
      <c r="A4616" s="16"/>
      <c r="D4616" s="16"/>
      <c r="F4616" s="16"/>
      <c r="G4616" s="16"/>
      <c r="H4616" s="24"/>
      <c r="I4616" s="24"/>
      <c r="L4616"/>
    </row>
    <row r="4617" spans="1:12" x14ac:dyDescent="0.25">
      <c r="A4617" s="16"/>
      <c r="D4617" s="16"/>
      <c r="F4617" s="16"/>
      <c r="G4617" s="16"/>
      <c r="H4617" s="24"/>
      <c r="I4617" s="24"/>
      <c r="L4617"/>
    </row>
    <row r="4618" spans="1:12" x14ac:dyDescent="0.25">
      <c r="A4618" s="16"/>
      <c r="D4618" s="16"/>
      <c r="F4618" s="16"/>
      <c r="G4618" s="16"/>
      <c r="H4618" s="24"/>
      <c r="I4618" s="24"/>
      <c r="L4618"/>
    </row>
    <row r="4619" spans="1:12" x14ac:dyDescent="0.25">
      <c r="A4619" s="16"/>
      <c r="D4619" s="16"/>
      <c r="F4619" s="16"/>
      <c r="G4619" s="16"/>
      <c r="H4619" s="24"/>
      <c r="I4619" s="24"/>
      <c r="L4619"/>
    </row>
    <row r="4620" spans="1:12" x14ac:dyDescent="0.25">
      <c r="A4620" s="16"/>
      <c r="D4620" s="16"/>
      <c r="F4620" s="16"/>
      <c r="G4620" s="16"/>
      <c r="H4620" s="24"/>
      <c r="I4620" s="24"/>
      <c r="L4620"/>
    </row>
    <row r="4621" spans="1:12" x14ac:dyDescent="0.25">
      <c r="A4621" s="16"/>
      <c r="D4621" s="16"/>
      <c r="F4621" s="16"/>
      <c r="G4621" s="16"/>
      <c r="H4621" s="24"/>
      <c r="I4621" s="24"/>
      <c r="L4621"/>
    </row>
    <row r="4622" spans="1:12" x14ac:dyDescent="0.25">
      <c r="A4622" s="16"/>
      <c r="D4622" s="16"/>
      <c r="F4622" s="16"/>
      <c r="G4622" s="16"/>
      <c r="H4622" s="24"/>
      <c r="I4622" s="24"/>
      <c r="L4622"/>
    </row>
    <row r="4623" spans="1:12" x14ac:dyDescent="0.25">
      <c r="A4623" s="16"/>
      <c r="D4623" s="16"/>
      <c r="F4623" s="16"/>
      <c r="G4623" s="16"/>
      <c r="H4623" s="24"/>
      <c r="I4623" s="24"/>
      <c r="L4623"/>
    </row>
    <row r="4624" spans="1:12" x14ac:dyDescent="0.25">
      <c r="A4624" s="16"/>
      <c r="D4624" s="16"/>
      <c r="F4624" s="16"/>
      <c r="G4624" s="16"/>
      <c r="H4624" s="24"/>
      <c r="I4624" s="24"/>
      <c r="L4624"/>
    </row>
    <row r="4625" spans="1:12" x14ac:dyDescent="0.25">
      <c r="A4625" s="16"/>
      <c r="D4625" s="16"/>
      <c r="F4625" s="16"/>
      <c r="G4625" s="16"/>
      <c r="H4625" s="24"/>
      <c r="I4625" s="24"/>
      <c r="L4625"/>
    </row>
    <row r="4626" spans="1:12" x14ac:dyDescent="0.25">
      <c r="A4626" s="16"/>
      <c r="D4626" s="16"/>
      <c r="F4626" s="16"/>
      <c r="G4626" s="16"/>
      <c r="H4626" s="24"/>
      <c r="I4626" s="24"/>
      <c r="L4626"/>
    </row>
    <row r="4627" spans="1:12" x14ac:dyDescent="0.25">
      <c r="A4627" s="16"/>
      <c r="D4627" s="16"/>
      <c r="F4627" s="16"/>
      <c r="G4627" s="16"/>
      <c r="H4627" s="24"/>
      <c r="I4627" s="24"/>
      <c r="L4627"/>
    </row>
    <row r="4628" spans="1:12" x14ac:dyDescent="0.25">
      <c r="A4628" s="16"/>
      <c r="D4628" s="16"/>
      <c r="F4628" s="16"/>
      <c r="G4628" s="16"/>
      <c r="H4628" s="24"/>
      <c r="I4628" s="24"/>
      <c r="L4628"/>
    </row>
    <row r="4629" spans="1:12" x14ac:dyDescent="0.25">
      <c r="A4629" s="16"/>
      <c r="D4629" s="16"/>
      <c r="F4629" s="16"/>
      <c r="G4629" s="16"/>
      <c r="H4629" s="24"/>
      <c r="I4629" s="24"/>
      <c r="L4629"/>
    </row>
    <row r="4630" spans="1:12" x14ac:dyDescent="0.25">
      <c r="A4630" s="16"/>
      <c r="D4630" s="16"/>
      <c r="F4630" s="16"/>
      <c r="G4630" s="16"/>
      <c r="H4630" s="24"/>
      <c r="I4630" s="24"/>
      <c r="L4630"/>
    </row>
    <row r="4631" spans="1:12" x14ac:dyDescent="0.25">
      <c r="A4631" s="16"/>
      <c r="D4631" s="16"/>
      <c r="F4631" s="16"/>
      <c r="G4631" s="16"/>
      <c r="H4631" s="24"/>
      <c r="I4631" s="24"/>
      <c r="L4631"/>
    </row>
    <row r="4632" spans="1:12" x14ac:dyDescent="0.25">
      <c r="A4632" s="16"/>
      <c r="D4632" s="16"/>
      <c r="F4632" s="16"/>
      <c r="G4632" s="16"/>
      <c r="H4632" s="24"/>
      <c r="I4632" s="24"/>
      <c r="L4632"/>
    </row>
    <row r="4633" spans="1:12" x14ac:dyDescent="0.25">
      <c r="A4633" s="16"/>
      <c r="D4633" s="16"/>
      <c r="F4633" s="16"/>
      <c r="G4633" s="16"/>
      <c r="H4633" s="24"/>
      <c r="I4633" s="24"/>
      <c r="L4633"/>
    </row>
    <row r="4634" spans="1:12" x14ac:dyDescent="0.25">
      <c r="A4634" s="16"/>
      <c r="D4634" s="16"/>
      <c r="F4634" s="16"/>
      <c r="G4634" s="16"/>
      <c r="H4634" s="24"/>
      <c r="I4634" s="24"/>
      <c r="L4634"/>
    </row>
    <row r="4635" spans="1:12" x14ac:dyDescent="0.25">
      <c r="A4635" s="16"/>
      <c r="D4635" s="16"/>
      <c r="F4635" s="16"/>
      <c r="G4635" s="16"/>
      <c r="H4635" s="24"/>
      <c r="I4635" s="24"/>
      <c r="L4635"/>
    </row>
    <row r="4636" spans="1:12" x14ac:dyDescent="0.25">
      <c r="A4636" s="16"/>
      <c r="D4636" s="16"/>
      <c r="F4636" s="16"/>
      <c r="G4636" s="16"/>
      <c r="H4636" s="24"/>
      <c r="I4636" s="24"/>
      <c r="L4636"/>
    </row>
    <row r="4637" spans="1:12" x14ac:dyDescent="0.25">
      <c r="A4637" s="16"/>
      <c r="D4637" s="16"/>
      <c r="F4637" s="16"/>
      <c r="G4637" s="16"/>
      <c r="H4637" s="24"/>
      <c r="I4637" s="24"/>
      <c r="L4637"/>
    </row>
    <row r="4638" spans="1:12" x14ac:dyDescent="0.25">
      <c r="A4638" s="16"/>
      <c r="D4638" s="16"/>
      <c r="F4638" s="16"/>
      <c r="G4638" s="16"/>
      <c r="H4638" s="24"/>
      <c r="I4638" s="24"/>
      <c r="L4638"/>
    </row>
    <row r="4639" spans="1:12" x14ac:dyDescent="0.25">
      <c r="A4639" s="16"/>
      <c r="D4639" s="16"/>
      <c r="F4639" s="16"/>
      <c r="G4639" s="16"/>
      <c r="H4639" s="24"/>
      <c r="I4639" s="24"/>
      <c r="L4639"/>
    </row>
    <row r="4640" spans="1:12" x14ac:dyDescent="0.25">
      <c r="A4640" s="16"/>
      <c r="D4640" s="16"/>
      <c r="F4640" s="16"/>
      <c r="G4640" s="16"/>
      <c r="H4640" s="24"/>
      <c r="I4640" s="24"/>
      <c r="L4640"/>
    </row>
    <row r="4641" spans="1:12" x14ac:dyDescent="0.25">
      <c r="A4641" s="16"/>
      <c r="D4641" s="16"/>
      <c r="F4641" s="16"/>
      <c r="G4641" s="16"/>
      <c r="H4641" s="24"/>
      <c r="I4641" s="24"/>
      <c r="L4641"/>
    </row>
    <row r="4642" spans="1:12" x14ac:dyDescent="0.25">
      <c r="A4642" s="16"/>
      <c r="D4642" s="16"/>
      <c r="F4642" s="16"/>
      <c r="G4642" s="16"/>
      <c r="H4642" s="24"/>
      <c r="I4642" s="24"/>
      <c r="L4642"/>
    </row>
    <row r="4643" spans="1:12" x14ac:dyDescent="0.25">
      <c r="A4643" s="16"/>
      <c r="D4643" s="16"/>
      <c r="F4643" s="16"/>
      <c r="G4643" s="16"/>
      <c r="H4643" s="24"/>
      <c r="I4643" s="24"/>
      <c r="L4643"/>
    </row>
    <row r="4644" spans="1:12" x14ac:dyDescent="0.25">
      <c r="A4644" s="16"/>
      <c r="D4644" s="16"/>
      <c r="F4644" s="16"/>
      <c r="G4644" s="16"/>
      <c r="H4644" s="24"/>
      <c r="I4644" s="24"/>
      <c r="L4644"/>
    </row>
    <row r="4645" spans="1:12" x14ac:dyDescent="0.25">
      <c r="A4645" s="16"/>
      <c r="D4645" s="16"/>
      <c r="F4645" s="16"/>
      <c r="G4645" s="16"/>
      <c r="H4645" s="24"/>
      <c r="I4645" s="24"/>
      <c r="L4645"/>
    </row>
    <row r="4646" spans="1:12" x14ac:dyDescent="0.25">
      <c r="A4646" s="16"/>
      <c r="D4646" s="16"/>
      <c r="F4646" s="16"/>
      <c r="G4646" s="16"/>
      <c r="H4646" s="24"/>
      <c r="I4646" s="24"/>
      <c r="L4646"/>
    </row>
    <row r="4647" spans="1:12" x14ac:dyDescent="0.25">
      <c r="A4647" s="16"/>
      <c r="D4647" s="16"/>
      <c r="F4647" s="16"/>
      <c r="G4647" s="16"/>
      <c r="H4647" s="24"/>
      <c r="I4647" s="24"/>
      <c r="L4647"/>
    </row>
    <row r="4648" spans="1:12" x14ac:dyDescent="0.25">
      <c r="A4648" s="16"/>
      <c r="D4648" s="16"/>
      <c r="F4648" s="16"/>
      <c r="G4648" s="16"/>
      <c r="H4648" s="24"/>
      <c r="I4648" s="24"/>
      <c r="L4648"/>
    </row>
    <row r="4649" spans="1:12" x14ac:dyDescent="0.25">
      <c r="A4649" s="16"/>
      <c r="D4649" s="16"/>
      <c r="F4649" s="16"/>
      <c r="G4649" s="16"/>
      <c r="H4649" s="24"/>
      <c r="I4649" s="24"/>
      <c r="L4649"/>
    </row>
    <row r="4650" spans="1:12" x14ac:dyDescent="0.25">
      <c r="A4650" s="16"/>
      <c r="D4650" s="16"/>
      <c r="F4650" s="16"/>
      <c r="G4650" s="16"/>
      <c r="H4650" s="24"/>
      <c r="I4650" s="24"/>
      <c r="L4650"/>
    </row>
    <row r="4651" spans="1:12" x14ac:dyDescent="0.25">
      <c r="A4651" s="16"/>
      <c r="D4651" s="16"/>
      <c r="F4651" s="16"/>
      <c r="G4651" s="16"/>
      <c r="H4651" s="24"/>
      <c r="I4651" s="24"/>
      <c r="L4651"/>
    </row>
    <row r="4652" spans="1:12" x14ac:dyDescent="0.25">
      <c r="A4652" s="16"/>
      <c r="D4652" s="16"/>
      <c r="F4652" s="16"/>
      <c r="G4652" s="16"/>
      <c r="H4652" s="24"/>
      <c r="I4652" s="24"/>
      <c r="L4652"/>
    </row>
    <row r="4653" spans="1:12" x14ac:dyDescent="0.25">
      <c r="A4653" s="16"/>
      <c r="D4653" s="16"/>
      <c r="F4653" s="16"/>
      <c r="G4653" s="16"/>
      <c r="H4653" s="24"/>
      <c r="I4653" s="24"/>
      <c r="L4653"/>
    </row>
    <row r="4654" spans="1:12" x14ac:dyDescent="0.25">
      <c r="A4654" s="16"/>
      <c r="D4654" s="16"/>
      <c r="F4654" s="16"/>
      <c r="G4654" s="16"/>
      <c r="H4654" s="24"/>
      <c r="I4654" s="24"/>
      <c r="L4654"/>
    </row>
    <row r="4655" spans="1:12" x14ac:dyDescent="0.25">
      <c r="A4655" s="16"/>
      <c r="D4655" s="16"/>
      <c r="F4655" s="16"/>
      <c r="G4655" s="16"/>
      <c r="H4655" s="24"/>
      <c r="I4655" s="24"/>
      <c r="L4655"/>
    </row>
    <row r="4656" spans="1:12" x14ac:dyDescent="0.25">
      <c r="A4656" s="16"/>
      <c r="D4656" s="16"/>
      <c r="F4656" s="16"/>
      <c r="G4656" s="16"/>
      <c r="H4656" s="24"/>
      <c r="I4656" s="24"/>
      <c r="L4656"/>
    </row>
    <row r="4657" spans="1:12" x14ac:dyDescent="0.25">
      <c r="A4657" s="16"/>
      <c r="D4657" s="16"/>
      <c r="F4657" s="16"/>
      <c r="G4657" s="16"/>
      <c r="H4657" s="24"/>
      <c r="I4657" s="24"/>
      <c r="L4657"/>
    </row>
    <row r="4658" spans="1:12" x14ac:dyDescent="0.25">
      <c r="A4658" s="16"/>
      <c r="D4658" s="16"/>
      <c r="F4658" s="16"/>
      <c r="G4658" s="16"/>
      <c r="H4658" s="24"/>
      <c r="I4658" s="24"/>
      <c r="L4658"/>
    </row>
    <row r="4659" spans="1:12" x14ac:dyDescent="0.25">
      <c r="A4659" s="16"/>
      <c r="D4659" s="16"/>
      <c r="F4659" s="16"/>
      <c r="G4659" s="16"/>
      <c r="H4659" s="24"/>
      <c r="I4659" s="24"/>
      <c r="L4659"/>
    </row>
    <row r="4660" spans="1:12" x14ac:dyDescent="0.25">
      <c r="A4660" s="16"/>
      <c r="D4660" s="16"/>
      <c r="F4660" s="16"/>
      <c r="G4660" s="16"/>
      <c r="H4660" s="24"/>
      <c r="I4660" s="24"/>
      <c r="L4660"/>
    </row>
    <row r="4661" spans="1:12" x14ac:dyDescent="0.25">
      <c r="A4661" s="16"/>
      <c r="D4661" s="16"/>
      <c r="F4661" s="16"/>
      <c r="G4661" s="16"/>
      <c r="H4661" s="24"/>
      <c r="I4661" s="24"/>
      <c r="L4661"/>
    </row>
    <row r="4662" spans="1:12" x14ac:dyDescent="0.25">
      <c r="A4662" s="16"/>
      <c r="D4662" s="16"/>
      <c r="F4662" s="16"/>
      <c r="G4662" s="16"/>
      <c r="H4662" s="24"/>
      <c r="I4662" s="24"/>
      <c r="L4662"/>
    </row>
    <row r="4663" spans="1:12" x14ac:dyDescent="0.25">
      <c r="A4663" s="16"/>
      <c r="D4663" s="16"/>
      <c r="F4663" s="16"/>
      <c r="G4663" s="16"/>
      <c r="H4663" s="24"/>
      <c r="I4663" s="24"/>
      <c r="L4663"/>
    </row>
    <row r="4664" spans="1:12" x14ac:dyDescent="0.25">
      <c r="A4664" s="16"/>
      <c r="D4664" s="16"/>
      <c r="F4664" s="16"/>
      <c r="G4664" s="16"/>
      <c r="H4664" s="24"/>
      <c r="I4664" s="24"/>
      <c r="L4664"/>
    </row>
    <row r="4665" spans="1:12" x14ac:dyDescent="0.25">
      <c r="A4665" s="16"/>
      <c r="D4665" s="16"/>
      <c r="F4665" s="16"/>
      <c r="G4665" s="16"/>
      <c r="H4665" s="24"/>
      <c r="I4665" s="24"/>
      <c r="L4665"/>
    </row>
    <row r="4666" spans="1:12" x14ac:dyDescent="0.25">
      <c r="A4666" s="16"/>
      <c r="D4666" s="16"/>
      <c r="F4666" s="16"/>
      <c r="G4666" s="16"/>
      <c r="H4666" s="24"/>
      <c r="I4666" s="24"/>
      <c r="L4666"/>
    </row>
    <row r="4667" spans="1:12" x14ac:dyDescent="0.25">
      <c r="A4667" s="16"/>
      <c r="D4667" s="16"/>
      <c r="F4667" s="16"/>
      <c r="G4667" s="16"/>
      <c r="H4667" s="24"/>
      <c r="I4667" s="24"/>
      <c r="L4667"/>
    </row>
    <row r="4668" spans="1:12" x14ac:dyDescent="0.25">
      <c r="A4668" s="16"/>
      <c r="D4668" s="16"/>
      <c r="F4668" s="16"/>
      <c r="G4668" s="16"/>
      <c r="H4668" s="24"/>
      <c r="I4668" s="24"/>
      <c r="L4668"/>
    </row>
    <row r="4669" spans="1:12" x14ac:dyDescent="0.25">
      <c r="A4669" s="16"/>
      <c r="D4669" s="16"/>
      <c r="F4669" s="16"/>
      <c r="G4669" s="16"/>
      <c r="H4669" s="24"/>
      <c r="I4669" s="24"/>
      <c r="L4669"/>
    </row>
    <row r="4670" spans="1:12" x14ac:dyDescent="0.25">
      <c r="A4670" s="16"/>
      <c r="D4670" s="16"/>
      <c r="F4670" s="16"/>
      <c r="G4670" s="16"/>
      <c r="H4670" s="24"/>
      <c r="I4670" s="24"/>
      <c r="L4670"/>
    </row>
    <row r="4671" spans="1:12" x14ac:dyDescent="0.25">
      <c r="A4671" s="16"/>
      <c r="D4671" s="16"/>
      <c r="F4671" s="16"/>
      <c r="G4671" s="16"/>
      <c r="H4671" s="24"/>
      <c r="I4671" s="24"/>
      <c r="L4671"/>
    </row>
    <row r="4672" spans="1:12" x14ac:dyDescent="0.25">
      <c r="A4672" s="16"/>
      <c r="D4672" s="16"/>
      <c r="F4672" s="16"/>
      <c r="G4672" s="16"/>
      <c r="H4672" s="24"/>
      <c r="I4672" s="24"/>
      <c r="L4672"/>
    </row>
    <row r="4673" spans="1:12" x14ac:dyDescent="0.25">
      <c r="A4673" s="16"/>
      <c r="D4673" s="16"/>
      <c r="F4673" s="16"/>
      <c r="G4673" s="16"/>
      <c r="H4673" s="24"/>
      <c r="I4673" s="24"/>
      <c r="L4673"/>
    </row>
    <row r="4674" spans="1:12" x14ac:dyDescent="0.25">
      <c r="A4674" s="16"/>
      <c r="D4674" s="16"/>
      <c r="F4674" s="16"/>
      <c r="G4674" s="16"/>
      <c r="H4674" s="24"/>
      <c r="I4674" s="24"/>
      <c r="L4674"/>
    </row>
    <row r="4675" spans="1:12" x14ac:dyDescent="0.25">
      <c r="A4675" s="16"/>
      <c r="D4675" s="16"/>
      <c r="F4675" s="16"/>
      <c r="G4675" s="16"/>
      <c r="H4675" s="24"/>
      <c r="I4675" s="24"/>
      <c r="L4675"/>
    </row>
    <row r="4676" spans="1:12" x14ac:dyDescent="0.25">
      <c r="A4676" s="16"/>
      <c r="D4676" s="16"/>
      <c r="F4676" s="16"/>
      <c r="G4676" s="16"/>
      <c r="H4676" s="24"/>
      <c r="I4676" s="24"/>
      <c r="L4676"/>
    </row>
    <row r="4677" spans="1:12" x14ac:dyDescent="0.25">
      <c r="A4677" s="16"/>
      <c r="D4677" s="16"/>
      <c r="F4677" s="16"/>
      <c r="G4677" s="16"/>
      <c r="H4677" s="24"/>
      <c r="I4677" s="24"/>
      <c r="L4677"/>
    </row>
    <row r="4678" spans="1:12" x14ac:dyDescent="0.25">
      <c r="A4678" s="16"/>
      <c r="D4678" s="16"/>
      <c r="F4678" s="16"/>
      <c r="G4678" s="16"/>
      <c r="H4678" s="24"/>
      <c r="I4678" s="24"/>
      <c r="L4678"/>
    </row>
    <row r="4679" spans="1:12" x14ac:dyDescent="0.25">
      <c r="A4679" s="16"/>
      <c r="D4679" s="16"/>
      <c r="F4679" s="16"/>
      <c r="G4679" s="16"/>
      <c r="H4679" s="24"/>
      <c r="I4679" s="24"/>
      <c r="L4679"/>
    </row>
    <row r="4680" spans="1:12" x14ac:dyDescent="0.25">
      <c r="A4680" s="16"/>
      <c r="D4680" s="16"/>
      <c r="F4680" s="16"/>
      <c r="G4680" s="16"/>
      <c r="H4680" s="24"/>
      <c r="I4680" s="24"/>
      <c r="L4680"/>
    </row>
    <row r="4681" spans="1:12" x14ac:dyDescent="0.25">
      <c r="A4681" s="16"/>
      <c r="D4681" s="16"/>
      <c r="F4681" s="16"/>
      <c r="G4681" s="16"/>
      <c r="H4681" s="24"/>
      <c r="I4681" s="24"/>
      <c r="L4681"/>
    </row>
    <row r="4682" spans="1:12" x14ac:dyDescent="0.25">
      <c r="A4682" s="16"/>
      <c r="D4682" s="16"/>
      <c r="F4682" s="16"/>
      <c r="G4682" s="16"/>
      <c r="H4682" s="24"/>
      <c r="I4682" s="24"/>
      <c r="L4682"/>
    </row>
    <row r="4683" spans="1:12" x14ac:dyDescent="0.25">
      <c r="A4683" s="16"/>
      <c r="D4683" s="16"/>
      <c r="F4683" s="16"/>
      <c r="G4683" s="16"/>
      <c r="H4683" s="24"/>
      <c r="I4683" s="24"/>
      <c r="L4683"/>
    </row>
    <row r="4684" spans="1:12" x14ac:dyDescent="0.25">
      <c r="A4684" s="16"/>
      <c r="D4684" s="16"/>
      <c r="F4684" s="16"/>
      <c r="G4684" s="16"/>
      <c r="H4684" s="24"/>
      <c r="I4684" s="24"/>
      <c r="L4684"/>
    </row>
    <row r="4685" spans="1:12" x14ac:dyDescent="0.25">
      <c r="A4685" s="16"/>
      <c r="D4685" s="16"/>
      <c r="F4685" s="16"/>
      <c r="G4685" s="16"/>
      <c r="H4685" s="24"/>
      <c r="I4685" s="24"/>
      <c r="L4685"/>
    </row>
    <row r="4686" spans="1:12" x14ac:dyDescent="0.25">
      <c r="A4686" s="16"/>
      <c r="D4686" s="16"/>
      <c r="F4686" s="16"/>
      <c r="G4686" s="16"/>
      <c r="H4686" s="24"/>
      <c r="I4686" s="24"/>
      <c r="L4686"/>
    </row>
    <row r="4687" spans="1:12" x14ac:dyDescent="0.25">
      <c r="A4687" s="16"/>
      <c r="D4687" s="16"/>
      <c r="F4687" s="16"/>
      <c r="G4687" s="16"/>
      <c r="H4687" s="24"/>
      <c r="I4687" s="24"/>
      <c r="L4687"/>
    </row>
    <row r="4688" spans="1:12" x14ac:dyDescent="0.25">
      <c r="A4688" s="16"/>
      <c r="D4688" s="16"/>
      <c r="F4688" s="16"/>
      <c r="G4688" s="16"/>
      <c r="H4688" s="24"/>
      <c r="I4688" s="24"/>
      <c r="L4688"/>
    </row>
    <row r="4689" spans="1:12" x14ac:dyDescent="0.25">
      <c r="A4689" s="16"/>
      <c r="D4689" s="16"/>
      <c r="F4689" s="16"/>
      <c r="G4689" s="16"/>
      <c r="H4689" s="24"/>
      <c r="I4689" s="24"/>
      <c r="L4689"/>
    </row>
    <row r="4690" spans="1:12" x14ac:dyDescent="0.25">
      <c r="A4690" s="16"/>
      <c r="D4690" s="16"/>
      <c r="F4690" s="16"/>
      <c r="G4690" s="16"/>
      <c r="H4690" s="24"/>
      <c r="I4690" s="24"/>
      <c r="L4690"/>
    </row>
    <row r="4691" spans="1:12" x14ac:dyDescent="0.25">
      <c r="A4691" s="16"/>
      <c r="D4691" s="16"/>
      <c r="F4691" s="16"/>
      <c r="G4691" s="16"/>
      <c r="H4691" s="24"/>
      <c r="I4691" s="24"/>
      <c r="L4691"/>
    </row>
    <row r="4692" spans="1:12" x14ac:dyDescent="0.25">
      <c r="A4692" s="16"/>
      <c r="D4692" s="16"/>
      <c r="F4692" s="16"/>
      <c r="G4692" s="16"/>
      <c r="H4692" s="24"/>
      <c r="I4692" s="24"/>
      <c r="L4692"/>
    </row>
    <row r="4693" spans="1:12" x14ac:dyDescent="0.25">
      <c r="A4693" s="16"/>
      <c r="D4693" s="16"/>
      <c r="F4693" s="16"/>
      <c r="G4693" s="16"/>
      <c r="H4693" s="24"/>
      <c r="I4693" s="24"/>
      <c r="L4693"/>
    </row>
    <row r="4694" spans="1:12" x14ac:dyDescent="0.25">
      <c r="A4694" s="16"/>
      <c r="D4694" s="16"/>
      <c r="F4694" s="16"/>
      <c r="G4694" s="16"/>
      <c r="H4694" s="24"/>
      <c r="I4694" s="24"/>
      <c r="L4694"/>
    </row>
    <row r="4695" spans="1:12" x14ac:dyDescent="0.25">
      <c r="A4695" s="16"/>
      <c r="D4695" s="16"/>
      <c r="F4695" s="16"/>
      <c r="G4695" s="16"/>
      <c r="H4695" s="24"/>
      <c r="I4695" s="24"/>
      <c r="L4695"/>
    </row>
    <row r="4696" spans="1:12" x14ac:dyDescent="0.25">
      <c r="A4696" s="16"/>
      <c r="D4696" s="16"/>
      <c r="F4696" s="16"/>
      <c r="G4696" s="16"/>
      <c r="H4696" s="24"/>
      <c r="I4696" s="24"/>
      <c r="L4696"/>
    </row>
    <row r="4697" spans="1:12" x14ac:dyDescent="0.25">
      <c r="A4697" s="16"/>
      <c r="D4697" s="16"/>
      <c r="F4697" s="16"/>
      <c r="G4697" s="16"/>
      <c r="H4697" s="24"/>
      <c r="I4697" s="24"/>
      <c r="L4697"/>
    </row>
    <row r="4698" spans="1:12" x14ac:dyDescent="0.25">
      <c r="A4698" s="16"/>
      <c r="D4698" s="16"/>
      <c r="F4698" s="16"/>
      <c r="G4698" s="16"/>
      <c r="H4698" s="24"/>
      <c r="I4698" s="24"/>
      <c r="L4698"/>
    </row>
    <row r="4699" spans="1:12" x14ac:dyDescent="0.25">
      <c r="A4699" s="16"/>
      <c r="D4699" s="16"/>
      <c r="F4699" s="16"/>
      <c r="G4699" s="16"/>
      <c r="H4699" s="24"/>
      <c r="I4699" s="24"/>
      <c r="L4699"/>
    </row>
    <row r="4700" spans="1:12" x14ac:dyDescent="0.25">
      <c r="A4700" s="16"/>
      <c r="D4700" s="16"/>
      <c r="F4700" s="16"/>
      <c r="G4700" s="16"/>
      <c r="H4700" s="24"/>
      <c r="I4700" s="24"/>
      <c r="L4700"/>
    </row>
    <row r="4701" spans="1:12" x14ac:dyDescent="0.25">
      <c r="A4701" s="16"/>
      <c r="D4701" s="16"/>
      <c r="F4701" s="16"/>
      <c r="G4701" s="16"/>
      <c r="H4701" s="24"/>
      <c r="I4701" s="24"/>
      <c r="L4701"/>
    </row>
    <row r="4702" spans="1:12" x14ac:dyDescent="0.25">
      <c r="A4702" s="16"/>
      <c r="D4702" s="16"/>
      <c r="F4702" s="16"/>
      <c r="G4702" s="16"/>
      <c r="H4702" s="24"/>
      <c r="I4702" s="24"/>
      <c r="L4702"/>
    </row>
    <row r="4703" spans="1:12" x14ac:dyDescent="0.25">
      <c r="A4703" s="16"/>
      <c r="D4703" s="16"/>
      <c r="F4703" s="16"/>
      <c r="G4703" s="16"/>
      <c r="H4703" s="24"/>
      <c r="I4703" s="24"/>
      <c r="L4703"/>
    </row>
    <row r="4704" spans="1:12" x14ac:dyDescent="0.25">
      <c r="A4704" s="16"/>
      <c r="D4704" s="16"/>
      <c r="F4704" s="16"/>
      <c r="G4704" s="16"/>
      <c r="H4704" s="24"/>
      <c r="I4704" s="24"/>
      <c r="L4704"/>
    </row>
    <row r="4705" spans="1:12" x14ac:dyDescent="0.25">
      <c r="A4705" s="16"/>
      <c r="D4705" s="16"/>
      <c r="F4705" s="16"/>
      <c r="G4705" s="16"/>
      <c r="H4705" s="24"/>
      <c r="I4705" s="24"/>
      <c r="L4705"/>
    </row>
    <row r="4706" spans="1:12" x14ac:dyDescent="0.25">
      <c r="A4706" s="16"/>
      <c r="D4706" s="16"/>
      <c r="F4706" s="16"/>
      <c r="G4706" s="16"/>
      <c r="H4706" s="24"/>
      <c r="I4706" s="24"/>
      <c r="L4706"/>
    </row>
    <row r="4707" spans="1:12" x14ac:dyDescent="0.25">
      <c r="A4707" s="16"/>
      <c r="D4707" s="16"/>
      <c r="F4707" s="16"/>
      <c r="G4707" s="16"/>
      <c r="H4707" s="24"/>
      <c r="I4707" s="24"/>
      <c r="L4707"/>
    </row>
    <row r="4708" spans="1:12" x14ac:dyDescent="0.25">
      <c r="A4708" s="16"/>
      <c r="D4708" s="16"/>
      <c r="F4708" s="16"/>
      <c r="G4708" s="16"/>
      <c r="H4708" s="24"/>
      <c r="I4708" s="24"/>
      <c r="L4708"/>
    </row>
    <row r="4709" spans="1:12" x14ac:dyDescent="0.25">
      <c r="A4709" s="16"/>
      <c r="D4709" s="16"/>
      <c r="F4709" s="16"/>
      <c r="G4709" s="16"/>
      <c r="H4709" s="24"/>
      <c r="I4709" s="24"/>
      <c r="L4709"/>
    </row>
    <row r="4710" spans="1:12" x14ac:dyDescent="0.25">
      <c r="A4710" s="16"/>
      <c r="D4710" s="16"/>
      <c r="F4710" s="16"/>
      <c r="G4710" s="16"/>
      <c r="H4710" s="24"/>
      <c r="I4710" s="24"/>
      <c r="L4710"/>
    </row>
    <row r="4711" spans="1:12" x14ac:dyDescent="0.25">
      <c r="A4711" s="16"/>
      <c r="D4711" s="16"/>
      <c r="F4711" s="16"/>
      <c r="G4711" s="16"/>
      <c r="H4711" s="24"/>
      <c r="I4711" s="24"/>
      <c r="L4711"/>
    </row>
    <row r="4712" spans="1:12" x14ac:dyDescent="0.25">
      <c r="A4712" s="16"/>
      <c r="D4712" s="16"/>
      <c r="F4712" s="16"/>
      <c r="G4712" s="16"/>
      <c r="H4712" s="24"/>
      <c r="I4712" s="24"/>
      <c r="L4712"/>
    </row>
    <row r="4713" spans="1:12" x14ac:dyDescent="0.25">
      <c r="A4713" s="16"/>
      <c r="D4713" s="16"/>
      <c r="F4713" s="16"/>
      <c r="G4713" s="16"/>
      <c r="H4713" s="24"/>
      <c r="I4713" s="24"/>
      <c r="L4713"/>
    </row>
    <row r="4714" spans="1:12" x14ac:dyDescent="0.25">
      <c r="A4714" s="16"/>
      <c r="D4714" s="16"/>
      <c r="F4714" s="16"/>
      <c r="G4714" s="16"/>
      <c r="H4714" s="24"/>
      <c r="I4714" s="24"/>
      <c r="L4714"/>
    </row>
    <row r="4715" spans="1:12" x14ac:dyDescent="0.25">
      <c r="A4715" s="16"/>
      <c r="D4715" s="16"/>
      <c r="F4715" s="16"/>
      <c r="G4715" s="16"/>
      <c r="H4715" s="24"/>
      <c r="I4715" s="24"/>
      <c r="L4715"/>
    </row>
    <row r="4716" spans="1:12" x14ac:dyDescent="0.25">
      <c r="A4716" s="16"/>
      <c r="D4716" s="16"/>
      <c r="F4716" s="16"/>
      <c r="G4716" s="16"/>
      <c r="H4716" s="24"/>
      <c r="I4716" s="24"/>
      <c r="L4716"/>
    </row>
    <row r="4717" spans="1:12" x14ac:dyDescent="0.25">
      <c r="A4717" s="16"/>
      <c r="D4717" s="16"/>
      <c r="F4717" s="16"/>
      <c r="G4717" s="16"/>
      <c r="H4717" s="24"/>
      <c r="I4717" s="24"/>
      <c r="L4717"/>
    </row>
    <row r="4718" spans="1:12" x14ac:dyDescent="0.25">
      <c r="A4718" s="16"/>
      <c r="D4718" s="16"/>
      <c r="F4718" s="16"/>
      <c r="G4718" s="16"/>
      <c r="H4718" s="24"/>
      <c r="I4718" s="24"/>
      <c r="L4718"/>
    </row>
    <row r="4719" spans="1:12" x14ac:dyDescent="0.25">
      <c r="A4719" s="16"/>
      <c r="D4719" s="16"/>
      <c r="F4719" s="16"/>
      <c r="G4719" s="16"/>
      <c r="H4719" s="24"/>
      <c r="I4719" s="24"/>
      <c r="L4719"/>
    </row>
    <row r="4720" spans="1:12" x14ac:dyDescent="0.25">
      <c r="A4720" s="16"/>
      <c r="D4720" s="16"/>
      <c r="F4720" s="16"/>
      <c r="G4720" s="16"/>
      <c r="H4720" s="24"/>
      <c r="I4720" s="24"/>
      <c r="L4720"/>
    </row>
    <row r="4721" spans="1:12" x14ac:dyDescent="0.25">
      <c r="A4721" s="16"/>
      <c r="D4721" s="16"/>
      <c r="F4721" s="16"/>
      <c r="G4721" s="16"/>
      <c r="H4721" s="24"/>
      <c r="I4721" s="24"/>
      <c r="L4721"/>
    </row>
    <row r="4722" spans="1:12" x14ac:dyDescent="0.25">
      <c r="A4722" s="16"/>
      <c r="D4722" s="16"/>
      <c r="F4722" s="16"/>
      <c r="G4722" s="16"/>
      <c r="H4722" s="24"/>
      <c r="I4722" s="24"/>
      <c r="L4722"/>
    </row>
    <row r="4723" spans="1:12" x14ac:dyDescent="0.25">
      <c r="A4723" s="16"/>
      <c r="D4723" s="16"/>
      <c r="F4723" s="16"/>
      <c r="G4723" s="16"/>
      <c r="H4723" s="24"/>
      <c r="I4723" s="24"/>
      <c r="L4723"/>
    </row>
    <row r="4724" spans="1:12" x14ac:dyDescent="0.25">
      <c r="A4724" s="16"/>
      <c r="D4724" s="16"/>
      <c r="F4724" s="16"/>
      <c r="G4724" s="16"/>
      <c r="H4724" s="24"/>
      <c r="I4724" s="24"/>
      <c r="L4724"/>
    </row>
    <row r="4725" spans="1:12" x14ac:dyDescent="0.25">
      <c r="A4725" s="16"/>
      <c r="D4725" s="16"/>
      <c r="F4725" s="16"/>
      <c r="G4725" s="16"/>
      <c r="H4725" s="24"/>
      <c r="I4725" s="24"/>
      <c r="L4725"/>
    </row>
    <row r="4726" spans="1:12" x14ac:dyDescent="0.25">
      <c r="A4726" s="16"/>
      <c r="D4726" s="16"/>
      <c r="F4726" s="16"/>
      <c r="G4726" s="16"/>
      <c r="H4726" s="24"/>
      <c r="I4726" s="24"/>
      <c r="L4726"/>
    </row>
    <row r="4727" spans="1:12" x14ac:dyDescent="0.25">
      <c r="A4727" s="16"/>
      <c r="D4727" s="16"/>
      <c r="F4727" s="16"/>
      <c r="G4727" s="16"/>
      <c r="H4727" s="24"/>
      <c r="I4727" s="24"/>
      <c r="L4727"/>
    </row>
    <row r="4728" spans="1:12" x14ac:dyDescent="0.25">
      <c r="A4728" s="16"/>
      <c r="D4728" s="16"/>
      <c r="F4728" s="16"/>
      <c r="G4728" s="16"/>
      <c r="H4728" s="24"/>
      <c r="I4728" s="24"/>
      <c r="L4728"/>
    </row>
    <row r="4729" spans="1:12" x14ac:dyDescent="0.25">
      <c r="A4729" s="16"/>
      <c r="D4729" s="16"/>
      <c r="F4729" s="16"/>
      <c r="G4729" s="16"/>
      <c r="H4729" s="24"/>
      <c r="I4729" s="24"/>
      <c r="L4729"/>
    </row>
    <row r="4730" spans="1:12" x14ac:dyDescent="0.25">
      <c r="A4730" s="16"/>
      <c r="D4730" s="16"/>
      <c r="F4730" s="16"/>
      <c r="G4730" s="16"/>
      <c r="H4730" s="24"/>
      <c r="I4730" s="24"/>
      <c r="L4730"/>
    </row>
    <row r="4731" spans="1:12" x14ac:dyDescent="0.25">
      <c r="A4731" s="16"/>
      <c r="D4731" s="16"/>
      <c r="F4731" s="16"/>
      <c r="G4731" s="16"/>
      <c r="H4731" s="24"/>
      <c r="I4731" s="24"/>
      <c r="L4731"/>
    </row>
    <row r="4732" spans="1:12" x14ac:dyDescent="0.25">
      <c r="A4732" s="16"/>
      <c r="D4732" s="16"/>
      <c r="F4732" s="16"/>
      <c r="G4732" s="16"/>
      <c r="H4732" s="24"/>
      <c r="I4732" s="24"/>
      <c r="L4732"/>
    </row>
    <row r="4733" spans="1:12" x14ac:dyDescent="0.25">
      <c r="A4733" s="16"/>
      <c r="D4733" s="16"/>
      <c r="F4733" s="16"/>
      <c r="G4733" s="16"/>
      <c r="H4733" s="24"/>
      <c r="I4733" s="24"/>
      <c r="L4733"/>
    </row>
    <row r="4734" spans="1:12" x14ac:dyDescent="0.25">
      <c r="A4734" s="16"/>
      <c r="D4734" s="16"/>
      <c r="F4734" s="16"/>
      <c r="G4734" s="16"/>
      <c r="H4734" s="24"/>
      <c r="I4734" s="24"/>
      <c r="L4734"/>
    </row>
    <row r="4735" spans="1:12" x14ac:dyDescent="0.25">
      <c r="A4735" s="16"/>
      <c r="D4735" s="16"/>
      <c r="F4735" s="16"/>
      <c r="G4735" s="16"/>
      <c r="H4735" s="24"/>
      <c r="I4735" s="24"/>
      <c r="L4735"/>
    </row>
    <row r="4736" spans="1:12" x14ac:dyDescent="0.25">
      <c r="A4736" s="16"/>
      <c r="D4736" s="16"/>
      <c r="F4736" s="16"/>
      <c r="G4736" s="16"/>
      <c r="H4736" s="24"/>
      <c r="I4736" s="24"/>
      <c r="L4736"/>
    </row>
    <row r="4737" spans="1:12" x14ac:dyDescent="0.25">
      <c r="A4737" s="16"/>
      <c r="D4737" s="16"/>
      <c r="F4737" s="16"/>
      <c r="G4737" s="16"/>
      <c r="H4737" s="24"/>
      <c r="I4737" s="24"/>
      <c r="L4737"/>
    </row>
    <row r="4738" spans="1:12" x14ac:dyDescent="0.25">
      <c r="A4738" s="16"/>
      <c r="D4738" s="16"/>
      <c r="F4738" s="16"/>
      <c r="G4738" s="16"/>
      <c r="H4738" s="24"/>
      <c r="I4738" s="24"/>
      <c r="L4738"/>
    </row>
    <row r="4739" spans="1:12" x14ac:dyDescent="0.25">
      <c r="A4739" s="16"/>
      <c r="D4739" s="16"/>
      <c r="F4739" s="16"/>
      <c r="G4739" s="16"/>
      <c r="H4739" s="24"/>
      <c r="I4739" s="24"/>
      <c r="L4739"/>
    </row>
    <row r="4740" spans="1:12" x14ac:dyDescent="0.25">
      <c r="A4740" s="16"/>
      <c r="D4740" s="16"/>
      <c r="F4740" s="16"/>
      <c r="G4740" s="16"/>
      <c r="H4740" s="24"/>
      <c r="I4740" s="24"/>
      <c r="L4740"/>
    </row>
    <row r="4741" spans="1:12" x14ac:dyDescent="0.25">
      <c r="A4741" s="16"/>
      <c r="D4741" s="16"/>
      <c r="F4741" s="16"/>
      <c r="G4741" s="16"/>
      <c r="H4741" s="24"/>
      <c r="I4741" s="24"/>
      <c r="L4741"/>
    </row>
    <row r="4742" spans="1:12" x14ac:dyDescent="0.25">
      <c r="A4742" s="16"/>
      <c r="D4742" s="16"/>
      <c r="F4742" s="16"/>
      <c r="G4742" s="16"/>
      <c r="H4742" s="24"/>
      <c r="I4742" s="24"/>
      <c r="L4742"/>
    </row>
    <row r="4743" spans="1:12" x14ac:dyDescent="0.25">
      <c r="A4743" s="16"/>
      <c r="D4743" s="16"/>
      <c r="F4743" s="16"/>
      <c r="G4743" s="16"/>
      <c r="H4743" s="24"/>
      <c r="I4743" s="24"/>
      <c r="L4743"/>
    </row>
    <row r="4744" spans="1:12" x14ac:dyDescent="0.25">
      <c r="A4744" s="16"/>
      <c r="D4744" s="16"/>
      <c r="F4744" s="16"/>
      <c r="G4744" s="16"/>
      <c r="H4744" s="24"/>
      <c r="I4744" s="24"/>
      <c r="L4744"/>
    </row>
    <row r="4745" spans="1:12" x14ac:dyDescent="0.25">
      <c r="A4745" s="16"/>
      <c r="D4745" s="16"/>
      <c r="F4745" s="16"/>
      <c r="G4745" s="16"/>
      <c r="H4745" s="24"/>
      <c r="I4745" s="24"/>
      <c r="L4745"/>
    </row>
    <row r="4746" spans="1:12" x14ac:dyDescent="0.25">
      <c r="A4746" s="16"/>
      <c r="D4746" s="16"/>
      <c r="F4746" s="16"/>
      <c r="G4746" s="16"/>
      <c r="H4746" s="24"/>
      <c r="I4746" s="24"/>
      <c r="L4746"/>
    </row>
    <row r="4747" spans="1:12" x14ac:dyDescent="0.25">
      <c r="A4747" s="16"/>
      <c r="D4747" s="16"/>
      <c r="F4747" s="16"/>
      <c r="G4747" s="16"/>
      <c r="H4747" s="24"/>
      <c r="I4747" s="24"/>
      <c r="L4747"/>
    </row>
    <row r="4748" spans="1:12" x14ac:dyDescent="0.25">
      <c r="A4748" s="16"/>
      <c r="D4748" s="16"/>
      <c r="F4748" s="16"/>
      <c r="G4748" s="16"/>
      <c r="H4748" s="24"/>
      <c r="I4748" s="24"/>
      <c r="L4748"/>
    </row>
    <row r="4749" spans="1:12" x14ac:dyDescent="0.25">
      <c r="A4749" s="16"/>
      <c r="D4749" s="16"/>
      <c r="F4749" s="16"/>
      <c r="G4749" s="16"/>
      <c r="H4749" s="24"/>
      <c r="I4749" s="24"/>
      <c r="L4749"/>
    </row>
    <row r="4750" spans="1:12" x14ac:dyDescent="0.25">
      <c r="A4750" s="16"/>
      <c r="D4750" s="16"/>
      <c r="F4750" s="16"/>
      <c r="G4750" s="16"/>
      <c r="H4750" s="24"/>
      <c r="I4750" s="24"/>
      <c r="L4750"/>
    </row>
    <row r="4751" spans="1:12" x14ac:dyDescent="0.25">
      <c r="A4751" s="16"/>
      <c r="D4751" s="16"/>
      <c r="F4751" s="16"/>
      <c r="G4751" s="16"/>
      <c r="H4751" s="24"/>
      <c r="I4751" s="24"/>
      <c r="L4751"/>
    </row>
    <row r="4752" spans="1:12" x14ac:dyDescent="0.25">
      <c r="A4752" s="16"/>
      <c r="D4752" s="16"/>
      <c r="F4752" s="16"/>
      <c r="G4752" s="16"/>
      <c r="H4752" s="24"/>
      <c r="I4752" s="24"/>
      <c r="L4752"/>
    </row>
    <row r="4753" spans="1:12" x14ac:dyDescent="0.25">
      <c r="A4753" s="16"/>
      <c r="D4753" s="16"/>
      <c r="F4753" s="16"/>
      <c r="G4753" s="16"/>
      <c r="H4753" s="24"/>
      <c r="I4753" s="24"/>
      <c r="L4753"/>
    </row>
    <row r="4754" spans="1:12" x14ac:dyDescent="0.25">
      <c r="A4754" s="16"/>
      <c r="D4754" s="16"/>
      <c r="F4754" s="16"/>
      <c r="G4754" s="16"/>
      <c r="H4754" s="24"/>
      <c r="I4754" s="24"/>
      <c r="L4754"/>
    </row>
    <row r="4755" spans="1:12" x14ac:dyDescent="0.25">
      <c r="A4755" s="16"/>
      <c r="D4755" s="16"/>
      <c r="F4755" s="16"/>
      <c r="G4755" s="16"/>
      <c r="H4755" s="24"/>
      <c r="I4755" s="24"/>
      <c r="L4755"/>
    </row>
    <row r="4756" spans="1:12" x14ac:dyDescent="0.25">
      <c r="A4756" s="16"/>
      <c r="D4756" s="16"/>
      <c r="F4756" s="16"/>
      <c r="G4756" s="16"/>
      <c r="H4756" s="24"/>
      <c r="I4756" s="24"/>
      <c r="L4756"/>
    </row>
    <row r="4757" spans="1:12" x14ac:dyDescent="0.25">
      <c r="A4757" s="16"/>
      <c r="D4757" s="16"/>
      <c r="F4757" s="16"/>
      <c r="G4757" s="16"/>
      <c r="H4757" s="24"/>
      <c r="I4757" s="24"/>
      <c r="L4757"/>
    </row>
    <row r="4758" spans="1:12" x14ac:dyDescent="0.25">
      <c r="A4758" s="16"/>
      <c r="D4758" s="16"/>
      <c r="F4758" s="16"/>
      <c r="G4758" s="16"/>
      <c r="H4758" s="24"/>
      <c r="I4758" s="24"/>
      <c r="L4758"/>
    </row>
    <row r="4759" spans="1:12" x14ac:dyDescent="0.25">
      <c r="A4759" s="16"/>
      <c r="D4759" s="16"/>
      <c r="F4759" s="16"/>
      <c r="G4759" s="16"/>
      <c r="H4759" s="24"/>
      <c r="I4759" s="24"/>
      <c r="L4759"/>
    </row>
    <row r="4760" spans="1:12" x14ac:dyDescent="0.25">
      <c r="A4760" s="16"/>
      <c r="D4760" s="16"/>
      <c r="F4760" s="16"/>
      <c r="G4760" s="16"/>
      <c r="H4760" s="24"/>
      <c r="I4760" s="24"/>
      <c r="L4760"/>
    </row>
    <row r="4761" spans="1:12" x14ac:dyDescent="0.25">
      <c r="A4761" s="16"/>
      <c r="D4761" s="16"/>
      <c r="F4761" s="16"/>
      <c r="G4761" s="16"/>
      <c r="H4761" s="24"/>
      <c r="I4761" s="24"/>
      <c r="L4761"/>
    </row>
    <row r="4762" spans="1:12" x14ac:dyDescent="0.25">
      <c r="A4762" s="16"/>
      <c r="D4762" s="16"/>
      <c r="F4762" s="16"/>
      <c r="G4762" s="16"/>
      <c r="H4762" s="24"/>
      <c r="I4762" s="24"/>
      <c r="L4762"/>
    </row>
    <row r="4763" spans="1:12" x14ac:dyDescent="0.25">
      <c r="A4763" s="16"/>
      <c r="D4763" s="16"/>
      <c r="F4763" s="16"/>
      <c r="G4763" s="16"/>
      <c r="H4763" s="24"/>
      <c r="I4763" s="24"/>
      <c r="L4763"/>
    </row>
    <row r="4764" spans="1:12" x14ac:dyDescent="0.25">
      <c r="A4764" s="16"/>
      <c r="D4764" s="16"/>
      <c r="F4764" s="16"/>
      <c r="G4764" s="16"/>
      <c r="H4764" s="24"/>
      <c r="I4764" s="24"/>
      <c r="L4764"/>
    </row>
    <row r="4765" spans="1:12" x14ac:dyDescent="0.25">
      <c r="A4765" s="16"/>
      <c r="D4765" s="16"/>
      <c r="F4765" s="16"/>
      <c r="G4765" s="16"/>
      <c r="H4765" s="24"/>
      <c r="I4765" s="24"/>
      <c r="L4765"/>
    </row>
    <row r="4766" spans="1:12" x14ac:dyDescent="0.25">
      <c r="A4766" s="16"/>
      <c r="D4766" s="16"/>
      <c r="F4766" s="16"/>
      <c r="G4766" s="16"/>
      <c r="H4766" s="24"/>
      <c r="I4766" s="24"/>
      <c r="L4766"/>
    </row>
    <row r="4767" spans="1:12" x14ac:dyDescent="0.25">
      <c r="A4767" s="16"/>
      <c r="D4767" s="16"/>
      <c r="F4767" s="16"/>
      <c r="G4767" s="16"/>
      <c r="H4767" s="24"/>
      <c r="I4767" s="24"/>
      <c r="L4767"/>
    </row>
    <row r="4768" spans="1:12" x14ac:dyDescent="0.25">
      <c r="A4768" s="16"/>
      <c r="D4768" s="16"/>
      <c r="F4768" s="16"/>
      <c r="G4768" s="16"/>
      <c r="H4768" s="24"/>
      <c r="I4768" s="24"/>
      <c r="L4768"/>
    </row>
    <row r="4769" spans="1:12" x14ac:dyDescent="0.25">
      <c r="A4769" s="16"/>
      <c r="D4769" s="16"/>
      <c r="F4769" s="16"/>
      <c r="G4769" s="16"/>
      <c r="H4769" s="24"/>
      <c r="I4769" s="24"/>
      <c r="L4769"/>
    </row>
    <row r="4770" spans="1:12" x14ac:dyDescent="0.25">
      <c r="A4770" s="16"/>
      <c r="D4770" s="16"/>
      <c r="F4770" s="16"/>
      <c r="G4770" s="16"/>
      <c r="H4770" s="24"/>
      <c r="I4770" s="24"/>
      <c r="L4770"/>
    </row>
    <row r="4771" spans="1:12" x14ac:dyDescent="0.25">
      <c r="A4771" s="16"/>
      <c r="D4771" s="16"/>
      <c r="F4771" s="16"/>
      <c r="G4771" s="16"/>
      <c r="H4771" s="24"/>
      <c r="I4771" s="24"/>
      <c r="L4771"/>
    </row>
    <row r="4772" spans="1:12" x14ac:dyDescent="0.25">
      <c r="A4772" s="16"/>
      <c r="D4772" s="16"/>
      <c r="F4772" s="16"/>
      <c r="G4772" s="16"/>
      <c r="H4772" s="24"/>
      <c r="I4772" s="24"/>
      <c r="L4772"/>
    </row>
    <row r="4773" spans="1:12" x14ac:dyDescent="0.25">
      <c r="A4773" s="16"/>
      <c r="D4773" s="16"/>
      <c r="F4773" s="16"/>
      <c r="G4773" s="16"/>
      <c r="H4773" s="24"/>
      <c r="I4773" s="24"/>
      <c r="L4773"/>
    </row>
    <row r="4774" spans="1:12" x14ac:dyDescent="0.25">
      <c r="A4774" s="16"/>
      <c r="D4774" s="16"/>
      <c r="F4774" s="16"/>
      <c r="G4774" s="16"/>
      <c r="H4774" s="24"/>
      <c r="I4774" s="24"/>
      <c r="L4774"/>
    </row>
    <row r="4775" spans="1:12" x14ac:dyDescent="0.25">
      <c r="A4775" s="16"/>
      <c r="D4775" s="16"/>
      <c r="F4775" s="16"/>
      <c r="G4775" s="16"/>
      <c r="H4775" s="24"/>
      <c r="I4775" s="24"/>
      <c r="L4775"/>
    </row>
    <row r="4776" spans="1:12" x14ac:dyDescent="0.25">
      <c r="A4776" s="16"/>
      <c r="D4776" s="16"/>
      <c r="F4776" s="16"/>
      <c r="G4776" s="16"/>
      <c r="H4776" s="24"/>
      <c r="I4776" s="24"/>
      <c r="L4776"/>
    </row>
    <row r="4777" spans="1:12" x14ac:dyDescent="0.25">
      <c r="A4777" s="16"/>
      <c r="D4777" s="16"/>
      <c r="F4777" s="16"/>
      <c r="G4777" s="16"/>
      <c r="H4777" s="24"/>
      <c r="I4777" s="24"/>
      <c r="L4777"/>
    </row>
    <row r="4778" spans="1:12" x14ac:dyDescent="0.25">
      <c r="A4778" s="16"/>
      <c r="D4778" s="16"/>
      <c r="F4778" s="16"/>
      <c r="G4778" s="16"/>
      <c r="H4778" s="24"/>
      <c r="I4778" s="24"/>
      <c r="L4778"/>
    </row>
    <row r="4779" spans="1:12" x14ac:dyDescent="0.25">
      <c r="A4779" s="16"/>
      <c r="D4779" s="16"/>
      <c r="F4779" s="16"/>
      <c r="G4779" s="16"/>
      <c r="H4779" s="24"/>
      <c r="I4779" s="24"/>
      <c r="L4779"/>
    </row>
    <row r="4780" spans="1:12" x14ac:dyDescent="0.25">
      <c r="A4780" s="16"/>
      <c r="D4780" s="16"/>
      <c r="F4780" s="16"/>
      <c r="G4780" s="16"/>
      <c r="H4780" s="24"/>
      <c r="I4780" s="24"/>
      <c r="L4780"/>
    </row>
    <row r="4781" spans="1:12" x14ac:dyDescent="0.25">
      <c r="A4781" s="16"/>
      <c r="D4781" s="16"/>
      <c r="F4781" s="16"/>
      <c r="G4781" s="16"/>
      <c r="H4781" s="24"/>
      <c r="I4781" s="24"/>
      <c r="L4781"/>
    </row>
    <row r="4782" spans="1:12" x14ac:dyDescent="0.25">
      <c r="A4782" s="16"/>
      <c r="D4782" s="16"/>
      <c r="F4782" s="16"/>
      <c r="G4782" s="16"/>
      <c r="H4782" s="24"/>
      <c r="I4782" s="24"/>
      <c r="L4782"/>
    </row>
    <row r="4783" spans="1:12" x14ac:dyDescent="0.25">
      <c r="A4783" s="16"/>
      <c r="D4783" s="16"/>
      <c r="F4783" s="16"/>
      <c r="G4783" s="16"/>
      <c r="H4783" s="24"/>
      <c r="I4783" s="24"/>
      <c r="L4783"/>
    </row>
    <row r="4784" spans="1:12" x14ac:dyDescent="0.25">
      <c r="A4784" s="16"/>
      <c r="D4784" s="16"/>
      <c r="F4784" s="16"/>
      <c r="G4784" s="16"/>
      <c r="H4784" s="24"/>
      <c r="I4784" s="24"/>
      <c r="L4784"/>
    </row>
    <row r="4785" spans="1:12" x14ac:dyDescent="0.25">
      <c r="A4785" s="16"/>
      <c r="D4785" s="16"/>
      <c r="F4785" s="16"/>
      <c r="G4785" s="16"/>
      <c r="H4785" s="24"/>
      <c r="I4785" s="24"/>
      <c r="L4785"/>
    </row>
    <row r="4786" spans="1:12" x14ac:dyDescent="0.25">
      <c r="A4786" s="16"/>
      <c r="D4786" s="16"/>
      <c r="F4786" s="16"/>
      <c r="G4786" s="16"/>
      <c r="H4786" s="24"/>
      <c r="I4786" s="24"/>
      <c r="L4786"/>
    </row>
    <row r="4787" spans="1:12" x14ac:dyDescent="0.25">
      <c r="A4787" s="16"/>
      <c r="D4787" s="16"/>
      <c r="F4787" s="16"/>
      <c r="G4787" s="16"/>
      <c r="H4787" s="24"/>
      <c r="I4787" s="24"/>
      <c r="L4787"/>
    </row>
    <row r="4788" spans="1:12" x14ac:dyDescent="0.25">
      <c r="A4788" s="16"/>
      <c r="D4788" s="16"/>
      <c r="F4788" s="16"/>
      <c r="G4788" s="16"/>
      <c r="H4788" s="24"/>
      <c r="I4788" s="24"/>
      <c r="L4788"/>
    </row>
    <row r="4789" spans="1:12" x14ac:dyDescent="0.25">
      <c r="A4789" s="16"/>
      <c r="D4789" s="16"/>
      <c r="F4789" s="16"/>
      <c r="G4789" s="16"/>
      <c r="H4789" s="24"/>
      <c r="I4789" s="24"/>
      <c r="L4789"/>
    </row>
    <row r="4790" spans="1:12" x14ac:dyDescent="0.25">
      <c r="A4790" s="16"/>
      <c r="D4790" s="16"/>
      <c r="F4790" s="16"/>
      <c r="G4790" s="16"/>
      <c r="H4790" s="24"/>
      <c r="I4790" s="24"/>
      <c r="L4790"/>
    </row>
    <row r="4791" spans="1:12" x14ac:dyDescent="0.25">
      <c r="A4791" s="16"/>
      <c r="D4791" s="16"/>
      <c r="F4791" s="16"/>
      <c r="G4791" s="16"/>
      <c r="H4791" s="24"/>
      <c r="I4791" s="24"/>
      <c r="L4791"/>
    </row>
    <row r="4792" spans="1:12" x14ac:dyDescent="0.25">
      <c r="A4792" s="16"/>
      <c r="D4792" s="16"/>
      <c r="F4792" s="16"/>
      <c r="G4792" s="16"/>
      <c r="H4792" s="24"/>
      <c r="I4792" s="24"/>
      <c r="L4792"/>
    </row>
    <row r="4793" spans="1:12" x14ac:dyDescent="0.25">
      <c r="A4793" s="16"/>
      <c r="D4793" s="16"/>
      <c r="F4793" s="16"/>
      <c r="G4793" s="16"/>
      <c r="H4793" s="24"/>
      <c r="I4793" s="24"/>
      <c r="L4793"/>
    </row>
    <row r="4794" spans="1:12" x14ac:dyDescent="0.25">
      <c r="A4794" s="16"/>
      <c r="D4794" s="16"/>
      <c r="F4794" s="16"/>
      <c r="G4794" s="16"/>
      <c r="H4794" s="24"/>
      <c r="I4794" s="24"/>
      <c r="L4794"/>
    </row>
    <row r="4795" spans="1:12" x14ac:dyDescent="0.25">
      <c r="A4795" s="16"/>
      <c r="D4795" s="16"/>
      <c r="F4795" s="16"/>
      <c r="G4795" s="16"/>
      <c r="H4795" s="24"/>
      <c r="I4795" s="24"/>
      <c r="L4795"/>
    </row>
    <row r="4796" spans="1:12" x14ac:dyDescent="0.25">
      <c r="A4796" s="16"/>
      <c r="D4796" s="16"/>
      <c r="F4796" s="16"/>
      <c r="G4796" s="16"/>
      <c r="H4796" s="24"/>
      <c r="I4796" s="24"/>
      <c r="L4796"/>
    </row>
    <row r="4797" spans="1:12" x14ac:dyDescent="0.25">
      <c r="A4797" s="16"/>
      <c r="D4797" s="16"/>
      <c r="F4797" s="16"/>
      <c r="G4797" s="16"/>
      <c r="H4797" s="24"/>
      <c r="I4797" s="24"/>
      <c r="L4797"/>
    </row>
    <row r="4798" spans="1:12" x14ac:dyDescent="0.25">
      <c r="A4798" s="16"/>
      <c r="D4798" s="16"/>
      <c r="F4798" s="16"/>
      <c r="G4798" s="16"/>
      <c r="H4798" s="24"/>
      <c r="I4798" s="24"/>
      <c r="L4798"/>
    </row>
    <row r="4799" spans="1:12" x14ac:dyDescent="0.25">
      <c r="A4799" s="16"/>
      <c r="D4799" s="16"/>
      <c r="F4799" s="16"/>
      <c r="G4799" s="16"/>
      <c r="H4799" s="24"/>
      <c r="I4799" s="24"/>
      <c r="L4799"/>
    </row>
    <row r="4800" spans="1:12" x14ac:dyDescent="0.25">
      <c r="A4800" s="16"/>
      <c r="D4800" s="16"/>
      <c r="F4800" s="16"/>
      <c r="G4800" s="16"/>
      <c r="H4800" s="24"/>
      <c r="I4800" s="24"/>
      <c r="L4800"/>
    </row>
    <row r="4801" spans="1:12" x14ac:dyDescent="0.25">
      <c r="A4801" s="16"/>
      <c r="D4801" s="16"/>
      <c r="F4801" s="16"/>
      <c r="G4801" s="16"/>
      <c r="H4801" s="24"/>
      <c r="I4801" s="24"/>
      <c r="L4801"/>
    </row>
    <row r="4802" spans="1:12" x14ac:dyDescent="0.25">
      <c r="A4802" s="16"/>
      <c r="D4802" s="16"/>
      <c r="F4802" s="16"/>
      <c r="G4802" s="16"/>
      <c r="H4802" s="24"/>
      <c r="I4802" s="24"/>
      <c r="L4802"/>
    </row>
    <row r="4803" spans="1:12" x14ac:dyDescent="0.25">
      <c r="A4803" s="16"/>
      <c r="D4803" s="16"/>
      <c r="F4803" s="16"/>
      <c r="G4803" s="16"/>
      <c r="H4803" s="24"/>
      <c r="I4803" s="24"/>
      <c r="L4803"/>
    </row>
    <row r="4804" spans="1:12" x14ac:dyDescent="0.25">
      <c r="A4804" s="16"/>
      <c r="D4804" s="16"/>
      <c r="F4804" s="16"/>
      <c r="G4804" s="16"/>
      <c r="H4804" s="24"/>
      <c r="I4804" s="24"/>
      <c r="L4804"/>
    </row>
    <row r="4805" spans="1:12" x14ac:dyDescent="0.25">
      <c r="A4805" s="16"/>
      <c r="D4805" s="16"/>
      <c r="F4805" s="16"/>
      <c r="G4805" s="16"/>
      <c r="H4805" s="24"/>
      <c r="I4805" s="24"/>
      <c r="L4805"/>
    </row>
    <row r="4806" spans="1:12" x14ac:dyDescent="0.25">
      <c r="A4806" s="16"/>
      <c r="D4806" s="16"/>
      <c r="F4806" s="16"/>
      <c r="G4806" s="16"/>
      <c r="H4806" s="24"/>
      <c r="I4806" s="24"/>
      <c r="L4806"/>
    </row>
    <row r="4807" spans="1:12" x14ac:dyDescent="0.25">
      <c r="A4807" s="16"/>
      <c r="D4807" s="16"/>
      <c r="F4807" s="16"/>
      <c r="G4807" s="16"/>
      <c r="H4807" s="24"/>
      <c r="I4807" s="24"/>
      <c r="L4807"/>
    </row>
    <row r="4808" spans="1:12" x14ac:dyDescent="0.25">
      <c r="A4808" s="16"/>
      <c r="D4808" s="16"/>
      <c r="F4808" s="16"/>
      <c r="G4808" s="16"/>
      <c r="H4808" s="24"/>
      <c r="I4808" s="24"/>
      <c r="L4808"/>
    </row>
    <row r="4809" spans="1:12" x14ac:dyDescent="0.25">
      <c r="A4809" s="16"/>
      <c r="D4809" s="16"/>
      <c r="F4809" s="16"/>
      <c r="G4809" s="16"/>
      <c r="H4809" s="24"/>
      <c r="I4809" s="24"/>
      <c r="L4809"/>
    </row>
    <row r="4810" spans="1:12" x14ac:dyDescent="0.25">
      <c r="A4810" s="16"/>
      <c r="D4810" s="16"/>
      <c r="F4810" s="16"/>
      <c r="G4810" s="16"/>
      <c r="H4810" s="24"/>
      <c r="I4810" s="24"/>
      <c r="L4810"/>
    </row>
    <row r="4811" spans="1:12" x14ac:dyDescent="0.25">
      <c r="A4811" s="16"/>
      <c r="D4811" s="16"/>
      <c r="F4811" s="16"/>
      <c r="G4811" s="16"/>
      <c r="H4811" s="24"/>
      <c r="I4811" s="24"/>
      <c r="L4811"/>
    </row>
    <row r="4812" spans="1:12" x14ac:dyDescent="0.25">
      <c r="A4812" s="16"/>
      <c r="D4812" s="16"/>
      <c r="F4812" s="16"/>
      <c r="G4812" s="16"/>
      <c r="H4812" s="24"/>
      <c r="I4812" s="24"/>
      <c r="L4812"/>
    </row>
    <row r="4813" spans="1:12" x14ac:dyDescent="0.25">
      <c r="A4813" s="16"/>
      <c r="D4813" s="16"/>
      <c r="F4813" s="16"/>
      <c r="G4813" s="16"/>
      <c r="H4813" s="24"/>
      <c r="I4813" s="24"/>
      <c r="L4813"/>
    </row>
    <row r="4814" spans="1:12" x14ac:dyDescent="0.25">
      <c r="A4814" s="16"/>
      <c r="D4814" s="16"/>
      <c r="F4814" s="16"/>
      <c r="G4814" s="16"/>
      <c r="H4814" s="24"/>
      <c r="I4814" s="24"/>
      <c r="L4814"/>
    </row>
    <row r="4815" spans="1:12" x14ac:dyDescent="0.25">
      <c r="A4815" s="16"/>
      <c r="D4815" s="16"/>
      <c r="F4815" s="16"/>
      <c r="G4815" s="16"/>
      <c r="H4815" s="24"/>
      <c r="I4815" s="24"/>
      <c r="L4815"/>
    </row>
    <row r="4816" spans="1:12" x14ac:dyDescent="0.25">
      <c r="A4816" s="16"/>
      <c r="D4816" s="16"/>
      <c r="F4816" s="16"/>
      <c r="G4816" s="16"/>
      <c r="H4816" s="24"/>
      <c r="I4816" s="24"/>
      <c r="L4816"/>
    </row>
    <row r="4817" spans="1:12" x14ac:dyDescent="0.25">
      <c r="A4817" s="16"/>
      <c r="D4817" s="16"/>
      <c r="F4817" s="16"/>
      <c r="G4817" s="16"/>
      <c r="H4817" s="24"/>
      <c r="I4817" s="24"/>
      <c r="L4817"/>
    </row>
    <row r="4818" spans="1:12" x14ac:dyDescent="0.25">
      <c r="A4818" s="16"/>
      <c r="D4818" s="16"/>
      <c r="F4818" s="16"/>
      <c r="G4818" s="16"/>
      <c r="H4818" s="24"/>
      <c r="I4818" s="24"/>
      <c r="L4818"/>
    </row>
    <row r="4819" spans="1:12" x14ac:dyDescent="0.25">
      <c r="A4819" s="16"/>
      <c r="D4819" s="16"/>
      <c r="F4819" s="16"/>
      <c r="G4819" s="16"/>
      <c r="H4819" s="24"/>
      <c r="I4819" s="24"/>
      <c r="L4819"/>
    </row>
    <row r="4820" spans="1:12" x14ac:dyDescent="0.25">
      <c r="A4820" s="16"/>
      <c r="D4820" s="16"/>
      <c r="F4820" s="16"/>
      <c r="G4820" s="16"/>
      <c r="H4820" s="24"/>
      <c r="I4820" s="24"/>
      <c r="L4820"/>
    </row>
    <row r="4821" spans="1:12" x14ac:dyDescent="0.25">
      <c r="A4821" s="16"/>
      <c r="D4821" s="16"/>
      <c r="F4821" s="16"/>
      <c r="G4821" s="16"/>
      <c r="H4821" s="24"/>
      <c r="I4821" s="24"/>
      <c r="L4821"/>
    </row>
    <row r="4822" spans="1:12" x14ac:dyDescent="0.25">
      <c r="A4822" s="16"/>
      <c r="D4822" s="16"/>
      <c r="F4822" s="16"/>
      <c r="G4822" s="16"/>
      <c r="H4822" s="24"/>
      <c r="I4822" s="24"/>
      <c r="L4822"/>
    </row>
    <row r="4823" spans="1:12" x14ac:dyDescent="0.25">
      <c r="A4823" s="16"/>
      <c r="D4823" s="16"/>
      <c r="F4823" s="16"/>
      <c r="G4823" s="16"/>
      <c r="H4823" s="24"/>
      <c r="I4823" s="24"/>
      <c r="L4823"/>
    </row>
    <row r="4824" spans="1:12" x14ac:dyDescent="0.25">
      <c r="A4824" s="16"/>
      <c r="D4824" s="16"/>
      <c r="F4824" s="16"/>
      <c r="G4824" s="16"/>
      <c r="H4824" s="24"/>
      <c r="I4824" s="24"/>
      <c r="L4824"/>
    </row>
    <row r="4825" spans="1:12" x14ac:dyDescent="0.25">
      <c r="A4825" s="16"/>
      <c r="D4825" s="16"/>
      <c r="F4825" s="16"/>
      <c r="G4825" s="16"/>
      <c r="H4825" s="24"/>
      <c r="I4825" s="24"/>
      <c r="L4825"/>
    </row>
    <row r="4826" spans="1:12" x14ac:dyDescent="0.25">
      <c r="A4826" s="16"/>
      <c r="D4826" s="16"/>
      <c r="F4826" s="16"/>
      <c r="G4826" s="16"/>
      <c r="H4826" s="24"/>
      <c r="I4826" s="24"/>
      <c r="L4826"/>
    </row>
    <row r="4827" spans="1:12" x14ac:dyDescent="0.25">
      <c r="A4827" s="16"/>
      <c r="D4827" s="16"/>
      <c r="F4827" s="16"/>
      <c r="G4827" s="16"/>
      <c r="H4827" s="24"/>
      <c r="I4827" s="24"/>
      <c r="L4827"/>
    </row>
    <row r="4828" spans="1:12" x14ac:dyDescent="0.25">
      <c r="A4828" s="16"/>
      <c r="D4828" s="16"/>
      <c r="F4828" s="16"/>
      <c r="G4828" s="16"/>
      <c r="H4828" s="24"/>
      <c r="I4828" s="24"/>
      <c r="L4828"/>
    </row>
    <row r="4829" spans="1:12" x14ac:dyDescent="0.25">
      <c r="A4829" s="16"/>
      <c r="D4829" s="16"/>
      <c r="F4829" s="16"/>
      <c r="G4829" s="16"/>
      <c r="H4829" s="24"/>
      <c r="I4829" s="24"/>
      <c r="L4829"/>
    </row>
    <row r="4830" spans="1:12" x14ac:dyDescent="0.25">
      <c r="A4830" s="16"/>
      <c r="D4830" s="16"/>
      <c r="F4830" s="16"/>
      <c r="G4830" s="16"/>
      <c r="H4830" s="24"/>
      <c r="I4830" s="24"/>
      <c r="L4830"/>
    </row>
    <row r="4831" spans="1:12" x14ac:dyDescent="0.25">
      <c r="A4831" s="16"/>
      <c r="D4831" s="16"/>
      <c r="F4831" s="16"/>
      <c r="G4831" s="16"/>
      <c r="H4831" s="24"/>
      <c r="I4831" s="24"/>
      <c r="L4831"/>
    </row>
    <row r="4832" spans="1:12" x14ac:dyDescent="0.25">
      <c r="A4832" s="16"/>
      <c r="D4832" s="16"/>
      <c r="F4832" s="16"/>
      <c r="G4832" s="16"/>
      <c r="H4832" s="24"/>
      <c r="I4832" s="24"/>
      <c r="L4832"/>
    </row>
    <row r="4833" spans="1:12" x14ac:dyDescent="0.25">
      <c r="A4833" s="16"/>
      <c r="D4833" s="16"/>
      <c r="F4833" s="16"/>
      <c r="G4833" s="16"/>
      <c r="H4833" s="24"/>
      <c r="I4833" s="24"/>
      <c r="L4833"/>
    </row>
    <row r="4834" spans="1:12" x14ac:dyDescent="0.25">
      <c r="A4834" s="16"/>
      <c r="D4834" s="16"/>
      <c r="F4834" s="16"/>
      <c r="G4834" s="16"/>
      <c r="H4834" s="24"/>
      <c r="I4834" s="24"/>
      <c r="L4834"/>
    </row>
    <row r="4835" spans="1:12" x14ac:dyDescent="0.25">
      <c r="A4835" s="16"/>
      <c r="D4835" s="16"/>
      <c r="F4835" s="16"/>
      <c r="G4835" s="16"/>
      <c r="H4835" s="24"/>
      <c r="I4835" s="24"/>
      <c r="L4835"/>
    </row>
    <row r="4836" spans="1:12" x14ac:dyDescent="0.25">
      <c r="A4836" s="16"/>
      <c r="D4836" s="16"/>
      <c r="F4836" s="16"/>
      <c r="G4836" s="16"/>
      <c r="H4836" s="24"/>
      <c r="I4836" s="24"/>
      <c r="L4836"/>
    </row>
    <row r="4837" spans="1:12" x14ac:dyDescent="0.25">
      <c r="A4837" s="16"/>
      <c r="D4837" s="16"/>
      <c r="F4837" s="16"/>
      <c r="G4837" s="16"/>
      <c r="H4837" s="24"/>
      <c r="I4837" s="24"/>
      <c r="L4837"/>
    </row>
    <row r="4838" spans="1:12" x14ac:dyDescent="0.25">
      <c r="A4838" s="16"/>
      <c r="D4838" s="16"/>
      <c r="F4838" s="16"/>
      <c r="G4838" s="16"/>
      <c r="H4838" s="24"/>
      <c r="I4838" s="24"/>
      <c r="L4838"/>
    </row>
    <row r="4839" spans="1:12" x14ac:dyDescent="0.25">
      <c r="A4839" s="16"/>
      <c r="D4839" s="16"/>
      <c r="F4839" s="16"/>
      <c r="G4839" s="16"/>
      <c r="H4839" s="24"/>
      <c r="I4839" s="24"/>
      <c r="L4839"/>
    </row>
    <row r="4840" spans="1:12" x14ac:dyDescent="0.25">
      <c r="A4840" s="16"/>
      <c r="D4840" s="16"/>
      <c r="F4840" s="16"/>
      <c r="G4840" s="16"/>
      <c r="H4840" s="24"/>
      <c r="I4840" s="24"/>
      <c r="L4840"/>
    </row>
    <row r="4841" spans="1:12" x14ac:dyDescent="0.25">
      <c r="A4841" s="16"/>
      <c r="D4841" s="16"/>
      <c r="F4841" s="16"/>
      <c r="G4841" s="16"/>
      <c r="H4841" s="24"/>
      <c r="I4841" s="24"/>
      <c r="L4841"/>
    </row>
    <row r="4842" spans="1:12" x14ac:dyDescent="0.25">
      <c r="A4842" s="16"/>
      <c r="D4842" s="16"/>
      <c r="F4842" s="16"/>
      <c r="G4842" s="16"/>
      <c r="H4842" s="24"/>
      <c r="I4842" s="24"/>
      <c r="L4842"/>
    </row>
    <row r="4843" spans="1:12" x14ac:dyDescent="0.25">
      <c r="A4843" s="16"/>
      <c r="D4843" s="16"/>
      <c r="F4843" s="16"/>
      <c r="G4843" s="16"/>
      <c r="H4843" s="24"/>
      <c r="I4843" s="24"/>
      <c r="L4843"/>
    </row>
    <row r="4844" spans="1:12" x14ac:dyDescent="0.25">
      <c r="A4844" s="16"/>
      <c r="D4844" s="16"/>
      <c r="F4844" s="16"/>
      <c r="G4844" s="16"/>
      <c r="H4844" s="24"/>
      <c r="I4844" s="24"/>
      <c r="L4844"/>
    </row>
    <row r="4845" spans="1:12" x14ac:dyDescent="0.25">
      <c r="A4845" s="16"/>
      <c r="D4845" s="16"/>
      <c r="F4845" s="16"/>
      <c r="G4845" s="16"/>
      <c r="H4845" s="24"/>
      <c r="I4845" s="24"/>
      <c r="L4845"/>
    </row>
    <row r="4846" spans="1:12" x14ac:dyDescent="0.25">
      <c r="A4846" s="16"/>
      <c r="D4846" s="16"/>
      <c r="F4846" s="16"/>
      <c r="G4846" s="16"/>
      <c r="H4846" s="24"/>
      <c r="I4846" s="24"/>
      <c r="L4846"/>
    </row>
    <row r="4847" spans="1:12" x14ac:dyDescent="0.25">
      <c r="A4847" s="16"/>
      <c r="D4847" s="16"/>
      <c r="F4847" s="16"/>
      <c r="G4847" s="16"/>
      <c r="H4847" s="24"/>
      <c r="I4847" s="24"/>
      <c r="L4847"/>
    </row>
    <row r="4848" spans="1:12" x14ac:dyDescent="0.25">
      <c r="A4848" s="16"/>
      <c r="D4848" s="16"/>
      <c r="F4848" s="16"/>
      <c r="G4848" s="16"/>
      <c r="H4848" s="24"/>
      <c r="I4848" s="24"/>
      <c r="L4848"/>
    </row>
    <row r="4849" spans="1:12" x14ac:dyDescent="0.25">
      <c r="A4849" s="16"/>
      <c r="D4849" s="16"/>
      <c r="F4849" s="16"/>
      <c r="G4849" s="16"/>
      <c r="H4849" s="24"/>
      <c r="I4849" s="24"/>
      <c r="L4849"/>
    </row>
    <row r="4850" spans="1:12" x14ac:dyDescent="0.25">
      <c r="A4850" s="16"/>
      <c r="D4850" s="16"/>
      <c r="F4850" s="16"/>
      <c r="G4850" s="16"/>
      <c r="H4850" s="24"/>
      <c r="I4850" s="24"/>
      <c r="L4850"/>
    </row>
    <row r="4851" spans="1:12" x14ac:dyDescent="0.25">
      <c r="A4851" s="16"/>
      <c r="D4851" s="16"/>
      <c r="F4851" s="16"/>
      <c r="G4851" s="16"/>
      <c r="H4851" s="24"/>
      <c r="I4851" s="24"/>
      <c r="L4851"/>
    </row>
    <row r="4852" spans="1:12" x14ac:dyDescent="0.25">
      <c r="A4852" s="16"/>
      <c r="D4852" s="16"/>
      <c r="F4852" s="16"/>
      <c r="G4852" s="16"/>
      <c r="H4852" s="24"/>
      <c r="I4852" s="24"/>
      <c r="L4852"/>
    </row>
    <row r="4853" spans="1:12" x14ac:dyDescent="0.25">
      <c r="A4853" s="16"/>
      <c r="D4853" s="16"/>
      <c r="F4853" s="16"/>
      <c r="G4853" s="16"/>
      <c r="H4853" s="24"/>
      <c r="I4853" s="24"/>
      <c r="L4853"/>
    </row>
    <row r="4854" spans="1:12" x14ac:dyDescent="0.25">
      <c r="A4854" s="16"/>
      <c r="D4854" s="16"/>
      <c r="F4854" s="16"/>
      <c r="G4854" s="16"/>
      <c r="H4854" s="24"/>
      <c r="I4854" s="24"/>
      <c r="L4854"/>
    </row>
    <row r="4855" spans="1:12" x14ac:dyDescent="0.25">
      <c r="A4855" s="16"/>
      <c r="D4855" s="16"/>
      <c r="F4855" s="16"/>
      <c r="G4855" s="16"/>
      <c r="H4855" s="24"/>
      <c r="I4855" s="24"/>
      <c r="L4855"/>
    </row>
    <row r="4856" spans="1:12" x14ac:dyDescent="0.25">
      <c r="A4856" s="16"/>
      <c r="D4856" s="16"/>
      <c r="F4856" s="16"/>
      <c r="G4856" s="16"/>
      <c r="H4856" s="24"/>
      <c r="I4856" s="24"/>
      <c r="L4856"/>
    </row>
    <row r="4857" spans="1:12" x14ac:dyDescent="0.25">
      <c r="A4857" s="16"/>
      <c r="D4857" s="16"/>
      <c r="F4857" s="16"/>
      <c r="G4857" s="16"/>
      <c r="H4857" s="24"/>
      <c r="I4857" s="24"/>
      <c r="L4857"/>
    </row>
    <row r="4858" spans="1:12" x14ac:dyDescent="0.25">
      <c r="A4858" s="16"/>
      <c r="D4858" s="16"/>
      <c r="F4858" s="16"/>
      <c r="G4858" s="16"/>
      <c r="H4858" s="24"/>
      <c r="I4858" s="24"/>
      <c r="L4858"/>
    </row>
    <row r="4859" spans="1:12" x14ac:dyDescent="0.25">
      <c r="A4859" s="16"/>
      <c r="D4859" s="16"/>
      <c r="F4859" s="16"/>
      <c r="G4859" s="16"/>
      <c r="H4859" s="24"/>
      <c r="I4859" s="24"/>
      <c r="L4859"/>
    </row>
    <row r="4860" spans="1:12" x14ac:dyDescent="0.25">
      <c r="A4860" s="16"/>
      <c r="D4860" s="16"/>
      <c r="F4860" s="16"/>
      <c r="G4860" s="16"/>
      <c r="H4860" s="24"/>
      <c r="I4860" s="24"/>
      <c r="L4860"/>
    </row>
    <row r="4861" spans="1:12" x14ac:dyDescent="0.25">
      <c r="A4861" s="16"/>
      <c r="D4861" s="16"/>
      <c r="F4861" s="16"/>
      <c r="G4861" s="16"/>
      <c r="H4861" s="24"/>
      <c r="I4861" s="24"/>
      <c r="L4861"/>
    </row>
    <row r="4862" spans="1:12" x14ac:dyDescent="0.25">
      <c r="A4862" s="16"/>
      <c r="D4862" s="16"/>
      <c r="F4862" s="16"/>
      <c r="G4862" s="16"/>
      <c r="H4862" s="24"/>
      <c r="I4862" s="24"/>
      <c r="L4862"/>
    </row>
    <row r="4863" spans="1:12" x14ac:dyDescent="0.25">
      <c r="A4863" s="16"/>
      <c r="D4863" s="16"/>
      <c r="F4863" s="16"/>
      <c r="G4863" s="16"/>
      <c r="H4863" s="24"/>
      <c r="I4863" s="24"/>
      <c r="L4863"/>
    </row>
    <row r="4864" spans="1:12" x14ac:dyDescent="0.25">
      <c r="A4864" s="16"/>
      <c r="D4864" s="16"/>
      <c r="F4864" s="16"/>
      <c r="G4864" s="16"/>
      <c r="H4864" s="24"/>
      <c r="I4864" s="24"/>
      <c r="L4864"/>
    </row>
    <row r="4865" spans="1:12" x14ac:dyDescent="0.25">
      <c r="A4865" s="16"/>
      <c r="D4865" s="16"/>
      <c r="F4865" s="16"/>
      <c r="G4865" s="16"/>
      <c r="H4865" s="24"/>
      <c r="I4865" s="24"/>
      <c r="L4865"/>
    </row>
    <row r="4866" spans="1:12" x14ac:dyDescent="0.25">
      <c r="A4866" s="16"/>
      <c r="D4866" s="16"/>
      <c r="F4866" s="16"/>
      <c r="G4866" s="16"/>
      <c r="H4866" s="24"/>
      <c r="I4866" s="24"/>
      <c r="L4866"/>
    </row>
    <row r="4867" spans="1:12" x14ac:dyDescent="0.25">
      <c r="A4867" s="16"/>
      <c r="D4867" s="16"/>
      <c r="F4867" s="16"/>
      <c r="G4867" s="16"/>
      <c r="H4867" s="24"/>
      <c r="I4867" s="24"/>
      <c r="L4867"/>
    </row>
    <row r="4868" spans="1:12" x14ac:dyDescent="0.25">
      <c r="A4868" s="16"/>
      <c r="D4868" s="16"/>
      <c r="F4868" s="16"/>
      <c r="G4868" s="16"/>
      <c r="H4868" s="24"/>
      <c r="I4868" s="24"/>
      <c r="L4868"/>
    </row>
    <row r="4869" spans="1:12" x14ac:dyDescent="0.25">
      <c r="A4869" s="16"/>
      <c r="D4869" s="16"/>
      <c r="F4869" s="16"/>
      <c r="G4869" s="16"/>
      <c r="H4869" s="24"/>
      <c r="I4869" s="24"/>
      <c r="L4869"/>
    </row>
    <row r="4870" spans="1:12" x14ac:dyDescent="0.25">
      <c r="A4870" s="16"/>
      <c r="D4870" s="16"/>
      <c r="F4870" s="16"/>
      <c r="G4870" s="16"/>
      <c r="H4870" s="24"/>
      <c r="I4870" s="24"/>
      <c r="L4870"/>
    </row>
    <row r="4871" spans="1:12" x14ac:dyDescent="0.25">
      <c r="A4871" s="16"/>
      <c r="D4871" s="16"/>
      <c r="F4871" s="16"/>
      <c r="G4871" s="16"/>
      <c r="H4871" s="24"/>
      <c r="I4871" s="24"/>
      <c r="L4871"/>
    </row>
    <row r="4872" spans="1:12" x14ac:dyDescent="0.25">
      <c r="A4872" s="16"/>
      <c r="D4872" s="16"/>
      <c r="F4872" s="16"/>
      <c r="G4872" s="16"/>
      <c r="H4872" s="24"/>
      <c r="I4872" s="24"/>
      <c r="L4872"/>
    </row>
    <row r="4873" spans="1:12" x14ac:dyDescent="0.25">
      <c r="A4873" s="16"/>
      <c r="D4873" s="16"/>
      <c r="F4873" s="16"/>
      <c r="G4873" s="16"/>
      <c r="H4873" s="24"/>
      <c r="I4873" s="24"/>
      <c r="L4873"/>
    </row>
    <row r="4874" spans="1:12" x14ac:dyDescent="0.25">
      <c r="A4874" s="16"/>
      <c r="D4874" s="16"/>
      <c r="F4874" s="16"/>
      <c r="G4874" s="16"/>
      <c r="H4874" s="24"/>
      <c r="I4874" s="24"/>
      <c r="L4874"/>
    </row>
    <row r="4875" spans="1:12" x14ac:dyDescent="0.25">
      <c r="A4875" s="16"/>
      <c r="D4875" s="16"/>
      <c r="F4875" s="16"/>
      <c r="G4875" s="16"/>
      <c r="H4875" s="24"/>
      <c r="I4875" s="24"/>
      <c r="L4875"/>
    </row>
    <row r="4876" spans="1:12" x14ac:dyDescent="0.25">
      <c r="A4876" s="16"/>
      <c r="D4876" s="16"/>
      <c r="F4876" s="16"/>
      <c r="G4876" s="16"/>
      <c r="H4876" s="24"/>
      <c r="I4876" s="24"/>
      <c r="L4876"/>
    </row>
    <row r="4877" spans="1:12" x14ac:dyDescent="0.25">
      <c r="A4877" s="16"/>
      <c r="D4877" s="16"/>
      <c r="F4877" s="16"/>
      <c r="G4877" s="16"/>
      <c r="H4877" s="24"/>
      <c r="I4877" s="24"/>
      <c r="L4877"/>
    </row>
    <row r="4878" spans="1:12" x14ac:dyDescent="0.25">
      <c r="A4878" s="16"/>
      <c r="D4878" s="16"/>
      <c r="F4878" s="16"/>
      <c r="G4878" s="16"/>
      <c r="H4878" s="24"/>
      <c r="I4878" s="24"/>
      <c r="L4878"/>
    </row>
    <row r="4879" spans="1:12" x14ac:dyDescent="0.25">
      <c r="A4879" s="16"/>
      <c r="D4879" s="16"/>
      <c r="F4879" s="16"/>
      <c r="G4879" s="16"/>
      <c r="H4879" s="24"/>
      <c r="I4879" s="24"/>
      <c r="L4879"/>
    </row>
    <row r="4880" spans="1:12" x14ac:dyDescent="0.25">
      <c r="A4880" s="16"/>
      <c r="D4880" s="16"/>
      <c r="F4880" s="16"/>
      <c r="G4880" s="16"/>
      <c r="H4880" s="24"/>
      <c r="I4880" s="24"/>
      <c r="L4880"/>
    </row>
    <row r="4881" spans="1:12" x14ac:dyDescent="0.25">
      <c r="A4881" s="16"/>
      <c r="D4881" s="16"/>
      <c r="F4881" s="16"/>
      <c r="G4881" s="16"/>
      <c r="H4881" s="24"/>
      <c r="I4881" s="24"/>
      <c r="L4881"/>
    </row>
    <row r="4882" spans="1:12" x14ac:dyDescent="0.25">
      <c r="A4882" s="16"/>
      <c r="D4882" s="16"/>
      <c r="F4882" s="16"/>
      <c r="G4882" s="16"/>
      <c r="H4882" s="24"/>
      <c r="I4882" s="24"/>
      <c r="L4882"/>
    </row>
    <row r="4883" spans="1:12" x14ac:dyDescent="0.25">
      <c r="A4883" s="16"/>
      <c r="D4883" s="16"/>
      <c r="F4883" s="16"/>
      <c r="G4883" s="16"/>
      <c r="H4883" s="24"/>
      <c r="I4883" s="24"/>
      <c r="L4883"/>
    </row>
    <row r="4884" spans="1:12" x14ac:dyDescent="0.25">
      <c r="A4884" s="16"/>
      <c r="D4884" s="16"/>
      <c r="F4884" s="16"/>
      <c r="G4884" s="16"/>
      <c r="H4884" s="24"/>
      <c r="I4884" s="24"/>
      <c r="L4884"/>
    </row>
    <row r="4885" spans="1:12" x14ac:dyDescent="0.25">
      <c r="A4885" s="16"/>
      <c r="D4885" s="16"/>
      <c r="F4885" s="16"/>
      <c r="G4885" s="16"/>
      <c r="H4885" s="24"/>
      <c r="I4885" s="24"/>
      <c r="L4885"/>
    </row>
    <row r="4886" spans="1:12" x14ac:dyDescent="0.25">
      <c r="A4886" s="16"/>
      <c r="D4886" s="16"/>
      <c r="F4886" s="16"/>
      <c r="G4886" s="16"/>
      <c r="H4886" s="24"/>
      <c r="I4886" s="24"/>
      <c r="L4886"/>
    </row>
    <row r="4887" spans="1:12" x14ac:dyDescent="0.25">
      <c r="A4887" s="16"/>
      <c r="D4887" s="16"/>
      <c r="F4887" s="16"/>
      <c r="G4887" s="16"/>
      <c r="H4887" s="24"/>
      <c r="I4887" s="24"/>
      <c r="L4887"/>
    </row>
    <row r="4888" spans="1:12" x14ac:dyDescent="0.25">
      <c r="A4888" s="16"/>
      <c r="D4888" s="16"/>
      <c r="F4888" s="16"/>
      <c r="G4888" s="16"/>
      <c r="H4888" s="24"/>
      <c r="I4888" s="24"/>
      <c r="L4888"/>
    </row>
    <row r="4889" spans="1:12" x14ac:dyDescent="0.25">
      <c r="A4889" s="16"/>
      <c r="D4889" s="16"/>
      <c r="F4889" s="16"/>
      <c r="G4889" s="16"/>
      <c r="H4889" s="24"/>
      <c r="I4889" s="24"/>
      <c r="L4889"/>
    </row>
    <row r="4890" spans="1:12" x14ac:dyDescent="0.25">
      <c r="A4890" s="16"/>
      <c r="D4890" s="16"/>
      <c r="F4890" s="16"/>
      <c r="G4890" s="16"/>
      <c r="H4890" s="24"/>
      <c r="I4890" s="24"/>
      <c r="L4890"/>
    </row>
    <row r="4891" spans="1:12" x14ac:dyDescent="0.25">
      <c r="A4891" s="16"/>
      <c r="D4891" s="16"/>
      <c r="F4891" s="16"/>
      <c r="G4891" s="16"/>
      <c r="H4891" s="24"/>
      <c r="I4891" s="24"/>
      <c r="L4891"/>
    </row>
    <row r="4892" spans="1:12" x14ac:dyDescent="0.25">
      <c r="A4892" s="16"/>
      <c r="D4892" s="16"/>
      <c r="F4892" s="16"/>
      <c r="G4892" s="16"/>
      <c r="H4892" s="24"/>
      <c r="I4892" s="24"/>
      <c r="L4892"/>
    </row>
    <row r="4893" spans="1:12" x14ac:dyDescent="0.25">
      <c r="A4893" s="16"/>
      <c r="D4893" s="16"/>
      <c r="F4893" s="16"/>
      <c r="G4893" s="16"/>
      <c r="H4893" s="24"/>
      <c r="I4893" s="24"/>
      <c r="L4893"/>
    </row>
    <row r="4894" spans="1:12" x14ac:dyDescent="0.25">
      <c r="A4894" s="16"/>
      <c r="D4894" s="16"/>
      <c r="F4894" s="16"/>
      <c r="G4894" s="16"/>
      <c r="H4894" s="24"/>
      <c r="I4894" s="24"/>
      <c r="L4894"/>
    </row>
    <row r="4895" spans="1:12" x14ac:dyDescent="0.25">
      <c r="A4895" s="16"/>
      <c r="D4895" s="16"/>
      <c r="F4895" s="16"/>
      <c r="G4895" s="16"/>
      <c r="H4895" s="24"/>
      <c r="I4895" s="24"/>
      <c r="L4895"/>
    </row>
    <row r="4896" spans="1:12" x14ac:dyDescent="0.25">
      <c r="A4896" s="16"/>
      <c r="D4896" s="16"/>
      <c r="F4896" s="16"/>
      <c r="G4896" s="16"/>
      <c r="H4896" s="24"/>
      <c r="I4896" s="24"/>
      <c r="L4896"/>
    </row>
    <row r="4897" spans="1:12" x14ac:dyDescent="0.25">
      <c r="A4897" s="16"/>
      <c r="D4897" s="16"/>
      <c r="F4897" s="16"/>
      <c r="G4897" s="16"/>
      <c r="H4897" s="24"/>
      <c r="I4897" s="24"/>
      <c r="L4897"/>
    </row>
    <row r="4898" spans="1:12" x14ac:dyDescent="0.25">
      <c r="A4898" s="16"/>
      <c r="D4898" s="16"/>
      <c r="F4898" s="16"/>
      <c r="G4898" s="16"/>
      <c r="H4898" s="24"/>
      <c r="I4898" s="24"/>
      <c r="L4898"/>
    </row>
    <row r="4899" spans="1:12" x14ac:dyDescent="0.25">
      <c r="A4899" s="16"/>
      <c r="D4899" s="16"/>
      <c r="F4899" s="16"/>
      <c r="G4899" s="16"/>
      <c r="H4899" s="24"/>
      <c r="I4899" s="24"/>
      <c r="L4899"/>
    </row>
    <row r="4900" spans="1:12" x14ac:dyDescent="0.25">
      <c r="A4900" s="16"/>
      <c r="D4900" s="16"/>
      <c r="F4900" s="16"/>
      <c r="G4900" s="16"/>
      <c r="H4900" s="24"/>
      <c r="I4900" s="24"/>
      <c r="L4900"/>
    </row>
    <row r="4901" spans="1:12" x14ac:dyDescent="0.25">
      <c r="A4901" s="16"/>
      <c r="D4901" s="16"/>
      <c r="F4901" s="16"/>
      <c r="G4901" s="16"/>
      <c r="H4901" s="24"/>
      <c r="I4901" s="24"/>
      <c r="L4901"/>
    </row>
    <row r="4902" spans="1:12" x14ac:dyDescent="0.25">
      <c r="A4902" s="16"/>
      <c r="D4902" s="16"/>
      <c r="F4902" s="16"/>
      <c r="G4902" s="16"/>
      <c r="H4902" s="24"/>
      <c r="I4902" s="24"/>
      <c r="L4902"/>
    </row>
    <row r="4903" spans="1:12" x14ac:dyDescent="0.25">
      <c r="A4903" s="16"/>
      <c r="D4903" s="16"/>
      <c r="F4903" s="16"/>
      <c r="G4903" s="16"/>
      <c r="H4903" s="24"/>
      <c r="I4903" s="24"/>
      <c r="L4903"/>
    </row>
    <row r="4904" spans="1:12" x14ac:dyDescent="0.25">
      <c r="A4904" s="16"/>
      <c r="D4904" s="16"/>
      <c r="F4904" s="16"/>
      <c r="G4904" s="16"/>
      <c r="H4904" s="24"/>
      <c r="I4904" s="24"/>
      <c r="L4904"/>
    </row>
    <row r="4905" spans="1:12" x14ac:dyDescent="0.25">
      <c r="A4905" s="16"/>
      <c r="D4905" s="16"/>
      <c r="F4905" s="16"/>
      <c r="G4905" s="16"/>
      <c r="H4905" s="24"/>
      <c r="I4905" s="24"/>
      <c r="L4905"/>
    </row>
    <row r="4906" spans="1:12" x14ac:dyDescent="0.25">
      <c r="A4906" s="16"/>
      <c r="D4906" s="16"/>
      <c r="F4906" s="16"/>
      <c r="G4906" s="16"/>
      <c r="H4906" s="24"/>
      <c r="I4906" s="24"/>
      <c r="L4906"/>
    </row>
    <row r="4907" spans="1:12" x14ac:dyDescent="0.25">
      <c r="A4907" s="16"/>
      <c r="D4907" s="16"/>
      <c r="F4907" s="16"/>
      <c r="G4907" s="16"/>
      <c r="H4907" s="24"/>
      <c r="I4907" s="24"/>
      <c r="L4907"/>
    </row>
    <row r="4908" spans="1:12" x14ac:dyDescent="0.25">
      <c r="A4908" s="16"/>
      <c r="D4908" s="16"/>
      <c r="F4908" s="16"/>
      <c r="G4908" s="16"/>
      <c r="H4908" s="24"/>
      <c r="I4908" s="24"/>
      <c r="L4908"/>
    </row>
    <row r="4909" spans="1:12" x14ac:dyDescent="0.25">
      <c r="A4909" s="16"/>
      <c r="D4909" s="16"/>
      <c r="F4909" s="16"/>
      <c r="G4909" s="16"/>
      <c r="H4909" s="24"/>
      <c r="I4909" s="24"/>
      <c r="L4909"/>
    </row>
    <row r="4910" spans="1:12" x14ac:dyDescent="0.25">
      <c r="A4910" s="16"/>
      <c r="D4910" s="16"/>
      <c r="F4910" s="16"/>
      <c r="G4910" s="16"/>
      <c r="H4910" s="24"/>
      <c r="I4910" s="24"/>
      <c r="L4910"/>
    </row>
    <row r="4911" spans="1:12" x14ac:dyDescent="0.25">
      <c r="A4911" s="16"/>
      <c r="D4911" s="16"/>
      <c r="F4911" s="16"/>
      <c r="G4911" s="16"/>
      <c r="H4911" s="24"/>
      <c r="I4911" s="24"/>
      <c r="L4911"/>
    </row>
    <row r="4912" spans="1:12" x14ac:dyDescent="0.25">
      <c r="A4912" s="16"/>
      <c r="D4912" s="16"/>
      <c r="F4912" s="16"/>
      <c r="G4912" s="16"/>
      <c r="H4912" s="24"/>
      <c r="I4912" s="24"/>
      <c r="L4912"/>
    </row>
    <row r="4913" spans="1:12" x14ac:dyDescent="0.25">
      <c r="A4913" s="16"/>
      <c r="D4913" s="16"/>
      <c r="F4913" s="16"/>
      <c r="G4913" s="16"/>
      <c r="H4913" s="24"/>
      <c r="I4913" s="24"/>
      <c r="L4913"/>
    </row>
    <row r="4914" spans="1:12" x14ac:dyDescent="0.25">
      <c r="A4914" s="16"/>
      <c r="D4914" s="16"/>
      <c r="F4914" s="16"/>
      <c r="G4914" s="16"/>
      <c r="H4914" s="24"/>
      <c r="I4914" s="24"/>
      <c r="L4914"/>
    </row>
    <row r="4915" spans="1:12" x14ac:dyDescent="0.25">
      <c r="A4915" s="16"/>
      <c r="D4915" s="16"/>
      <c r="F4915" s="16"/>
      <c r="G4915" s="16"/>
      <c r="H4915" s="24"/>
      <c r="I4915" s="24"/>
      <c r="L4915"/>
    </row>
    <row r="4916" spans="1:12" x14ac:dyDescent="0.25">
      <c r="A4916" s="16"/>
      <c r="D4916" s="16"/>
      <c r="F4916" s="16"/>
      <c r="G4916" s="16"/>
      <c r="H4916" s="24"/>
      <c r="I4916" s="24"/>
      <c r="L4916"/>
    </row>
    <row r="4917" spans="1:12" x14ac:dyDescent="0.25">
      <c r="A4917" s="16"/>
      <c r="D4917" s="16"/>
      <c r="F4917" s="16"/>
      <c r="G4917" s="16"/>
      <c r="H4917" s="24"/>
      <c r="I4917" s="24"/>
      <c r="L4917"/>
    </row>
    <row r="4918" spans="1:12" x14ac:dyDescent="0.25">
      <c r="A4918" s="16"/>
      <c r="D4918" s="16"/>
      <c r="F4918" s="16"/>
      <c r="G4918" s="16"/>
      <c r="H4918" s="24"/>
      <c r="I4918" s="24"/>
      <c r="L4918"/>
    </row>
    <row r="4919" spans="1:12" x14ac:dyDescent="0.25">
      <c r="A4919" s="16"/>
      <c r="D4919" s="16"/>
      <c r="F4919" s="16"/>
      <c r="G4919" s="16"/>
      <c r="H4919" s="24"/>
      <c r="I4919" s="24"/>
      <c r="L4919"/>
    </row>
    <row r="4920" spans="1:12" x14ac:dyDescent="0.25">
      <c r="A4920" s="16"/>
      <c r="D4920" s="16"/>
      <c r="F4920" s="16"/>
      <c r="G4920" s="16"/>
      <c r="H4920" s="24"/>
      <c r="I4920" s="24"/>
      <c r="L4920"/>
    </row>
    <row r="4921" spans="1:12" x14ac:dyDescent="0.25">
      <c r="A4921" s="16"/>
      <c r="D4921" s="16"/>
      <c r="F4921" s="16"/>
      <c r="G4921" s="16"/>
      <c r="H4921" s="24"/>
      <c r="I4921" s="24"/>
      <c r="L4921"/>
    </row>
    <row r="4922" spans="1:12" x14ac:dyDescent="0.25">
      <c r="A4922" s="16"/>
      <c r="D4922" s="16"/>
      <c r="F4922" s="16"/>
      <c r="G4922" s="16"/>
      <c r="H4922" s="24"/>
      <c r="I4922" s="24"/>
      <c r="L4922"/>
    </row>
    <row r="4923" spans="1:12" x14ac:dyDescent="0.25">
      <c r="A4923" s="16"/>
      <c r="D4923" s="16"/>
      <c r="F4923" s="16"/>
      <c r="G4923" s="16"/>
      <c r="H4923" s="24"/>
      <c r="I4923" s="24"/>
      <c r="L4923"/>
    </row>
    <row r="4924" spans="1:12" x14ac:dyDescent="0.25">
      <c r="A4924" s="16"/>
      <c r="D4924" s="16"/>
      <c r="F4924" s="16"/>
      <c r="G4924" s="16"/>
      <c r="H4924" s="24"/>
      <c r="I4924" s="24"/>
      <c r="L4924"/>
    </row>
    <row r="4925" spans="1:12" x14ac:dyDescent="0.25">
      <c r="A4925" s="16"/>
      <c r="D4925" s="16"/>
      <c r="F4925" s="16"/>
      <c r="G4925" s="16"/>
      <c r="H4925" s="24"/>
      <c r="I4925" s="24"/>
      <c r="L4925"/>
    </row>
    <row r="4926" spans="1:12" x14ac:dyDescent="0.25">
      <c r="A4926" s="16"/>
      <c r="D4926" s="16"/>
      <c r="F4926" s="16"/>
      <c r="G4926" s="16"/>
      <c r="H4926" s="24"/>
      <c r="I4926" s="24"/>
      <c r="L4926"/>
    </row>
    <row r="4927" spans="1:12" x14ac:dyDescent="0.25">
      <c r="A4927" s="16"/>
      <c r="D4927" s="16"/>
      <c r="F4927" s="16"/>
      <c r="G4927" s="16"/>
      <c r="H4927" s="24"/>
      <c r="I4927" s="24"/>
      <c r="L4927"/>
    </row>
    <row r="4928" spans="1:12" x14ac:dyDescent="0.25">
      <c r="A4928" s="16"/>
      <c r="D4928" s="16"/>
      <c r="F4928" s="16"/>
      <c r="G4928" s="16"/>
      <c r="H4928" s="24"/>
      <c r="I4928" s="24"/>
      <c r="L4928"/>
    </row>
    <row r="4929" spans="1:12" x14ac:dyDescent="0.25">
      <c r="A4929" s="16"/>
      <c r="D4929" s="16"/>
      <c r="F4929" s="16"/>
      <c r="G4929" s="16"/>
      <c r="H4929" s="24"/>
      <c r="I4929" s="24"/>
      <c r="L4929"/>
    </row>
    <row r="4930" spans="1:12" x14ac:dyDescent="0.25">
      <c r="A4930" s="16"/>
      <c r="D4930" s="16"/>
      <c r="F4930" s="16"/>
      <c r="G4930" s="16"/>
      <c r="H4930" s="24"/>
      <c r="I4930" s="24"/>
      <c r="L4930"/>
    </row>
    <row r="4931" spans="1:12" x14ac:dyDescent="0.25">
      <c r="A4931" s="16"/>
      <c r="D4931" s="16"/>
      <c r="F4931" s="16"/>
      <c r="G4931" s="16"/>
      <c r="H4931" s="24"/>
      <c r="I4931" s="24"/>
      <c r="L4931"/>
    </row>
    <row r="4932" spans="1:12" x14ac:dyDescent="0.25">
      <c r="A4932" s="16"/>
      <c r="D4932" s="16"/>
      <c r="F4932" s="16"/>
      <c r="G4932" s="16"/>
      <c r="H4932" s="24"/>
      <c r="I4932" s="24"/>
      <c r="L4932"/>
    </row>
    <row r="4933" spans="1:12" x14ac:dyDescent="0.25">
      <c r="A4933" s="16"/>
      <c r="D4933" s="16"/>
      <c r="F4933" s="16"/>
      <c r="G4933" s="16"/>
      <c r="H4933" s="24"/>
      <c r="I4933" s="24"/>
      <c r="L4933"/>
    </row>
    <row r="4934" spans="1:12" x14ac:dyDescent="0.25">
      <c r="A4934" s="16"/>
      <c r="D4934" s="16"/>
      <c r="F4934" s="16"/>
      <c r="G4934" s="16"/>
      <c r="H4934" s="24"/>
      <c r="I4934" s="24"/>
      <c r="L4934"/>
    </row>
    <row r="4935" spans="1:12" x14ac:dyDescent="0.25">
      <c r="A4935" s="16"/>
      <c r="D4935" s="16"/>
      <c r="F4935" s="16"/>
      <c r="G4935" s="16"/>
      <c r="H4935" s="24"/>
      <c r="I4935" s="24"/>
      <c r="L4935"/>
    </row>
    <row r="4936" spans="1:12" x14ac:dyDescent="0.25">
      <c r="A4936" s="16"/>
      <c r="D4936" s="16"/>
      <c r="F4936" s="16"/>
      <c r="G4936" s="16"/>
      <c r="H4936" s="24"/>
      <c r="I4936" s="24"/>
      <c r="L4936"/>
    </row>
    <row r="4937" spans="1:12" x14ac:dyDescent="0.25">
      <c r="A4937" s="16"/>
      <c r="D4937" s="16"/>
      <c r="F4937" s="16"/>
      <c r="G4937" s="16"/>
      <c r="H4937" s="24"/>
      <c r="I4937" s="24"/>
      <c r="L4937"/>
    </row>
    <row r="4938" spans="1:12" x14ac:dyDescent="0.25">
      <c r="A4938" s="16"/>
      <c r="D4938" s="16"/>
      <c r="F4938" s="16"/>
      <c r="G4938" s="16"/>
      <c r="H4938" s="24"/>
      <c r="I4938" s="24"/>
      <c r="L4938"/>
    </row>
    <row r="4939" spans="1:12" x14ac:dyDescent="0.25">
      <c r="A4939" s="16"/>
      <c r="D4939" s="16"/>
      <c r="F4939" s="16"/>
      <c r="G4939" s="16"/>
      <c r="H4939" s="24"/>
      <c r="I4939" s="24"/>
      <c r="L4939"/>
    </row>
    <row r="4940" spans="1:12" x14ac:dyDescent="0.25">
      <c r="A4940" s="16"/>
      <c r="D4940" s="16"/>
      <c r="F4940" s="16"/>
      <c r="G4940" s="16"/>
      <c r="H4940" s="24"/>
      <c r="I4940" s="24"/>
      <c r="L4940"/>
    </row>
    <row r="4941" spans="1:12" x14ac:dyDescent="0.25">
      <c r="A4941" s="16"/>
      <c r="D4941" s="16"/>
      <c r="F4941" s="16"/>
      <c r="G4941" s="16"/>
      <c r="H4941" s="24"/>
      <c r="I4941" s="24"/>
      <c r="L4941"/>
    </row>
    <row r="4942" spans="1:12" x14ac:dyDescent="0.25">
      <c r="A4942" s="16"/>
      <c r="D4942" s="16"/>
      <c r="F4942" s="16"/>
      <c r="G4942" s="16"/>
      <c r="H4942" s="24"/>
      <c r="I4942" s="24"/>
      <c r="L4942"/>
    </row>
    <row r="4943" spans="1:12" x14ac:dyDescent="0.25">
      <c r="A4943" s="16"/>
      <c r="D4943" s="16"/>
      <c r="F4943" s="16"/>
      <c r="G4943" s="16"/>
      <c r="H4943" s="24"/>
      <c r="I4943" s="24"/>
      <c r="L4943"/>
    </row>
    <row r="4944" spans="1:12" x14ac:dyDescent="0.25">
      <c r="A4944" s="16"/>
      <c r="D4944" s="16"/>
      <c r="F4944" s="16"/>
      <c r="G4944" s="16"/>
      <c r="H4944" s="24"/>
      <c r="I4944" s="24"/>
      <c r="L4944"/>
    </row>
    <row r="4945" spans="1:12" x14ac:dyDescent="0.25">
      <c r="A4945" s="16"/>
      <c r="D4945" s="16"/>
      <c r="F4945" s="16"/>
      <c r="G4945" s="16"/>
      <c r="H4945" s="24"/>
      <c r="I4945" s="24"/>
      <c r="L4945"/>
    </row>
    <row r="4946" spans="1:12" x14ac:dyDescent="0.25">
      <c r="A4946" s="16"/>
      <c r="D4946" s="16"/>
      <c r="F4946" s="16"/>
      <c r="G4946" s="16"/>
      <c r="H4946" s="24"/>
      <c r="I4946" s="24"/>
      <c r="L4946"/>
    </row>
    <row r="4947" spans="1:12" x14ac:dyDescent="0.25">
      <c r="A4947" s="16"/>
      <c r="D4947" s="16"/>
      <c r="F4947" s="16"/>
      <c r="G4947" s="16"/>
      <c r="H4947" s="24"/>
      <c r="I4947" s="24"/>
      <c r="L4947"/>
    </row>
    <row r="4948" spans="1:12" x14ac:dyDescent="0.25">
      <c r="A4948" s="16"/>
      <c r="D4948" s="16"/>
      <c r="F4948" s="16"/>
      <c r="G4948" s="16"/>
      <c r="H4948" s="24"/>
      <c r="I4948" s="24"/>
      <c r="L4948"/>
    </row>
    <row r="4949" spans="1:12" x14ac:dyDescent="0.25">
      <c r="A4949" s="16"/>
      <c r="D4949" s="16"/>
      <c r="F4949" s="16"/>
      <c r="G4949" s="16"/>
      <c r="H4949" s="24"/>
      <c r="I4949" s="24"/>
      <c r="L4949"/>
    </row>
    <row r="4950" spans="1:12" x14ac:dyDescent="0.25">
      <c r="A4950" s="16"/>
      <c r="D4950" s="16"/>
      <c r="F4950" s="16"/>
      <c r="G4950" s="16"/>
      <c r="H4950" s="24"/>
      <c r="I4950" s="24"/>
      <c r="L4950"/>
    </row>
    <row r="4951" spans="1:12" x14ac:dyDescent="0.25">
      <c r="A4951" s="16"/>
      <c r="D4951" s="16"/>
      <c r="F4951" s="16"/>
      <c r="G4951" s="16"/>
      <c r="H4951" s="24"/>
      <c r="I4951" s="24"/>
      <c r="L4951"/>
    </row>
    <row r="4952" spans="1:12" x14ac:dyDescent="0.25">
      <c r="A4952" s="16"/>
      <c r="D4952" s="16"/>
      <c r="F4952" s="16"/>
      <c r="G4952" s="16"/>
      <c r="H4952" s="24"/>
      <c r="I4952" s="24"/>
      <c r="L4952"/>
    </row>
    <row r="4953" spans="1:12" x14ac:dyDescent="0.25">
      <c r="A4953" s="16"/>
      <c r="D4953" s="16"/>
      <c r="F4953" s="16"/>
      <c r="G4953" s="16"/>
      <c r="H4953" s="24"/>
      <c r="I4953" s="24"/>
      <c r="L4953"/>
    </row>
    <row r="4954" spans="1:12" x14ac:dyDescent="0.25">
      <c r="A4954" s="16"/>
      <c r="D4954" s="16"/>
      <c r="F4954" s="16"/>
      <c r="G4954" s="16"/>
      <c r="H4954" s="24"/>
      <c r="I4954" s="24"/>
      <c r="L4954"/>
    </row>
    <row r="4955" spans="1:12" x14ac:dyDescent="0.25">
      <c r="A4955" s="16"/>
      <c r="D4955" s="16"/>
      <c r="F4955" s="16"/>
      <c r="G4955" s="16"/>
      <c r="H4955" s="24"/>
      <c r="I4955" s="24"/>
      <c r="L4955"/>
    </row>
    <row r="4956" spans="1:12" x14ac:dyDescent="0.25">
      <c r="A4956" s="16"/>
      <c r="D4956" s="16"/>
      <c r="F4956" s="16"/>
      <c r="G4956" s="16"/>
      <c r="H4956" s="24"/>
      <c r="I4956" s="24"/>
      <c r="L4956"/>
    </row>
    <row r="4957" spans="1:12" x14ac:dyDescent="0.25">
      <c r="A4957" s="16"/>
      <c r="D4957" s="16"/>
      <c r="F4957" s="16"/>
      <c r="G4957" s="16"/>
      <c r="H4957" s="24"/>
      <c r="I4957" s="24"/>
      <c r="L4957"/>
    </row>
    <row r="4958" spans="1:12" x14ac:dyDescent="0.25">
      <c r="A4958" s="16"/>
      <c r="D4958" s="16"/>
      <c r="F4958" s="16"/>
      <c r="G4958" s="16"/>
      <c r="H4958" s="24"/>
      <c r="I4958" s="24"/>
      <c r="L4958"/>
    </row>
    <row r="4959" spans="1:12" x14ac:dyDescent="0.25">
      <c r="A4959" s="16"/>
      <c r="D4959" s="16"/>
      <c r="F4959" s="16"/>
      <c r="G4959" s="16"/>
      <c r="H4959" s="24"/>
      <c r="I4959" s="24"/>
      <c r="L4959"/>
    </row>
    <row r="4960" spans="1:12" x14ac:dyDescent="0.25">
      <c r="A4960" s="16"/>
      <c r="D4960" s="16"/>
      <c r="F4960" s="16"/>
      <c r="G4960" s="16"/>
      <c r="H4960" s="24"/>
      <c r="I4960" s="24"/>
      <c r="L4960"/>
    </row>
    <row r="4961" spans="1:12" x14ac:dyDescent="0.25">
      <c r="A4961" s="16"/>
      <c r="D4961" s="16"/>
      <c r="F4961" s="16"/>
      <c r="G4961" s="16"/>
      <c r="H4961" s="24"/>
      <c r="I4961" s="24"/>
      <c r="L4961"/>
    </row>
    <row r="4962" spans="1:12" x14ac:dyDescent="0.25">
      <c r="A4962" s="16"/>
      <c r="D4962" s="16"/>
      <c r="F4962" s="16"/>
      <c r="G4962" s="16"/>
      <c r="H4962" s="24"/>
      <c r="I4962" s="24"/>
      <c r="L4962"/>
    </row>
    <row r="4963" spans="1:12" x14ac:dyDescent="0.25">
      <c r="A4963" s="16"/>
      <c r="D4963" s="16"/>
      <c r="F4963" s="16"/>
      <c r="G4963" s="16"/>
      <c r="H4963" s="24"/>
      <c r="I4963" s="24"/>
      <c r="L4963"/>
    </row>
    <row r="4964" spans="1:12" x14ac:dyDescent="0.25">
      <c r="A4964" s="16"/>
      <c r="D4964" s="16"/>
      <c r="F4964" s="16"/>
      <c r="G4964" s="16"/>
      <c r="H4964" s="24"/>
      <c r="I4964" s="24"/>
      <c r="L4964"/>
    </row>
    <row r="4965" spans="1:12" x14ac:dyDescent="0.25">
      <c r="A4965" s="16"/>
      <c r="D4965" s="16"/>
      <c r="F4965" s="16"/>
      <c r="G4965" s="16"/>
      <c r="H4965" s="24"/>
      <c r="I4965" s="24"/>
      <c r="L4965"/>
    </row>
    <row r="4966" spans="1:12" x14ac:dyDescent="0.25">
      <c r="A4966" s="16"/>
      <c r="D4966" s="16"/>
      <c r="F4966" s="16"/>
      <c r="G4966" s="16"/>
      <c r="H4966" s="24"/>
      <c r="I4966" s="24"/>
      <c r="L4966"/>
    </row>
    <row r="4967" spans="1:12" x14ac:dyDescent="0.25">
      <c r="A4967" s="16"/>
      <c r="D4967" s="16"/>
      <c r="F4967" s="16"/>
      <c r="G4967" s="16"/>
      <c r="H4967" s="24"/>
      <c r="I4967" s="24"/>
      <c r="L4967"/>
    </row>
    <row r="4968" spans="1:12" x14ac:dyDescent="0.25">
      <c r="A4968" s="16"/>
      <c r="D4968" s="16"/>
      <c r="F4968" s="16"/>
      <c r="G4968" s="16"/>
      <c r="H4968" s="24"/>
      <c r="I4968" s="24"/>
      <c r="L4968"/>
    </row>
    <row r="4969" spans="1:12" x14ac:dyDescent="0.25">
      <c r="A4969" s="16"/>
      <c r="D4969" s="16"/>
      <c r="F4969" s="16"/>
      <c r="G4969" s="16"/>
      <c r="H4969" s="24"/>
      <c r="I4969" s="24"/>
      <c r="L4969"/>
    </row>
    <row r="4970" spans="1:12" x14ac:dyDescent="0.25">
      <c r="A4970" s="16"/>
      <c r="D4970" s="16"/>
      <c r="F4970" s="16"/>
      <c r="G4970" s="16"/>
      <c r="H4970" s="24"/>
      <c r="I4970" s="24"/>
      <c r="L4970"/>
    </row>
    <row r="4971" spans="1:12" x14ac:dyDescent="0.25">
      <c r="A4971" s="16"/>
      <c r="D4971" s="16"/>
      <c r="F4971" s="16"/>
      <c r="G4971" s="16"/>
      <c r="H4971" s="24"/>
      <c r="I4971" s="24"/>
      <c r="L4971"/>
    </row>
    <row r="4972" spans="1:12" x14ac:dyDescent="0.25">
      <c r="A4972" s="16"/>
      <c r="D4972" s="16"/>
      <c r="F4972" s="16"/>
      <c r="G4972" s="16"/>
      <c r="H4972" s="24"/>
      <c r="I4972" s="24"/>
      <c r="L4972"/>
    </row>
    <row r="4973" spans="1:12" x14ac:dyDescent="0.25">
      <c r="A4973" s="16"/>
      <c r="D4973" s="16"/>
      <c r="F4973" s="16"/>
      <c r="G4973" s="16"/>
      <c r="H4973" s="24"/>
      <c r="I4973" s="24"/>
      <c r="L4973"/>
    </row>
    <row r="4974" spans="1:12" x14ac:dyDescent="0.25">
      <c r="A4974" s="16"/>
      <c r="D4974" s="16"/>
      <c r="F4974" s="16"/>
      <c r="G4974" s="16"/>
      <c r="H4974" s="24"/>
      <c r="I4974" s="24"/>
      <c r="L4974"/>
    </row>
    <row r="4975" spans="1:12" x14ac:dyDescent="0.25">
      <c r="A4975" s="16"/>
      <c r="D4975" s="16"/>
      <c r="F4975" s="16"/>
      <c r="G4975" s="16"/>
      <c r="H4975" s="24"/>
      <c r="I4975" s="24"/>
      <c r="L4975"/>
    </row>
    <row r="4976" spans="1:12" x14ac:dyDescent="0.25">
      <c r="A4976" s="16"/>
      <c r="D4976" s="16"/>
      <c r="F4976" s="16"/>
      <c r="G4976" s="16"/>
      <c r="H4976" s="24"/>
      <c r="I4976" s="24"/>
      <c r="L4976"/>
    </row>
    <row r="4977" spans="1:12" x14ac:dyDescent="0.25">
      <c r="A4977" s="16"/>
      <c r="D4977" s="16"/>
      <c r="F4977" s="16"/>
      <c r="G4977" s="16"/>
      <c r="H4977" s="24"/>
      <c r="I4977" s="24"/>
      <c r="L4977"/>
    </row>
    <row r="4978" spans="1:12" x14ac:dyDescent="0.25">
      <c r="A4978" s="16"/>
      <c r="D4978" s="16"/>
      <c r="F4978" s="16"/>
      <c r="G4978" s="16"/>
      <c r="H4978" s="24"/>
      <c r="I4978" s="24"/>
      <c r="L4978"/>
    </row>
    <row r="4979" spans="1:12" x14ac:dyDescent="0.25">
      <c r="A4979" s="16"/>
      <c r="D4979" s="16"/>
      <c r="F4979" s="16"/>
      <c r="G4979" s="16"/>
      <c r="H4979" s="24"/>
      <c r="I4979" s="24"/>
      <c r="L4979"/>
    </row>
    <row r="4980" spans="1:12" x14ac:dyDescent="0.25">
      <c r="A4980" s="16"/>
      <c r="D4980" s="16"/>
      <c r="F4980" s="16"/>
      <c r="G4980" s="16"/>
      <c r="H4980" s="24"/>
      <c r="I4980" s="24"/>
      <c r="L4980"/>
    </row>
    <row r="4981" spans="1:12" x14ac:dyDescent="0.25">
      <c r="A4981" s="16"/>
      <c r="D4981" s="16"/>
      <c r="F4981" s="16"/>
      <c r="G4981" s="16"/>
      <c r="H4981" s="24"/>
      <c r="I4981" s="24"/>
      <c r="L4981"/>
    </row>
    <row r="4982" spans="1:12" x14ac:dyDescent="0.25">
      <c r="A4982" s="16"/>
      <c r="D4982" s="16"/>
      <c r="F4982" s="16"/>
      <c r="G4982" s="16"/>
      <c r="H4982" s="24"/>
      <c r="I4982" s="24"/>
      <c r="L4982"/>
    </row>
    <row r="4983" spans="1:12" x14ac:dyDescent="0.25">
      <c r="A4983" s="16"/>
      <c r="D4983" s="16"/>
      <c r="F4983" s="16"/>
      <c r="G4983" s="16"/>
      <c r="H4983" s="24"/>
      <c r="I4983" s="24"/>
      <c r="L4983"/>
    </row>
    <row r="4984" spans="1:12" x14ac:dyDescent="0.25">
      <c r="A4984" s="16"/>
      <c r="D4984" s="16"/>
      <c r="F4984" s="16"/>
      <c r="G4984" s="16"/>
      <c r="H4984" s="24"/>
      <c r="I4984" s="24"/>
      <c r="L4984"/>
    </row>
    <row r="4985" spans="1:12" x14ac:dyDescent="0.25">
      <c r="A4985" s="16"/>
      <c r="D4985" s="16"/>
      <c r="F4985" s="16"/>
      <c r="G4985" s="16"/>
      <c r="H4985" s="24"/>
      <c r="I4985" s="24"/>
      <c r="L4985"/>
    </row>
    <row r="4986" spans="1:12" x14ac:dyDescent="0.25">
      <c r="A4986" s="16"/>
      <c r="D4986" s="16"/>
      <c r="F4986" s="16"/>
      <c r="G4986" s="16"/>
      <c r="H4986" s="24"/>
      <c r="I4986" s="24"/>
      <c r="L4986"/>
    </row>
    <row r="4987" spans="1:12" x14ac:dyDescent="0.25">
      <c r="A4987" s="16"/>
      <c r="D4987" s="16"/>
      <c r="F4987" s="16"/>
      <c r="G4987" s="16"/>
      <c r="H4987" s="24"/>
      <c r="I4987" s="24"/>
      <c r="L4987"/>
    </row>
    <row r="4988" spans="1:12" x14ac:dyDescent="0.25">
      <c r="A4988" s="16"/>
      <c r="D4988" s="16"/>
      <c r="F4988" s="16"/>
      <c r="G4988" s="16"/>
      <c r="H4988" s="24"/>
      <c r="I4988" s="24"/>
      <c r="L4988"/>
    </row>
    <row r="4989" spans="1:12" x14ac:dyDescent="0.25">
      <c r="A4989" s="16"/>
      <c r="D4989" s="16"/>
      <c r="F4989" s="16"/>
      <c r="G4989" s="16"/>
      <c r="H4989" s="24"/>
      <c r="I4989" s="24"/>
      <c r="L4989"/>
    </row>
    <row r="4990" spans="1:12" x14ac:dyDescent="0.25">
      <c r="A4990" s="16"/>
      <c r="D4990" s="16"/>
      <c r="F4990" s="16"/>
      <c r="G4990" s="16"/>
      <c r="H4990" s="24"/>
      <c r="I4990" s="24"/>
      <c r="L4990"/>
    </row>
    <row r="4991" spans="1:12" x14ac:dyDescent="0.25">
      <c r="A4991" s="16"/>
      <c r="D4991" s="16"/>
      <c r="F4991" s="16"/>
      <c r="G4991" s="16"/>
      <c r="H4991" s="24"/>
      <c r="I4991" s="24"/>
      <c r="L4991"/>
    </row>
    <row r="4992" spans="1:12" x14ac:dyDescent="0.25">
      <c r="A4992" s="16"/>
      <c r="D4992" s="16"/>
      <c r="F4992" s="16"/>
      <c r="G4992" s="16"/>
      <c r="H4992" s="24"/>
      <c r="I4992" s="24"/>
      <c r="L4992"/>
    </row>
    <row r="4993" spans="1:12" x14ac:dyDescent="0.25">
      <c r="A4993" s="16"/>
      <c r="D4993" s="16"/>
      <c r="F4993" s="16"/>
      <c r="G4993" s="16"/>
      <c r="H4993" s="24"/>
      <c r="I4993" s="24"/>
      <c r="L4993"/>
    </row>
    <row r="4994" spans="1:12" x14ac:dyDescent="0.25">
      <c r="A4994" s="16"/>
      <c r="D4994" s="16"/>
      <c r="F4994" s="16"/>
      <c r="G4994" s="16"/>
      <c r="H4994" s="24"/>
      <c r="I4994" s="24"/>
      <c r="L4994"/>
    </row>
    <row r="4995" spans="1:12" x14ac:dyDescent="0.25">
      <c r="A4995" s="16"/>
      <c r="D4995" s="16"/>
      <c r="F4995" s="16"/>
      <c r="G4995" s="16"/>
      <c r="H4995" s="24"/>
      <c r="I4995" s="24"/>
      <c r="L4995"/>
    </row>
    <row r="4996" spans="1:12" x14ac:dyDescent="0.25">
      <c r="A4996" s="16"/>
      <c r="D4996" s="16"/>
      <c r="F4996" s="16"/>
      <c r="G4996" s="16"/>
      <c r="H4996" s="24"/>
      <c r="I4996" s="24"/>
      <c r="L4996"/>
    </row>
    <row r="4997" spans="1:12" x14ac:dyDescent="0.25">
      <c r="A4997" s="16"/>
      <c r="D4997" s="16"/>
      <c r="F4997" s="16"/>
      <c r="G4997" s="16"/>
      <c r="H4997" s="24"/>
      <c r="I4997" s="24"/>
      <c r="L4997"/>
    </row>
    <row r="4998" spans="1:12" x14ac:dyDescent="0.25">
      <c r="A4998" s="16"/>
      <c r="D4998" s="16"/>
      <c r="F4998" s="16"/>
      <c r="G4998" s="16"/>
      <c r="H4998" s="24"/>
      <c r="I4998" s="24"/>
      <c r="L4998"/>
    </row>
    <row r="4999" spans="1:12" x14ac:dyDescent="0.25">
      <c r="A4999" s="16"/>
      <c r="D4999" s="16"/>
      <c r="F4999" s="16"/>
      <c r="G4999" s="16"/>
      <c r="H4999" s="24"/>
      <c r="I4999" s="24"/>
      <c r="L4999"/>
    </row>
    <row r="5000" spans="1:12" x14ac:dyDescent="0.25">
      <c r="A5000" s="16"/>
      <c r="D5000" s="16"/>
      <c r="F5000" s="16"/>
      <c r="G5000" s="16"/>
      <c r="H5000" s="24"/>
      <c r="I5000" s="24"/>
      <c r="L5000"/>
    </row>
    <row r="5001" spans="1:12" x14ac:dyDescent="0.25">
      <c r="A5001" s="16"/>
      <c r="D5001" s="16"/>
      <c r="F5001" s="16"/>
      <c r="G5001" s="16"/>
      <c r="H5001" s="24"/>
      <c r="I5001" s="24"/>
      <c r="L5001"/>
    </row>
    <row r="5002" spans="1:12" x14ac:dyDescent="0.25">
      <c r="A5002" s="16"/>
      <c r="D5002" s="16"/>
      <c r="F5002" s="16"/>
      <c r="G5002" s="16"/>
      <c r="H5002" s="24"/>
      <c r="I5002" s="24"/>
      <c r="L5002"/>
    </row>
    <row r="5003" spans="1:12" x14ac:dyDescent="0.25">
      <c r="A5003" s="16"/>
      <c r="D5003" s="16"/>
      <c r="F5003" s="16"/>
      <c r="G5003" s="16"/>
      <c r="H5003" s="24"/>
      <c r="I5003" s="24"/>
      <c r="L5003"/>
    </row>
    <row r="5004" spans="1:12" x14ac:dyDescent="0.25">
      <c r="A5004" s="16"/>
      <c r="D5004" s="16"/>
      <c r="F5004" s="16"/>
      <c r="G5004" s="16"/>
      <c r="H5004" s="24"/>
      <c r="I5004" s="24"/>
      <c r="L5004"/>
    </row>
    <row r="5005" spans="1:12" x14ac:dyDescent="0.25">
      <c r="A5005" s="16"/>
      <c r="D5005" s="16"/>
      <c r="F5005" s="16"/>
      <c r="G5005" s="16"/>
      <c r="H5005" s="24"/>
      <c r="I5005" s="24"/>
      <c r="L5005"/>
    </row>
    <row r="5006" spans="1:12" x14ac:dyDescent="0.25">
      <c r="A5006" s="16"/>
      <c r="D5006" s="16"/>
      <c r="F5006" s="16"/>
      <c r="G5006" s="16"/>
      <c r="H5006" s="24"/>
      <c r="I5006" s="24"/>
      <c r="L5006"/>
    </row>
    <row r="5007" spans="1:12" x14ac:dyDescent="0.25">
      <c r="A5007" s="16"/>
      <c r="D5007" s="16"/>
      <c r="F5007" s="16"/>
      <c r="G5007" s="16"/>
      <c r="H5007" s="24"/>
      <c r="I5007" s="24"/>
      <c r="L5007"/>
    </row>
    <row r="5008" spans="1:12" x14ac:dyDescent="0.25">
      <c r="A5008" s="16"/>
      <c r="D5008" s="16"/>
      <c r="F5008" s="16"/>
      <c r="G5008" s="16"/>
      <c r="H5008" s="24"/>
      <c r="I5008" s="24"/>
      <c r="L5008"/>
    </row>
    <row r="5009" spans="1:12" x14ac:dyDescent="0.25">
      <c r="A5009" s="16"/>
      <c r="D5009" s="16"/>
      <c r="F5009" s="16"/>
      <c r="G5009" s="16"/>
      <c r="H5009" s="24"/>
      <c r="I5009" s="24"/>
      <c r="L5009"/>
    </row>
    <row r="5010" spans="1:12" x14ac:dyDescent="0.25">
      <c r="A5010" s="16"/>
      <c r="D5010" s="16"/>
      <c r="F5010" s="16"/>
      <c r="G5010" s="16"/>
      <c r="H5010" s="24"/>
      <c r="I5010" s="24"/>
      <c r="L5010"/>
    </row>
    <row r="5011" spans="1:12" x14ac:dyDescent="0.25">
      <c r="A5011" s="16"/>
      <c r="D5011" s="16"/>
      <c r="F5011" s="16"/>
      <c r="G5011" s="16"/>
      <c r="H5011" s="24"/>
      <c r="I5011" s="24"/>
      <c r="L5011"/>
    </row>
    <row r="5012" spans="1:12" x14ac:dyDescent="0.25">
      <c r="A5012" s="16"/>
      <c r="D5012" s="16"/>
      <c r="F5012" s="16"/>
      <c r="G5012" s="16"/>
      <c r="H5012" s="24"/>
      <c r="I5012" s="24"/>
      <c r="L5012"/>
    </row>
    <row r="5013" spans="1:12" x14ac:dyDescent="0.25">
      <c r="A5013" s="16"/>
      <c r="D5013" s="16"/>
      <c r="F5013" s="16"/>
      <c r="G5013" s="16"/>
      <c r="H5013" s="24"/>
      <c r="I5013" s="24"/>
      <c r="L5013"/>
    </row>
    <row r="5014" spans="1:12" x14ac:dyDescent="0.25">
      <c r="A5014" s="16"/>
      <c r="D5014" s="16"/>
      <c r="F5014" s="16"/>
      <c r="G5014" s="16"/>
      <c r="H5014" s="24"/>
      <c r="I5014" s="24"/>
      <c r="L5014"/>
    </row>
    <row r="5015" spans="1:12" x14ac:dyDescent="0.25">
      <c r="A5015" s="16"/>
      <c r="D5015" s="16"/>
      <c r="F5015" s="16"/>
      <c r="G5015" s="16"/>
      <c r="H5015" s="24"/>
      <c r="I5015" s="24"/>
      <c r="L5015"/>
    </row>
    <row r="5016" spans="1:12" x14ac:dyDescent="0.25">
      <c r="A5016" s="16"/>
      <c r="D5016" s="16"/>
      <c r="F5016" s="16"/>
      <c r="G5016" s="16"/>
      <c r="H5016" s="24"/>
      <c r="I5016" s="24"/>
      <c r="L5016"/>
    </row>
    <row r="5017" spans="1:12" x14ac:dyDescent="0.25">
      <c r="A5017" s="16"/>
      <c r="D5017" s="16"/>
      <c r="F5017" s="16"/>
      <c r="G5017" s="16"/>
      <c r="H5017" s="24"/>
      <c r="I5017" s="24"/>
      <c r="L5017"/>
    </row>
    <row r="5018" spans="1:12" x14ac:dyDescent="0.25">
      <c r="A5018" s="16"/>
      <c r="D5018" s="16"/>
      <c r="F5018" s="16"/>
      <c r="G5018" s="16"/>
      <c r="H5018" s="24"/>
      <c r="I5018" s="24"/>
      <c r="L5018"/>
    </row>
    <row r="5019" spans="1:12" x14ac:dyDescent="0.25">
      <c r="A5019" s="16"/>
      <c r="D5019" s="16"/>
      <c r="F5019" s="16"/>
      <c r="G5019" s="16"/>
      <c r="H5019" s="24"/>
      <c r="I5019" s="24"/>
      <c r="L5019"/>
    </row>
    <row r="5020" spans="1:12" x14ac:dyDescent="0.25">
      <c r="A5020" s="16"/>
      <c r="D5020" s="16"/>
      <c r="F5020" s="16"/>
      <c r="G5020" s="16"/>
      <c r="H5020" s="24"/>
      <c r="I5020" s="24"/>
      <c r="L5020"/>
    </row>
    <row r="5021" spans="1:12" x14ac:dyDescent="0.25">
      <c r="A5021" s="16"/>
      <c r="D5021" s="16"/>
      <c r="F5021" s="16"/>
      <c r="G5021" s="16"/>
      <c r="H5021" s="24"/>
      <c r="I5021" s="24"/>
      <c r="L5021"/>
    </row>
    <row r="5022" spans="1:12" x14ac:dyDescent="0.25">
      <c r="A5022" s="16"/>
      <c r="D5022" s="16"/>
      <c r="F5022" s="16"/>
      <c r="G5022" s="16"/>
      <c r="H5022" s="24"/>
      <c r="I5022" s="24"/>
      <c r="L5022"/>
    </row>
    <row r="5023" spans="1:12" x14ac:dyDescent="0.25">
      <c r="A5023" s="16"/>
      <c r="D5023" s="16"/>
      <c r="F5023" s="16"/>
      <c r="G5023" s="16"/>
      <c r="H5023" s="24"/>
      <c r="I5023" s="24"/>
      <c r="L5023"/>
    </row>
    <row r="5024" spans="1:12" x14ac:dyDescent="0.25">
      <c r="A5024" s="16"/>
      <c r="D5024" s="16"/>
      <c r="F5024" s="16"/>
      <c r="G5024" s="16"/>
      <c r="H5024" s="24"/>
      <c r="I5024" s="24"/>
      <c r="L5024"/>
    </row>
    <row r="5025" spans="1:12" x14ac:dyDescent="0.25">
      <c r="A5025" s="16"/>
      <c r="D5025" s="16"/>
      <c r="F5025" s="16"/>
      <c r="G5025" s="16"/>
      <c r="H5025" s="24"/>
      <c r="I5025" s="24"/>
      <c r="L5025"/>
    </row>
    <row r="5026" spans="1:12" x14ac:dyDescent="0.25">
      <c r="A5026" s="16"/>
      <c r="D5026" s="16"/>
      <c r="F5026" s="16"/>
      <c r="G5026" s="16"/>
      <c r="H5026" s="24"/>
      <c r="I5026" s="24"/>
      <c r="L5026"/>
    </row>
    <row r="5027" spans="1:12" x14ac:dyDescent="0.25">
      <c r="A5027" s="16"/>
      <c r="D5027" s="16"/>
      <c r="F5027" s="16"/>
      <c r="G5027" s="16"/>
      <c r="H5027" s="24"/>
      <c r="I5027" s="24"/>
      <c r="L5027"/>
    </row>
    <row r="5028" spans="1:12" x14ac:dyDescent="0.25">
      <c r="A5028" s="16"/>
      <c r="D5028" s="16"/>
      <c r="F5028" s="16"/>
      <c r="G5028" s="16"/>
      <c r="H5028" s="24"/>
      <c r="I5028" s="24"/>
      <c r="L5028"/>
    </row>
    <row r="5029" spans="1:12" x14ac:dyDescent="0.25">
      <c r="A5029" s="16"/>
      <c r="D5029" s="16"/>
      <c r="F5029" s="16"/>
      <c r="G5029" s="16"/>
      <c r="H5029" s="24"/>
      <c r="I5029" s="24"/>
      <c r="L5029"/>
    </row>
    <row r="5030" spans="1:12" x14ac:dyDescent="0.25">
      <c r="A5030" s="16"/>
      <c r="D5030" s="16"/>
      <c r="F5030" s="16"/>
      <c r="G5030" s="16"/>
      <c r="H5030" s="24"/>
      <c r="I5030" s="24"/>
      <c r="L5030"/>
    </row>
    <row r="5031" spans="1:12" x14ac:dyDescent="0.25">
      <c r="A5031" s="16"/>
      <c r="D5031" s="16"/>
      <c r="F5031" s="16"/>
      <c r="G5031" s="16"/>
      <c r="H5031" s="24"/>
      <c r="I5031" s="24"/>
      <c r="L5031"/>
    </row>
    <row r="5032" spans="1:12" x14ac:dyDescent="0.25">
      <c r="A5032" s="16"/>
      <c r="D5032" s="16"/>
      <c r="F5032" s="16"/>
      <c r="G5032" s="16"/>
      <c r="H5032" s="24"/>
      <c r="I5032" s="24"/>
      <c r="L5032"/>
    </row>
    <row r="5033" spans="1:12" x14ac:dyDescent="0.25">
      <c r="A5033" s="16"/>
      <c r="D5033" s="16"/>
      <c r="F5033" s="16"/>
      <c r="G5033" s="16"/>
      <c r="H5033" s="24"/>
      <c r="I5033" s="24"/>
      <c r="L5033"/>
    </row>
    <row r="5034" spans="1:12" x14ac:dyDescent="0.25">
      <c r="A5034" s="16"/>
      <c r="D5034" s="16"/>
      <c r="F5034" s="16"/>
      <c r="G5034" s="16"/>
      <c r="H5034" s="24"/>
      <c r="I5034" s="24"/>
      <c r="L5034"/>
    </row>
    <row r="5035" spans="1:12" x14ac:dyDescent="0.25">
      <c r="A5035" s="16"/>
      <c r="D5035" s="16"/>
      <c r="F5035" s="16"/>
      <c r="G5035" s="16"/>
      <c r="H5035" s="24"/>
      <c r="I5035" s="24"/>
      <c r="L5035"/>
    </row>
    <row r="5036" spans="1:12" x14ac:dyDescent="0.25">
      <c r="A5036" s="16"/>
      <c r="D5036" s="16"/>
      <c r="F5036" s="16"/>
      <c r="G5036" s="16"/>
      <c r="H5036" s="24"/>
      <c r="I5036" s="24"/>
      <c r="L5036"/>
    </row>
    <row r="5037" spans="1:12" x14ac:dyDescent="0.25">
      <c r="A5037" s="16"/>
      <c r="D5037" s="16"/>
      <c r="F5037" s="16"/>
      <c r="G5037" s="16"/>
      <c r="H5037" s="24"/>
      <c r="I5037" s="24"/>
      <c r="L5037"/>
    </row>
    <row r="5038" spans="1:12" x14ac:dyDescent="0.25">
      <c r="A5038" s="16"/>
      <c r="D5038" s="16"/>
      <c r="F5038" s="16"/>
      <c r="G5038" s="16"/>
      <c r="H5038" s="24"/>
      <c r="I5038" s="24"/>
      <c r="L5038"/>
    </row>
    <row r="5039" spans="1:12" x14ac:dyDescent="0.25">
      <c r="A5039" s="16"/>
      <c r="D5039" s="16"/>
      <c r="F5039" s="16"/>
      <c r="G5039" s="16"/>
      <c r="H5039" s="24"/>
      <c r="I5039" s="24"/>
      <c r="L5039"/>
    </row>
    <row r="5040" spans="1:12" x14ac:dyDescent="0.25">
      <c r="A5040" s="16"/>
      <c r="D5040" s="16"/>
      <c r="F5040" s="16"/>
      <c r="G5040" s="16"/>
      <c r="H5040" s="24"/>
      <c r="I5040" s="24"/>
      <c r="L5040"/>
    </row>
    <row r="5041" spans="1:12" x14ac:dyDescent="0.25">
      <c r="A5041" s="16"/>
      <c r="D5041" s="16"/>
      <c r="F5041" s="16"/>
      <c r="G5041" s="16"/>
      <c r="H5041" s="24"/>
      <c r="I5041" s="24"/>
      <c r="L5041"/>
    </row>
    <row r="5042" spans="1:12" x14ac:dyDescent="0.25">
      <c r="A5042" s="16"/>
      <c r="D5042" s="16"/>
      <c r="F5042" s="16"/>
      <c r="G5042" s="16"/>
      <c r="H5042" s="24"/>
      <c r="I5042" s="24"/>
      <c r="L5042"/>
    </row>
    <row r="5043" spans="1:12" x14ac:dyDescent="0.25">
      <c r="A5043" s="16"/>
      <c r="D5043" s="16"/>
      <c r="F5043" s="16"/>
      <c r="G5043" s="16"/>
      <c r="H5043" s="24"/>
      <c r="I5043" s="24"/>
      <c r="L5043"/>
    </row>
    <row r="5044" spans="1:12" x14ac:dyDescent="0.25">
      <c r="A5044" s="16"/>
      <c r="D5044" s="16"/>
      <c r="F5044" s="16"/>
      <c r="G5044" s="16"/>
      <c r="H5044" s="24"/>
      <c r="I5044" s="24"/>
      <c r="L5044"/>
    </row>
    <row r="5045" spans="1:12" x14ac:dyDescent="0.25">
      <c r="A5045" s="16"/>
      <c r="D5045" s="16"/>
      <c r="F5045" s="16"/>
      <c r="G5045" s="16"/>
      <c r="H5045" s="24"/>
      <c r="I5045" s="24"/>
      <c r="L5045"/>
    </row>
    <row r="5046" spans="1:12" x14ac:dyDescent="0.25">
      <c r="A5046" s="16"/>
      <c r="D5046" s="16"/>
      <c r="F5046" s="16"/>
      <c r="G5046" s="16"/>
      <c r="H5046" s="24"/>
      <c r="I5046" s="24"/>
      <c r="L5046"/>
    </row>
    <row r="5047" spans="1:12" x14ac:dyDescent="0.25">
      <c r="A5047" s="16"/>
      <c r="D5047" s="16"/>
      <c r="F5047" s="16"/>
      <c r="G5047" s="16"/>
      <c r="H5047" s="24"/>
      <c r="I5047" s="24"/>
      <c r="L5047"/>
    </row>
    <row r="5048" spans="1:12" x14ac:dyDescent="0.25">
      <c r="A5048" s="16"/>
      <c r="D5048" s="16"/>
      <c r="F5048" s="16"/>
      <c r="G5048" s="16"/>
      <c r="H5048" s="24"/>
      <c r="I5048" s="24"/>
      <c r="L5048"/>
    </row>
    <row r="5049" spans="1:12" x14ac:dyDescent="0.25">
      <c r="A5049" s="16"/>
      <c r="D5049" s="16"/>
      <c r="F5049" s="16"/>
      <c r="G5049" s="16"/>
      <c r="H5049" s="24"/>
      <c r="I5049" s="24"/>
      <c r="L5049"/>
    </row>
    <row r="5050" spans="1:12" x14ac:dyDescent="0.25">
      <c r="A5050" s="16"/>
      <c r="D5050" s="16"/>
      <c r="F5050" s="16"/>
      <c r="G5050" s="16"/>
      <c r="H5050" s="24"/>
      <c r="I5050" s="24"/>
      <c r="L5050"/>
    </row>
    <row r="5051" spans="1:12" x14ac:dyDescent="0.25">
      <c r="A5051" s="16"/>
      <c r="D5051" s="16"/>
      <c r="F5051" s="16"/>
      <c r="G5051" s="16"/>
      <c r="H5051" s="24"/>
      <c r="I5051" s="24"/>
      <c r="L5051"/>
    </row>
    <row r="5052" spans="1:12" x14ac:dyDescent="0.25">
      <c r="A5052" s="16"/>
      <c r="D5052" s="16"/>
      <c r="F5052" s="16"/>
      <c r="G5052" s="16"/>
      <c r="H5052" s="24"/>
      <c r="I5052" s="24"/>
      <c r="L5052"/>
    </row>
    <row r="5053" spans="1:12" x14ac:dyDescent="0.25">
      <c r="A5053" s="16"/>
      <c r="D5053" s="16"/>
      <c r="F5053" s="16"/>
      <c r="G5053" s="16"/>
      <c r="H5053" s="24"/>
      <c r="I5053" s="24"/>
      <c r="L5053"/>
    </row>
    <row r="5054" spans="1:12" x14ac:dyDescent="0.25">
      <c r="A5054" s="16"/>
      <c r="D5054" s="16"/>
      <c r="F5054" s="16"/>
      <c r="G5054" s="16"/>
      <c r="H5054" s="24"/>
      <c r="I5054" s="24"/>
      <c r="L5054"/>
    </row>
    <row r="5055" spans="1:12" x14ac:dyDescent="0.25">
      <c r="A5055" s="16"/>
      <c r="D5055" s="16"/>
      <c r="F5055" s="16"/>
      <c r="G5055" s="16"/>
      <c r="H5055" s="24"/>
      <c r="I5055" s="24"/>
      <c r="L5055"/>
    </row>
    <row r="5056" spans="1:12" x14ac:dyDescent="0.25">
      <c r="A5056" s="16"/>
      <c r="D5056" s="16"/>
      <c r="F5056" s="16"/>
      <c r="G5056" s="16"/>
      <c r="H5056" s="24"/>
      <c r="I5056" s="24"/>
      <c r="L5056"/>
    </row>
    <row r="5057" spans="1:12" x14ac:dyDescent="0.25">
      <c r="A5057" s="16"/>
      <c r="D5057" s="16"/>
      <c r="F5057" s="16"/>
      <c r="G5057" s="16"/>
      <c r="H5057" s="24"/>
      <c r="I5057" s="24"/>
      <c r="L5057"/>
    </row>
    <row r="5058" spans="1:12" x14ac:dyDescent="0.25">
      <c r="A5058" s="16"/>
      <c r="D5058" s="16"/>
      <c r="F5058" s="16"/>
      <c r="G5058" s="16"/>
      <c r="H5058" s="24"/>
      <c r="I5058" s="24"/>
      <c r="L5058"/>
    </row>
    <row r="5059" spans="1:12" x14ac:dyDescent="0.25">
      <c r="A5059" s="16"/>
      <c r="D5059" s="16"/>
      <c r="F5059" s="16"/>
      <c r="G5059" s="16"/>
      <c r="H5059" s="24"/>
      <c r="I5059" s="24"/>
      <c r="L5059"/>
    </row>
    <row r="5060" spans="1:12" x14ac:dyDescent="0.25">
      <c r="A5060" s="16"/>
      <c r="D5060" s="16"/>
      <c r="F5060" s="16"/>
      <c r="G5060" s="16"/>
      <c r="H5060" s="24"/>
      <c r="I5060" s="24"/>
      <c r="L5060"/>
    </row>
    <row r="5061" spans="1:12" x14ac:dyDescent="0.25">
      <c r="A5061" s="16"/>
      <c r="D5061" s="16"/>
      <c r="F5061" s="16"/>
      <c r="G5061" s="16"/>
      <c r="H5061" s="24"/>
      <c r="I5061" s="24"/>
      <c r="L5061"/>
    </row>
    <row r="5062" spans="1:12" x14ac:dyDescent="0.25">
      <c r="A5062" s="16"/>
      <c r="D5062" s="16"/>
      <c r="F5062" s="16"/>
      <c r="G5062" s="16"/>
      <c r="H5062" s="24"/>
      <c r="I5062" s="24"/>
      <c r="L5062"/>
    </row>
    <row r="5063" spans="1:12" x14ac:dyDescent="0.25">
      <c r="A5063" s="16"/>
      <c r="D5063" s="16"/>
      <c r="F5063" s="16"/>
      <c r="G5063" s="16"/>
      <c r="H5063" s="24"/>
      <c r="I5063" s="24"/>
      <c r="L5063"/>
    </row>
    <row r="5064" spans="1:12" x14ac:dyDescent="0.25">
      <c r="A5064" s="16"/>
      <c r="D5064" s="16"/>
      <c r="F5064" s="16"/>
      <c r="G5064" s="16"/>
      <c r="H5064" s="24"/>
      <c r="I5064" s="24"/>
      <c r="L5064"/>
    </row>
    <row r="5065" spans="1:12" x14ac:dyDescent="0.25">
      <c r="A5065" s="16"/>
      <c r="D5065" s="16"/>
      <c r="F5065" s="16"/>
      <c r="G5065" s="16"/>
      <c r="H5065" s="24"/>
      <c r="I5065" s="24"/>
      <c r="L5065"/>
    </row>
    <row r="5066" spans="1:12" x14ac:dyDescent="0.25">
      <c r="A5066" s="16"/>
      <c r="D5066" s="16"/>
      <c r="F5066" s="16"/>
      <c r="G5066" s="16"/>
      <c r="H5066" s="24"/>
      <c r="I5066" s="24"/>
      <c r="L5066"/>
    </row>
    <row r="5067" spans="1:12" x14ac:dyDescent="0.25">
      <c r="A5067" s="16"/>
      <c r="D5067" s="16"/>
      <c r="F5067" s="16"/>
      <c r="G5067" s="16"/>
      <c r="H5067" s="24"/>
      <c r="I5067" s="24"/>
      <c r="L5067"/>
    </row>
    <row r="5068" spans="1:12" x14ac:dyDescent="0.25">
      <c r="A5068" s="16"/>
      <c r="D5068" s="16"/>
      <c r="F5068" s="16"/>
      <c r="G5068" s="16"/>
      <c r="H5068" s="24"/>
      <c r="I5068" s="24"/>
      <c r="L5068"/>
    </row>
    <row r="5069" spans="1:12" x14ac:dyDescent="0.25">
      <c r="A5069" s="16"/>
      <c r="D5069" s="16"/>
      <c r="F5069" s="16"/>
      <c r="G5069" s="16"/>
      <c r="H5069" s="24"/>
      <c r="I5069" s="24"/>
      <c r="L5069"/>
    </row>
    <row r="5070" spans="1:12" x14ac:dyDescent="0.25">
      <c r="A5070" s="16"/>
      <c r="D5070" s="16"/>
      <c r="F5070" s="16"/>
      <c r="G5070" s="16"/>
      <c r="H5070" s="24"/>
      <c r="I5070" s="24"/>
      <c r="L5070"/>
    </row>
    <row r="5071" spans="1:12" x14ac:dyDescent="0.25">
      <c r="A5071" s="16"/>
      <c r="D5071" s="16"/>
      <c r="F5071" s="16"/>
      <c r="G5071" s="16"/>
      <c r="H5071" s="24"/>
      <c r="I5071" s="24"/>
      <c r="L5071"/>
    </row>
    <row r="5072" spans="1:12" x14ac:dyDescent="0.25">
      <c r="A5072" s="16"/>
      <c r="D5072" s="16"/>
      <c r="F5072" s="16"/>
      <c r="G5072" s="16"/>
      <c r="H5072" s="24"/>
      <c r="I5072" s="24"/>
      <c r="L5072"/>
    </row>
    <row r="5073" spans="1:12" x14ac:dyDescent="0.25">
      <c r="A5073" s="16"/>
      <c r="D5073" s="16"/>
      <c r="F5073" s="16"/>
      <c r="G5073" s="16"/>
      <c r="H5073" s="24"/>
      <c r="I5073" s="24"/>
      <c r="L5073"/>
    </row>
    <row r="5074" spans="1:12" x14ac:dyDescent="0.25">
      <c r="A5074" s="16"/>
      <c r="D5074" s="16"/>
      <c r="F5074" s="16"/>
      <c r="G5074" s="16"/>
      <c r="H5074" s="24"/>
      <c r="I5074" s="24"/>
      <c r="L5074"/>
    </row>
    <row r="5075" spans="1:12" x14ac:dyDescent="0.25">
      <c r="A5075" s="16"/>
      <c r="D5075" s="16"/>
      <c r="F5075" s="16"/>
      <c r="G5075" s="16"/>
      <c r="H5075" s="24"/>
      <c r="I5075" s="24"/>
      <c r="L5075"/>
    </row>
    <row r="5076" spans="1:12" x14ac:dyDescent="0.25">
      <c r="A5076" s="16"/>
      <c r="D5076" s="16"/>
      <c r="F5076" s="16"/>
      <c r="G5076" s="16"/>
      <c r="H5076" s="24"/>
      <c r="I5076" s="24"/>
      <c r="L5076"/>
    </row>
    <row r="5077" spans="1:12" x14ac:dyDescent="0.25">
      <c r="A5077" s="16"/>
      <c r="D5077" s="16"/>
      <c r="F5077" s="16"/>
      <c r="G5077" s="16"/>
      <c r="H5077" s="24"/>
      <c r="I5077" s="24"/>
      <c r="L5077"/>
    </row>
    <row r="5078" spans="1:12" x14ac:dyDescent="0.25">
      <c r="A5078" s="16"/>
      <c r="D5078" s="16"/>
      <c r="F5078" s="16"/>
      <c r="G5078" s="16"/>
      <c r="H5078" s="24"/>
      <c r="I5078" s="24"/>
      <c r="L5078"/>
    </row>
    <row r="5079" spans="1:12" x14ac:dyDescent="0.25">
      <c r="A5079" s="16"/>
      <c r="D5079" s="16"/>
      <c r="F5079" s="16"/>
      <c r="G5079" s="16"/>
      <c r="H5079" s="24"/>
      <c r="I5079" s="24"/>
      <c r="L5079"/>
    </row>
    <row r="5080" spans="1:12" x14ac:dyDescent="0.25">
      <c r="A5080" s="16"/>
      <c r="D5080" s="16"/>
      <c r="F5080" s="16"/>
      <c r="G5080" s="16"/>
      <c r="H5080" s="24"/>
      <c r="I5080" s="24"/>
      <c r="L5080"/>
    </row>
    <row r="5081" spans="1:12" x14ac:dyDescent="0.25">
      <c r="A5081" s="16"/>
      <c r="D5081" s="16"/>
      <c r="F5081" s="16"/>
      <c r="G5081" s="16"/>
      <c r="H5081" s="24"/>
      <c r="I5081" s="24"/>
      <c r="L5081"/>
    </row>
    <row r="5082" spans="1:12" x14ac:dyDescent="0.25">
      <c r="A5082" s="16"/>
      <c r="D5082" s="16"/>
      <c r="F5082" s="16"/>
      <c r="G5082" s="16"/>
      <c r="H5082" s="24"/>
      <c r="I5082" s="24"/>
      <c r="L5082"/>
    </row>
    <row r="5083" spans="1:12" x14ac:dyDescent="0.25">
      <c r="A5083" s="16"/>
      <c r="D5083" s="16"/>
      <c r="F5083" s="16"/>
      <c r="G5083" s="16"/>
      <c r="H5083" s="24"/>
      <c r="I5083" s="24"/>
      <c r="L5083"/>
    </row>
    <row r="5084" spans="1:12" x14ac:dyDescent="0.25">
      <c r="A5084" s="16"/>
      <c r="D5084" s="16"/>
      <c r="F5084" s="16"/>
      <c r="G5084" s="16"/>
      <c r="H5084" s="24"/>
      <c r="I5084" s="24"/>
      <c r="L5084"/>
    </row>
    <row r="5085" spans="1:12" x14ac:dyDescent="0.25">
      <c r="A5085" s="16"/>
      <c r="D5085" s="16"/>
      <c r="F5085" s="16"/>
      <c r="G5085" s="16"/>
      <c r="H5085" s="24"/>
      <c r="I5085" s="24"/>
      <c r="L5085"/>
    </row>
    <row r="5086" spans="1:12" x14ac:dyDescent="0.25">
      <c r="A5086" s="16"/>
      <c r="D5086" s="16"/>
      <c r="F5086" s="16"/>
      <c r="G5086" s="16"/>
      <c r="H5086" s="24"/>
      <c r="I5086" s="24"/>
      <c r="L5086"/>
    </row>
    <row r="5087" spans="1:12" x14ac:dyDescent="0.25">
      <c r="A5087" s="16"/>
      <c r="D5087" s="16"/>
      <c r="F5087" s="16"/>
      <c r="G5087" s="16"/>
      <c r="H5087" s="24"/>
      <c r="I5087" s="24"/>
      <c r="L5087"/>
    </row>
    <row r="5088" spans="1:12" x14ac:dyDescent="0.25">
      <c r="A5088" s="16"/>
      <c r="D5088" s="16"/>
      <c r="F5088" s="16"/>
      <c r="G5088" s="16"/>
      <c r="H5088" s="24"/>
      <c r="I5088" s="24"/>
      <c r="L5088"/>
    </row>
    <row r="5089" spans="1:12" x14ac:dyDescent="0.25">
      <c r="A5089" s="16"/>
      <c r="D5089" s="16"/>
      <c r="F5089" s="16"/>
      <c r="G5089" s="16"/>
      <c r="H5089" s="24"/>
      <c r="I5089" s="24"/>
      <c r="L5089"/>
    </row>
    <row r="5090" spans="1:12" x14ac:dyDescent="0.25">
      <c r="A5090" s="16"/>
      <c r="D5090" s="16"/>
      <c r="F5090" s="16"/>
      <c r="G5090" s="16"/>
      <c r="H5090" s="24"/>
      <c r="I5090" s="24"/>
      <c r="L5090"/>
    </row>
    <row r="5091" spans="1:12" x14ac:dyDescent="0.25">
      <c r="A5091" s="16"/>
      <c r="D5091" s="16"/>
      <c r="F5091" s="16"/>
      <c r="G5091" s="16"/>
      <c r="H5091" s="24"/>
      <c r="I5091" s="24"/>
      <c r="L5091"/>
    </row>
    <row r="5092" spans="1:12" x14ac:dyDescent="0.25">
      <c r="A5092" s="16"/>
      <c r="D5092" s="16"/>
      <c r="F5092" s="16"/>
      <c r="G5092" s="16"/>
      <c r="H5092" s="24"/>
      <c r="I5092" s="24"/>
      <c r="L5092"/>
    </row>
    <row r="5093" spans="1:12" x14ac:dyDescent="0.25">
      <c r="A5093" s="16"/>
      <c r="D5093" s="16"/>
      <c r="F5093" s="16"/>
      <c r="G5093" s="16"/>
      <c r="H5093" s="24"/>
      <c r="I5093" s="24"/>
      <c r="L5093"/>
    </row>
    <row r="5094" spans="1:12" x14ac:dyDescent="0.25">
      <c r="A5094" s="16"/>
      <c r="D5094" s="16"/>
      <c r="F5094" s="16"/>
      <c r="G5094" s="16"/>
      <c r="H5094" s="24"/>
      <c r="I5094" s="24"/>
      <c r="L5094"/>
    </row>
    <row r="5095" spans="1:12" x14ac:dyDescent="0.25">
      <c r="A5095" s="16"/>
      <c r="D5095" s="16"/>
      <c r="F5095" s="16"/>
      <c r="G5095" s="16"/>
      <c r="H5095" s="24"/>
      <c r="I5095" s="24"/>
      <c r="L5095"/>
    </row>
    <row r="5096" spans="1:12" x14ac:dyDescent="0.25">
      <c r="A5096" s="16"/>
      <c r="D5096" s="16"/>
      <c r="F5096" s="16"/>
      <c r="G5096" s="16"/>
      <c r="H5096" s="24"/>
      <c r="I5096" s="24"/>
      <c r="L5096"/>
    </row>
    <row r="5097" spans="1:12" x14ac:dyDescent="0.25">
      <c r="A5097" s="16"/>
      <c r="D5097" s="16"/>
      <c r="F5097" s="16"/>
      <c r="G5097" s="16"/>
      <c r="H5097" s="24"/>
      <c r="I5097" s="24"/>
      <c r="L5097"/>
    </row>
    <row r="5098" spans="1:12" x14ac:dyDescent="0.25">
      <c r="A5098" s="16"/>
      <c r="D5098" s="16"/>
      <c r="F5098" s="16"/>
      <c r="G5098" s="16"/>
      <c r="H5098" s="24"/>
      <c r="I5098" s="24"/>
      <c r="L5098"/>
    </row>
    <row r="5099" spans="1:12" x14ac:dyDescent="0.25">
      <c r="A5099" s="16"/>
      <c r="D5099" s="16"/>
      <c r="F5099" s="16"/>
      <c r="G5099" s="16"/>
      <c r="H5099" s="24"/>
      <c r="I5099" s="24"/>
      <c r="L5099"/>
    </row>
    <row r="5100" spans="1:12" x14ac:dyDescent="0.25">
      <c r="A5100" s="16"/>
      <c r="D5100" s="16"/>
      <c r="F5100" s="16"/>
      <c r="G5100" s="16"/>
      <c r="H5100" s="24"/>
      <c r="I5100" s="24"/>
      <c r="L5100"/>
    </row>
    <row r="5101" spans="1:12" x14ac:dyDescent="0.25">
      <c r="A5101" s="16"/>
      <c r="D5101" s="16"/>
      <c r="F5101" s="16"/>
      <c r="G5101" s="16"/>
      <c r="H5101" s="24"/>
      <c r="I5101" s="24"/>
      <c r="L5101"/>
    </row>
    <row r="5102" spans="1:12" x14ac:dyDescent="0.25">
      <c r="A5102" s="16"/>
      <c r="D5102" s="16"/>
      <c r="F5102" s="16"/>
      <c r="G5102" s="16"/>
      <c r="H5102" s="24"/>
      <c r="I5102" s="24"/>
      <c r="L5102"/>
    </row>
    <row r="5103" spans="1:12" x14ac:dyDescent="0.25">
      <c r="A5103" s="16"/>
      <c r="D5103" s="16"/>
      <c r="F5103" s="16"/>
      <c r="G5103" s="16"/>
      <c r="H5103" s="24"/>
      <c r="I5103" s="24"/>
      <c r="L5103"/>
    </row>
    <row r="5104" spans="1:12" x14ac:dyDescent="0.25">
      <c r="A5104" s="16"/>
      <c r="D5104" s="16"/>
      <c r="F5104" s="16"/>
      <c r="G5104" s="16"/>
      <c r="H5104" s="24"/>
      <c r="I5104" s="24"/>
      <c r="L5104"/>
    </row>
    <row r="5105" spans="1:12" x14ac:dyDescent="0.25">
      <c r="A5105" s="16"/>
      <c r="D5105" s="16"/>
      <c r="F5105" s="16"/>
      <c r="G5105" s="16"/>
      <c r="H5105" s="24"/>
      <c r="I5105" s="24"/>
      <c r="L5105"/>
    </row>
    <row r="5106" spans="1:12" x14ac:dyDescent="0.25">
      <c r="A5106" s="16"/>
      <c r="D5106" s="16"/>
      <c r="F5106" s="16"/>
      <c r="G5106" s="16"/>
      <c r="H5106" s="24"/>
      <c r="I5106" s="24"/>
      <c r="L5106"/>
    </row>
    <row r="5107" spans="1:12" x14ac:dyDescent="0.25">
      <c r="A5107" s="16"/>
      <c r="D5107" s="16"/>
      <c r="F5107" s="16"/>
      <c r="G5107" s="16"/>
      <c r="H5107" s="24"/>
      <c r="I5107" s="24"/>
      <c r="L5107"/>
    </row>
    <row r="5108" spans="1:12" x14ac:dyDescent="0.25">
      <c r="A5108" s="16"/>
      <c r="D5108" s="16"/>
      <c r="F5108" s="16"/>
      <c r="G5108" s="16"/>
      <c r="H5108" s="24"/>
      <c r="I5108" s="24"/>
      <c r="L5108"/>
    </row>
    <row r="5109" spans="1:12" x14ac:dyDescent="0.25">
      <c r="A5109" s="16"/>
      <c r="D5109" s="16"/>
      <c r="F5109" s="16"/>
      <c r="G5109" s="16"/>
      <c r="H5109" s="24"/>
      <c r="I5109" s="24"/>
      <c r="L5109"/>
    </row>
    <row r="5110" spans="1:12" x14ac:dyDescent="0.25">
      <c r="A5110" s="16"/>
      <c r="D5110" s="16"/>
      <c r="F5110" s="16"/>
      <c r="G5110" s="16"/>
      <c r="H5110" s="24"/>
      <c r="I5110" s="24"/>
      <c r="L5110"/>
    </row>
    <row r="5111" spans="1:12" x14ac:dyDescent="0.25">
      <c r="A5111" s="16"/>
      <c r="D5111" s="16"/>
      <c r="F5111" s="16"/>
      <c r="G5111" s="16"/>
      <c r="H5111" s="24"/>
      <c r="I5111" s="24"/>
      <c r="L5111"/>
    </row>
    <row r="5112" spans="1:12" x14ac:dyDescent="0.25">
      <c r="A5112" s="16"/>
      <c r="D5112" s="16"/>
      <c r="F5112" s="16"/>
      <c r="G5112" s="16"/>
      <c r="H5112" s="24"/>
      <c r="I5112" s="24"/>
      <c r="L5112"/>
    </row>
    <row r="5113" spans="1:12" x14ac:dyDescent="0.25">
      <c r="A5113" s="16"/>
      <c r="D5113" s="16"/>
      <c r="F5113" s="16"/>
      <c r="G5113" s="16"/>
      <c r="H5113" s="24"/>
      <c r="I5113" s="24"/>
      <c r="L5113"/>
    </row>
    <row r="5114" spans="1:12" x14ac:dyDescent="0.25">
      <c r="A5114" s="16"/>
      <c r="D5114" s="16"/>
      <c r="F5114" s="16"/>
      <c r="G5114" s="16"/>
      <c r="H5114" s="24"/>
      <c r="I5114" s="24"/>
      <c r="L5114"/>
    </row>
    <row r="5115" spans="1:12" x14ac:dyDescent="0.25">
      <c r="A5115" s="16"/>
      <c r="D5115" s="16"/>
      <c r="F5115" s="16"/>
      <c r="G5115" s="16"/>
      <c r="H5115" s="24"/>
      <c r="I5115" s="24"/>
      <c r="L5115"/>
    </row>
    <row r="5116" spans="1:12" x14ac:dyDescent="0.25">
      <c r="A5116" s="16"/>
      <c r="D5116" s="16"/>
      <c r="F5116" s="16"/>
      <c r="G5116" s="16"/>
      <c r="H5116" s="24"/>
      <c r="I5116" s="24"/>
      <c r="L5116"/>
    </row>
    <row r="5117" spans="1:12" x14ac:dyDescent="0.25">
      <c r="A5117" s="16"/>
      <c r="D5117" s="16"/>
      <c r="F5117" s="16"/>
      <c r="G5117" s="16"/>
      <c r="H5117" s="24"/>
      <c r="I5117" s="24"/>
      <c r="L5117"/>
    </row>
    <row r="5118" spans="1:12" x14ac:dyDescent="0.25">
      <c r="A5118" s="16"/>
      <c r="D5118" s="16"/>
      <c r="F5118" s="16"/>
      <c r="G5118" s="16"/>
      <c r="H5118" s="24"/>
      <c r="I5118" s="24"/>
      <c r="L5118"/>
    </row>
    <row r="5119" spans="1:12" x14ac:dyDescent="0.25">
      <c r="A5119" s="16"/>
      <c r="D5119" s="16"/>
      <c r="F5119" s="16"/>
      <c r="G5119" s="16"/>
      <c r="H5119" s="24"/>
      <c r="I5119" s="24"/>
      <c r="L5119"/>
    </row>
    <row r="5120" spans="1:12" x14ac:dyDescent="0.25">
      <c r="A5120" s="16"/>
      <c r="D5120" s="16"/>
      <c r="F5120" s="16"/>
      <c r="G5120" s="16"/>
      <c r="H5120" s="24"/>
      <c r="I5120" s="24"/>
      <c r="L5120"/>
    </row>
    <row r="5121" spans="1:12" x14ac:dyDescent="0.25">
      <c r="A5121" s="16"/>
      <c r="D5121" s="16"/>
      <c r="F5121" s="16"/>
      <c r="G5121" s="16"/>
      <c r="H5121" s="24"/>
      <c r="I5121" s="24"/>
      <c r="L5121"/>
    </row>
    <row r="5122" spans="1:12" x14ac:dyDescent="0.25">
      <c r="A5122" s="16"/>
      <c r="D5122" s="16"/>
      <c r="F5122" s="16"/>
      <c r="G5122" s="16"/>
      <c r="H5122" s="24"/>
      <c r="I5122" s="24"/>
      <c r="L5122"/>
    </row>
    <row r="5123" spans="1:12" x14ac:dyDescent="0.25">
      <c r="A5123" s="16"/>
      <c r="D5123" s="16"/>
      <c r="F5123" s="16"/>
      <c r="G5123" s="16"/>
      <c r="H5123" s="24"/>
      <c r="I5123" s="24"/>
      <c r="L5123"/>
    </row>
    <row r="5124" spans="1:12" x14ac:dyDescent="0.25">
      <c r="A5124" s="16"/>
      <c r="D5124" s="16"/>
      <c r="F5124" s="16"/>
      <c r="G5124" s="16"/>
      <c r="H5124" s="24"/>
      <c r="I5124" s="24"/>
      <c r="L5124"/>
    </row>
    <row r="5125" spans="1:12" x14ac:dyDescent="0.25">
      <c r="A5125" s="16"/>
      <c r="D5125" s="16"/>
      <c r="F5125" s="16"/>
      <c r="G5125" s="16"/>
      <c r="H5125" s="24"/>
      <c r="I5125" s="24"/>
      <c r="L5125"/>
    </row>
    <row r="5126" spans="1:12" x14ac:dyDescent="0.25">
      <c r="A5126" s="16"/>
      <c r="D5126" s="16"/>
      <c r="F5126" s="16"/>
      <c r="G5126" s="16"/>
      <c r="H5126" s="24"/>
      <c r="I5126" s="24"/>
      <c r="L5126"/>
    </row>
    <row r="5127" spans="1:12" x14ac:dyDescent="0.25">
      <c r="A5127" s="16"/>
      <c r="D5127" s="16"/>
      <c r="F5127" s="16"/>
      <c r="G5127" s="16"/>
      <c r="H5127" s="24"/>
      <c r="I5127" s="24"/>
      <c r="L5127"/>
    </row>
    <row r="5128" spans="1:12" x14ac:dyDescent="0.25">
      <c r="A5128" s="16"/>
      <c r="D5128" s="16"/>
      <c r="F5128" s="16"/>
      <c r="G5128" s="16"/>
      <c r="H5128" s="24"/>
      <c r="I5128" s="24"/>
      <c r="L5128"/>
    </row>
    <row r="5129" spans="1:12" x14ac:dyDescent="0.25">
      <c r="A5129" s="16"/>
      <c r="D5129" s="16"/>
      <c r="F5129" s="16"/>
      <c r="G5129" s="16"/>
      <c r="H5129" s="24"/>
      <c r="I5129" s="24"/>
      <c r="L5129"/>
    </row>
    <row r="5130" spans="1:12" x14ac:dyDescent="0.25">
      <c r="A5130" s="16"/>
      <c r="D5130" s="16"/>
      <c r="F5130" s="16"/>
      <c r="G5130" s="16"/>
      <c r="H5130" s="24"/>
      <c r="I5130" s="24"/>
      <c r="L5130"/>
    </row>
    <row r="5131" spans="1:12" x14ac:dyDescent="0.25">
      <c r="A5131" s="16"/>
      <c r="D5131" s="16"/>
      <c r="F5131" s="16"/>
      <c r="G5131" s="16"/>
      <c r="H5131" s="24"/>
      <c r="I5131" s="24"/>
      <c r="L5131"/>
    </row>
    <row r="5132" spans="1:12" x14ac:dyDescent="0.25">
      <c r="A5132" s="16"/>
      <c r="D5132" s="16"/>
      <c r="F5132" s="16"/>
      <c r="G5132" s="16"/>
      <c r="H5132" s="24"/>
      <c r="I5132" s="24"/>
      <c r="L5132"/>
    </row>
    <row r="5133" spans="1:12" x14ac:dyDescent="0.25">
      <c r="A5133" s="16"/>
      <c r="D5133" s="16"/>
      <c r="F5133" s="16"/>
      <c r="G5133" s="16"/>
      <c r="H5133" s="24"/>
      <c r="I5133" s="24"/>
      <c r="L5133"/>
    </row>
    <row r="5134" spans="1:12" x14ac:dyDescent="0.25">
      <c r="A5134" s="16"/>
      <c r="D5134" s="16"/>
      <c r="F5134" s="16"/>
      <c r="G5134" s="16"/>
      <c r="H5134" s="24"/>
      <c r="I5134" s="24"/>
      <c r="L5134"/>
    </row>
    <row r="5135" spans="1:12" x14ac:dyDescent="0.25">
      <c r="A5135" s="16"/>
      <c r="D5135" s="16"/>
      <c r="F5135" s="16"/>
      <c r="G5135" s="16"/>
      <c r="H5135" s="24"/>
      <c r="I5135" s="24"/>
      <c r="L5135"/>
    </row>
    <row r="5136" spans="1:12" x14ac:dyDescent="0.25">
      <c r="A5136" s="16"/>
      <c r="D5136" s="16"/>
      <c r="F5136" s="16"/>
      <c r="G5136" s="16"/>
      <c r="H5136" s="24"/>
      <c r="I5136" s="24"/>
      <c r="L5136"/>
    </row>
    <row r="5137" spans="1:12" x14ac:dyDescent="0.25">
      <c r="A5137" s="16"/>
      <c r="D5137" s="16"/>
      <c r="F5137" s="16"/>
      <c r="G5137" s="16"/>
      <c r="H5137" s="24"/>
      <c r="I5137" s="24"/>
      <c r="L5137"/>
    </row>
    <row r="5138" spans="1:12" x14ac:dyDescent="0.25">
      <c r="A5138" s="16"/>
      <c r="D5138" s="16"/>
      <c r="F5138" s="16"/>
      <c r="G5138" s="16"/>
      <c r="H5138" s="24"/>
      <c r="I5138" s="24"/>
      <c r="L5138"/>
    </row>
    <row r="5139" spans="1:12" x14ac:dyDescent="0.25">
      <c r="A5139" s="16"/>
      <c r="D5139" s="16"/>
      <c r="F5139" s="16"/>
      <c r="G5139" s="16"/>
      <c r="H5139" s="24"/>
      <c r="I5139" s="24"/>
      <c r="L5139"/>
    </row>
    <row r="5140" spans="1:12" x14ac:dyDescent="0.25">
      <c r="A5140" s="16"/>
      <c r="D5140" s="16"/>
      <c r="F5140" s="16"/>
      <c r="G5140" s="16"/>
      <c r="H5140" s="24"/>
      <c r="I5140" s="24"/>
      <c r="L5140"/>
    </row>
    <row r="5141" spans="1:12" x14ac:dyDescent="0.25">
      <c r="A5141" s="16"/>
      <c r="D5141" s="16"/>
      <c r="F5141" s="16"/>
      <c r="G5141" s="16"/>
      <c r="H5141" s="24"/>
      <c r="I5141" s="24"/>
      <c r="L5141"/>
    </row>
    <row r="5142" spans="1:12" x14ac:dyDescent="0.25">
      <c r="A5142" s="16"/>
      <c r="D5142" s="16"/>
      <c r="F5142" s="16"/>
      <c r="G5142" s="16"/>
      <c r="H5142" s="24"/>
      <c r="I5142" s="24"/>
      <c r="L5142"/>
    </row>
    <row r="5143" spans="1:12" x14ac:dyDescent="0.25">
      <c r="A5143" s="16"/>
      <c r="D5143" s="16"/>
      <c r="F5143" s="16"/>
      <c r="G5143" s="16"/>
      <c r="H5143" s="24"/>
      <c r="I5143" s="24"/>
      <c r="L5143"/>
    </row>
    <row r="5144" spans="1:12" x14ac:dyDescent="0.25">
      <c r="A5144" s="16"/>
      <c r="D5144" s="16"/>
      <c r="F5144" s="16"/>
      <c r="G5144" s="16"/>
      <c r="H5144" s="24"/>
      <c r="I5144" s="24"/>
      <c r="L5144"/>
    </row>
    <row r="5145" spans="1:12" x14ac:dyDescent="0.25">
      <c r="A5145" s="16"/>
      <c r="D5145" s="16"/>
      <c r="F5145" s="16"/>
      <c r="G5145" s="16"/>
      <c r="H5145" s="24"/>
      <c r="I5145" s="24"/>
      <c r="L5145"/>
    </row>
    <row r="5146" spans="1:12" x14ac:dyDescent="0.25">
      <c r="A5146" s="16"/>
      <c r="D5146" s="16"/>
      <c r="F5146" s="16"/>
      <c r="G5146" s="16"/>
      <c r="H5146" s="24"/>
      <c r="I5146" s="24"/>
      <c r="L5146"/>
    </row>
    <row r="5147" spans="1:12" x14ac:dyDescent="0.25">
      <c r="A5147" s="16"/>
      <c r="D5147" s="16"/>
      <c r="F5147" s="16"/>
      <c r="G5147" s="16"/>
      <c r="H5147" s="24"/>
      <c r="I5147" s="24"/>
      <c r="L5147"/>
    </row>
    <row r="5148" spans="1:12" x14ac:dyDescent="0.25">
      <c r="A5148" s="16"/>
      <c r="D5148" s="16"/>
      <c r="F5148" s="16"/>
      <c r="G5148" s="16"/>
      <c r="H5148" s="24"/>
      <c r="I5148" s="24"/>
      <c r="L5148"/>
    </row>
    <row r="5149" spans="1:12" x14ac:dyDescent="0.25">
      <c r="A5149" s="16"/>
      <c r="D5149" s="16"/>
      <c r="F5149" s="16"/>
      <c r="G5149" s="16"/>
      <c r="H5149" s="24"/>
      <c r="I5149" s="24"/>
      <c r="L5149"/>
    </row>
    <row r="5150" spans="1:12" x14ac:dyDescent="0.25">
      <c r="A5150" s="16"/>
      <c r="D5150" s="16"/>
      <c r="F5150" s="16"/>
      <c r="G5150" s="16"/>
      <c r="H5150" s="24"/>
      <c r="I5150" s="24"/>
      <c r="L5150"/>
    </row>
    <row r="5151" spans="1:12" x14ac:dyDescent="0.25">
      <c r="A5151" s="16"/>
      <c r="D5151" s="16"/>
      <c r="F5151" s="16"/>
      <c r="G5151" s="16"/>
      <c r="H5151" s="24"/>
      <c r="I5151" s="24"/>
      <c r="L5151"/>
    </row>
    <row r="5152" spans="1:12" x14ac:dyDescent="0.25">
      <c r="A5152" s="16"/>
      <c r="D5152" s="16"/>
      <c r="F5152" s="16"/>
      <c r="G5152" s="16"/>
      <c r="H5152" s="24"/>
      <c r="I5152" s="24"/>
      <c r="L5152"/>
    </row>
    <row r="5153" spans="1:12" x14ac:dyDescent="0.25">
      <c r="A5153" s="16"/>
      <c r="D5153" s="16"/>
      <c r="F5153" s="16"/>
      <c r="G5153" s="16"/>
      <c r="H5153" s="24"/>
      <c r="I5153" s="24"/>
      <c r="L5153"/>
    </row>
    <row r="5154" spans="1:12" x14ac:dyDescent="0.25">
      <c r="A5154" s="16"/>
      <c r="D5154" s="16"/>
      <c r="F5154" s="16"/>
      <c r="G5154" s="16"/>
      <c r="H5154" s="24"/>
      <c r="I5154" s="24"/>
      <c r="L5154"/>
    </row>
    <row r="5155" spans="1:12" x14ac:dyDescent="0.25">
      <c r="A5155" s="16"/>
      <c r="D5155" s="16"/>
      <c r="F5155" s="16"/>
      <c r="G5155" s="16"/>
      <c r="H5155" s="24"/>
      <c r="I5155" s="24"/>
      <c r="L5155"/>
    </row>
    <row r="5156" spans="1:12" x14ac:dyDescent="0.25">
      <c r="A5156" s="16"/>
      <c r="D5156" s="16"/>
      <c r="F5156" s="16"/>
      <c r="G5156" s="16"/>
      <c r="H5156" s="24"/>
      <c r="I5156" s="24"/>
      <c r="L5156"/>
    </row>
    <row r="5157" spans="1:12" x14ac:dyDescent="0.25">
      <c r="A5157" s="16"/>
      <c r="D5157" s="16"/>
      <c r="F5157" s="16"/>
      <c r="G5157" s="16"/>
      <c r="H5157" s="24"/>
      <c r="I5157" s="24"/>
      <c r="L5157"/>
    </row>
    <row r="5158" spans="1:12" x14ac:dyDescent="0.25">
      <c r="A5158" s="16"/>
      <c r="D5158" s="16"/>
      <c r="F5158" s="16"/>
      <c r="G5158" s="16"/>
      <c r="H5158" s="24"/>
      <c r="I5158" s="24"/>
      <c r="L5158"/>
    </row>
    <row r="5159" spans="1:12" x14ac:dyDescent="0.25">
      <c r="A5159" s="16"/>
      <c r="D5159" s="16"/>
      <c r="F5159" s="16"/>
      <c r="G5159" s="16"/>
      <c r="H5159" s="24"/>
      <c r="I5159" s="24"/>
      <c r="L5159"/>
    </row>
    <row r="5160" spans="1:12" x14ac:dyDescent="0.25">
      <c r="A5160" s="16"/>
      <c r="D5160" s="16"/>
      <c r="F5160" s="16"/>
      <c r="G5160" s="16"/>
      <c r="H5160" s="24"/>
      <c r="I5160" s="24"/>
      <c r="L5160"/>
    </row>
    <row r="5161" spans="1:12" x14ac:dyDescent="0.25">
      <c r="A5161" s="16"/>
      <c r="D5161" s="16"/>
      <c r="F5161" s="16"/>
      <c r="G5161" s="16"/>
      <c r="H5161" s="24"/>
      <c r="I5161" s="24"/>
      <c r="L5161"/>
    </row>
    <row r="5162" spans="1:12" x14ac:dyDescent="0.25">
      <c r="A5162" s="16"/>
      <c r="D5162" s="16"/>
      <c r="F5162" s="16"/>
      <c r="G5162" s="16"/>
      <c r="H5162" s="24"/>
      <c r="I5162" s="24"/>
      <c r="L5162"/>
    </row>
    <row r="5163" spans="1:12" x14ac:dyDescent="0.25">
      <c r="A5163" s="16"/>
      <c r="D5163" s="16"/>
      <c r="F5163" s="16"/>
      <c r="G5163" s="16"/>
      <c r="H5163" s="24"/>
      <c r="I5163" s="24"/>
      <c r="L5163"/>
    </row>
    <row r="5164" spans="1:12" x14ac:dyDescent="0.25">
      <c r="A5164" s="16"/>
      <c r="D5164" s="16"/>
      <c r="F5164" s="16"/>
      <c r="G5164" s="16"/>
      <c r="H5164" s="24"/>
      <c r="I5164" s="24"/>
      <c r="L5164"/>
    </row>
    <row r="5165" spans="1:12" x14ac:dyDescent="0.25">
      <c r="A5165" s="16"/>
      <c r="D5165" s="16"/>
      <c r="F5165" s="16"/>
      <c r="G5165" s="16"/>
      <c r="H5165" s="24"/>
      <c r="I5165" s="24"/>
      <c r="L5165"/>
    </row>
    <row r="5166" spans="1:12" x14ac:dyDescent="0.25">
      <c r="A5166" s="16"/>
      <c r="D5166" s="16"/>
      <c r="F5166" s="16"/>
      <c r="G5166" s="16"/>
      <c r="H5166" s="24"/>
      <c r="I5166" s="24"/>
      <c r="L5166"/>
    </row>
    <row r="5167" spans="1:12" x14ac:dyDescent="0.25">
      <c r="A5167" s="16"/>
      <c r="D5167" s="16"/>
      <c r="F5167" s="16"/>
      <c r="G5167" s="16"/>
      <c r="H5167" s="24"/>
      <c r="I5167" s="24"/>
      <c r="L5167"/>
    </row>
    <row r="5168" spans="1:12" x14ac:dyDescent="0.25">
      <c r="A5168" s="16"/>
      <c r="D5168" s="16"/>
      <c r="F5168" s="16"/>
      <c r="G5168" s="16"/>
      <c r="H5168" s="24"/>
      <c r="I5168" s="24"/>
      <c r="L5168"/>
    </row>
    <row r="5169" spans="1:12" x14ac:dyDescent="0.25">
      <c r="A5169" s="16"/>
      <c r="D5169" s="16"/>
      <c r="F5169" s="16"/>
      <c r="G5169" s="16"/>
      <c r="H5169" s="24"/>
      <c r="I5169" s="24"/>
      <c r="L5169"/>
    </row>
    <row r="5170" spans="1:12" x14ac:dyDescent="0.25">
      <c r="A5170" s="16"/>
      <c r="D5170" s="16"/>
      <c r="F5170" s="16"/>
      <c r="G5170" s="16"/>
      <c r="H5170" s="24"/>
      <c r="I5170" s="24"/>
      <c r="L5170"/>
    </row>
    <row r="5171" spans="1:12" x14ac:dyDescent="0.25">
      <c r="A5171" s="16"/>
      <c r="D5171" s="16"/>
      <c r="F5171" s="16"/>
      <c r="G5171" s="16"/>
      <c r="H5171" s="24"/>
      <c r="I5171" s="24"/>
      <c r="L5171"/>
    </row>
    <row r="5172" spans="1:12" x14ac:dyDescent="0.25">
      <c r="A5172" s="16"/>
      <c r="D5172" s="16"/>
      <c r="F5172" s="16"/>
      <c r="G5172" s="16"/>
      <c r="H5172" s="24"/>
      <c r="I5172" s="24"/>
      <c r="L5172"/>
    </row>
    <row r="5173" spans="1:12" x14ac:dyDescent="0.25">
      <c r="A5173" s="16"/>
      <c r="D5173" s="16"/>
      <c r="F5173" s="16"/>
      <c r="G5173" s="16"/>
      <c r="H5173" s="24"/>
      <c r="I5173" s="24"/>
      <c r="L5173"/>
    </row>
    <row r="5174" spans="1:12" x14ac:dyDescent="0.25">
      <c r="A5174" s="16"/>
      <c r="D5174" s="16"/>
      <c r="F5174" s="16"/>
      <c r="G5174" s="16"/>
      <c r="H5174" s="24"/>
      <c r="I5174" s="24"/>
      <c r="L5174"/>
    </row>
    <row r="5175" spans="1:12" x14ac:dyDescent="0.25">
      <c r="A5175" s="16"/>
      <c r="D5175" s="16"/>
      <c r="F5175" s="16"/>
      <c r="G5175" s="16"/>
      <c r="H5175" s="24"/>
      <c r="I5175" s="24"/>
      <c r="L5175"/>
    </row>
    <row r="5176" spans="1:12" x14ac:dyDescent="0.25">
      <c r="A5176" s="16"/>
      <c r="D5176" s="16"/>
      <c r="F5176" s="16"/>
      <c r="G5176" s="16"/>
      <c r="H5176" s="24"/>
      <c r="I5176" s="24"/>
      <c r="L5176"/>
    </row>
    <row r="5177" spans="1:12" x14ac:dyDescent="0.25">
      <c r="A5177" s="16"/>
      <c r="D5177" s="16"/>
      <c r="F5177" s="16"/>
      <c r="G5177" s="16"/>
      <c r="H5177" s="24"/>
      <c r="I5177" s="24"/>
      <c r="L5177"/>
    </row>
    <row r="5178" spans="1:12" x14ac:dyDescent="0.25">
      <c r="A5178" s="16"/>
      <c r="D5178" s="16"/>
      <c r="F5178" s="16"/>
      <c r="G5178" s="16"/>
      <c r="H5178" s="24"/>
      <c r="I5178" s="24"/>
      <c r="L5178"/>
    </row>
    <row r="5179" spans="1:12" x14ac:dyDescent="0.25">
      <c r="A5179" s="16"/>
      <c r="D5179" s="16"/>
      <c r="F5179" s="16"/>
      <c r="G5179" s="16"/>
      <c r="H5179" s="24"/>
      <c r="I5179" s="24"/>
      <c r="L5179"/>
    </row>
    <row r="5180" spans="1:12" x14ac:dyDescent="0.25">
      <c r="A5180" s="16"/>
      <c r="D5180" s="16"/>
      <c r="F5180" s="16"/>
      <c r="G5180" s="16"/>
      <c r="H5180" s="24"/>
      <c r="I5180" s="24"/>
      <c r="L5180"/>
    </row>
    <row r="5181" spans="1:12" x14ac:dyDescent="0.25">
      <c r="A5181" s="16"/>
      <c r="D5181" s="16"/>
      <c r="F5181" s="16"/>
      <c r="G5181" s="16"/>
      <c r="H5181" s="24"/>
      <c r="I5181" s="24"/>
      <c r="L5181"/>
    </row>
    <row r="5182" spans="1:12" x14ac:dyDescent="0.25">
      <c r="A5182" s="16"/>
      <c r="D5182" s="16"/>
      <c r="F5182" s="16"/>
      <c r="G5182" s="16"/>
      <c r="H5182" s="24"/>
      <c r="I5182" s="24"/>
      <c r="L5182"/>
    </row>
    <row r="5183" spans="1:12" x14ac:dyDescent="0.25">
      <c r="A5183" s="16"/>
      <c r="D5183" s="16"/>
      <c r="F5183" s="16"/>
      <c r="G5183" s="16"/>
      <c r="H5183" s="24"/>
      <c r="I5183" s="24"/>
      <c r="L5183"/>
    </row>
    <row r="5184" spans="1:12" x14ac:dyDescent="0.25">
      <c r="A5184" s="16"/>
      <c r="D5184" s="16"/>
      <c r="F5184" s="16"/>
      <c r="G5184" s="16"/>
      <c r="H5184" s="24"/>
      <c r="I5184" s="24"/>
      <c r="L5184"/>
    </row>
    <row r="5185" spans="1:12" x14ac:dyDescent="0.25">
      <c r="A5185" s="16"/>
      <c r="D5185" s="16"/>
      <c r="F5185" s="16"/>
      <c r="G5185" s="16"/>
      <c r="H5185" s="24"/>
      <c r="I5185" s="24"/>
      <c r="L5185"/>
    </row>
    <row r="5186" spans="1:12" x14ac:dyDescent="0.25">
      <c r="A5186" s="16"/>
      <c r="D5186" s="16"/>
      <c r="F5186" s="16"/>
      <c r="G5186" s="16"/>
      <c r="H5186" s="24"/>
      <c r="I5186" s="24"/>
      <c r="L5186"/>
    </row>
    <row r="5187" spans="1:12" x14ac:dyDescent="0.25">
      <c r="A5187" s="16"/>
      <c r="D5187" s="16"/>
      <c r="F5187" s="16"/>
      <c r="G5187" s="16"/>
      <c r="H5187" s="24"/>
      <c r="I5187" s="24"/>
      <c r="L5187"/>
    </row>
    <row r="5188" spans="1:12" x14ac:dyDescent="0.25">
      <c r="A5188" s="16"/>
      <c r="D5188" s="16"/>
      <c r="F5188" s="16"/>
      <c r="G5188" s="16"/>
      <c r="H5188" s="24"/>
      <c r="I5188" s="24"/>
      <c r="L5188"/>
    </row>
    <row r="5189" spans="1:12" x14ac:dyDescent="0.25">
      <c r="A5189" s="16"/>
      <c r="D5189" s="16"/>
      <c r="F5189" s="16"/>
      <c r="G5189" s="16"/>
      <c r="H5189" s="24"/>
      <c r="I5189" s="24"/>
      <c r="L5189"/>
    </row>
    <row r="5190" spans="1:12" x14ac:dyDescent="0.25">
      <c r="A5190" s="16"/>
      <c r="D5190" s="16"/>
      <c r="F5190" s="16"/>
      <c r="G5190" s="16"/>
      <c r="H5190" s="24"/>
      <c r="I5190" s="24"/>
      <c r="L5190"/>
    </row>
    <row r="5191" spans="1:12" x14ac:dyDescent="0.25">
      <c r="A5191" s="16"/>
      <c r="D5191" s="16"/>
      <c r="F5191" s="16"/>
      <c r="G5191" s="16"/>
      <c r="H5191" s="24"/>
      <c r="I5191" s="24"/>
      <c r="L5191"/>
    </row>
    <row r="5192" spans="1:12" x14ac:dyDescent="0.25">
      <c r="A5192" s="16"/>
      <c r="D5192" s="16"/>
      <c r="F5192" s="16"/>
      <c r="G5192" s="16"/>
      <c r="H5192" s="24"/>
      <c r="I5192" s="24"/>
      <c r="L5192"/>
    </row>
    <row r="5193" spans="1:12" x14ac:dyDescent="0.25">
      <c r="A5193" s="16"/>
      <c r="D5193" s="16"/>
      <c r="F5193" s="16"/>
      <c r="G5193" s="16"/>
      <c r="H5193" s="24"/>
      <c r="I5193" s="24"/>
      <c r="L5193"/>
    </row>
    <row r="5194" spans="1:12" x14ac:dyDescent="0.25">
      <c r="A5194" s="16"/>
      <c r="D5194" s="16"/>
      <c r="F5194" s="16"/>
      <c r="G5194" s="16"/>
      <c r="H5194" s="24"/>
      <c r="I5194" s="24"/>
      <c r="L5194"/>
    </row>
    <row r="5195" spans="1:12" x14ac:dyDescent="0.25">
      <c r="A5195" s="16"/>
      <c r="D5195" s="16"/>
      <c r="F5195" s="16"/>
      <c r="G5195" s="16"/>
      <c r="H5195" s="24"/>
      <c r="I5195" s="24"/>
      <c r="L5195"/>
    </row>
    <row r="5196" spans="1:12" x14ac:dyDescent="0.25">
      <c r="A5196" s="16"/>
      <c r="D5196" s="16"/>
      <c r="F5196" s="16"/>
      <c r="G5196" s="16"/>
      <c r="H5196" s="24"/>
      <c r="I5196" s="24"/>
      <c r="L5196"/>
    </row>
    <row r="5197" spans="1:12" x14ac:dyDescent="0.25">
      <c r="A5197" s="16"/>
      <c r="D5197" s="16"/>
      <c r="F5197" s="16"/>
      <c r="G5197" s="16"/>
      <c r="H5197" s="24"/>
      <c r="I5197" s="24"/>
      <c r="L5197"/>
    </row>
    <row r="5198" spans="1:12" x14ac:dyDescent="0.25">
      <c r="A5198" s="16"/>
      <c r="D5198" s="16"/>
      <c r="F5198" s="16"/>
      <c r="G5198" s="16"/>
      <c r="H5198" s="24"/>
      <c r="I5198" s="24"/>
      <c r="L5198"/>
    </row>
    <row r="5199" spans="1:12" x14ac:dyDescent="0.25">
      <c r="A5199" s="16"/>
      <c r="D5199" s="16"/>
      <c r="F5199" s="16"/>
      <c r="G5199" s="16"/>
      <c r="H5199" s="24"/>
      <c r="I5199" s="24"/>
      <c r="L5199"/>
    </row>
    <row r="5200" spans="1:12" x14ac:dyDescent="0.25">
      <c r="A5200" s="16"/>
      <c r="D5200" s="16"/>
      <c r="F5200" s="16"/>
      <c r="G5200" s="16"/>
      <c r="H5200" s="24"/>
      <c r="I5200" s="24"/>
      <c r="L5200"/>
    </row>
    <row r="5201" spans="1:12" x14ac:dyDescent="0.25">
      <c r="A5201" s="16"/>
      <c r="D5201" s="16"/>
      <c r="F5201" s="16"/>
      <c r="G5201" s="16"/>
      <c r="H5201" s="24"/>
      <c r="I5201" s="24"/>
      <c r="L5201"/>
    </row>
    <row r="5202" spans="1:12" x14ac:dyDescent="0.25">
      <c r="A5202" s="16"/>
      <c r="D5202" s="16"/>
      <c r="F5202" s="16"/>
      <c r="G5202" s="16"/>
      <c r="H5202" s="24"/>
      <c r="I5202" s="24"/>
      <c r="L5202"/>
    </row>
    <row r="5203" spans="1:12" x14ac:dyDescent="0.25">
      <c r="A5203" s="16"/>
      <c r="D5203" s="16"/>
      <c r="F5203" s="16"/>
      <c r="G5203" s="16"/>
      <c r="H5203" s="24"/>
      <c r="I5203" s="24"/>
      <c r="L5203"/>
    </row>
    <row r="5204" spans="1:12" x14ac:dyDescent="0.25">
      <c r="A5204" s="16"/>
      <c r="D5204" s="16"/>
      <c r="F5204" s="16"/>
      <c r="G5204" s="16"/>
      <c r="H5204" s="24"/>
      <c r="I5204" s="24"/>
      <c r="L5204"/>
    </row>
    <row r="5205" spans="1:12" x14ac:dyDescent="0.25">
      <c r="A5205" s="16"/>
      <c r="D5205" s="16"/>
      <c r="F5205" s="16"/>
      <c r="G5205" s="16"/>
      <c r="H5205" s="24"/>
      <c r="I5205" s="24"/>
      <c r="L5205"/>
    </row>
    <row r="5206" spans="1:12" x14ac:dyDescent="0.25">
      <c r="A5206" s="16"/>
      <c r="D5206" s="16"/>
      <c r="F5206" s="16"/>
      <c r="G5206" s="16"/>
      <c r="H5206" s="24"/>
      <c r="I5206" s="24"/>
      <c r="L5206"/>
    </row>
    <row r="5207" spans="1:12" x14ac:dyDescent="0.25">
      <c r="A5207" s="16"/>
      <c r="D5207" s="16"/>
      <c r="F5207" s="16"/>
      <c r="G5207" s="16"/>
      <c r="H5207" s="24"/>
      <c r="I5207" s="24"/>
      <c r="L5207"/>
    </row>
    <row r="5208" spans="1:12" x14ac:dyDescent="0.25">
      <c r="A5208" s="16"/>
      <c r="D5208" s="16"/>
      <c r="F5208" s="16"/>
      <c r="G5208" s="16"/>
      <c r="H5208" s="24"/>
      <c r="I5208" s="24"/>
      <c r="L5208"/>
    </row>
    <row r="5209" spans="1:12" x14ac:dyDescent="0.25">
      <c r="A5209" s="16"/>
      <c r="D5209" s="16"/>
      <c r="F5209" s="16"/>
      <c r="G5209" s="16"/>
      <c r="H5209" s="24"/>
      <c r="I5209" s="24"/>
      <c r="L5209"/>
    </row>
    <row r="5210" spans="1:12" x14ac:dyDescent="0.25">
      <c r="A5210" s="16"/>
      <c r="D5210" s="16"/>
      <c r="F5210" s="16"/>
      <c r="G5210" s="16"/>
      <c r="H5210" s="24"/>
      <c r="I5210" s="24"/>
      <c r="L5210"/>
    </row>
    <row r="5211" spans="1:12" x14ac:dyDescent="0.25">
      <c r="A5211" s="16"/>
      <c r="D5211" s="16"/>
      <c r="F5211" s="16"/>
      <c r="G5211" s="16"/>
      <c r="H5211" s="24"/>
      <c r="I5211" s="24"/>
      <c r="L5211"/>
    </row>
    <row r="5212" spans="1:12" x14ac:dyDescent="0.25">
      <c r="A5212" s="16"/>
      <c r="D5212" s="16"/>
      <c r="F5212" s="16"/>
      <c r="G5212" s="16"/>
      <c r="H5212" s="24"/>
      <c r="I5212" s="24"/>
      <c r="L5212"/>
    </row>
    <row r="5213" spans="1:12" x14ac:dyDescent="0.25">
      <c r="A5213" s="16"/>
      <c r="D5213" s="16"/>
      <c r="F5213" s="16"/>
      <c r="G5213" s="16"/>
      <c r="H5213" s="24"/>
      <c r="I5213" s="24"/>
      <c r="L5213"/>
    </row>
    <row r="5214" spans="1:12" x14ac:dyDescent="0.25">
      <c r="A5214" s="16"/>
      <c r="D5214" s="16"/>
      <c r="F5214" s="16"/>
      <c r="G5214" s="16"/>
      <c r="H5214" s="24"/>
      <c r="I5214" s="24"/>
      <c r="L5214"/>
    </row>
    <row r="5215" spans="1:12" x14ac:dyDescent="0.25">
      <c r="A5215" s="16"/>
      <c r="D5215" s="16"/>
      <c r="F5215" s="16"/>
      <c r="G5215" s="16"/>
      <c r="H5215" s="24"/>
      <c r="I5215" s="24"/>
      <c r="L5215"/>
    </row>
    <row r="5216" spans="1:12" x14ac:dyDescent="0.25">
      <c r="A5216" s="16"/>
      <c r="D5216" s="16"/>
      <c r="F5216" s="16"/>
      <c r="G5216" s="16"/>
      <c r="H5216" s="24"/>
      <c r="I5216" s="24"/>
      <c r="L5216"/>
    </row>
    <row r="5217" spans="1:12" x14ac:dyDescent="0.25">
      <c r="A5217" s="16"/>
      <c r="D5217" s="16"/>
      <c r="F5217" s="16"/>
      <c r="G5217" s="16"/>
      <c r="H5217" s="24"/>
      <c r="I5217" s="24"/>
      <c r="L5217"/>
    </row>
    <row r="5218" spans="1:12" x14ac:dyDescent="0.25">
      <c r="A5218" s="16"/>
      <c r="D5218" s="16"/>
      <c r="F5218" s="16"/>
      <c r="G5218" s="16"/>
      <c r="H5218" s="24"/>
      <c r="I5218" s="24"/>
      <c r="L5218"/>
    </row>
    <row r="5219" spans="1:12" x14ac:dyDescent="0.25">
      <c r="A5219" s="16"/>
      <c r="D5219" s="16"/>
      <c r="F5219" s="16"/>
      <c r="G5219" s="16"/>
      <c r="H5219" s="24"/>
      <c r="I5219" s="24"/>
      <c r="L5219"/>
    </row>
    <row r="5220" spans="1:12" x14ac:dyDescent="0.25">
      <c r="A5220" s="16"/>
      <c r="D5220" s="16"/>
      <c r="F5220" s="16"/>
      <c r="G5220" s="16"/>
      <c r="H5220" s="24"/>
      <c r="I5220" s="24"/>
      <c r="L5220"/>
    </row>
    <row r="5221" spans="1:12" x14ac:dyDescent="0.25">
      <c r="A5221" s="16"/>
      <c r="D5221" s="16"/>
      <c r="F5221" s="16"/>
      <c r="G5221" s="16"/>
      <c r="H5221" s="24"/>
      <c r="I5221" s="24"/>
      <c r="L5221"/>
    </row>
    <row r="5222" spans="1:12" x14ac:dyDescent="0.25">
      <c r="A5222" s="16"/>
      <c r="D5222" s="16"/>
      <c r="F5222" s="16"/>
      <c r="G5222" s="16"/>
      <c r="H5222" s="24"/>
      <c r="I5222" s="24"/>
      <c r="L5222"/>
    </row>
    <row r="5223" spans="1:12" x14ac:dyDescent="0.25">
      <c r="A5223" s="16"/>
      <c r="D5223" s="16"/>
      <c r="F5223" s="16"/>
      <c r="G5223" s="16"/>
      <c r="H5223" s="24"/>
      <c r="I5223" s="24"/>
      <c r="L5223"/>
    </row>
    <row r="5224" spans="1:12" x14ac:dyDescent="0.25">
      <c r="A5224" s="16"/>
      <c r="D5224" s="16"/>
      <c r="F5224" s="16"/>
      <c r="G5224" s="16"/>
      <c r="H5224" s="24"/>
      <c r="I5224" s="24"/>
      <c r="L5224"/>
    </row>
    <row r="5225" spans="1:12" x14ac:dyDescent="0.25">
      <c r="A5225" s="16"/>
      <c r="D5225" s="16"/>
      <c r="F5225" s="16"/>
      <c r="G5225" s="16"/>
      <c r="H5225" s="24"/>
      <c r="I5225" s="24"/>
      <c r="L5225"/>
    </row>
    <row r="5226" spans="1:12" x14ac:dyDescent="0.25">
      <c r="A5226" s="16"/>
      <c r="D5226" s="16"/>
      <c r="F5226" s="16"/>
      <c r="G5226" s="16"/>
      <c r="H5226" s="24"/>
      <c r="I5226" s="24"/>
      <c r="L5226"/>
    </row>
    <row r="5227" spans="1:12" x14ac:dyDescent="0.25">
      <c r="A5227" s="16"/>
      <c r="D5227" s="16"/>
      <c r="F5227" s="16"/>
      <c r="G5227" s="16"/>
      <c r="H5227" s="24"/>
      <c r="I5227" s="24"/>
      <c r="L5227"/>
    </row>
    <row r="5228" spans="1:12" x14ac:dyDescent="0.25">
      <c r="A5228" s="16"/>
      <c r="D5228" s="16"/>
      <c r="F5228" s="16"/>
      <c r="G5228" s="16"/>
      <c r="H5228" s="24"/>
      <c r="I5228" s="24"/>
      <c r="L5228"/>
    </row>
    <row r="5229" spans="1:12" x14ac:dyDescent="0.25">
      <c r="A5229" s="16"/>
      <c r="D5229" s="16"/>
      <c r="F5229" s="16"/>
      <c r="G5229" s="16"/>
      <c r="H5229" s="24"/>
      <c r="I5229" s="24"/>
      <c r="L5229"/>
    </row>
    <row r="5230" spans="1:12" x14ac:dyDescent="0.25">
      <c r="A5230" s="16"/>
      <c r="D5230" s="16"/>
      <c r="F5230" s="16"/>
      <c r="G5230" s="16"/>
      <c r="H5230" s="24"/>
      <c r="I5230" s="24"/>
      <c r="L5230"/>
    </row>
    <row r="5231" spans="1:12" x14ac:dyDescent="0.25">
      <c r="A5231" s="16"/>
      <c r="D5231" s="16"/>
      <c r="F5231" s="16"/>
      <c r="G5231" s="16"/>
      <c r="H5231" s="24"/>
      <c r="I5231" s="24"/>
      <c r="L5231"/>
    </row>
    <row r="5232" spans="1:12" x14ac:dyDescent="0.25">
      <c r="A5232" s="16"/>
      <c r="D5232" s="16"/>
      <c r="F5232" s="16"/>
      <c r="G5232" s="16"/>
      <c r="H5232" s="24"/>
      <c r="I5232" s="24"/>
      <c r="L5232"/>
    </row>
    <row r="5233" spans="1:12" x14ac:dyDescent="0.25">
      <c r="A5233" s="16"/>
      <c r="D5233" s="16"/>
      <c r="F5233" s="16"/>
      <c r="G5233" s="16"/>
      <c r="H5233" s="24"/>
      <c r="I5233" s="24"/>
      <c r="L5233"/>
    </row>
    <row r="5234" spans="1:12" x14ac:dyDescent="0.25">
      <c r="A5234" s="16"/>
      <c r="D5234" s="16"/>
      <c r="F5234" s="16"/>
      <c r="G5234" s="16"/>
      <c r="H5234" s="24"/>
      <c r="I5234" s="24"/>
      <c r="L5234"/>
    </row>
    <row r="5235" spans="1:12" x14ac:dyDescent="0.25">
      <c r="A5235" s="16"/>
      <c r="D5235" s="16"/>
      <c r="F5235" s="16"/>
      <c r="G5235" s="16"/>
      <c r="H5235" s="24"/>
      <c r="I5235" s="24"/>
      <c r="L5235"/>
    </row>
    <row r="5236" spans="1:12" x14ac:dyDescent="0.25">
      <c r="A5236" s="16"/>
      <c r="D5236" s="16"/>
      <c r="F5236" s="16"/>
      <c r="G5236" s="16"/>
      <c r="H5236" s="24"/>
      <c r="I5236" s="24"/>
      <c r="L5236"/>
    </row>
    <row r="5237" spans="1:12" x14ac:dyDescent="0.25">
      <c r="A5237" s="16"/>
      <c r="D5237" s="16"/>
      <c r="F5237" s="16"/>
      <c r="G5237" s="16"/>
      <c r="H5237" s="24"/>
      <c r="I5237" s="24"/>
      <c r="L5237"/>
    </row>
    <row r="5238" spans="1:12" x14ac:dyDescent="0.25">
      <c r="A5238" s="16"/>
      <c r="D5238" s="16"/>
      <c r="F5238" s="16"/>
      <c r="G5238" s="16"/>
      <c r="H5238" s="24"/>
      <c r="I5238" s="24"/>
      <c r="L5238"/>
    </row>
    <row r="5239" spans="1:12" x14ac:dyDescent="0.25">
      <c r="A5239" s="16"/>
      <c r="D5239" s="16"/>
      <c r="F5239" s="16"/>
      <c r="G5239" s="16"/>
      <c r="H5239" s="24"/>
      <c r="I5239" s="24"/>
      <c r="L5239"/>
    </row>
    <row r="5240" spans="1:12" x14ac:dyDescent="0.25">
      <c r="A5240" s="16"/>
      <c r="D5240" s="16"/>
      <c r="F5240" s="16"/>
      <c r="G5240" s="16"/>
      <c r="H5240" s="24"/>
      <c r="I5240" s="24"/>
      <c r="L5240"/>
    </row>
    <row r="5241" spans="1:12" x14ac:dyDescent="0.25">
      <c r="A5241" s="16"/>
      <c r="D5241" s="16"/>
      <c r="F5241" s="16"/>
      <c r="G5241" s="16"/>
      <c r="H5241" s="24"/>
      <c r="I5241" s="24"/>
      <c r="L5241"/>
    </row>
    <row r="5242" spans="1:12" x14ac:dyDescent="0.25">
      <c r="A5242" s="16"/>
      <c r="D5242" s="16"/>
      <c r="F5242" s="16"/>
      <c r="G5242" s="16"/>
      <c r="H5242" s="24"/>
      <c r="I5242" s="24"/>
      <c r="L5242"/>
    </row>
    <row r="5243" spans="1:12" x14ac:dyDescent="0.25">
      <c r="A5243" s="16"/>
      <c r="D5243" s="16"/>
      <c r="F5243" s="16"/>
      <c r="G5243" s="16"/>
      <c r="H5243" s="24"/>
      <c r="I5243" s="24"/>
      <c r="L5243"/>
    </row>
    <row r="5244" spans="1:12" x14ac:dyDescent="0.25">
      <c r="A5244" s="16"/>
      <c r="D5244" s="16"/>
      <c r="F5244" s="16"/>
      <c r="G5244" s="16"/>
      <c r="H5244" s="24"/>
      <c r="I5244" s="24"/>
      <c r="L5244"/>
    </row>
    <row r="5245" spans="1:12" x14ac:dyDescent="0.25">
      <c r="A5245" s="16"/>
      <c r="D5245" s="16"/>
      <c r="F5245" s="16"/>
      <c r="G5245" s="16"/>
      <c r="H5245" s="24"/>
      <c r="I5245" s="24"/>
      <c r="L5245"/>
    </row>
    <row r="5246" spans="1:12" x14ac:dyDescent="0.25">
      <c r="A5246" s="16"/>
      <c r="D5246" s="16"/>
      <c r="F5246" s="16"/>
      <c r="G5246" s="16"/>
      <c r="H5246" s="24"/>
      <c r="I5246" s="24"/>
      <c r="L5246"/>
    </row>
    <row r="5247" spans="1:12" x14ac:dyDescent="0.25">
      <c r="A5247" s="16"/>
      <c r="D5247" s="16"/>
      <c r="F5247" s="16"/>
      <c r="G5247" s="16"/>
      <c r="H5247" s="24"/>
      <c r="I5247" s="24"/>
      <c r="L5247"/>
    </row>
    <row r="5248" spans="1:12" x14ac:dyDescent="0.25">
      <c r="A5248" s="16"/>
      <c r="D5248" s="16"/>
      <c r="F5248" s="16"/>
      <c r="G5248" s="16"/>
      <c r="H5248" s="24"/>
      <c r="I5248" s="24"/>
      <c r="L5248"/>
    </row>
    <row r="5249" spans="1:12" x14ac:dyDescent="0.25">
      <c r="A5249" s="16"/>
      <c r="D5249" s="16"/>
      <c r="F5249" s="16"/>
      <c r="G5249" s="16"/>
      <c r="H5249" s="24"/>
      <c r="I5249" s="24"/>
      <c r="L5249"/>
    </row>
    <row r="5250" spans="1:12" x14ac:dyDescent="0.25">
      <c r="A5250" s="16"/>
      <c r="D5250" s="16"/>
      <c r="F5250" s="16"/>
      <c r="G5250" s="16"/>
      <c r="H5250" s="24"/>
      <c r="I5250" s="24"/>
      <c r="L5250"/>
    </row>
    <row r="5251" spans="1:12" x14ac:dyDescent="0.25">
      <c r="A5251" s="16"/>
      <c r="D5251" s="16"/>
      <c r="F5251" s="16"/>
      <c r="G5251" s="16"/>
      <c r="H5251" s="24"/>
      <c r="I5251" s="24"/>
      <c r="L5251"/>
    </row>
    <row r="5252" spans="1:12" x14ac:dyDescent="0.25">
      <c r="A5252" s="16"/>
      <c r="D5252" s="16"/>
      <c r="F5252" s="16"/>
      <c r="G5252" s="16"/>
      <c r="H5252" s="24"/>
      <c r="I5252" s="24"/>
      <c r="L5252"/>
    </row>
    <row r="5253" spans="1:12" x14ac:dyDescent="0.25">
      <c r="A5253" s="16"/>
      <c r="D5253" s="16"/>
      <c r="F5253" s="16"/>
      <c r="G5253" s="16"/>
      <c r="H5253" s="24"/>
      <c r="I5253" s="24"/>
      <c r="L5253"/>
    </row>
    <row r="5254" spans="1:12" x14ac:dyDescent="0.25">
      <c r="A5254" s="16"/>
      <c r="D5254" s="16"/>
      <c r="F5254" s="16"/>
      <c r="G5254" s="16"/>
      <c r="H5254" s="24"/>
      <c r="I5254" s="24"/>
      <c r="L5254"/>
    </row>
    <row r="5255" spans="1:12" x14ac:dyDescent="0.25">
      <c r="A5255" s="16"/>
      <c r="D5255" s="16"/>
      <c r="F5255" s="16"/>
      <c r="G5255" s="16"/>
      <c r="H5255" s="24"/>
      <c r="I5255" s="24"/>
      <c r="L5255"/>
    </row>
    <row r="5256" spans="1:12" x14ac:dyDescent="0.25">
      <c r="A5256" s="16"/>
      <c r="D5256" s="16"/>
      <c r="F5256" s="16"/>
      <c r="G5256" s="16"/>
      <c r="H5256" s="24"/>
      <c r="I5256" s="24"/>
      <c r="L5256"/>
    </row>
    <row r="5257" spans="1:12" x14ac:dyDescent="0.25">
      <c r="A5257" s="16"/>
      <c r="D5257" s="16"/>
      <c r="F5257" s="16"/>
      <c r="G5257" s="16"/>
      <c r="H5257" s="24"/>
      <c r="I5257" s="24"/>
      <c r="L5257"/>
    </row>
    <row r="5258" spans="1:12" x14ac:dyDescent="0.25">
      <c r="A5258" s="16"/>
      <c r="D5258" s="16"/>
      <c r="F5258" s="16"/>
      <c r="G5258" s="16"/>
      <c r="H5258" s="24"/>
      <c r="I5258" s="24"/>
      <c r="L5258"/>
    </row>
    <row r="5259" spans="1:12" x14ac:dyDescent="0.25">
      <c r="A5259" s="16"/>
      <c r="D5259" s="16"/>
      <c r="F5259" s="16"/>
      <c r="G5259" s="16"/>
      <c r="H5259" s="24"/>
      <c r="I5259" s="24"/>
      <c r="L5259"/>
    </row>
    <row r="5260" spans="1:12" x14ac:dyDescent="0.25">
      <c r="A5260" s="16"/>
      <c r="D5260" s="16"/>
      <c r="F5260" s="16"/>
      <c r="G5260" s="16"/>
      <c r="H5260" s="24"/>
      <c r="I5260" s="24"/>
      <c r="L5260"/>
    </row>
    <row r="5261" spans="1:12" x14ac:dyDescent="0.25">
      <c r="A5261" s="16"/>
      <c r="D5261" s="16"/>
      <c r="F5261" s="16"/>
      <c r="G5261" s="16"/>
      <c r="H5261" s="24"/>
      <c r="I5261" s="24"/>
      <c r="L5261"/>
    </row>
    <row r="5262" spans="1:12" x14ac:dyDescent="0.25">
      <c r="A5262" s="16"/>
      <c r="D5262" s="16"/>
      <c r="F5262" s="16"/>
      <c r="G5262" s="16"/>
      <c r="H5262" s="24"/>
      <c r="I5262" s="24"/>
      <c r="L5262"/>
    </row>
    <row r="5263" spans="1:12" x14ac:dyDescent="0.25">
      <c r="A5263" s="16"/>
      <c r="D5263" s="16"/>
      <c r="F5263" s="16"/>
      <c r="G5263" s="16"/>
      <c r="H5263" s="24"/>
      <c r="I5263" s="24"/>
      <c r="L5263"/>
    </row>
    <row r="5264" spans="1:12" x14ac:dyDescent="0.25">
      <c r="A5264" s="16"/>
      <c r="D5264" s="16"/>
      <c r="F5264" s="16"/>
      <c r="G5264" s="16"/>
      <c r="H5264" s="24"/>
      <c r="I5264" s="24"/>
      <c r="L5264"/>
    </row>
    <row r="5265" spans="1:12" x14ac:dyDescent="0.25">
      <c r="A5265" s="16"/>
      <c r="D5265" s="16"/>
      <c r="F5265" s="16"/>
      <c r="G5265" s="16"/>
      <c r="H5265" s="24"/>
      <c r="I5265" s="24"/>
      <c r="L5265"/>
    </row>
    <row r="5266" spans="1:12" x14ac:dyDescent="0.25">
      <c r="A5266" s="16"/>
      <c r="D5266" s="16"/>
      <c r="F5266" s="16"/>
      <c r="G5266" s="16"/>
      <c r="H5266" s="24"/>
      <c r="I5266" s="24"/>
      <c r="L5266"/>
    </row>
    <row r="5267" spans="1:12" x14ac:dyDescent="0.25">
      <c r="A5267" s="16"/>
      <c r="D5267" s="16"/>
      <c r="F5267" s="16"/>
      <c r="G5267" s="16"/>
      <c r="H5267" s="24"/>
      <c r="I5267" s="24"/>
      <c r="L5267"/>
    </row>
    <row r="5268" spans="1:12" x14ac:dyDescent="0.25">
      <c r="A5268" s="16"/>
      <c r="D5268" s="16"/>
      <c r="F5268" s="16"/>
      <c r="G5268" s="16"/>
      <c r="H5268" s="24"/>
      <c r="I5268" s="24"/>
      <c r="L5268"/>
    </row>
    <row r="5269" spans="1:12" x14ac:dyDescent="0.25">
      <c r="A5269" s="16"/>
      <c r="D5269" s="16"/>
      <c r="F5269" s="16"/>
      <c r="G5269" s="16"/>
      <c r="H5269" s="24"/>
      <c r="I5269" s="24"/>
      <c r="L5269"/>
    </row>
    <row r="5270" spans="1:12" x14ac:dyDescent="0.25">
      <c r="A5270" s="16"/>
      <c r="D5270" s="16"/>
      <c r="F5270" s="16"/>
      <c r="G5270" s="16"/>
      <c r="H5270" s="24"/>
      <c r="I5270" s="24"/>
      <c r="L5270"/>
    </row>
    <row r="5271" spans="1:12" x14ac:dyDescent="0.25">
      <c r="A5271" s="16"/>
      <c r="D5271" s="16"/>
      <c r="F5271" s="16"/>
      <c r="G5271" s="16"/>
      <c r="H5271" s="24"/>
      <c r="I5271" s="24"/>
      <c r="L5271"/>
    </row>
    <row r="5272" spans="1:12" x14ac:dyDescent="0.25">
      <c r="A5272" s="16"/>
      <c r="D5272" s="16"/>
      <c r="F5272" s="16"/>
      <c r="G5272" s="16"/>
      <c r="H5272" s="24"/>
      <c r="I5272" s="24"/>
      <c r="L5272"/>
    </row>
    <row r="5273" spans="1:12" x14ac:dyDescent="0.25">
      <c r="A5273" s="16"/>
      <c r="D5273" s="16"/>
      <c r="F5273" s="16"/>
      <c r="G5273" s="16"/>
      <c r="H5273" s="24"/>
      <c r="I5273" s="24"/>
      <c r="L5273"/>
    </row>
    <row r="5274" spans="1:12" x14ac:dyDescent="0.25">
      <c r="A5274" s="16"/>
      <c r="D5274" s="16"/>
      <c r="F5274" s="16"/>
      <c r="G5274" s="16"/>
      <c r="H5274" s="24"/>
      <c r="I5274" s="24"/>
      <c r="L5274"/>
    </row>
    <row r="5275" spans="1:12" x14ac:dyDescent="0.25">
      <c r="A5275" s="16"/>
      <c r="D5275" s="16"/>
      <c r="F5275" s="16"/>
      <c r="G5275" s="16"/>
      <c r="H5275" s="24"/>
      <c r="I5275" s="24"/>
      <c r="L5275"/>
    </row>
    <row r="5276" spans="1:12" x14ac:dyDescent="0.25">
      <c r="A5276" s="16"/>
      <c r="D5276" s="16"/>
      <c r="F5276" s="16"/>
      <c r="G5276" s="16"/>
      <c r="H5276" s="24"/>
      <c r="I5276" s="24"/>
      <c r="L5276"/>
    </row>
    <row r="5277" spans="1:12" x14ac:dyDescent="0.25">
      <c r="A5277" s="16"/>
      <c r="D5277" s="16"/>
      <c r="F5277" s="16"/>
      <c r="G5277" s="16"/>
      <c r="H5277" s="24"/>
      <c r="I5277" s="24"/>
      <c r="L5277"/>
    </row>
    <row r="5278" spans="1:12" x14ac:dyDescent="0.25">
      <c r="A5278" s="16"/>
      <c r="D5278" s="16"/>
      <c r="F5278" s="16"/>
      <c r="G5278" s="16"/>
      <c r="H5278" s="24"/>
      <c r="I5278" s="24"/>
      <c r="L5278"/>
    </row>
    <row r="5279" spans="1:12" x14ac:dyDescent="0.25">
      <c r="A5279" s="16"/>
      <c r="D5279" s="16"/>
      <c r="F5279" s="16"/>
      <c r="G5279" s="16"/>
      <c r="H5279" s="24"/>
      <c r="I5279" s="24"/>
      <c r="L5279"/>
    </row>
    <row r="5280" spans="1:12" x14ac:dyDescent="0.25">
      <c r="A5280" s="16"/>
      <c r="D5280" s="16"/>
      <c r="F5280" s="16"/>
      <c r="G5280" s="16"/>
      <c r="H5280" s="24"/>
      <c r="I5280" s="24"/>
      <c r="L5280"/>
    </row>
    <row r="5281" spans="1:12" x14ac:dyDescent="0.25">
      <c r="A5281" s="16"/>
      <c r="D5281" s="16"/>
      <c r="F5281" s="16"/>
      <c r="G5281" s="16"/>
      <c r="H5281" s="24"/>
      <c r="I5281" s="24"/>
      <c r="L5281"/>
    </row>
    <row r="5282" spans="1:12" x14ac:dyDescent="0.25">
      <c r="A5282" s="16"/>
      <c r="D5282" s="16"/>
      <c r="F5282" s="16"/>
      <c r="G5282" s="16"/>
      <c r="H5282" s="24"/>
      <c r="I5282" s="24"/>
      <c r="L5282"/>
    </row>
    <row r="5283" spans="1:12" x14ac:dyDescent="0.25">
      <c r="A5283" s="16"/>
      <c r="D5283" s="16"/>
      <c r="F5283" s="16"/>
      <c r="G5283" s="16"/>
      <c r="H5283" s="24"/>
      <c r="I5283" s="24"/>
      <c r="L5283"/>
    </row>
    <row r="5284" spans="1:12" x14ac:dyDescent="0.25">
      <c r="A5284" s="16"/>
      <c r="D5284" s="16"/>
      <c r="F5284" s="16"/>
      <c r="G5284" s="16"/>
      <c r="H5284" s="24"/>
      <c r="I5284" s="24"/>
      <c r="L5284"/>
    </row>
    <row r="5285" spans="1:12" x14ac:dyDescent="0.25">
      <c r="A5285" s="16"/>
      <c r="D5285" s="16"/>
      <c r="F5285" s="16"/>
      <c r="G5285" s="16"/>
      <c r="H5285" s="24"/>
      <c r="I5285" s="24"/>
      <c r="L5285"/>
    </row>
    <row r="5286" spans="1:12" x14ac:dyDescent="0.25">
      <c r="A5286" s="16"/>
      <c r="D5286" s="16"/>
      <c r="F5286" s="16"/>
      <c r="G5286" s="16"/>
      <c r="H5286" s="24"/>
      <c r="I5286" s="24"/>
      <c r="L5286"/>
    </row>
    <row r="5287" spans="1:12" x14ac:dyDescent="0.25">
      <c r="A5287" s="16"/>
      <c r="D5287" s="16"/>
      <c r="F5287" s="16"/>
      <c r="G5287" s="16"/>
      <c r="H5287" s="24"/>
      <c r="I5287" s="24"/>
      <c r="L5287"/>
    </row>
    <row r="5288" spans="1:12" x14ac:dyDescent="0.25">
      <c r="A5288" s="16"/>
      <c r="D5288" s="16"/>
      <c r="F5288" s="16"/>
      <c r="G5288" s="16"/>
      <c r="H5288" s="24"/>
      <c r="I5288" s="24"/>
      <c r="L5288"/>
    </row>
    <row r="5289" spans="1:12" x14ac:dyDescent="0.25">
      <c r="A5289" s="16"/>
      <c r="D5289" s="16"/>
      <c r="F5289" s="16"/>
      <c r="G5289" s="16"/>
      <c r="H5289" s="24"/>
      <c r="I5289" s="24"/>
      <c r="L5289"/>
    </row>
    <row r="5290" spans="1:12" x14ac:dyDescent="0.25">
      <c r="A5290" s="16"/>
      <c r="D5290" s="16"/>
      <c r="F5290" s="16"/>
      <c r="G5290" s="16"/>
      <c r="H5290" s="24"/>
      <c r="I5290" s="24"/>
      <c r="L5290"/>
    </row>
    <row r="5291" spans="1:12" x14ac:dyDescent="0.25">
      <c r="A5291" s="16"/>
      <c r="D5291" s="16"/>
      <c r="F5291" s="16"/>
      <c r="G5291" s="16"/>
      <c r="H5291" s="24"/>
      <c r="I5291" s="24"/>
      <c r="L5291"/>
    </row>
    <row r="5292" spans="1:12" x14ac:dyDescent="0.25">
      <c r="A5292" s="16"/>
      <c r="D5292" s="16"/>
      <c r="F5292" s="16"/>
      <c r="G5292" s="16"/>
      <c r="H5292" s="24"/>
      <c r="I5292" s="24"/>
      <c r="L5292"/>
    </row>
    <row r="5293" spans="1:12" x14ac:dyDescent="0.25">
      <c r="A5293" s="16"/>
      <c r="D5293" s="16"/>
      <c r="F5293" s="16"/>
      <c r="G5293" s="16"/>
      <c r="H5293" s="24"/>
      <c r="I5293" s="24"/>
      <c r="L5293"/>
    </row>
    <row r="5294" spans="1:12" x14ac:dyDescent="0.25">
      <c r="A5294" s="16"/>
      <c r="D5294" s="16"/>
      <c r="F5294" s="16"/>
      <c r="G5294" s="16"/>
      <c r="H5294" s="24"/>
      <c r="I5294" s="24"/>
      <c r="L5294"/>
    </row>
    <row r="5295" spans="1:12" x14ac:dyDescent="0.25">
      <c r="A5295" s="16"/>
      <c r="D5295" s="16"/>
      <c r="F5295" s="16"/>
      <c r="G5295" s="16"/>
      <c r="H5295" s="24"/>
      <c r="I5295" s="24"/>
      <c r="L5295"/>
    </row>
    <row r="5296" spans="1:12" x14ac:dyDescent="0.25">
      <c r="A5296" s="16"/>
      <c r="D5296" s="16"/>
      <c r="F5296" s="16"/>
      <c r="G5296" s="16"/>
      <c r="H5296" s="24"/>
      <c r="I5296" s="24"/>
      <c r="L5296"/>
    </row>
    <row r="5297" spans="1:12" x14ac:dyDescent="0.25">
      <c r="A5297" s="16"/>
      <c r="D5297" s="16"/>
      <c r="F5297" s="16"/>
      <c r="G5297" s="16"/>
      <c r="H5297" s="24"/>
      <c r="I5297" s="24"/>
      <c r="L5297"/>
    </row>
    <row r="5298" spans="1:12" x14ac:dyDescent="0.25">
      <c r="A5298" s="16"/>
      <c r="D5298" s="16"/>
      <c r="F5298" s="16"/>
      <c r="G5298" s="16"/>
      <c r="H5298" s="24"/>
      <c r="I5298" s="24"/>
      <c r="L5298"/>
    </row>
    <row r="5299" spans="1:12" x14ac:dyDescent="0.25">
      <c r="A5299" s="16"/>
      <c r="D5299" s="16"/>
      <c r="F5299" s="16"/>
      <c r="G5299" s="16"/>
      <c r="H5299" s="24"/>
      <c r="I5299" s="24"/>
      <c r="L5299"/>
    </row>
    <row r="5300" spans="1:12" x14ac:dyDescent="0.25">
      <c r="A5300" s="16"/>
      <c r="D5300" s="16"/>
      <c r="F5300" s="16"/>
      <c r="G5300" s="16"/>
      <c r="H5300" s="24"/>
      <c r="I5300" s="24"/>
      <c r="L5300"/>
    </row>
    <row r="5301" spans="1:12" x14ac:dyDescent="0.25">
      <c r="A5301" s="16"/>
      <c r="D5301" s="16"/>
      <c r="F5301" s="16"/>
      <c r="G5301" s="16"/>
      <c r="H5301" s="24"/>
      <c r="I5301" s="24"/>
      <c r="L5301"/>
    </row>
    <row r="5302" spans="1:12" x14ac:dyDescent="0.25">
      <c r="A5302" s="16"/>
      <c r="D5302" s="16"/>
      <c r="F5302" s="16"/>
      <c r="G5302" s="16"/>
      <c r="H5302" s="24"/>
      <c r="I5302" s="24"/>
      <c r="L5302"/>
    </row>
    <row r="5303" spans="1:12" x14ac:dyDescent="0.25">
      <c r="A5303" s="16"/>
      <c r="D5303" s="16"/>
      <c r="F5303" s="16"/>
      <c r="G5303" s="16"/>
      <c r="H5303" s="24"/>
      <c r="I5303" s="24"/>
      <c r="L5303"/>
    </row>
    <row r="5304" spans="1:12" x14ac:dyDescent="0.25">
      <c r="A5304" s="16"/>
      <c r="D5304" s="16"/>
      <c r="F5304" s="16"/>
      <c r="G5304" s="16"/>
      <c r="H5304" s="24"/>
      <c r="I5304" s="24"/>
      <c r="L5304"/>
    </row>
    <row r="5305" spans="1:12" x14ac:dyDescent="0.25">
      <c r="A5305" s="16"/>
      <c r="D5305" s="16"/>
      <c r="F5305" s="16"/>
      <c r="G5305" s="16"/>
      <c r="H5305" s="24"/>
      <c r="I5305" s="24"/>
      <c r="L5305"/>
    </row>
    <row r="5306" spans="1:12" x14ac:dyDescent="0.25">
      <c r="A5306" s="16"/>
      <c r="D5306" s="16"/>
      <c r="F5306" s="16"/>
      <c r="G5306" s="16"/>
      <c r="H5306" s="24"/>
      <c r="I5306" s="24"/>
      <c r="L5306"/>
    </row>
    <row r="5307" spans="1:12" x14ac:dyDescent="0.25">
      <c r="A5307" s="16"/>
      <c r="D5307" s="16"/>
      <c r="F5307" s="16"/>
      <c r="G5307" s="16"/>
      <c r="H5307" s="24"/>
      <c r="I5307" s="24"/>
      <c r="L5307"/>
    </row>
    <row r="5308" spans="1:12" x14ac:dyDescent="0.25">
      <c r="A5308" s="16"/>
      <c r="D5308" s="16"/>
      <c r="F5308" s="16"/>
      <c r="G5308" s="16"/>
      <c r="H5308" s="24"/>
      <c r="I5308" s="24"/>
      <c r="L5308"/>
    </row>
    <row r="5309" spans="1:12" x14ac:dyDescent="0.25">
      <c r="A5309" s="16"/>
      <c r="D5309" s="16"/>
      <c r="F5309" s="16"/>
      <c r="G5309" s="16"/>
      <c r="H5309" s="24"/>
      <c r="I5309" s="24"/>
      <c r="L5309"/>
    </row>
    <row r="5310" spans="1:12" x14ac:dyDescent="0.25">
      <c r="A5310" s="16"/>
      <c r="D5310" s="16"/>
      <c r="F5310" s="16"/>
      <c r="G5310" s="16"/>
      <c r="H5310" s="24"/>
      <c r="I5310" s="24"/>
      <c r="L5310"/>
    </row>
    <row r="5311" spans="1:12" x14ac:dyDescent="0.25">
      <c r="A5311" s="16"/>
      <c r="D5311" s="16"/>
      <c r="F5311" s="16"/>
      <c r="G5311" s="16"/>
      <c r="H5311" s="24"/>
      <c r="I5311" s="24"/>
      <c r="L5311"/>
    </row>
    <row r="5312" spans="1:12" x14ac:dyDescent="0.25">
      <c r="A5312" s="16"/>
      <c r="D5312" s="16"/>
      <c r="F5312" s="16"/>
      <c r="G5312" s="16"/>
      <c r="H5312" s="24"/>
      <c r="I5312" s="24"/>
      <c r="L5312"/>
    </row>
    <row r="5313" spans="1:12" x14ac:dyDescent="0.25">
      <c r="A5313" s="16"/>
      <c r="D5313" s="16"/>
      <c r="F5313" s="16"/>
      <c r="G5313" s="16"/>
      <c r="H5313" s="24"/>
      <c r="I5313" s="24"/>
      <c r="L5313"/>
    </row>
    <row r="5314" spans="1:12" x14ac:dyDescent="0.25">
      <c r="A5314" s="16"/>
      <c r="D5314" s="16"/>
      <c r="F5314" s="16"/>
      <c r="G5314" s="16"/>
      <c r="H5314" s="24"/>
      <c r="I5314" s="24"/>
      <c r="L5314"/>
    </row>
    <row r="5315" spans="1:12" x14ac:dyDescent="0.25">
      <c r="A5315" s="16"/>
      <c r="D5315" s="16"/>
      <c r="F5315" s="16"/>
      <c r="G5315" s="16"/>
      <c r="H5315" s="24"/>
      <c r="I5315" s="24"/>
      <c r="L5315"/>
    </row>
    <row r="5316" spans="1:12" x14ac:dyDescent="0.25">
      <c r="A5316" s="16"/>
      <c r="D5316" s="16"/>
      <c r="F5316" s="16"/>
      <c r="G5316" s="16"/>
      <c r="H5316" s="24"/>
      <c r="I5316" s="24"/>
      <c r="L5316"/>
    </row>
    <row r="5317" spans="1:12" x14ac:dyDescent="0.25">
      <c r="A5317" s="16"/>
      <c r="D5317" s="16"/>
      <c r="F5317" s="16"/>
      <c r="G5317" s="16"/>
      <c r="H5317" s="24"/>
      <c r="I5317" s="24"/>
      <c r="L5317"/>
    </row>
    <row r="5318" spans="1:12" x14ac:dyDescent="0.25">
      <c r="A5318" s="16"/>
      <c r="D5318" s="16"/>
      <c r="F5318" s="16"/>
      <c r="G5318" s="16"/>
      <c r="H5318" s="24"/>
      <c r="I5318" s="24"/>
      <c r="L5318"/>
    </row>
    <row r="5319" spans="1:12" x14ac:dyDescent="0.25">
      <c r="A5319" s="16"/>
      <c r="D5319" s="16"/>
      <c r="F5319" s="16"/>
      <c r="G5319" s="16"/>
      <c r="H5319" s="24"/>
      <c r="I5319" s="24"/>
      <c r="L5319"/>
    </row>
    <row r="5320" spans="1:12" x14ac:dyDescent="0.25">
      <c r="A5320" s="16"/>
      <c r="D5320" s="16"/>
      <c r="F5320" s="16"/>
      <c r="G5320" s="16"/>
      <c r="H5320" s="24"/>
      <c r="I5320" s="24"/>
      <c r="L5320"/>
    </row>
    <row r="5321" spans="1:12" x14ac:dyDescent="0.25">
      <c r="A5321" s="16"/>
      <c r="D5321" s="16"/>
      <c r="F5321" s="16"/>
      <c r="G5321" s="16"/>
      <c r="H5321" s="24"/>
      <c r="I5321" s="24"/>
      <c r="L5321"/>
    </row>
    <row r="5322" spans="1:12" x14ac:dyDescent="0.25">
      <c r="A5322" s="16"/>
      <c r="D5322" s="16"/>
      <c r="F5322" s="16"/>
      <c r="G5322" s="16"/>
      <c r="H5322" s="24"/>
      <c r="I5322" s="24"/>
      <c r="L5322"/>
    </row>
    <row r="5323" spans="1:12" x14ac:dyDescent="0.25">
      <c r="A5323" s="16"/>
      <c r="D5323" s="16"/>
      <c r="F5323" s="16"/>
      <c r="G5323" s="16"/>
      <c r="H5323" s="24"/>
      <c r="I5323" s="24"/>
      <c r="L5323"/>
    </row>
    <row r="5324" spans="1:12" x14ac:dyDescent="0.25">
      <c r="A5324" s="16"/>
      <c r="D5324" s="16"/>
      <c r="F5324" s="16"/>
      <c r="G5324" s="16"/>
      <c r="H5324" s="24"/>
      <c r="I5324" s="24"/>
      <c r="L5324"/>
    </row>
    <row r="5325" spans="1:12" x14ac:dyDescent="0.25">
      <c r="A5325" s="16"/>
      <c r="D5325" s="16"/>
      <c r="F5325" s="16"/>
      <c r="G5325" s="16"/>
      <c r="H5325" s="24"/>
      <c r="I5325" s="24"/>
      <c r="L5325"/>
    </row>
    <row r="5326" spans="1:12" x14ac:dyDescent="0.25">
      <c r="A5326" s="16"/>
      <c r="D5326" s="16"/>
      <c r="F5326" s="16"/>
      <c r="G5326" s="16"/>
      <c r="H5326" s="24"/>
      <c r="I5326" s="24"/>
      <c r="L5326"/>
    </row>
    <row r="5327" spans="1:12" x14ac:dyDescent="0.25">
      <c r="A5327" s="16"/>
      <c r="D5327" s="16"/>
      <c r="F5327" s="16"/>
      <c r="G5327" s="16"/>
      <c r="H5327" s="24"/>
      <c r="I5327" s="24"/>
      <c r="L5327"/>
    </row>
    <row r="5328" spans="1:12" x14ac:dyDescent="0.25">
      <c r="A5328" s="16"/>
      <c r="D5328" s="16"/>
      <c r="F5328" s="16"/>
      <c r="G5328" s="16"/>
      <c r="H5328" s="24"/>
      <c r="I5328" s="24"/>
      <c r="L5328"/>
    </row>
    <row r="5329" spans="1:12" x14ac:dyDescent="0.25">
      <c r="A5329" s="16"/>
      <c r="D5329" s="16"/>
      <c r="F5329" s="16"/>
      <c r="G5329" s="16"/>
      <c r="H5329" s="24"/>
      <c r="I5329" s="24"/>
      <c r="L5329"/>
    </row>
    <row r="5330" spans="1:12" x14ac:dyDescent="0.25">
      <c r="A5330" s="16"/>
      <c r="D5330" s="16"/>
      <c r="F5330" s="16"/>
      <c r="G5330" s="16"/>
      <c r="H5330" s="24"/>
      <c r="I5330" s="24"/>
      <c r="L5330"/>
    </row>
    <row r="5331" spans="1:12" x14ac:dyDescent="0.25">
      <c r="A5331" s="16"/>
      <c r="D5331" s="16"/>
      <c r="F5331" s="16"/>
      <c r="G5331" s="16"/>
      <c r="H5331" s="24"/>
      <c r="I5331" s="24"/>
      <c r="L5331"/>
    </row>
    <row r="5332" spans="1:12" x14ac:dyDescent="0.25">
      <c r="A5332" s="16"/>
      <c r="D5332" s="16"/>
      <c r="F5332" s="16"/>
      <c r="G5332" s="16"/>
      <c r="H5332" s="24"/>
      <c r="I5332" s="24"/>
      <c r="L5332"/>
    </row>
    <row r="5333" spans="1:12" x14ac:dyDescent="0.25">
      <c r="A5333" s="16"/>
      <c r="D5333" s="16"/>
      <c r="F5333" s="16"/>
      <c r="G5333" s="16"/>
      <c r="H5333" s="24"/>
      <c r="I5333" s="24"/>
      <c r="L5333"/>
    </row>
    <row r="5334" spans="1:12" x14ac:dyDescent="0.25">
      <c r="A5334" s="16"/>
      <c r="D5334" s="16"/>
      <c r="F5334" s="16"/>
      <c r="G5334" s="16"/>
      <c r="H5334" s="24"/>
      <c r="I5334" s="24"/>
      <c r="L5334"/>
    </row>
    <row r="5335" spans="1:12" x14ac:dyDescent="0.25">
      <c r="A5335" s="16"/>
      <c r="D5335" s="16"/>
      <c r="F5335" s="16"/>
      <c r="G5335" s="16"/>
      <c r="H5335" s="24"/>
      <c r="I5335" s="24"/>
      <c r="L5335"/>
    </row>
    <row r="5336" spans="1:12" x14ac:dyDescent="0.25">
      <c r="A5336" s="16"/>
      <c r="D5336" s="16"/>
      <c r="F5336" s="16"/>
      <c r="G5336" s="16"/>
      <c r="H5336" s="24"/>
      <c r="I5336" s="24"/>
      <c r="L5336"/>
    </row>
    <row r="5337" spans="1:12" x14ac:dyDescent="0.25">
      <c r="A5337" s="16"/>
      <c r="D5337" s="16"/>
      <c r="F5337" s="16"/>
      <c r="G5337" s="16"/>
      <c r="H5337" s="24"/>
      <c r="I5337" s="24"/>
      <c r="L5337"/>
    </row>
    <row r="5338" spans="1:12" x14ac:dyDescent="0.25">
      <c r="A5338" s="16"/>
      <c r="D5338" s="16"/>
      <c r="F5338" s="16"/>
      <c r="G5338" s="16"/>
      <c r="H5338" s="24"/>
      <c r="I5338" s="24"/>
      <c r="L5338"/>
    </row>
    <row r="5339" spans="1:12" x14ac:dyDescent="0.25">
      <c r="A5339" s="16"/>
      <c r="D5339" s="16"/>
      <c r="F5339" s="16"/>
      <c r="G5339" s="16"/>
      <c r="H5339" s="24"/>
      <c r="I5339" s="24"/>
      <c r="L5339"/>
    </row>
    <row r="5340" spans="1:12" x14ac:dyDescent="0.25">
      <c r="A5340" s="16"/>
      <c r="D5340" s="16"/>
      <c r="F5340" s="16"/>
      <c r="G5340" s="16"/>
      <c r="H5340" s="24"/>
      <c r="I5340" s="24"/>
      <c r="L5340"/>
    </row>
    <row r="5341" spans="1:12" x14ac:dyDescent="0.25">
      <c r="A5341" s="16"/>
      <c r="D5341" s="16"/>
      <c r="F5341" s="16"/>
      <c r="G5341" s="16"/>
      <c r="H5341" s="24"/>
      <c r="I5341" s="24"/>
      <c r="L5341"/>
    </row>
    <row r="5342" spans="1:12" x14ac:dyDescent="0.25">
      <c r="A5342" s="16"/>
      <c r="D5342" s="16"/>
      <c r="F5342" s="16"/>
      <c r="G5342" s="16"/>
      <c r="H5342" s="24"/>
      <c r="I5342" s="24"/>
      <c r="L5342"/>
    </row>
    <row r="5343" spans="1:12" x14ac:dyDescent="0.25">
      <c r="A5343" s="16"/>
      <c r="D5343" s="16"/>
      <c r="F5343" s="16"/>
      <c r="G5343" s="16"/>
      <c r="H5343" s="24"/>
      <c r="I5343" s="24"/>
      <c r="L5343"/>
    </row>
    <row r="5344" spans="1:12" x14ac:dyDescent="0.25">
      <c r="A5344" s="16"/>
      <c r="D5344" s="16"/>
      <c r="F5344" s="16"/>
      <c r="G5344" s="16"/>
      <c r="H5344" s="24"/>
      <c r="I5344" s="24"/>
      <c r="L5344"/>
    </row>
    <row r="5345" spans="1:12" x14ac:dyDescent="0.25">
      <c r="A5345" s="16"/>
      <c r="D5345" s="16"/>
      <c r="F5345" s="16"/>
      <c r="G5345" s="16"/>
      <c r="H5345" s="24"/>
      <c r="I5345" s="24"/>
      <c r="L5345"/>
    </row>
    <row r="5346" spans="1:12" x14ac:dyDescent="0.25">
      <c r="A5346" s="16"/>
      <c r="D5346" s="16"/>
      <c r="F5346" s="16"/>
      <c r="G5346" s="16"/>
      <c r="H5346" s="24"/>
      <c r="I5346" s="24"/>
      <c r="L5346"/>
    </row>
    <row r="5347" spans="1:12" x14ac:dyDescent="0.25">
      <c r="A5347" s="16"/>
      <c r="D5347" s="16"/>
      <c r="F5347" s="16"/>
      <c r="G5347" s="16"/>
      <c r="H5347" s="24"/>
      <c r="I5347" s="24"/>
      <c r="L5347"/>
    </row>
    <row r="5348" spans="1:12" x14ac:dyDescent="0.25">
      <c r="A5348" s="16"/>
      <c r="D5348" s="16"/>
      <c r="F5348" s="16"/>
      <c r="G5348" s="16"/>
      <c r="H5348" s="24"/>
      <c r="I5348" s="24"/>
      <c r="L5348"/>
    </row>
    <row r="5349" spans="1:12" x14ac:dyDescent="0.25">
      <c r="A5349" s="16"/>
      <c r="D5349" s="16"/>
      <c r="F5349" s="16"/>
      <c r="G5349" s="16"/>
      <c r="H5349" s="24"/>
      <c r="I5349" s="24"/>
      <c r="L5349"/>
    </row>
    <row r="5350" spans="1:12" x14ac:dyDescent="0.25">
      <c r="A5350" s="16"/>
      <c r="D5350" s="16"/>
      <c r="F5350" s="16"/>
      <c r="G5350" s="16"/>
      <c r="H5350" s="24"/>
      <c r="I5350" s="24"/>
      <c r="L5350"/>
    </row>
    <row r="5351" spans="1:12" x14ac:dyDescent="0.25">
      <c r="A5351" s="16"/>
      <c r="D5351" s="16"/>
      <c r="F5351" s="16"/>
      <c r="G5351" s="16"/>
      <c r="H5351" s="24"/>
      <c r="I5351" s="24"/>
      <c r="L5351"/>
    </row>
    <row r="5352" spans="1:12" x14ac:dyDescent="0.25">
      <c r="A5352" s="16"/>
      <c r="D5352" s="16"/>
      <c r="F5352" s="16"/>
      <c r="G5352" s="16"/>
      <c r="H5352" s="24"/>
      <c r="I5352" s="24"/>
      <c r="L5352"/>
    </row>
    <row r="5353" spans="1:12" x14ac:dyDescent="0.25">
      <c r="A5353" s="16"/>
      <c r="D5353" s="16"/>
      <c r="F5353" s="16"/>
      <c r="G5353" s="16"/>
      <c r="H5353" s="24"/>
      <c r="I5353" s="24"/>
      <c r="L5353"/>
    </row>
    <row r="5354" spans="1:12" x14ac:dyDescent="0.25">
      <c r="A5354" s="16"/>
      <c r="D5354" s="16"/>
      <c r="F5354" s="16"/>
      <c r="G5354" s="16"/>
      <c r="H5354" s="24"/>
      <c r="I5354" s="24"/>
      <c r="L5354"/>
    </row>
    <row r="5355" spans="1:12" x14ac:dyDescent="0.25">
      <c r="A5355" s="16"/>
      <c r="D5355" s="16"/>
      <c r="F5355" s="16"/>
      <c r="G5355" s="16"/>
      <c r="H5355" s="24"/>
      <c r="I5355" s="24"/>
      <c r="L5355"/>
    </row>
    <row r="5356" spans="1:12" x14ac:dyDescent="0.25">
      <c r="A5356" s="16"/>
      <c r="D5356" s="16"/>
      <c r="F5356" s="16"/>
      <c r="G5356" s="16"/>
      <c r="H5356" s="24"/>
      <c r="I5356" s="24"/>
      <c r="L5356"/>
    </row>
    <row r="5357" spans="1:12" x14ac:dyDescent="0.25">
      <c r="A5357" s="16"/>
      <c r="D5357" s="16"/>
      <c r="F5357" s="16"/>
      <c r="G5357" s="16"/>
      <c r="H5357" s="24"/>
      <c r="I5357" s="24"/>
      <c r="L5357"/>
    </row>
    <row r="5358" spans="1:12" x14ac:dyDescent="0.25">
      <c r="A5358" s="16"/>
      <c r="D5358" s="16"/>
      <c r="F5358" s="16"/>
      <c r="G5358" s="16"/>
      <c r="H5358" s="24"/>
      <c r="I5358" s="24"/>
      <c r="L5358"/>
    </row>
    <row r="5359" spans="1:12" x14ac:dyDescent="0.25">
      <c r="A5359" s="16"/>
      <c r="D5359" s="16"/>
      <c r="F5359" s="16"/>
      <c r="G5359" s="16"/>
      <c r="H5359" s="24"/>
      <c r="I5359" s="24"/>
      <c r="L5359"/>
    </row>
    <row r="5360" spans="1:12" x14ac:dyDescent="0.25">
      <c r="A5360" s="16"/>
      <c r="D5360" s="16"/>
      <c r="F5360" s="16"/>
      <c r="G5360" s="16"/>
      <c r="H5360" s="24"/>
      <c r="I5360" s="24"/>
      <c r="L5360"/>
    </row>
    <row r="5361" spans="1:12" x14ac:dyDescent="0.25">
      <c r="A5361" s="16"/>
      <c r="D5361" s="16"/>
      <c r="F5361" s="16"/>
      <c r="G5361" s="16"/>
      <c r="H5361" s="24"/>
      <c r="I5361" s="24"/>
      <c r="L5361"/>
    </row>
    <row r="5362" spans="1:12" x14ac:dyDescent="0.25">
      <c r="A5362" s="16"/>
      <c r="D5362" s="16"/>
      <c r="F5362" s="16"/>
      <c r="G5362" s="16"/>
      <c r="H5362" s="24"/>
      <c r="I5362" s="24"/>
      <c r="L5362"/>
    </row>
    <row r="5363" spans="1:12" x14ac:dyDescent="0.25">
      <c r="A5363" s="16"/>
      <c r="D5363" s="16"/>
      <c r="F5363" s="16"/>
      <c r="G5363" s="16"/>
      <c r="H5363" s="24"/>
      <c r="I5363" s="24"/>
      <c r="L5363"/>
    </row>
    <row r="5364" spans="1:12" x14ac:dyDescent="0.25">
      <c r="A5364" s="16"/>
      <c r="D5364" s="16"/>
      <c r="F5364" s="16"/>
      <c r="G5364" s="16"/>
      <c r="H5364" s="24"/>
      <c r="I5364" s="24"/>
      <c r="L5364"/>
    </row>
    <row r="5365" spans="1:12" x14ac:dyDescent="0.25">
      <c r="A5365" s="16"/>
      <c r="D5365" s="16"/>
      <c r="F5365" s="16"/>
      <c r="G5365" s="16"/>
      <c r="H5365" s="24"/>
      <c r="I5365" s="24"/>
      <c r="L5365"/>
    </row>
    <row r="5366" spans="1:12" x14ac:dyDescent="0.25">
      <c r="A5366" s="16"/>
      <c r="D5366" s="16"/>
      <c r="F5366" s="16"/>
      <c r="G5366" s="16"/>
      <c r="H5366" s="24"/>
      <c r="I5366" s="24"/>
      <c r="L5366"/>
    </row>
    <row r="5367" spans="1:12" x14ac:dyDescent="0.25">
      <c r="A5367" s="16"/>
      <c r="D5367" s="16"/>
      <c r="F5367" s="16"/>
      <c r="G5367" s="16"/>
      <c r="H5367" s="24"/>
      <c r="I5367" s="24"/>
      <c r="L5367"/>
    </row>
    <row r="5368" spans="1:12" x14ac:dyDescent="0.25">
      <c r="A5368" s="16"/>
      <c r="D5368" s="16"/>
      <c r="F5368" s="16"/>
      <c r="G5368" s="16"/>
      <c r="H5368" s="24"/>
      <c r="I5368" s="24"/>
      <c r="L5368"/>
    </row>
    <row r="5369" spans="1:12" x14ac:dyDescent="0.25">
      <c r="A5369" s="16"/>
      <c r="D5369" s="16"/>
      <c r="F5369" s="16"/>
      <c r="G5369" s="16"/>
      <c r="H5369" s="24"/>
      <c r="I5369" s="24"/>
      <c r="L5369"/>
    </row>
    <row r="5370" spans="1:12" x14ac:dyDescent="0.25">
      <c r="A5370" s="16"/>
      <c r="D5370" s="16"/>
      <c r="F5370" s="16"/>
      <c r="G5370" s="16"/>
      <c r="H5370" s="24"/>
      <c r="I5370" s="24"/>
      <c r="L5370"/>
    </row>
    <row r="5371" spans="1:12" x14ac:dyDescent="0.25">
      <c r="A5371" s="16"/>
      <c r="D5371" s="16"/>
      <c r="F5371" s="16"/>
      <c r="G5371" s="16"/>
      <c r="H5371" s="24"/>
      <c r="I5371" s="24"/>
      <c r="L5371"/>
    </row>
    <row r="5372" spans="1:12" x14ac:dyDescent="0.25">
      <c r="A5372" s="16"/>
      <c r="D5372" s="16"/>
      <c r="F5372" s="16"/>
      <c r="G5372" s="16"/>
      <c r="H5372" s="24"/>
      <c r="I5372" s="24"/>
      <c r="L5372"/>
    </row>
    <row r="5373" spans="1:12" x14ac:dyDescent="0.25">
      <c r="A5373" s="16"/>
      <c r="D5373" s="16"/>
      <c r="F5373" s="16"/>
      <c r="G5373" s="16"/>
      <c r="H5373" s="24"/>
      <c r="I5373" s="24"/>
      <c r="L5373"/>
    </row>
    <row r="5374" spans="1:12" x14ac:dyDescent="0.25">
      <c r="A5374" s="16"/>
      <c r="D5374" s="16"/>
      <c r="F5374" s="16"/>
      <c r="G5374" s="16"/>
      <c r="H5374" s="24"/>
      <c r="I5374" s="24"/>
      <c r="L5374"/>
    </row>
    <row r="5375" spans="1:12" x14ac:dyDescent="0.25">
      <c r="A5375" s="16"/>
      <c r="D5375" s="16"/>
      <c r="F5375" s="16"/>
      <c r="G5375" s="16"/>
      <c r="H5375" s="24"/>
      <c r="I5375" s="24"/>
      <c r="L5375"/>
    </row>
    <row r="5376" spans="1:12" x14ac:dyDescent="0.25">
      <c r="A5376" s="16"/>
      <c r="D5376" s="16"/>
      <c r="F5376" s="16"/>
      <c r="G5376" s="16"/>
      <c r="H5376" s="24"/>
      <c r="I5376" s="24"/>
      <c r="L5376"/>
    </row>
    <row r="5377" spans="1:12" x14ac:dyDescent="0.25">
      <c r="A5377" s="16"/>
      <c r="D5377" s="16"/>
      <c r="F5377" s="16"/>
      <c r="G5377" s="16"/>
      <c r="H5377" s="24"/>
      <c r="I5377" s="24"/>
      <c r="L5377"/>
    </row>
    <row r="5378" spans="1:12" x14ac:dyDescent="0.25">
      <c r="A5378" s="16"/>
      <c r="D5378" s="16"/>
      <c r="F5378" s="16"/>
      <c r="G5378" s="16"/>
      <c r="H5378" s="24"/>
      <c r="I5378" s="24"/>
      <c r="L5378"/>
    </row>
    <row r="5379" spans="1:12" x14ac:dyDescent="0.25">
      <c r="A5379" s="16"/>
      <c r="D5379" s="16"/>
      <c r="F5379" s="16"/>
      <c r="G5379" s="16"/>
      <c r="H5379" s="24"/>
      <c r="I5379" s="24"/>
      <c r="L5379"/>
    </row>
    <row r="5380" spans="1:12" x14ac:dyDescent="0.25">
      <c r="A5380" s="16"/>
      <c r="D5380" s="16"/>
      <c r="F5380" s="16"/>
      <c r="G5380" s="16"/>
      <c r="H5380" s="24"/>
      <c r="I5380" s="24"/>
      <c r="L5380"/>
    </row>
    <row r="5381" spans="1:12" x14ac:dyDescent="0.25">
      <c r="A5381" s="16"/>
      <c r="D5381" s="16"/>
      <c r="F5381" s="16"/>
      <c r="G5381" s="16"/>
      <c r="H5381" s="24"/>
      <c r="I5381" s="24"/>
      <c r="L5381"/>
    </row>
    <row r="5382" spans="1:12" x14ac:dyDescent="0.25">
      <c r="A5382" s="16"/>
      <c r="D5382" s="16"/>
      <c r="F5382" s="16"/>
      <c r="G5382" s="16"/>
      <c r="H5382" s="24"/>
      <c r="I5382" s="24"/>
      <c r="L5382"/>
    </row>
    <row r="5383" spans="1:12" x14ac:dyDescent="0.25">
      <c r="A5383" s="16"/>
      <c r="D5383" s="16"/>
      <c r="F5383" s="16"/>
      <c r="G5383" s="16"/>
      <c r="H5383" s="24"/>
      <c r="I5383" s="24"/>
      <c r="L5383"/>
    </row>
    <row r="5384" spans="1:12" x14ac:dyDescent="0.25">
      <c r="A5384" s="16"/>
      <c r="D5384" s="16"/>
      <c r="F5384" s="16"/>
      <c r="G5384" s="16"/>
      <c r="H5384" s="24"/>
      <c r="I5384" s="24"/>
      <c r="L5384"/>
    </row>
    <row r="5385" spans="1:12" x14ac:dyDescent="0.25">
      <c r="A5385" s="16"/>
      <c r="D5385" s="16"/>
      <c r="F5385" s="16"/>
      <c r="G5385" s="16"/>
      <c r="H5385" s="24"/>
      <c r="I5385" s="24"/>
      <c r="L5385"/>
    </row>
    <row r="5386" spans="1:12" x14ac:dyDescent="0.25">
      <c r="A5386" s="16"/>
      <c r="D5386" s="16"/>
      <c r="F5386" s="16"/>
      <c r="G5386" s="16"/>
      <c r="H5386" s="24"/>
      <c r="I5386" s="24"/>
      <c r="L5386"/>
    </row>
    <row r="5387" spans="1:12" x14ac:dyDescent="0.25">
      <c r="A5387" s="16"/>
      <c r="D5387" s="16"/>
      <c r="F5387" s="16"/>
      <c r="G5387" s="16"/>
      <c r="H5387" s="24"/>
      <c r="I5387" s="24"/>
      <c r="L5387"/>
    </row>
    <row r="5388" spans="1:12" x14ac:dyDescent="0.25">
      <c r="A5388" s="16"/>
      <c r="D5388" s="16"/>
      <c r="F5388" s="16"/>
      <c r="G5388" s="16"/>
      <c r="H5388" s="24"/>
      <c r="I5388" s="24"/>
      <c r="L5388"/>
    </row>
    <row r="5389" spans="1:12" x14ac:dyDescent="0.25">
      <c r="A5389" s="16"/>
      <c r="D5389" s="16"/>
      <c r="F5389" s="16"/>
      <c r="G5389" s="16"/>
      <c r="H5389" s="24"/>
      <c r="I5389" s="24"/>
      <c r="L5389"/>
    </row>
    <row r="5390" spans="1:12" x14ac:dyDescent="0.25">
      <c r="A5390" s="16"/>
      <c r="D5390" s="16"/>
      <c r="F5390" s="16"/>
      <c r="G5390" s="16"/>
      <c r="H5390" s="24"/>
      <c r="I5390" s="24"/>
      <c r="L5390"/>
    </row>
    <row r="5391" spans="1:12" x14ac:dyDescent="0.25">
      <c r="A5391" s="16"/>
      <c r="D5391" s="16"/>
      <c r="F5391" s="16"/>
      <c r="G5391" s="16"/>
      <c r="H5391" s="24"/>
      <c r="I5391" s="24"/>
      <c r="L5391"/>
    </row>
    <row r="5392" spans="1:12" x14ac:dyDescent="0.25">
      <c r="A5392" s="16"/>
      <c r="D5392" s="16"/>
      <c r="F5392" s="16"/>
      <c r="G5392" s="16"/>
      <c r="H5392" s="24"/>
      <c r="I5392" s="24"/>
      <c r="L5392"/>
    </row>
    <row r="5393" spans="1:12" x14ac:dyDescent="0.25">
      <c r="A5393" s="16"/>
      <c r="D5393" s="16"/>
      <c r="F5393" s="16"/>
      <c r="G5393" s="16"/>
      <c r="H5393" s="24"/>
      <c r="I5393" s="24"/>
      <c r="L5393"/>
    </row>
    <row r="5394" spans="1:12" x14ac:dyDescent="0.25">
      <c r="A5394" s="16"/>
      <c r="D5394" s="16"/>
      <c r="F5394" s="16"/>
      <c r="G5394" s="16"/>
      <c r="H5394" s="24"/>
      <c r="I5394" s="24"/>
      <c r="L5394"/>
    </row>
    <row r="5395" spans="1:12" x14ac:dyDescent="0.25">
      <c r="A5395" s="16"/>
      <c r="D5395" s="16"/>
      <c r="F5395" s="16"/>
      <c r="G5395" s="16"/>
      <c r="H5395" s="24"/>
      <c r="I5395" s="24"/>
      <c r="L5395"/>
    </row>
    <row r="5396" spans="1:12" x14ac:dyDescent="0.25">
      <c r="A5396" s="16"/>
      <c r="D5396" s="16"/>
      <c r="F5396" s="16"/>
      <c r="G5396" s="16"/>
      <c r="H5396" s="24"/>
      <c r="I5396" s="24"/>
      <c r="L5396"/>
    </row>
    <row r="5397" spans="1:12" x14ac:dyDescent="0.25">
      <c r="A5397" s="16"/>
      <c r="D5397" s="16"/>
      <c r="F5397" s="16"/>
      <c r="G5397" s="16"/>
      <c r="H5397" s="24"/>
      <c r="I5397" s="24"/>
      <c r="L5397"/>
    </row>
    <row r="5398" spans="1:12" x14ac:dyDescent="0.25">
      <c r="A5398" s="16"/>
      <c r="D5398" s="16"/>
      <c r="F5398" s="16"/>
      <c r="G5398" s="16"/>
      <c r="H5398" s="24"/>
      <c r="I5398" s="24"/>
      <c r="L5398"/>
    </row>
    <row r="5399" spans="1:12" x14ac:dyDescent="0.25">
      <c r="A5399" s="16"/>
      <c r="D5399" s="16"/>
      <c r="F5399" s="16"/>
      <c r="G5399" s="16"/>
      <c r="H5399" s="24"/>
      <c r="I5399" s="24"/>
      <c r="L5399"/>
    </row>
    <row r="5400" spans="1:12" x14ac:dyDescent="0.25">
      <c r="A5400" s="16"/>
      <c r="D5400" s="16"/>
      <c r="F5400" s="16"/>
      <c r="G5400" s="16"/>
      <c r="H5400" s="24"/>
      <c r="I5400" s="24"/>
      <c r="L5400"/>
    </row>
    <row r="5401" spans="1:12" x14ac:dyDescent="0.25">
      <c r="A5401" s="16"/>
      <c r="D5401" s="16"/>
      <c r="F5401" s="16"/>
      <c r="G5401" s="16"/>
      <c r="H5401" s="24"/>
      <c r="I5401" s="24"/>
      <c r="L5401"/>
    </row>
    <row r="5402" spans="1:12" x14ac:dyDescent="0.25">
      <c r="A5402" s="16"/>
      <c r="D5402" s="16"/>
      <c r="F5402" s="16"/>
      <c r="G5402" s="16"/>
      <c r="H5402" s="24"/>
      <c r="I5402" s="24"/>
      <c r="L5402"/>
    </row>
    <row r="5403" spans="1:12" x14ac:dyDescent="0.25">
      <c r="A5403" s="16"/>
      <c r="D5403" s="16"/>
      <c r="F5403" s="16"/>
      <c r="G5403" s="16"/>
      <c r="H5403" s="24"/>
      <c r="I5403" s="24"/>
      <c r="L5403"/>
    </row>
    <row r="5404" spans="1:12" x14ac:dyDescent="0.25">
      <c r="A5404" s="16"/>
      <c r="D5404" s="16"/>
      <c r="F5404" s="16"/>
      <c r="G5404" s="16"/>
      <c r="H5404" s="24"/>
      <c r="I5404" s="24"/>
      <c r="L5404"/>
    </row>
    <row r="5405" spans="1:12" x14ac:dyDescent="0.25">
      <c r="A5405" s="16"/>
      <c r="D5405" s="16"/>
      <c r="F5405" s="16"/>
      <c r="G5405" s="16"/>
      <c r="H5405" s="24"/>
      <c r="I5405" s="24"/>
      <c r="L5405"/>
    </row>
    <row r="5406" spans="1:12" x14ac:dyDescent="0.25">
      <c r="A5406" s="16"/>
      <c r="D5406" s="16"/>
      <c r="F5406" s="16"/>
      <c r="G5406" s="16"/>
      <c r="H5406" s="24"/>
      <c r="I5406" s="24"/>
      <c r="L5406"/>
    </row>
    <row r="5407" spans="1:12" x14ac:dyDescent="0.25">
      <c r="A5407" s="16"/>
      <c r="D5407" s="16"/>
      <c r="F5407" s="16"/>
      <c r="G5407" s="16"/>
      <c r="H5407" s="24"/>
      <c r="I5407" s="24"/>
      <c r="L5407"/>
    </row>
    <row r="5408" spans="1:12" x14ac:dyDescent="0.25">
      <c r="A5408" s="16"/>
      <c r="D5408" s="16"/>
      <c r="F5408" s="16"/>
      <c r="G5408" s="16"/>
      <c r="H5408" s="24"/>
      <c r="I5408" s="24"/>
      <c r="L5408"/>
    </row>
    <row r="5409" spans="1:12" x14ac:dyDescent="0.25">
      <c r="A5409" s="16"/>
      <c r="D5409" s="16"/>
      <c r="F5409" s="16"/>
      <c r="G5409" s="16"/>
      <c r="H5409" s="24"/>
      <c r="I5409" s="24"/>
      <c r="L5409"/>
    </row>
    <row r="5410" spans="1:12" x14ac:dyDescent="0.25">
      <c r="A5410" s="16"/>
      <c r="D5410" s="16"/>
      <c r="F5410" s="16"/>
      <c r="G5410" s="16"/>
      <c r="H5410" s="24"/>
      <c r="I5410" s="24"/>
      <c r="L5410"/>
    </row>
    <row r="5411" spans="1:12" x14ac:dyDescent="0.25">
      <c r="A5411" s="16"/>
      <c r="D5411" s="16"/>
      <c r="F5411" s="16"/>
      <c r="G5411" s="16"/>
      <c r="H5411" s="24"/>
      <c r="I5411" s="24"/>
      <c r="L5411"/>
    </row>
    <row r="5412" spans="1:12" x14ac:dyDescent="0.25">
      <c r="A5412" s="16"/>
      <c r="D5412" s="16"/>
      <c r="F5412" s="16"/>
      <c r="G5412" s="16"/>
      <c r="H5412" s="24"/>
      <c r="I5412" s="24"/>
      <c r="L5412"/>
    </row>
    <row r="5413" spans="1:12" x14ac:dyDescent="0.25">
      <c r="A5413" s="16"/>
      <c r="D5413" s="16"/>
      <c r="F5413" s="16"/>
      <c r="G5413" s="16"/>
      <c r="H5413" s="24"/>
      <c r="I5413" s="24"/>
      <c r="L5413"/>
    </row>
    <row r="5414" spans="1:12" x14ac:dyDescent="0.25">
      <c r="A5414" s="16"/>
      <c r="D5414" s="16"/>
      <c r="F5414" s="16"/>
      <c r="G5414" s="16"/>
      <c r="H5414" s="24"/>
      <c r="I5414" s="24"/>
      <c r="L5414"/>
    </row>
    <row r="5415" spans="1:12" x14ac:dyDescent="0.25">
      <c r="A5415" s="16"/>
      <c r="D5415" s="16"/>
      <c r="F5415" s="16"/>
      <c r="G5415" s="16"/>
      <c r="H5415" s="24"/>
      <c r="I5415" s="24"/>
      <c r="L5415"/>
    </row>
    <row r="5416" spans="1:12" x14ac:dyDescent="0.25">
      <c r="A5416" s="16"/>
      <c r="D5416" s="16"/>
      <c r="F5416" s="16"/>
      <c r="G5416" s="16"/>
      <c r="H5416" s="24"/>
      <c r="I5416" s="24"/>
      <c r="L5416"/>
    </row>
    <row r="5417" spans="1:12" x14ac:dyDescent="0.25">
      <c r="A5417" s="16"/>
      <c r="D5417" s="16"/>
      <c r="F5417" s="16"/>
      <c r="G5417" s="16"/>
      <c r="H5417" s="24"/>
      <c r="I5417" s="24"/>
      <c r="L5417"/>
    </row>
    <row r="5418" spans="1:12" x14ac:dyDescent="0.25">
      <c r="A5418" s="16"/>
      <c r="D5418" s="16"/>
      <c r="F5418" s="16"/>
      <c r="G5418" s="16"/>
      <c r="H5418" s="24"/>
      <c r="I5418" s="24"/>
      <c r="L5418"/>
    </row>
    <row r="5419" spans="1:12" x14ac:dyDescent="0.25">
      <c r="A5419" s="16"/>
      <c r="D5419" s="16"/>
      <c r="F5419" s="16"/>
      <c r="G5419" s="16"/>
      <c r="H5419" s="24"/>
      <c r="I5419" s="24"/>
      <c r="L5419"/>
    </row>
    <row r="5420" spans="1:12" x14ac:dyDescent="0.25">
      <c r="A5420" s="16"/>
      <c r="D5420" s="16"/>
      <c r="F5420" s="16"/>
      <c r="G5420" s="16"/>
      <c r="H5420" s="24"/>
      <c r="I5420" s="24"/>
      <c r="L5420"/>
    </row>
    <row r="5421" spans="1:12" x14ac:dyDescent="0.25">
      <c r="A5421" s="16"/>
      <c r="D5421" s="16"/>
      <c r="F5421" s="16"/>
      <c r="G5421" s="16"/>
      <c r="H5421" s="24"/>
      <c r="I5421" s="24"/>
      <c r="L5421"/>
    </row>
    <row r="5422" spans="1:12" x14ac:dyDescent="0.25">
      <c r="A5422" s="16"/>
      <c r="D5422" s="16"/>
      <c r="F5422" s="16"/>
      <c r="G5422" s="16"/>
      <c r="H5422" s="24"/>
      <c r="I5422" s="24"/>
      <c r="L5422"/>
    </row>
    <row r="5423" spans="1:12" x14ac:dyDescent="0.25">
      <c r="A5423" s="16"/>
      <c r="D5423" s="16"/>
      <c r="F5423" s="16"/>
      <c r="G5423" s="16"/>
      <c r="H5423" s="24"/>
      <c r="I5423" s="24"/>
      <c r="L5423"/>
    </row>
    <row r="5424" spans="1:12" x14ac:dyDescent="0.25">
      <c r="A5424" s="16"/>
      <c r="D5424" s="16"/>
      <c r="F5424" s="16"/>
      <c r="G5424" s="16"/>
      <c r="H5424" s="24"/>
      <c r="I5424" s="24"/>
      <c r="L5424"/>
    </row>
    <row r="5425" spans="1:12" x14ac:dyDescent="0.25">
      <c r="A5425" s="16"/>
      <c r="D5425" s="16"/>
      <c r="F5425" s="16"/>
      <c r="G5425" s="16"/>
      <c r="H5425" s="24"/>
      <c r="I5425" s="24"/>
      <c r="L5425"/>
    </row>
    <row r="5426" spans="1:12" x14ac:dyDescent="0.25">
      <c r="A5426" s="16"/>
      <c r="D5426" s="16"/>
      <c r="F5426" s="16"/>
      <c r="G5426" s="16"/>
      <c r="H5426" s="24"/>
      <c r="I5426" s="24"/>
      <c r="L5426"/>
    </row>
    <row r="5427" spans="1:12" x14ac:dyDescent="0.25">
      <c r="A5427" s="16"/>
      <c r="D5427" s="16"/>
      <c r="F5427" s="16"/>
      <c r="G5427" s="16"/>
      <c r="H5427" s="24"/>
      <c r="I5427" s="24"/>
      <c r="L5427"/>
    </row>
    <row r="5428" spans="1:12" x14ac:dyDescent="0.25">
      <c r="A5428" s="16"/>
      <c r="D5428" s="16"/>
      <c r="F5428" s="16"/>
      <c r="G5428" s="16"/>
      <c r="H5428" s="24"/>
      <c r="I5428" s="24"/>
      <c r="L5428"/>
    </row>
    <row r="5429" spans="1:12" x14ac:dyDescent="0.25">
      <c r="A5429" s="16"/>
      <c r="D5429" s="16"/>
      <c r="F5429" s="16"/>
      <c r="G5429" s="16"/>
      <c r="H5429" s="24"/>
      <c r="I5429" s="24"/>
      <c r="L5429"/>
    </row>
    <row r="5430" spans="1:12" x14ac:dyDescent="0.25">
      <c r="A5430" s="16"/>
      <c r="D5430" s="16"/>
      <c r="F5430" s="16"/>
      <c r="G5430" s="16"/>
      <c r="H5430" s="24"/>
      <c r="I5430" s="24"/>
      <c r="L5430"/>
    </row>
    <row r="5431" spans="1:12" x14ac:dyDescent="0.25">
      <c r="A5431" s="16"/>
      <c r="D5431" s="16"/>
      <c r="F5431" s="16"/>
      <c r="G5431" s="16"/>
      <c r="H5431" s="24"/>
      <c r="I5431" s="24"/>
      <c r="L5431"/>
    </row>
    <row r="5432" spans="1:12" x14ac:dyDescent="0.25">
      <c r="A5432" s="16"/>
      <c r="D5432" s="16"/>
      <c r="F5432" s="16"/>
      <c r="G5432" s="16"/>
      <c r="H5432" s="24"/>
      <c r="I5432" s="24"/>
      <c r="L5432"/>
    </row>
    <row r="5433" spans="1:12" x14ac:dyDescent="0.25">
      <c r="A5433" s="16"/>
      <c r="D5433" s="16"/>
      <c r="F5433" s="16"/>
      <c r="G5433" s="16"/>
      <c r="H5433" s="24"/>
      <c r="I5433" s="24"/>
      <c r="L5433"/>
    </row>
    <row r="5434" spans="1:12" x14ac:dyDescent="0.25">
      <c r="A5434" s="16"/>
      <c r="D5434" s="16"/>
      <c r="F5434" s="16"/>
      <c r="G5434" s="16"/>
      <c r="H5434" s="24"/>
      <c r="I5434" s="24"/>
      <c r="L5434"/>
    </row>
    <row r="5435" spans="1:12" x14ac:dyDescent="0.25">
      <c r="A5435" s="16"/>
      <c r="D5435" s="16"/>
      <c r="F5435" s="16"/>
      <c r="G5435" s="16"/>
      <c r="H5435" s="24"/>
      <c r="I5435" s="24"/>
      <c r="L5435"/>
    </row>
    <row r="5436" spans="1:12" x14ac:dyDescent="0.25">
      <c r="A5436" s="16"/>
      <c r="D5436" s="16"/>
      <c r="F5436" s="16"/>
      <c r="G5436" s="16"/>
      <c r="H5436" s="24"/>
      <c r="I5436" s="24"/>
      <c r="L5436"/>
    </row>
    <row r="5437" spans="1:12" x14ac:dyDescent="0.25">
      <c r="A5437" s="16"/>
      <c r="D5437" s="16"/>
      <c r="F5437" s="16"/>
      <c r="G5437" s="16"/>
      <c r="H5437" s="24"/>
      <c r="I5437" s="24"/>
      <c r="L5437"/>
    </row>
    <row r="5438" spans="1:12" x14ac:dyDescent="0.25">
      <c r="A5438" s="16"/>
      <c r="D5438" s="16"/>
      <c r="F5438" s="16"/>
      <c r="G5438" s="16"/>
      <c r="H5438" s="24"/>
      <c r="I5438" s="24"/>
      <c r="L5438"/>
    </row>
    <row r="5439" spans="1:12" x14ac:dyDescent="0.25">
      <c r="A5439" s="16"/>
      <c r="D5439" s="16"/>
      <c r="F5439" s="16"/>
      <c r="G5439" s="16"/>
      <c r="H5439" s="24"/>
      <c r="I5439" s="24"/>
      <c r="L5439"/>
    </row>
    <row r="5440" spans="1:12" x14ac:dyDescent="0.25">
      <c r="A5440" s="16"/>
      <c r="D5440" s="16"/>
      <c r="F5440" s="16"/>
      <c r="G5440" s="16"/>
      <c r="H5440" s="24"/>
      <c r="I5440" s="24"/>
      <c r="L5440"/>
    </row>
    <row r="5441" spans="1:12" x14ac:dyDescent="0.25">
      <c r="A5441" s="16"/>
      <c r="D5441" s="16"/>
      <c r="F5441" s="16"/>
      <c r="G5441" s="16"/>
      <c r="H5441" s="24"/>
      <c r="I5441" s="24"/>
      <c r="L5441"/>
    </row>
    <row r="5442" spans="1:12" x14ac:dyDescent="0.25">
      <c r="A5442" s="16"/>
      <c r="D5442" s="16"/>
      <c r="F5442" s="16"/>
      <c r="G5442" s="16"/>
      <c r="H5442" s="24"/>
      <c r="I5442" s="24"/>
      <c r="L5442"/>
    </row>
    <row r="5443" spans="1:12" x14ac:dyDescent="0.25">
      <c r="A5443" s="16"/>
      <c r="D5443" s="16"/>
      <c r="F5443" s="16"/>
      <c r="G5443" s="16"/>
      <c r="H5443" s="24"/>
      <c r="I5443" s="24"/>
      <c r="L5443"/>
    </row>
    <row r="5444" spans="1:12" x14ac:dyDescent="0.25">
      <c r="A5444" s="16"/>
      <c r="D5444" s="16"/>
      <c r="F5444" s="16"/>
      <c r="G5444" s="16"/>
      <c r="H5444" s="24"/>
      <c r="I5444" s="24"/>
      <c r="L5444"/>
    </row>
    <row r="5445" spans="1:12" x14ac:dyDescent="0.25">
      <c r="A5445" s="16"/>
      <c r="D5445" s="16"/>
      <c r="F5445" s="16"/>
      <c r="G5445" s="16"/>
      <c r="H5445" s="24"/>
      <c r="I5445" s="24"/>
      <c r="L5445"/>
    </row>
    <row r="5446" spans="1:12" x14ac:dyDescent="0.25">
      <c r="A5446" s="16"/>
      <c r="D5446" s="16"/>
      <c r="F5446" s="16"/>
      <c r="G5446" s="16"/>
      <c r="H5446" s="24"/>
      <c r="I5446" s="24"/>
      <c r="L5446"/>
    </row>
    <row r="5447" spans="1:12" x14ac:dyDescent="0.25">
      <c r="A5447" s="16"/>
      <c r="D5447" s="16"/>
      <c r="F5447" s="16"/>
      <c r="G5447" s="16"/>
      <c r="H5447" s="24"/>
      <c r="I5447" s="24"/>
      <c r="L5447"/>
    </row>
    <row r="5448" spans="1:12" x14ac:dyDescent="0.25">
      <c r="A5448" s="16"/>
      <c r="D5448" s="16"/>
      <c r="F5448" s="16"/>
      <c r="G5448" s="16"/>
      <c r="H5448" s="24"/>
      <c r="I5448" s="24"/>
      <c r="L5448"/>
    </row>
    <row r="5449" spans="1:12" x14ac:dyDescent="0.25">
      <c r="A5449" s="16"/>
      <c r="D5449" s="16"/>
      <c r="F5449" s="16"/>
      <c r="G5449" s="16"/>
      <c r="H5449" s="24"/>
      <c r="I5449" s="24"/>
      <c r="L5449"/>
    </row>
    <row r="5450" spans="1:12" x14ac:dyDescent="0.25">
      <c r="A5450" s="16"/>
      <c r="D5450" s="16"/>
      <c r="F5450" s="16"/>
      <c r="G5450" s="16"/>
      <c r="H5450" s="24"/>
      <c r="I5450" s="24"/>
      <c r="L5450"/>
    </row>
    <row r="5451" spans="1:12" x14ac:dyDescent="0.25">
      <c r="A5451" s="16"/>
      <c r="D5451" s="16"/>
      <c r="F5451" s="16"/>
      <c r="G5451" s="16"/>
      <c r="H5451" s="24"/>
      <c r="I5451" s="24"/>
      <c r="L5451"/>
    </row>
    <row r="5452" spans="1:12" x14ac:dyDescent="0.25">
      <c r="A5452" s="16"/>
      <c r="D5452" s="16"/>
      <c r="F5452" s="16"/>
      <c r="G5452" s="16"/>
      <c r="H5452" s="24"/>
      <c r="I5452" s="24"/>
      <c r="L5452"/>
    </row>
    <row r="5453" spans="1:12" x14ac:dyDescent="0.25">
      <c r="A5453" s="16"/>
      <c r="D5453" s="16"/>
      <c r="F5453" s="16"/>
      <c r="G5453" s="16"/>
      <c r="H5453" s="24"/>
      <c r="I5453" s="24"/>
      <c r="L5453"/>
    </row>
    <row r="5454" spans="1:12" x14ac:dyDescent="0.25">
      <c r="A5454" s="16"/>
      <c r="D5454" s="16"/>
      <c r="F5454" s="16"/>
      <c r="G5454" s="16"/>
      <c r="H5454" s="24"/>
      <c r="I5454" s="24"/>
      <c r="L5454"/>
    </row>
    <row r="5455" spans="1:12" x14ac:dyDescent="0.25">
      <c r="A5455" s="16"/>
      <c r="D5455" s="16"/>
      <c r="F5455" s="16"/>
      <c r="G5455" s="16"/>
      <c r="H5455" s="24"/>
      <c r="I5455" s="24"/>
      <c r="L5455"/>
    </row>
    <row r="5456" spans="1:12" x14ac:dyDescent="0.25">
      <c r="A5456" s="16"/>
      <c r="D5456" s="16"/>
      <c r="F5456" s="16"/>
      <c r="G5456" s="16"/>
      <c r="H5456" s="24"/>
      <c r="I5456" s="24"/>
      <c r="L5456"/>
    </row>
    <row r="5457" spans="1:12" x14ac:dyDescent="0.25">
      <c r="A5457" s="16"/>
      <c r="D5457" s="16"/>
      <c r="F5457" s="16"/>
      <c r="G5457" s="16"/>
      <c r="H5457" s="24"/>
      <c r="I5457" s="24"/>
      <c r="L5457"/>
    </row>
    <row r="5458" spans="1:12" x14ac:dyDescent="0.25">
      <c r="A5458" s="16"/>
      <c r="D5458" s="16"/>
      <c r="F5458" s="16"/>
      <c r="G5458" s="16"/>
      <c r="H5458" s="24"/>
      <c r="I5458" s="24"/>
      <c r="L5458"/>
    </row>
    <row r="5459" spans="1:12" x14ac:dyDescent="0.25">
      <c r="A5459" s="16"/>
      <c r="D5459" s="16"/>
      <c r="F5459" s="16"/>
      <c r="G5459" s="16"/>
      <c r="H5459" s="24"/>
      <c r="I5459" s="24"/>
      <c r="L5459"/>
    </row>
    <row r="5460" spans="1:12" x14ac:dyDescent="0.25">
      <c r="A5460" s="16"/>
      <c r="D5460" s="16"/>
      <c r="F5460" s="16"/>
      <c r="G5460" s="16"/>
      <c r="H5460" s="24"/>
      <c r="I5460" s="24"/>
      <c r="L5460"/>
    </row>
    <row r="5461" spans="1:12" x14ac:dyDescent="0.25">
      <c r="A5461" s="16"/>
      <c r="D5461" s="16"/>
      <c r="F5461" s="16"/>
      <c r="G5461" s="16"/>
      <c r="H5461" s="24"/>
      <c r="I5461" s="24"/>
      <c r="L5461"/>
    </row>
    <row r="5462" spans="1:12" x14ac:dyDescent="0.25">
      <c r="A5462" s="16"/>
      <c r="D5462" s="16"/>
      <c r="F5462" s="16"/>
      <c r="G5462" s="16"/>
      <c r="H5462" s="24"/>
      <c r="I5462" s="24"/>
      <c r="L5462"/>
    </row>
    <row r="5463" spans="1:12" x14ac:dyDescent="0.25">
      <c r="A5463" s="16"/>
      <c r="D5463" s="16"/>
      <c r="F5463" s="16"/>
      <c r="G5463" s="16"/>
      <c r="H5463" s="24"/>
      <c r="I5463" s="24"/>
      <c r="L5463"/>
    </row>
    <row r="5464" spans="1:12" x14ac:dyDescent="0.25">
      <c r="A5464" s="16"/>
      <c r="D5464" s="16"/>
      <c r="F5464" s="16"/>
      <c r="G5464" s="16"/>
      <c r="H5464" s="24"/>
      <c r="I5464" s="24"/>
      <c r="L5464"/>
    </row>
    <row r="5465" spans="1:12" x14ac:dyDescent="0.25">
      <c r="A5465" s="16"/>
      <c r="D5465" s="16"/>
      <c r="F5465" s="16"/>
      <c r="G5465" s="16"/>
      <c r="H5465" s="24"/>
      <c r="I5465" s="24"/>
      <c r="L5465"/>
    </row>
    <row r="5466" spans="1:12" x14ac:dyDescent="0.25">
      <c r="A5466" s="16"/>
      <c r="D5466" s="16"/>
      <c r="F5466" s="16"/>
      <c r="G5466" s="16"/>
      <c r="H5466" s="24"/>
      <c r="I5466" s="24"/>
      <c r="L5466"/>
    </row>
    <row r="5467" spans="1:12" x14ac:dyDescent="0.25">
      <c r="A5467" s="16"/>
      <c r="D5467" s="16"/>
      <c r="F5467" s="16"/>
      <c r="G5467" s="16"/>
      <c r="H5467" s="24"/>
      <c r="I5467" s="24"/>
      <c r="L5467"/>
    </row>
    <row r="5468" spans="1:12" x14ac:dyDescent="0.25">
      <c r="A5468" s="16"/>
      <c r="D5468" s="16"/>
      <c r="F5468" s="16"/>
      <c r="G5468" s="16"/>
      <c r="H5468" s="24"/>
      <c r="I5468" s="24"/>
      <c r="L5468"/>
    </row>
    <row r="5469" spans="1:12" x14ac:dyDescent="0.25">
      <c r="A5469" s="16"/>
      <c r="D5469" s="16"/>
      <c r="F5469" s="16"/>
      <c r="G5469" s="16"/>
      <c r="H5469" s="24"/>
      <c r="I5469" s="24"/>
      <c r="L5469"/>
    </row>
    <row r="5470" spans="1:12" x14ac:dyDescent="0.25">
      <c r="A5470" s="16"/>
      <c r="D5470" s="16"/>
      <c r="F5470" s="16"/>
      <c r="G5470" s="16"/>
      <c r="H5470" s="24"/>
      <c r="I5470" s="24"/>
      <c r="L5470"/>
    </row>
    <row r="5471" spans="1:12" x14ac:dyDescent="0.25">
      <c r="A5471" s="16"/>
      <c r="D5471" s="16"/>
      <c r="F5471" s="16"/>
      <c r="G5471" s="16"/>
      <c r="H5471" s="24"/>
      <c r="I5471" s="24"/>
      <c r="L5471"/>
    </row>
    <row r="5472" spans="1:12" x14ac:dyDescent="0.25">
      <c r="A5472" s="16"/>
      <c r="D5472" s="16"/>
      <c r="F5472" s="16"/>
      <c r="G5472" s="16"/>
      <c r="H5472" s="24"/>
      <c r="I5472" s="24"/>
      <c r="L5472"/>
    </row>
    <row r="5473" spans="1:12" x14ac:dyDescent="0.25">
      <c r="A5473" s="16"/>
      <c r="D5473" s="16"/>
      <c r="F5473" s="16"/>
      <c r="G5473" s="16"/>
      <c r="H5473" s="24"/>
      <c r="I5473" s="24"/>
      <c r="L5473"/>
    </row>
    <row r="5474" spans="1:12" x14ac:dyDescent="0.25">
      <c r="A5474" s="16"/>
      <c r="D5474" s="16"/>
      <c r="F5474" s="16"/>
      <c r="G5474" s="16"/>
      <c r="H5474" s="24"/>
      <c r="I5474" s="24"/>
      <c r="L5474"/>
    </row>
    <row r="5475" spans="1:12" x14ac:dyDescent="0.25">
      <c r="A5475" s="16"/>
      <c r="D5475" s="16"/>
      <c r="F5475" s="16"/>
      <c r="G5475" s="16"/>
      <c r="H5475" s="24"/>
      <c r="I5475" s="24"/>
      <c r="L5475"/>
    </row>
    <row r="5476" spans="1:12" x14ac:dyDescent="0.25">
      <c r="A5476" s="16"/>
      <c r="D5476" s="16"/>
      <c r="F5476" s="16"/>
      <c r="G5476" s="16"/>
      <c r="H5476" s="24"/>
      <c r="I5476" s="24"/>
      <c r="L5476"/>
    </row>
    <row r="5477" spans="1:12" x14ac:dyDescent="0.25">
      <c r="A5477" s="16"/>
      <c r="D5477" s="16"/>
      <c r="F5477" s="16"/>
      <c r="G5477" s="16"/>
      <c r="H5477" s="24"/>
      <c r="I5477" s="24"/>
      <c r="L5477"/>
    </row>
    <row r="5478" spans="1:12" x14ac:dyDescent="0.25">
      <c r="A5478" s="16"/>
      <c r="D5478" s="16"/>
      <c r="F5478" s="16"/>
      <c r="G5478" s="16"/>
      <c r="H5478" s="24"/>
      <c r="I5478" s="24"/>
      <c r="L5478"/>
    </row>
    <row r="5479" spans="1:12" x14ac:dyDescent="0.25">
      <c r="A5479" s="16"/>
      <c r="D5479" s="16"/>
      <c r="F5479" s="16"/>
      <c r="G5479" s="16"/>
      <c r="H5479" s="24"/>
      <c r="I5479" s="24"/>
      <c r="L5479"/>
    </row>
    <row r="5480" spans="1:12" x14ac:dyDescent="0.25">
      <c r="A5480" s="16"/>
      <c r="D5480" s="16"/>
      <c r="F5480" s="16"/>
      <c r="G5480" s="16"/>
      <c r="H5480" s="24"/>
      <c r="I5480" s="24"/>
      <c r="L5480"/>
    </row>
    <row r="5481" spans="1:12" x14ac:dyDescent="0.25">
      <c r="A5481" s="16"/>
      <c r="D5481" s="16"/>
      <c r="F5481" s="16"/>
      <c r="G5481" s="16"/>
      <c r="H5481" s="24"/>
      <c r="I5481" s="24"/>
      <c r="L5481"/>
    </row>
    <row r="5482" spans="1:12" x14ac:dyDescent="0.25">
      <c r="A5482" s="16"/>
      <c r="D5482" s="16"/>
      <c r="F5482" s="16"/>
      <c r="G5482" s="16"/>
      <c r="H5482" s="24"/>
      <c r="I5482" s="24"/>
      <c r="L5482"/>
    </row>
    <row r="5483" spans="1:12" x14ac:dyDescent="0.25">
      <c r="A5483" s="16"/>
      <c r="D5483" s="16"/>
      <c r="F5483" s="16"/>
      <c r="G5483" s="16"/>
      <c r="H5483" s="24"/>
      <c r="I5483" s="24"/>
      <c r="L5483"/>
    </row>
    <row r="5484" spans="1:12" x14ac:dyDescent="0.25">
      <c r="A5484" s="16"/>
      <c r="D5484" s="16"/>
      <c r="F5484" s="16"/>
      <c r="G5484" s="16"/>
      <c r="H5484" s="24"/>
      <c r="I5484" s="24"/>
      <c r="L5484"/>
    </row>
    <row r="5485" spans="1:12" x14ac:dyDescent="0.25">
      <c r="A5485" s="16"/>
      <c r="D5485" s="16"/>
      <c r="F5485" s="16"/>
      <c r="G5485" s="16"/>
      <c r="H5485" s="24"/>
      <c r="I5485" s="24"/>
      <c r="L5485"/>
    </row>
    <row r="5486" spans="1:12" x14ac:dyDescent="0.25">
      <c r="A5486" s="16"/>
      <c r="D5486" s="16"/>
      <c r="F5486" s="16"/>
      <c r="G5486" s="16"/>
      <c r="H5486" s="24"/>
      <c r="I5486" s="24"/>
      <c r="L5486"/>
    </row>
    <row r="5487" spans="1:12" x14ac:dyDescent="0.25">
      <c r="A5487" s="16"/>
      <c r="D5487" s="16"/>
      <c r="F5487" s="16"/>
      <c r="G5487" s="16"/>
      <c r="H5487" s="24"/>
      <c r="I5487" s="24"/>
      <c r="L5487"/>
    </row>
    <row r="5488" spans="1:12" x14ac:dyDescent="0.25">
      <c r="A5488" s="16"/>
      <c r="D5488" s="16"/>
      <c r="F5488" s="16"/>
      <c r="G5488" s="16"/>
      <c r="H5488" s="24"/>
      <c r="I5488" s="24"/>
      <c r="L5488"/>
    </row>
    <row r="5489" spans="1:12" x14ac:dyDescent="0.25">
      <c r="A5489" s="16"/>
      <c r="D5489" s="16"/>
      <c r="F5489" s="16"/>
      <c r="G5489" s="16"/>
      <c r="H5489" s="24"/>
      <c r="I5489" s="24"/>
      <c r="L5489"/>
    </row>
    <row r="5490" spans="1:12" x14ac:dyDescent="0.25">
      <c r="A5490" s="16"/>
      <c r="D5490" s="16"/>
      <c r="F5490" s="16"/>
      <c r="G5490" s="16"/>
      <c r="H5490" s="24"/>
      <c r="I5490" s="24"/>
      <c r="L5490"/>
    </row>
    <row r="5491" spans="1:12" x14ac:dyDescent="0.25">
      <c r="A5491" s="16"/>
      <c r="D5491" s="16"/>
      <c r="F5491" s="16"/>
      <c r="G5491" s="16"/>
      <c r="H5491" s="24"/>
      <c r="I5491" s="24"/>
      <c r="L5491"/>
    </row>
    <row r="5492" spans="1:12" x14ac:dyDescent="0.25">
      <c r="A5492" s="16"/>
      <c r="D5492" s="16"/>
      <c r="F5492" s="16"/>
      <c r="G5492" s="16"/>
      <c r="H5492" s="24"/>
      <c r="I5492" s="24"/>
      <c r="L5492"/>
    </row>
    <row r="5493" spans="1:12" x14ac:dyDescent="0.25">
      <c r="A5493" s="16"/>
      <c r="D5493" s="16"/>
      <c r="F5493" s="16"/>
      <c r="G5493" s="16"/>
      <c r="H5493" s="24"/>
      <c r="I5493" s="24"/>
      <c r="L5493"/>
    </row>
    <row r="5494" spans="1:12" x14ac:dyDescent="0.25">
      <c r="A5494" s="16"/>
      <c r="D5494" s="16"/>
      <c r="F5494" s="16"/>
      <c r="G5494" s="16"/>
      <c r="H5494" s="24"/>
      <c r="I5494" s="24"/>
      <c r="L5494"/>
    </row>
    <row r="5495" spans="1:12" x14ac:dyDescent="0.25">
      <c r="A5495" s="16"/>
      <c r="D5495" s="16"/>
      <c r="F5495" s="16"/>
      <c r="G5495" s="16"/>
      <c r="H5495" s="24"/>
      <c r="I5495" s="24"/>
      <c r="L5495"/>
    </row>
    <row r="5496" spans="1:12" x14ac:dyDescent="0.25">
      <c r="A5496" s="16"/>
      <c r="D5496" s="16"/>
      <c r="F5496" s="16"/>
      <c r="G5496" s="16"/>
      <c r="H5496" s="24"/>
      <c r="I5496" s="24"/>
      <c r="L5496"/>
    </row>
    <row r="5497" spans="1:12" x14ac:dyDescent="0.25">
      <c r="A5497" s="16"/>
      <c r="D5497" s="16"/>
      <c r="F5497" s="16"/>
      <c r="G5497" s="16"/>
      <c r="H5497" s="24"/>
      <c r="I5497" s="24"/>
      <c r="L5497"/>
    </row>
    <row r="5498" spans="1:12" x14ac:dyDescent="0.25">
      <c r="A5498" s="16"/>
      <c r="D5498" s="16"/>
      <c r="F5498" s="16"/>
      <c r="G5498" s="16"/>
      <c r="H5498" s="24"/>
      <c r="I5498" s="24"/>
      <c r="L5498"/>
    </row>
    <row r="5499" spans="1:12" x14ac:dyDescent="0.25">
      <c r="A5499" s="16"/>
      <c r="D5499" s="16"/>
      <c r="F5499" s="16"/>
      <c r="G5499" s="16"/>
      <c r="H5499" s="24"/>
      <c r="I5499" s="24"/>
      <c r="L5499"/>
    </row>
    <row r="5500" spans="1:12" x14ac:dyDescent="0.25">
      <c r="A5500" s="16"/>
      <c r="D5500" s="16"/>
      <c r="F5500" s="16"/>
      <c r="G5500" s="16"/>
      <c r="H5500" s="24"/>
      <c r="I5500" s="24"/>
      <c r="L5500"/>
    </row>
    <row r="5501" spans="1:12" x14ac:dyDescent="0.25">
      <c r="A5501" s="16"/>
      <c r="D5501" s="16"/>
      <c r="F5501" s="16"/>
      <c r="G5501" s="16"/>
      <c r="H5501" s="24"/>
      <c r="I5501" s="24"/>
      <c r="L5501"/>
    </row>
    <row r="5502" spans="1:12" x14ac:dyDescent="0.25">
      <c r="A5502" s="16"/>
      <c r="D5502" s="16"/>
      <c r="F5502" s="16"/>
      <c r="G5502" s="16"/>
      <c r="H5502" s="24"/>
      <c r="I5502" s="24"/>
      <c r="L5502"/>
    </row>
    <row r="5503" spans="1:12" x14ac:dyDescent="0.25">
      <c r="A5503" s="16"/>
      <c r="D5503" s="16"/>
      <c r="F5503" s="16"/>
      <c r="G5503" s="16"/>
      <c r="H5503" s="24"/>
      <c r="I5503" s="24"/>
      <c r="L5503"/>
    </row>
    <row r="5504" spans="1:12" x14ac:dyDescent="0.25">
      <c r="A5504" s="16"/>
      <c r="D5504" s="16"/>
      <c r="F5504" s="16"/>
      <c r="G5504" s="16"/>
      <c r="H5504" s="24"/>
      <c r="I5504" s="24"/>
      <c r="L5504"/>
    </row>
    <row r="5505" spans="1:12" x14ac:dyDescent="0.25">
      <c r="A5505" s="16"/>
      <c r="D5505" s="16"/>
      <c r="F5505" s="16"/>
      <c r="G5505" s="16"/>
      <c r="H5505" s="24"/>
      <c r="I5505" s="24"/>
      <c r="L5505"/>
    </row>
    <row r="5506" spans="1:12" x14ac:dyDescent="0.25">
      <c r="A5506" s="16"/>
      <c r="D5506" s="16"/>
      <c r="F5506" s="16"/>
      <c r="G5506" s="16"/>
      <c r="H5506" s="24"/>
      <c r="I5506" s="24"/>
      <c r="L5506"/>
    </row>
    <row r="5507" spans="1:12" x14ac:dyDescent="0.25">
      <c r="A5507" s="16"/>
      <c r="D5507" s="16"/>
      <c r="F5507" s="16"/>
      <c r="G5507" s="16"/>
      <c r="H5507" s="24"/>
      <c r="I5507" s="24"/>
      <c r="L5507"/>
    </row>
    <row r="5508" spans="1:12" x14ac:dyDescent="0.25">
      <c r="A5508" s="16"/>
      <c r="D5508" s="16"/>
      <c r="F5508" s="16"/>
      <c r="G5508" s="16"/>
      <c r="H5508" s="24"/>
      <c r="I5508" s="24"/>
      <c r="L5508"/>
    </row>
    <row r="5509" spans="1:12" x14ac:dyDescent="0.25">
      <c r="A5509" s="16"/>
      <c r="D5509" s="16"/>
      <c r="F5509" s="16"/>
      <c r="G5509" s="16"/>
      <c r="H5509" s="24"/>
      <c r="I5509" s="24"/>
      <c r="L5509"/>
    </row>
    <row r="5510" spans="1:12" x14ac:dyDescent="0.25">
      <c r="A5510" s="16"/>
      <c r="D5510" s="16"/>
      <c r="F5510" s="16"/>
      <c r="G5510" s="16"/>
      <c r="H5510" s="24"/>
      <c r="I5510" s="24"/>
      <c r="L5510"/>
    </row>
    <row r="5511" spans="1:12" x14ac:dyDescent="0.25">
      <c r="A5511" s="16"/>
      <c r="D5511" s="16"/>
      <c r="F5511" s="16"/>
      <c r="G5511" s="16"/>
      <c r="H5511" s="24"/>
      <c r="I5511" s="24"/>
      <c r="L5511"/>
    </row>
    <row r="5512" spans="1:12" x14ac:dyDescent="0.25">
      <c r="A5512" s="16"/>
      <c r="D5512" s="16"/>
      <c r="F5512" s="16"/>
      <c r="G5512" s="16"/>
      <c r="H5512" s="24"/>
      <c r="I5512" s="24"/>
      <c r="L5512"/>
    </row>
    <row r="5513" spans="1:12" x14ac:dyDescent="0.25">
      <c r="A5513" s="16"/>
      <c r="D5513" s="16"/>
      <c r="F5513" s="16"/>
      <c r="G5513" s="16"/>
      <c r="H5513" s="24"/>
      <c r="I5513" s="24"/>
      <c r="L5513"/>
    </row>
    <row r="5514" spans="1:12" x14ac:dyDescent="0.25">
      <c r="A5514" s="16"/>
      <c r="D5514" s="16"/>
      <c r="F5514" s="16"/>
      <c r="G5514" s="16"/>
      <c r="H5514" s="24"/>
      <c r="I5514" s="24"/>
      <c r="L5514"/>
    </row>
    <row r="5515" spans="1:12" x14ac:dyDescent="0.25">
      <c r="A5515" s="16"/>
      <c r="D5515" s="16"/>
      <c r="F5515" s="16"/>
      <c r="G5515" s="16"/>
      <c r="H5515" s="24"/>
      <c r="I5515" s="24"/>
      <c r="L5515"/>
    </row>
    <row r="5516" spans="1:12" x14ac:dyDescent="0.25">
      <c r="A5516" s="16"/>
      <c r="D5516" s="16"/>
      <c r="F5516" s="16"/>
      <c r="G5516" s="16"/>
      <c r="H5516" s="24"/>
      <c r="I5516" s="24"/>
      <c r="L5516"/>
    </row>
    <row r="5517" spans="1:12" x14ac:dyDescent="0.25">
      <c r="A5517" s="16"/>
      <c r="D5517" s="16"/>
      <c r="F5517" s="16"/>
      <c r="G5517" s="16"/>
      <c r="H5517" s="24"/>
      <c r="I5517" s="24"/>
      <c r="L5517"/>
    </row>
    <row r="5518" spans="1:12" x14ac:dyDescent="0.25">
      <c r="A5518" s="16"/>
      <c r="D5518" s="16"/>
      <c r="F5518" s="16"/>
      <c r="G5518" s="16"/>
      <c r="H5518" s="24"/>
      <c r="I5518" s="24"/>
      <c r="L5518"/>
    </row>
    <row r="5519" spans="1:12" x14ac:dyDescent="0.25">
      <c r="A5519" s="16"/>
      <c r="D5519" s="16"/>
      <c r="F5519" s="16"/>
      <c r="G5519" s="16"/>
      <c r="H5519" s="24"/>
      <c r="I5519" s="24"/>
      <c r="L5519"/>
    </row>
    <row r="5520" spans="1:12" x14ac:dyDescent="0.25">
      <c r="A5520" s="16"/>
      <c r="D5520" s="16"/>
      <c r="F5520" s="16"/>
      <c r="G5520" s="16"/>
      <c r="H5520" s="24"/>
      <c r="I5520" s="24"/>
      <c r="L5520"/>
    </row>
    <row r="5521" spans="1:12" x14ac:dyDescent="0.25">
      <c r="A5521" s="16"/>
      <c r="D5521" s="16"/>
      <c r="F5521" s="16"/>
      <c r="G5521" s="16"/>
      <c r="H5521" s="24"/>
      <c r="I5521" s="24"/>
      <c r="L5521"/>
    </row>
    <row r="5522" spans="1:12" x14ac:dyDescent="0.25">
      <c r="A5522" s="16"/>
      <c r="D5522" s="16"/>
      <c r="F5522" s="16"/>
      <c r="G5522" s="16"/>
      <c r="H5522" s="24"/>
      <c r="I5522" s="24"/>
      <c r="L5522"/>
    </row>
    <row r="5523" spans="1:12" x14ac:dyDescent="0.25">
      <c r="A5523" s="16"/>
      <c r="D5523" s="16"/>
      <c r="F5523" s="16"/>
      <c r="G5523" s="16"/>
      <c r="H5523" s="24"/>
      <c r="I5523" s="24"/>
      <c r="L5523"/>
    </row>
    <row r="5524" spans="1:12" x14ac:dyDescent="0.25">
      <c r="A5524" s="16"/>
      <c r="D5524" s="16"/>
      <c r="F5524" s="16"/>
      <c r="G5524" s="16"/>
      <c r="H5524" s="24"/>
      <c r="I5524" s="24"/>
      <c r="L5524"/>
    </row>
    <row r="5525" spans="1:12" x14ac:dyDescent="0.25">
      <c r="A5525" s="16"/>
      <c r="D5525" s="16"/>
      <c r="F5525" s="16"/>
      <c r="G5525" s="16"/>
      <c r="H5525" s="24"/>
      <c r="I5525" s="24"/>
      <c r="L5525"/>
    </row>
    <row r="5526" spans="1:12" x14ac:dyDescent="0.25">
      <c r="A5526" s="16"/>
      <c r="D5526" s="16"/>
      <c r="F5526" s="16"/>
      <c r="G5526" s="16"/>
      <c r="H5526" s="24"/>
      <c r="I5526" s="24"/>
      <c r="L5526"/>
    </row>
    <row r="5527" spans="1:12" x14ac:dyDescent="0.25">
      <c r="A5527" s="16"/>
      <c r="D5527" s="16"/>
      <c r="F5527" s="16"/>
      <c r="G5527" s="16"/>
      <c r="H5527" s="24"/>
      <c r="I5527" s="24"/>
      <c r="L5527"/>
    </row>
    <row r="5528" spans="1:12" x14ac:dyDescent="0.25">
      <c r="A5528" s="16"/>
      <c r="D5528" s="16"/>
      <c r="F5528" s="16"/>
      <c r="G5528" s="16"/>
      <c r="H5528" s="24"/>
      <c r="I5528" s="24"/>
      <c r="L5528"/>
    </row>
    <row r="5529" spans="1:12" x14ac:dyDescent="0.25">
      <c r="A5529" s="16"/>
      <c r="D5529" s="16"/>
      <c r="F5529" s="16"/>
      <c r="G5529" s="16"/>
      <c r="H5529" s="24"/>
      <c r="I5529" s="24"/>
      <c r="L5529"/>
    </row>
    <row r="5530" spans="1:12" x14ac:dyDescent="0.25">
      <c r="A5530" s="16"/>
      <c r="D5530" s="16"/>
      <c r="F5530" s="16"/>
      <c r="G5530" s="16"/>
      <c r="H5530" s="24"/>
      <c r="I5530" s="24"/>
      <c r="L5530"/>
    </row>
    <row r="5531" spans="1:12" x14ac:dyDescent="0.25">
      <c r="A5531" s="16"/>
      <c r="D5531" s="16"/>
      <c r="F5531" s="16"/>
      <c r="G5531" s="16"/>
      <c r="H5531" s="24"/>
      <c r="I5531" s="24"/>
      <c r="L5531"/>
    </row>
    <row r="5532" spans="1:12" x14ac:dyDescent="0.25">
      <c r="A5532" s="16"/>
      <c r="D5532" s="16"/>
      <c r="F5532" s="16"/>
      <c r="G5532" s="16"/>
      <c r="H5532" s="24"/>
      <c r="I5532" s="24"/>
      <c r="L5532"/>
    </row>
    <row r="5533" spans="1:12" x14ac:dyDescent="0.25">
      <c r="A5533" s="16"/>
      <c r="D5533" s="16"/>
      <c r="F5533" s="16"/>
      <c r="G5533" s="16"/>
      <c r="H5533" s="24"/>
      <c r="I5533" s="24"/>
      <c r="L5533"/>
    </row>
    <row r="5534" spans="1:12" x14ac:dyDescent="0.25">
      <c r="A5534" s="16"/>
      <c r="D5534" s="16"/>
      <c r="F5534" s="16"/>
      <c r="G5534" s="16"/>
      <c r="H5534" s="24"/>
      <c r="I5534" s="24"/>
      <c r="L5534"/>
    </row>
    <row r="5535" spans="1:12" x14ac:dyDescent="0.25">
      <c r="A5535" s="16"/>
      <c r="D5535" s="16"/>
      <c r="F5535" s="16"/>
      <c r="G5535" s="16"/>
      <c r="H5535" s="24"/>
      <c r="I5535" s="24"/>
      <c r="L5535"/>
    </row>
    <row r="5536" spans="1:12" x14ac:dyDescent="0.25">
      <c r="A5536" s="16"/>
      <c r="D5536" s="16"/>
      <c r="F5536" s="16"/>
      <c r="G5536" s="16"/>
      <c r="H5536" s="24"/>
      <c r="I5536" s="24"/>
      <c r="L5536"/>
    </row>
    <row r="5537" spans="1:12" x14ac:dyDescent="0.25">
      <c r="A5537" s="16"/>
      <c r="D5537" s="16"/>
      <c r="F5537" s="16"/>
      <c r="G5537" s="16"/>
      <c r="H5537" s="24"/>
      <c r="I5537" s="24"/>
      <c r="L5537"/>
    </row>
    <row r="5538" spans="1:12" x14ac:dyDescent="0.25">
      <c r="A5538" s="16"/>
      <c r="D5538" s="16"/>
      <c r="F5538" s="16"/>
      <c r="G5538" s="16"/>
      <c r="H5538" s="24"/>
      <c r="I5538" s="24"/>
      <c r="L5538"/>
    </row>
    <row r="5539" spans="1:12" x14ac:dyDescent="0.25">
      <c r="A5539" s="16"/>
      <c r="D5539" s="16"/>
      <c r="F5539" s="16"/>
      <c r="G5539" s="16"/>
      <c r="H5539" s="24"/>
      <c r="I5539" s="24"/>
      <c r="L5539"/>
    </row>
    <row r="5540" spans="1:12" x14ac:dyDescent="0.25">
      <c r="A5540" s="16"/>
      <c r="D5540" s="16"/>
      <c r="F5540" s="16"/>
      <c r="G5540" s="16"/>
      <c r="H5540" s="24"/>
      <c r="I5540" s="24"/>
      <c r="L5540"/>
    </row>
    <row r="5541" spans="1:12" x14ac:dyDescent="0.25">
      <c r="A5541" s="16"/>
      <c r="D5541" s="16"/>
      <c r="F5541" s="16"/>
      <c r="G5541" s="16"/>
      <c r="H5541" s="24"/>
      <c r="I5541" s="24"/>
      <c r="L5541"/>
    </row>
    <row r="5542" spans="1:12" x14ac:dyDescent="0.25">
      <c r="A5542" s="16"/>
      <c r="D5542" s="16"/>
      <c r="F5542" s="16"/>
      <c r="G5542" s="16"/>
      <c r="H5542" s="24"/>
      <c r="I5542" s="24"/>
      <c r="L5542"/>
    </row>
    <row r="5543" spans="1:12" x14ac:dyDescent="0.25">
      <c r="A5543" s="16"/>
      <c r="D5543" s="16"/>
      <c r="F5543" s="16"/>
      <c r="G5543" s="16"/>
      <c r="H5543" s="24"/>
      <c r="I5543" s="24"/>
      <c r="L5543"/>
    </row>
    <row r="5544" spans="1:12" x14ac:dyDescent="0.25">
      <c r="A5544" s="16"/>
      <c r="D5544" s="16"/>
      <c r="F5544" s="16"/>
      <c r="G5544" s="16"/>
      <c r="H5544" s="24"/>
      <c r="I5544" s="24"/>
      <c r="L5544"/>
    </row>
    <row r="5545" spans="1:12" x14ac:dyDescent="0.25">
      <c r="A5545" s="16"/>
      <c r="D5545" s="16"/>
      <c r="F5545" s="16"/>
      <c r="G5545" s="16"/>
      <c r="H5545" s="24"/>
      <c r="I5545" s="24"/>
      <c r="L5545"/>
    </row>
    <row r="5546" spans="1:12" x14ac:dyDescent="0.25">
      <c r="A5546" s="16"/>
      <c r="D5546" s="16"/>
      <c r="F5546" s="16"/>
      <c r="G5546" s="16"/>
      <c r="H5546" s="24"/>
      <c r="I5546" s="24"/>
      <c r="L5546"/>
    </row>
    <row r="5547" spans="1:12" x14ac:dyDescent="0.25">
      <c r="A5547" s="16"/>
      <c r="D5547" s="16"/>
      <c r="F5547" s="16"/>
      <c r="G5547" s="16"/>
      <c r="H5547" s="24"/>
      <c r="I5547" s="24"/>
      <c r="L5547"/>
    </row>
    <row r="5548" spans="1:12" x14ac:dyDescent="0.25">
      <c r="A5548" s="16"/>
      <c r="D5548" s="16"/>
      <c r="F5548" s="16"/>
      <c r="G5548" s="16"/>
      <c r="H5548" s="24"/>
      <c r="I5548" s="24"/>
      <c r="L5548"/>
    </row>
    <row r="5549" spans="1:12" x14ac:dyDescent="0.25">
      <c r="A5549" s="16"/>
      <c r="D5549" s="16"/>
      <c r="F5549" s="16"/>
      <c r="G5549" s="16"/>
      <c r="H5549" s="24"/>
      <c r="I5549" s="24"/>
      <c r="L5549"/>
    </row>
    <row r="5550" spans="1:12" x14ac:dyDescent="0.25">
      <c r="A5550" s="16"/>
      <c r="D5550" s="16"/>
      <c r="F5550" s="16"/>
      <c r="G5550" s="16"/>
      <c r="H5550" s="24"/>
      <c r="I5550" s="24"/>
      <c r="L5550"/>
    </row>
    <row r="5551" spans="1:12" x14ac:dyDescent="0.25">
      <c r="A5551" s="16"/>
      <c r="D5551" s="16"/>
      <c r="F5551" s="16"/>
      <c r="G5551" s="16"/>
      <c r="H5551" s="24"/>
      <c r="I5551" s="24"/>
      <c r="L5551"/>
    </row>
    <row r="5552" spans="1:12" x14ac:dyDescent="0.25">
      <c r="A5552" s="16"/>
      <c r="D5552" s="16"/>
      <c r="F5552" s="16"/>
      <c r="G5552" s="16"/>
      <c r="H5552" s="24"/>
      <c r="I5552" s="24"/>
      <c r="L5552"/>
    </row>
    <row r="5553" spans="1:12" x14ac:dyDescent="0.25">
      <c r="A5553" s="16"/>
      <c r="D5553" s="16"/>
      <c r="F5553" s="16"/>
      <c r="G5553" s="16"/>
      <c r="H5553" s="24"/>
      <c r="I5553" s="24"/>
      <c r="L5553"/>
    </row>
    <row r="5554" spans="1:12" x14ac:dyDescent="0.25">
      <c r="A5554" s="16"/>
      <c r="D5554" s="16"/>
      <c r="F5554" s="16"/>
      <c r="G5554" s="16"/>
      <c r="H5554" s="24"/>
      <c r="I5554" s="24"/>
      <c r="L5554"/>
    </row>
    <row r="5555" spans="1:12" x14ac:dyDescent="0.25">
      <c r="A5555" s="16"/>
      <c r="D5555" s="16"/>
      <c r="F5555" s="16"/>
      <c r="G5555" s="16"/>
      <c r="H5555" s="24"/>
      <c r="I5555" s="24"/>
      <c r="L5555"/>
    </row>
    <row r="5556" spans="1:12" x14ac:dyDescent="0.25">
      <c r="A5556" s="16"/>
      <c r="D5556" s="16"/>
      <c r="F5556" s="16"/>
      <c r="G5556" s="16"/>
      <c r="H5556" s="24"/>
      <c r="I5556" s="24"/>
      <c r="L5556"/>
    </row>
    <row r="5557" spans="1:12" x14ac:dyDescent="0.25">
      <c r="A5557" s="16"/>
      <c r="D5557" s="16"/>
      <c r="F5557" s="16"/>
      <c r="G5557" s="16"/>
      <c r="H5557" s="24"/>
      <c r="I5557" s="24"/>
      <c r="L5557"/>
    </row>
    <row r="5558" spans="1:12" x14ac:dyDescent="0.25">
      <c r="A5558" s="16"/>
      <c r="D5558" s="16"/>
      <c r="F5558" s="16"/>
      <c r="G5558" s="16"/>
      <c r="H5558" s="24"/>
      <c r="I5558" s="24"/>
      <c r="L5558"/>
    </row>
    <row r="5559" spans="1:12" x14ac:dyDescent="0.25">
      <c r="A5559" s="16"/>
      <c r="D5559" s="16"/>
      <c r="F5559" s="16"/>
      <c r="G5559" s="16"/>
      <c r="H5559" s="24"/>
      <c r="I5559" s="24"/>
      <c r="L5559"/>
    </row>
    <row r="5560" spans="1:12" x14ac:dyDescent="0.25">
      <c r="A5560" s="16"/>
      <c r="D5560" s="16"/>
      <c r="F5560" s="16"/>
      <c r="G5560" s="16"/>
      <c r="H5560" s="24"/>
      <c r="I5560" s="24"/>
      <c r="L5560"/>
    </row>
    <row r="5561" spans="1:12" x14ac:dyDescent="0.25">
      <c r="A5561" s="16"/>
      <c r="D5561" s="16"/>
      <c r="F5561" s="16"/>
      <c r="G5561" s="16"/>
      <c r="H5561" s="24"/>
      <c r="I5561" s="24"/>
      <c r="L5561"/>
    </row>
    <row r="5562" spans="1:12" x14ac:dyDescent="0.25">
      <c r="A5562" s="16"/>
      <c r="D5562" s="16"/>
      <c r="F5562" s="16"/>
      <c r="G5562" s="16"/>
      <c r="H5562" s="24"/>
      <c r="I5562" s="24"/>
      <c r="L5562"/>
    </row>
    <row r="5563" spans="1:12" x14ac:dyDescent="0.25">
      <c r="A5563" s="16"/>
      <c r="D5563" s="16"/>
      <c r="F5563" s="16"/>
      <c r="G5563" s="16"/>
      <c r="H5563" s="24"/>
      <c r="I5563" s="24"/>
      <c r="L5563"/>
    </row>
    <row r="5564" spans="1:12" x14ac:dyDescent="0.25">
      <c r="A5564" s="16"/>
      <c r="D5564" s="16"/>
      <c r="F5564" s="16"/>
      <c r="G5564" s="16"/>
      <c r="H5564" s="24"/>
      <c r="I5564" s="24"/>
      <c r="L5564"/>
    </row>
    <row r="5565" spans="1:12" x14ac:dyDescent="0.25">
      <c r="A5565" s="16"/>
      <c r="D5565" s="16"/>
      <c r="F5565" s="16"/>
      <c r="G5565" s="16"/>
      <c r="H5565" s="24"/>
      <c r="I5565" s="24"/>
      <c r="L5565"/>
    </row>
    <row r="5566" spans="1:12" x14ac:dyDescent="0.25">
      <c r="A5566" s="16"/>
      <c r="D5566" s="16"/>
      <c r="F5566" s="16"/>
      <c r="G5566" s="16"/>
      <c r="H5566" s="24"/>
      <c r="I5566" s="24"/>
      <c r="L5566"/>
    </row>
    <row r="5567" spans="1:12" x14ac:dyDescent="0.25">
      <c r="A5567" s="16"/>
      <c r="D5567" s="16"/>
      <c r="F5567" s="16"/>
      <c r="G5567" s="16"/>
      <c r="H5567" s="24"/>
      <c r="I5567" s="24"/>
      <c r="L5567"/>
    </row>
    <row r="5568" spans="1:12" x14ac:dyDescent="0.25">
      <c r="A5568" s="16"/>
      <c r="D5568" s="16"/>
      <c r="F5568" s="16"/>
      <c r="G5568" s="16"/>
      <c r="H5568" s="24"/>
      <c r="I5568" s="24"/>
      <c r="L5568"/>
    </row>
    <row r="5569" spans="1:12" x14ac:dyDescent="0.25">
      <c r="A5569" s="16"/>
      <c r="D5569" s="16"/>
      <c r="F5569" s="16"/>
      <c r="G5569" s="16"/>
      <c r="H5569" s="24"/>
      <c r="I5569" s="24"/>
      <c r="L5569"/>
    </row>
    <row r="5570" spans="1:12" x14ac:dyDescent="0.25">
      <c r="A5570" s="16"/>
      <c r="D5570" s="16"/>
      <c r="F5570" s="16"/>
      <c r="G5570" s="16"/>
      <c r="H5570" s="24"/>
      <c r="I5570" s="24"/>
      <c r="L5570"/>
    </row>
    <row r="5571" spans="1:12" x14ac:dyDescent="0.25">
      <c r="A5571" s="16"/>
      <c r="D5571" s="16"/>
      <c r="F5571" s="16"/>
      <c r="G5571" s="16"/>
      <c r="H5571" s="24"/>
      <c r="I5571" s="24"/>
      <c r="L5571"/>
    </row>
    <row r="5572" spans="1:12" x14ac:dyDescent="0.25">
      <c r="A5572" s="16"/>
      <c r="D5572" s="16"/>
      <c r="F5572" s="16"/>
      <c r="G5572" s="16"/>
      <c r="H5572" s="24"/>
      <c r="I5572" s="24"/>
      <c r="L5572"/>
    </row>
    <row r="5573" spans="1:12" x14ac:dyDescent="0.25">
      <c r="A5573" s="16"/>
      <c r="D5573" s="16"/>
      <c r="F5573" s="16"/>
      <c r="G5573" s="16"/>
      <c r="H5573" s="24"/>
      <c r="I5573" s="24"/>
      <c r="L5573"/>
    </row>
    <row r="5574" spans="1:12" x14ac:dyDescent="0.25">
      <c r="A5574" s="16"/>
      <c r="D5574" s="16"/>
      <c r="F5574" s="16"/>
      <c r="G5574" s="16"/>
      <c r="H5574" s="24"/>
      <c r="I5574" s="24"/>
      <c r="L5574"/>
    </row>
    <row r="5575" spans="1:12" x14ac:dyDescent="0.25">
      <c r="A5575" s="16"/>
      <c r="D5575" s="16"/>
      <c r="F5575" s="16"/>
      <c r="G5575" s="16"/>
      <c r="H5575" s="24"/>
      <c r="I5575" s="24"/>
      <c r="L5575"/>
    </row>
    <row r="5576" spans="1:12" x14ac:dyDescent="0.25">
      <c r="A5576" s="16"/>
      <c r="D5576" s="16"/>
      <c r="F5576" s="16"/>
      <c r="G5576" s="16"/>
      <c r="H5576" s="24"/>
      <c r="I5576" s="24"/>
      <c r="L5576"/>
    </row>
    <row r="5577" spans="1:12" x14ac:dyDescent="0.25">
      <c r="A5577" s="16"/>
      <c r="D5577" s="16"/>
      <c r="F5577" s="16"/>
      <c r="G5577" s="16"/>
      <c r="H5577" s="24"/>
      <c r="I5577" s="24"/>
      <c r="L5577"/>
    </row>
    <row r="5578" spans="1:12" x14ac:dyDescent="0.25">
      <c r="A5578" s="16"/>
      <c r="D5578" s="16"/>
      <c r="F5578" s="16"/>
      <c r="G5578" s="16"/>
      <c r="H5578" s="24"/>
      <c r="I5578" s="24"/>
      <c r="L5578"/>
    </row>
    <row r="5579" spans="1:12" x14ac:dyDescent="0.25">
      <c r="A5579" s="16"/>
      <c r="D5579" s="16"/>
      <c r="F5579" s="16"/>
      <c r="G5579" s="16"/>
      <c r="H5579" s="24"/>
      <c r="I5579" s="24"/>
      <c r="L5579"/>
    </row>
    <row r="5580" spans="1:12" x14ac:dyDescent="0.25">
      <c r="A5580" s="16"/>
      <c r="D5580" s="16"/>
      <c r="F5580" s="16"/>
      <c r="G5580" s="16"/>
      <c r="H5580" s="24"/>
      <c r="I5580" s="24"/>
      <c r="L5580"/>
    </row>
    <row r="5581" spans="1:12" x14ac:dyDescent="0.25">
      <c r="A5581" s="16"/>
      <c r="D5581" s="16"/>
      <c r="F5581" s="16"/>
      <c r="G5581" s="16"/>
      <c r="H5581" s="24"/>
      <c r="I5581" s="24"/>
      <c r="L5581"/>
    </row>
    <row r="5582" spans="1:12" x14ac:dyDescent="0.25">
      <c r="A5582" s="16"/>
      <c r="D5582" s="16"/>
      <c r="F5582" s="16"/>
      <c r="G5582" s="16"/>
      <c r="H5582" s="24"/>
      <c r="I5582" s="24"/>
      <c r="L5582"/>
    </row>
    <row r="5583" spans="1:12" x14ac:dyDescent="0.25">
      <c r="A5583" s="16"/>
      <c r="D5583" s="16"/>
      <c r="F5583" s="16"/>
      <c r="G5583" s="16"/>
      <c r="H5583" s="24"/>
      <c r="I5583" s="24"/>
      <c r="L5583"/>
    </row>
    <row r="5584" spans="1:12" x14ac:dyDescent="0.25">
      <c r="A5584" s="16"/>
      <c r="D5584" s="16"/>
      <c r="F5584" s="16"/>
      <c r="G5584" s="16"/>
      <c r="H5584" s="24"/>
      <c r="I5584" s="24"/>
      <c r="L5584"/>
    </row>
    <row r="5585" spans="1:12" x14ac:dyDescent="0.25">
      <c r="A5585" s="16"/>
      <c r="D5585" s="16"/>
      <c r="F5585" s="16"/>
      <c r="G5585" s="16"/>
      <c r="H5585" s="24"/>
      <c r="I5585" s="24"/>
      <c r="L5585"/>
    </row>
    <row r="5586" spans="1:12" x14ac:dyDescent="0.25">
      <c r="A5586" s="16"/>
      <c r="D5586" s="16"/>
      <c r="F5586" s="16"/>
      <c r="G5586" s="16"/>
      <c r="H5586" s="24"/>
      <c r="I5586" s="24"/>
      <c r="L5586"/>
    </row>
    <row r="5587" spans="1:12" x14ac:dyDescent="0.25">
      <c r="A5587" s="16"/>
      <c r="D5587" s="16"/>
      <c r="F5587" s="16"/>
      <c r="G5587" s="16"/>
      <c r="H5587" s="24"/>
      <c r="I5587" s="24"/>
      <c r="L5587"/>
    </row>
    <row r="5588" spans="1:12" x14ac:dyDescent="0.25">
      <c r="A5588" s="16"/>
      <c r="D5588" s="16"/>
      <c r="F5588" s="16"/>
      <c r="G5588" s="16"/>
      <c r="H5588" s="24"/>
      <c r="I5588" s="24"/>
      <c r="L5588"/>
    </row>
    <row r="5589" spans="1:12" x14ac:dyDescent="0.25">
      <c r="A5589" s="16"/>
      <c r="D5589" s="16"/>
      <c r="F5589" s="16"/>
      <c r="G5589" s="16"/>
      <c r="H5589" s="24"/>
      <c r="I5589" s="24"/>
      <c r="L5589"/>
    </row>
    <row r="5590" spans="1:12" x14ac:dyDescent="0.25">
      <c r="A5590" s="16"/>
      <c r="D5590" s="16"/>
      <c r="F5590" s="16"/>
      <c r="G5590" s="16"/>
      <c r="H5590" s="24"/>
      <c r="I5590" s="24"/>
      <c r="L5590"/>
    </row>
    <row r="5591" spans="1:12" x14ac:dyDescent="0.25">
      <c r="A5591" s="16"/>
      <c r="D5591" s="16"/>
      <c r="F5591" s="16"/>
      <c r="G5591" s="16"/>
      <c r="H5591" s="24"/>
      <c r="I5591" s="24"/>
      <c r="L5591"/>
    </row>
    <row r="5592" spans="1:12" x14ac:dyDescent="0.25">
      <c r="A5592" s="16"/>
      <c r="D5592" s="16"/>
      <c r="F5592" s="16"/>
      <c r="G5592" s="16"/>
      <c r="H5592" s="24"/>
      <c r="I5592" s="24"/>
      <c r="L5592"/>
    </row>
    <row r="5593" spans="1:12" x14ac:dyDescent="0.25">
      <c r="A5593" s="16"/>
      <c r="D5593" s="16"/>
      <c r="F5593" s="16"/>
      <c r="G5593" s="16"/>
      <c r="H5593" s="24"/>
      <c r="I5593" s="24"/>
      <c r="L5593"/>
    </row>
    <row r="5594" spans="1:12" x14ac:dyDescent="0.25">
      <c r="A5594" s="16"/>
      <c r="D5594" s="16"/>
      <c r="F5594" s="16"/>
      <c r="G5594" s="16"/>
      <c r="H5594" s="24"/>
      <c r="I5594" s="24"/>
      <c r="L5594"/>
    </row>
    <row r="5595" spans="1:12" x14ac:dyDescent="0.25">
      <c r="A5595" s="16"/>
      <c r="D5595" s="16"/>
      <c r="F5595" s="16"/>
      <c r="G5595" s="16"/>
      <c r="H5595" s="24"/>
      <c r="I5595" s="24"/>
      <c r="L5595"/>
    </row>
    <row r="5596" spans="1:12" x14ac:dyDescent="0.25">
      <c r="A5596" s="16"/>
      <c r="D5596" s="16"/>
      <c r="F5596" s="16"/>
      <c r="G5596" s="16"/>
      <c r="H5596" s="24"/>
      <c r="I5596" s="24"/>
      <c r="L5596"/>
    </row>
    <row r="5597" spans="1:12" x14ac:dyDescent="0.25">
      <c r="A5597" s="16"/>
      <c r="D5597" s="16"/>
      <c r="F5597" s="16"/>
      <c r="G5597" s="16"/>
      <c r="H5597" s="24"/>
      <c r="I5597" s="24"/>
      <c r="L5597"/>
    </row>
    <row r="5598" spans="1:12" x14ac:dyDescent="0.25">
      <c r="A5598" s="16"/>
      <c r="D5598" s="16"/>
      <c r="F5598" s="16"/>
      <c r="G5598" s="16"/>
      <c r="H5598" s="24"/>
      <c r="I5598" s="24"/>
      <c r="L5598"/>
    </row>
    <row r="5599" spans="1:12" x14ac:dyDescent="0.25">
      <c r="A5599" s="16"/>
      <c r="D5599" s="16"/>
      <c r="F5599" s="16"/>
      <c r="G5599" s="16"/>
      <c r="H5599" s="24"/>
      <c r="I5599" s="24"/>
      <c r="L5599"/>
    </row>
    <row r="5600" spans="1:12" x14ac:dyDescent="0.25">
      <c r="A5600" s="16"/>
      <c r="D5600" s="16"/>
      <c r="F5600" s="16"/>
      <c r="G5600" s="16"/>
      <c r="H5600" s="24"/>
      <c r="I5600" s="24"/>
      <c r="L5600"/>
    </row>
    <row r="5601" spans="1:12" x14ac:dyDescent="0.25">
      <c r="A5601" s="16"/>
      <c r="D5601" s="16"/>
      <c r="F5601" s="16"/>
      <c r="G5601" s="16"/>
      <c r="H5601" s="24"/>
      <c r="I5601" s="24"/>
      <c r="L5601"/>
    </row>
    <row r="5602" spans="1:12" x14ac:dyDescent="0.25">
      <c r="A5602" s="16"/>
      <c r="D5602" s="16"/>
      <c r="F5602" s="16"/>
      <c r="G5602" s="16"/>
      <c r="H5602" s="24"/>
      <c r="I5602" s="24"/>
      <c r="L5602"/>
    </row>
    <row r="5603" spans="1:12" x14ac:dyDescent="0.25">
      <c r="A5603" s="16"/>
      <c r="D5603" s="16"/>
      <c r="F5603" s="16"/>
      <c r="G5603" s="16"/>
      <c r="H5603" s="24"/>
      <c r="I5603" s="24"/>
      <c r="L5603"/>
    </row>
    <row r="5604" spans="1:12" x14ac:dyDescent="0.25">
      <c r="A5604" s="16"/>
      <c r="D5604" s="16"/>
      <c r="F5604" s="16"/>
      <c r="G5604" s="16"/>
      <c r="H5604" s="24"/>
      <c r="I5604" s="24"/>
      <c r="L5604"/>
    </row>
    <row r="5605" spans="1:12" x14ac:dyDescent="0.25">
      <c r="A5605" s="16"/>
      <c r="D5605" s="16"/>
      <c r="F5605" s="16"/>
      <c r="G5605" s="16"/>
      <c r="H5605" s="24"/>
      <c r="I5605" s="24"/>
      <c r="L5605"/>
    </row>
    <row r="5606" spans="1:12" x14ac:dyDescent="0.25">
      <c r="A5606" s="16"/>
      <c r="D5606" s="16"/>
      <c r="F5606" s="16"/>
      <c r="G5606" s="16"/>
      <c r="H5606" s="24"/>
      <c r="I5606" s="24"/>
      <c r="L5606"/>
    </row>
    <row r="5607" spans="1:12" x14ac:dyDescent="0.25">
      <c r="A5607" s="16"/>
      <c r="D5607" s="16"/>
      <c r="F5607" s="16"/>
      <c r="G5607" s="16"/>
      <c r="H5607" s="24"/>
      <c r="I5607" s="24"/>
      <c r="L5607"/>
    </row>
    <row r="5608" spans="1:12" x14ac:dyDescent="0.25">
      <c r="A5608" s="16"/>
      <c r="D5608" s="16"/>
      <c r="F5608" s="16"/>
      <c r="G5608" s="16"/>
      <c r="H5608" s="24"/>
      <c r="I5608" s="24"/>
      <c r="L5608"/>
    </row>
    <row r="5609" spans="1:12" x14ac:dyDescent="0.25">
      <c r="A5609" s="16"/>
      <c r="D5609" s="16"/>
      <c r="F5609" s="16"/>
      <c r="G5609" s="16"/>
      <c r="H5609" s="24"/>
      <c r="I5609" s="24"/>
      <c r="L5609"/>
    </row>
    <row r="5610" spans="1:12" x14ac:dyDescent="0.25">
      <c r="A5610" s="16"/>
      <c r="D5610" s="16"/>
      <c r="F5610" s="16"/>
      <c r="G5610" s="16"/>
      <c r="H5610" s="24"/>
      <c r="I5610" s="24"/>
      <c r="L5610"/>
    </row>
    <row r="5611" spans="1:12" x14ac:dyDescent="0.25">
      <c r="A5611" s="16"/>
      <c r="D5611" s="16"/>
      <c r="F5611" s="16"/>
      <c r="G5611" s="16"/>
      <c r="H5611" s="24"/>
      <c r="I5611" s="24"/>
      <c r="L5611"/>
    </row>
    <row r="5612" spans="1:12" x14ac:dyDescent="0.25">
      <c r="A5612" s="16"/>
      <c r="D5612" s="16"/>
      <c r="F5612" s="16"/>
      <c r="G5612" s="16"/>
      <c r="H5612" s="24"/>
      <c r="I5612" s="24"/>
      <c r="L5612"/>
    </row>
    <row r="5613" spans="1:12" x14ac:dyDescent="0.25">
      <c r="A5613" s="16"/>
      <c r="D5613" s="16"/>
      <c r="F5613" s="16"/>
      <c r="G5613" s="16"/>
      <c r="H5613" s="24"/>
      <c r="I5613" s="24"/>
      <c r="L5613"/>
    </row>
    <row r="5614" spans="1:12" x14ac:dyDescent="0.25">
      <c r="A5614" s="16"/>
      <c r="D5614" s="16"/>
      <c r="F5614" s="16"/>
      <c r="G5614" s="16"/>
      <c r="H5614" s="24"/>
      <c r="I5614" s="24"/>
      <c r="L5614"/>
    </row>
    <row r="5615" spans="1:12" x14ac:dyDescent="0.25">
      <c r="A5615" s="16"/>
      <c r="D5615" s="16"/>
      <c r="F5615" s="16"/>
      <c r="G5615" s="16"/>
      <c r="H5615" s="24"/>
      <c r="I5615" s="24"/>
      <c r="L5615"/>
    </row>
    <row r="5616" spans="1:12" x14ac:dyDescent="0.25">
      <c r="A5616" s="16"/>
      <c r="D5616" s="16"/>
      <c r="F5616" s="16"/>
      <c r="G5616" s="16"/>
      <c r="H5616" s="24"/>
      <c r="I5616" s="24"/>
      <c r="L5616"/>
    </row>
    <row r="5617" spans="1:12" x14ac:dyDescent="0.25">
      <c r="A5617" s="16"/>
      <c r="D5617" s="16"/>
      <c r="F5617" s="16"/>
      <c r="G5617" s="16"/>
      <c r="H5617" s="24"/>
      <c r="I5617" s="24"/>
      <c r="L5617"/>
    </row>
    <row r="5618" spans="1:12" x14ac:dyDescent="0.25">
      <c r="A5618" s="16"/>
      <c r="D5618" s="16"/>
      <c r="F5618" s="16"/>
      <c r="G5618" s="16"/>
      <c r="H5618" s="24"/>
      <c r="I5618" s="24"/>
      <c r="L5618"/>
    </row>
    <row r="5619" spans="1:12" x14ac:dyDescent="0.25">
      <c r="A5619" s="16"/>
      <c r="D5619" s="16"/>
      <c r="F5619" s="16"/>
      <c r="G5619" s="16"/>
      <c r="H5619" s="24"/>
      <c r="I5619" s="24"/>
      <c r="L5619"/>
    </row>
    <row r="5620" spans="1:12" x14ac:dyDescent="0.25">
      <c r="A5620" s="16"/>
      <c r="D5620" s="16"/>
      <c r="F5620" s="16"/>
      <c r="G5620" s="16"/>
      <c r="H5620" s="24"/>
      <c r="I5620" s="24"/>
      <c r="L5620"/>
    </row>
    <row r="5621" spans="1:12" x14ac:dyDescent="0.25">
      <c r="A5621" s="16"/>
      <c r="D5621" s="16"/>
      <c r="F5621" s="16"/>
      <c r="G5621" s="16"/>
      <c r="H5621" s="24"/>
      <c r="I5621" s="24"/>
      <c r="L5621"/>
    </row>
    <row r="5622" spans="1:12" x14ac:dyDescent="0.25">
      <c r="A5622" s="16"/>
      <c r="D5622" s="16"/>
      <c r="F5622" s="16"/>
      <c r="G5622" s="16"/>
      <c r="H5622" s="24"/>
      <c r="I5622" s="24"/>
      <c r="L5622"/>
    </row>
    <row r="5623" spans="1:12" x14ac:dyDescent="0.25">
      <c r="A5623" s="16"/>
      <c r="D5623" s="16"/>
      <c r="F5623" s="16"/>
      <c r="G5623" s="16"/>
      <c r="H5623" s="24"/>
      <c r="I5623" s="24"/>
      <c r="L5623"/>
    </row>
    <row r="5624" spans="1:12" x14ac:dyDescent="0.25">
      <c r="A5624" s="16"/>
      <c r="D5624" s="16"/>
      <c r="F5624" s="16"/>
      <c r="G5624" s="16"/>
      <c r="H5624" s="24"/>
      <c r="I5624" s="24"/>
      <c r="L5624"/>
    </row>
    <row r="5625" spans="1:12" x14ac:dyDescent="0.25">
      <c r="A5625" s="16"/>
      <c r="D5625" s="16"/>
      <c r="F5625" s="16"/>
      <c r="G5625" s="16"/>
      <c r="H5625" s="24"/>
      <c r="I5625" s="24"/>
      <c r="L5625"/>
    </row>
    <row r="5626" spans="1:12" x14ac:dyDescent="0.25">
      <c r="A5626" s="16"/>
      <c r="D5626" s="16"/>
      <c r="F5626" s="16"/>
      <c r="G5626" s="16"/>
      <c r="H5626" s="24"/>
      <c r="I5626" s="24"/>
      <c r="L5626"/>
    </row>
    <row r="5627" spans="1:12" x14ac:dyDescent="0.25">
      <c r="A5627" s="16"/>
      <c r="D5627" s="16"/>
      <c r="F5627" s="16"/>
      <c r="G5627" s="16"/>
      <c r="H5627" s="24"/>
      <c r="I5627" s="24"/>
      <c r="L5627"/>
    </row>
    <row r="5628" spans="1:12" x14ac:dyDescent="0.25">
      <c r="A5628" s="16"/>
      <c r="D5628" s="16"/>
      <c r="F5628" s="16"/>
      <c r="G5628" s="16"/>
      <c r="H5628" s="24"/>
      <c r="I5628" s="24"/>
      <c r="L5628"/>
    </row>
    <row r="5629" spans="1:12" x14ac:dyDescent="0.25">
      <c r="A5629" s="16"/>
      <c r="D5629" s="16"/>
      <c r="F5629" s="16"/>
      <c r="G5629" s="16"/>
      <c r="H5629" s="24"/>
      <c r="I5629" s="24"/>
      <c r="L5629"/>
    </row>
    <row r="5630" spans="1:12" x14ac:dyDescent="0.25">
      <c r="A5630" s="16"/>
      <c r="D5630" s="16"/>
      <c r="F5630" s="16"/>
      <c r="G5630" s="16"/>
      <c r="H5630" s="24"/>
      <c r="I5630" s="24"/>
      <c r="L5630"/>
    </row>
    <row r="5631" spans="1:12" x14ac:dyDescent="0.25">
      <c r="A5631" s="16"/>
      <c r="D5631" s="16"/>
      <c r="F5631" s="16"/>
      <c r="G5631" s="16"/>
      <c r="H5631" s="24"/>
      <c r="I5631" s="24"/>
      <c r="L5631"/>
    </row>
    <row r="5632" spans="1:12" x14ac:dyDescent="0.25">
      <c r="A5632" s="16"/>
      <c r="D5632" s="16"/>
      <c r="F5632" s="16"/>
      <c r="G5632" s="16"/>
      <c r="H5632" s="24"/>
      <c r="I5632" s="24"/>
      <c r="L5632"/>
    </row>
    <row r="5633" spans="1:12" x14ac:dyDescent="0.25">
      <c r="A5633" s="16"/>
      <c r="D5633" s="16"/>
      <c r="F5633" s="16"/>
      <c r="G5633" s="16"/>
      <c r="H5633" s="24"/>
      <c r="I5633" s="24"/>
      <c r="L5633"/>
    </row>
    <row r="5634" spans="1:12" x14ac:dyDescent="0.25">
      <c r="A5634" s="16"/>
      <c r="D5634" s="16"/>
      <c r="F5634" s="16"/>
      <c r="G5634" s="16"/>
      <c r="H5634" s="24"/>
      <c r="I5634" s="24"/>
      <c r="L5634"/>
    </row>
    <row r="5635" spans="1:12" x14ac:dyDescent="0.25">
      <c r="A5635" s="16"/>
      <c r="D5635" s="16"/>
      <c r="F5635" s="16"/>
      <c r="G5635" s="16"/>
      <c r="H5635" s="24"/>
      <c r="I5635" s="24"/>
      <c r="L5635"/>
    </row>
    <row r="5636" spans="1:12" x14ac:dyDescent="0.25">
      <c r="A5636" s="16"/>
      <c r="D5636" s="16"/>
      <c r="F5636" s="16"/>
      <c r="G5636" s="16"/>
      <c r="H5636" s="24"/>
      <c r="I5636" s="24"/>
      <c r="L5636"/>
    </row>
    <row r="5637" spans="1:12" x14ac:dyDescent="0.25">
      <c r="A5637" s="16"/>
      <c r="D5637" s="16"/>
      <c r="F5637" s="16"/>
      <c r="G5637" s="16"/>
      <c r="H5637" s="24"/>
      <c r="I5637" s="24"/>
      <c r="L5637"/>
    </row>
    <row r="5638" spans="1:12" x14ac:dyDescent="0.25">
      <c r="A5638" s="16"/>
      <c r="D5638" s="16"/>
      <c r="F5638" s="16"/>
      <c r="G5638" s="16"/>
      <c r="H5638" s="24"/>
      <c r="I5638" s="24"/>
      <c r="L5638"/>
    </row>
    <row r="5639" spans="1:12" x14ac:dyDescent="0.25">
      <c r="A5639" s="16"/>
      <c r="D5639" s="16"/>
      <c r="F5639" s="16"/>
      <c r="G5639" s="16"/>
      <c r="H5639" s="24"/>
      <c r="I5639" s="24"/>
      <c r="L5639"/>
    </row>
    <row r="5640" spans="1:12" x14ac:dyDescent="0.25">
      <c r="A5640" s="16"/>
      <c r="D5640" s="16"/>
      <c r="F5640" s="16"/>
      <c r="G5640" s="16"/>
      <c r="H5640" s="24"/>
      <c r="I5640" s="24"/>
      <c r="L5640"/>
    </row>
    <row r="5641" spans="1:12" x14ac:dyDescent="0.25">
      <c r="A5641" s="16"/>
      <c r="D5641" s="16"/>
      <c r="F5641" s="16"/>
      <c r="G5641" s="16"/>
      <c r="H5641" s="24"/>
      <c r="I5641" s="24"/>
      <c r="L5641"/>
    </row>
    <row r="5642" spans="1:12" x14ac:dyDescent="0.25">
      <c r="A5642" s="16"/>
      <c r="D5642" s="16"/>
      <c r="F5642" s="16"/>
      <c r="G5642" s="16"/>
      <c r="H5642" s="24"/>
      <c r="I5642" s="24"/>
      <c r="L5642"/>
    </row>
    <row r="5643" spans="1:12" x14ac:dyDescent="0.25">
      <c r="A5643" s="16"/>
      <c r="D5643" s="16"/>
      <c r="F5643" s="16"/>
      <c r="G5643" s="16"/>
      <c r="H5643" s="24"/>
      <c r="I5643" s="24"/>
      <c r="L5643"/>
    </row>
    <row r="5644" spans="1:12" x14ac:dyDescent="0.25">
      <c r="A5644" s="16"/>
      <c r="D5644" s="16"/>
      <c r="F5644" s="16"/>
      <c r="G5644" s="16"/>
      <c r="H5644" s="24"/>
      <c r="I5644" s="24"/>
      <c r="L5644"/>
    </row>
    <row r="5645" spans="1:12" x14ac:dyDescent="0.25">
      <c r="A5645" s="16"/>
      <c r="D5645" s="16"/>
      <c r="F5645" s="16"/>
      <c r="G5645" s="16"/>
      <c r="H5645" s="24"/>
      <c r="I5645" s="24"/>
      <c r="L5645"/>
    </row>
    <row r="5646" spans="1:12" x14ac:dyDescent="0.25">
      <c r="A5646" s="16"/>
      <c r="D5646" s="16"/>
      <c r="F5646" s="16"/>
      <c r="G5646" s="16"/>
      <c r="H5646" s="24"/>
      <c r="I5646" s="24"/>
      <c r="L5646"/>
    </row>
    <row r="5647" spans="1:12" x14ac:dyDescent="0.25">
      <c r="A5647" s="16"/>
      <c r="D5647" s="16"/>
      <c r="F5647" s="16"/>
      <c r="G5647" s="16"/>
      <c r="H5647" s="24"/>
      <c r="I5647" s="24"/>
      <c r="L5647"/>
    </row>
    <row r="5648" spans="1:12" x14ac:dyDescent="0.25">
      <c r="A5648" s="16"/>
      <c r="D5648" s="16"/>
      <c r="F5648" s="16"/>
      <c r="G5648" s="16"/>
      <c r="H5648" s="24"/>
      <c r="I5648" s="24"/>
      <c r="L5648"/>
    </row>
    <row r="5649" spans="1:12" x14ac:dyDescent="0.25">
      <c r="A5649" s="16"/>
      <c r="D5649" s="16"/>
      <c r="F5649" s="16"/>
      <c r="G5649" s="16"/>
      <c r="H5649" s="24"/>
      <c r="I5649" s="24"/>
      <c r="L5649"/>
    </row>
    <row r="5650" spans="1:12" x14ac:dyDescent="0.25">
      <c r="A5650" s="16"/>
      <c r="D5650" s="16"/>
      <c r="F5650" s="16"/>
      <c r="G5650" s="16"/>
      <c r="H5650" s="24"/>
      <c r="I5650" s="24"/>
      <c r="L5650"/>
    </row>
    <row r="5651" spans="1:12" x14ac:dyDescent="0.25">
      <c r="A5651" s="16"/>
      <c r="D5651" s="16"/>
      <c r="F5651" s="16"/>
      <c r="G5651" s="16"/>
      <c r="H5651" s="24"/>
      <c r="I5651" s="24"/>
      <c r="L5651"/>
    </row>
    <row r="5652" spans="1:12" x14ac:dyDescent="0.25">
      <c r="A5652" s="16"/>
      <c r="D5652" s="16"/>
      <c r="F5652" s="16"/>
      <c r="G5652" s="16"/>
      <c r="H5652" s="24"/>
      <c r="I5652" s="24"/>
      <c r="L5652"/>
    </row>
    <row r="5653" spans="1:12" x14ac:dyDescent="0.25">
      <c r="A5653" s="16"/>
      <c r="D5653" s="16"/>
      <c r="F5653" s="16"/>
      <c r="G5653" s="16"/>
      <c r="H5653" s="24"/>
      <c r="I5653" s="24"/>
      <c r="L5653"/>
    </row>
    <row r="5654" spans="1:12" x14ac:dyDescent="0.25">
      <c r="A5654" s="16"/>
      <c r="D5654" s="16"/>
      <c r="F5654" s="16"/>
      <c r="G5654" s="16"/>
      <c r="H5654" s="24"/>
      <c r="I5654" s="24"/>
      <c r="L5654"/>
    </row>
    <row r="5655" spans="1:12" x14ac:dyDescent="0.25">
      <c r="A5655" s="16"/>
      <c r="D5655" s="16"/>
      <c r="F5655" s="16"/>
      <c r="G5655" s="16"/>
      <c r="H5655" s="24"/>
      <c r="I5655" s="24"/>
      <c r="L5655"/>
    </row>
    <row r="5656" spans="1:12" x14ac:dyDescent="0.25">
      <c r="A5656" s="16"/>
      <c r="D5656" s="16"/>
      <c r="F5656" s="16"/>
      <c r="G5656" s="16"/>
      <c r="H5656" s="24"/>
      <c r="I5656" s="24"/>
      <c r="L5656"/>
    </row>
    <row r="5657" spans="1:12" x14ac:dyDescent="0.25">
      <c r="A5657" s="16"/>
      <c r="D5657" s="16"/>
      <c r="F5657" s="16"/>
      <c r="G5657" s="16"/>
      <c r="H5657" s="24"/>
      <c r="I5657" s="24"/>
      <c r="L5657"/>
    </row>
    <row r="5658" spans="1:12" x14ac:dyDescent="0.25">
      <c r="A5658" s="16"/>
      <c r="D5658" s="16"/>
      <c r="F5658" s="16"/>
      <c r="G5658" s="16"/>
      <c r="H5658" s="24"/>
      <c r="I5658" s="24"/>
      <c r="L5658"/>
    </row>
    <row r="5659" spans="1:12" x14ac:dyDescent="0.25">
      <c r="A5659" s="16"/>
      <c r="D5659" s="16"/>
      <c r="F5659" s="16"/>
      <c r="G5659" s="16"/>
      <c r="H5659" s="24"/>
      <c r="I5659" s="24"/>
      <c r="L5659"/>
    </row>
    <row r="5660" spans="1:12" x14ac:dyDescent="0.25">
      <c r="A5660" s="16"/>
      <c r="D5660" s="16"/>
      <c r="F5660" s="16"/>
      <c r="G5660" s="16"/>
      <c r="H5660" s="24"/>
      <c r="I5660" s="24"/>
      <c r="L5660"/>
    </row>
    <row r="5661" spans="1:12" x14ac:dyDescent="0.25">
      <c r="A5661" s="16"/>
      <c r="D5661" s="16"/>
      <c r="F5661" s="16"/>
      <c r="G5661" s="16"/>
      <c r="H5661" s="24"/>
      <c r="I5661" s="24"/>
      <c r="L5661"/>
    </row>
    <row r="5662" spans="1:12" x14ac:dyDescent="0.25">
      <c r="A5662" s="16"/>
      <c r="D5662" s="16"/>
      <c r="F5662" s="16"/>
      <c r="G5662" s="16"/>
      <c r="H5662" s="24"/>
      <c r="I5662" s="24"/>
      <c r="L5662"/>
    </row>
    <row r="5663" spans="1:12" x14ac:dyDescent="0.25">
      <c r="A5663" s="16"/>
      <c r="D5663" s="16"/>
      <c r="F5663" s="16"/>
      <c r="G5663" s="16"/>
      <c r="H5663" s="24"/>
      <c r="I5663" s="24"/>
      <c r="L5663"/>
    </row>
    <row r="5664" spans="1:12" x14ac:dyDescent="0.25">
      <c r="A5664" s="16"/>
      <c r="D5664" s="16"/>
      <c r="F5664" s="16"/>
      <c r="G5664" s="16"/>
      <c r="H5664" s="24"/>
      <c r="I5664" s="24"/>
      <c r="L5664"/>
    </row>
    <row r="5665" spans="1:12" x14ac:dyDescent="0.25">
      <c r="A5665" s="16"/>
      <c r="D5665" s="16"/>
      <c r="F5665" s="16"/>
      <c r="G5665" s="16"/>
      <c r="H5665" s="24"/>
      <c r="I5665" s="24"/>
      <c r="L5665"/>
    </row>
    <row r="5666" spans="1:12" x14ac:dyDescent="0.25">
      <c r="A5666" s="16"/>
      <c r="D5666" s="16"/>
      <c r="F5666" s="16"/>
      <c r="G5666" s="16"/>
      <c r="H5666" s="24"/>
      <c r="I5666" s="24"/>
      <c r="L5666"/>
    </row>
    <row r="5667" spans="1:12" x14ac:dyDescent="0.25">
      <c r="A5667" s="16"/>
      <c r="D5667" s="16"/>
      <c r="F5667" s="16"/>
      <c r="G5667" s="16"/>
      <c r="H5667" s="24"/>
      <c r="I5667" s="24"/>
      <c r="L5667"/>
    </row>
    <row r="5668" spans="1:12" x14ac:dyDescent="0.25">
      <c r="A5668" s="16"/>
      <c r="D5668" s="16"/>
      <c r="F5668" s="16"/>
      <c r="G5668" s="16"/>
      <c r="H5668" s="24"/>
      <c r="I5668" s="24"/>
      <c r="L5668"/>
    </row>
    <row r="5669" spans="1:12" x14ac:dyDescent="0.25">
      <c r="A5669" s="16"/>
      <c r="D5669" s="16"/>
      <c r="F5669" s="16"/>
      <c r="G5669" s="16"/>
      <c r="H5669" s="24"/>
      <c r="I5669" s="24"/>
      <c r="L5669"/>
    </row>
    <row r="5670" spans="1:12" x14ac:dyDescent="0.25">
      <c r="A5670" s="16"/>
      <c r="D5670" s="16"/>
      <c r="F5670" s="16"/>
      <c r="G5670" s="16"/>
      <c r="H5670" s="24"/>
      <c r="I5670" s="24"/>
      <c r="L5670"/>
    </row>
    <row r="5671" spans="1:12" x14ac:dyDescent="0.25">
      <c r="A5671" s="16"/>
      <c r="D5671" s="16"/>
      <c r="F5671" s="16"/>
      <c r="G5671" s="16"/>
      <c r="H5671" s="24"/>
      <c r="I5671" s="24"/>
      <c r="L5671"/>
    </row>
    <row r="5672" spans="1:12" x14ac:dyDescent="0.25">
      <c r="A5672" s="16"/>
      <c r="D5672" s="16"/>
      <c r="F5672" s="16"/>
      <c r="G5672" s="16"/>
      <c r="H5672" s="24"/>
      <c r="I5672" s="24"/>
      <c r="L5672"/>
    </row>
    <row r="5673" spans="1:12" x14ac:dyDescent="0.25">
      <c r="A5673" s="16"/>
      <c r="D5673" s="16"/>
      <c r="F5673" s="16"/>
      <c r="G5673" s="16"/>
      <c r="H5673" s="24"/>
      <c r="I5673" s="24"/>
      <c r="L5673"/>
    </row>
    <row r="5674" spans="1:12" x14ac:dyDescent="0.25">
      <c r="A5674" s="16"/>
      <c r="D5674" s="16"/>
      <c r="F5674" s="16"/>
      <c r="G5674" s="16"/>
      <c r="H5674" s="24"/>
      <c r="I5674" s="24"/>
      <c r="L5674"/>
    </row>
    <row r="5675" spans="1:12" x14ac:dyDescent="0.25">
      <c r="A5675" s="16"/>
      <c r="D5675" s="16"/>
      <c r="F5675" s="16"/>
      <c r="G5675" s="16"/>
      <c r="H5675" s="24"/>
      <c r="I5675" s="24"/>
      <c r="L5675"/>
    </row>
    <row r="5676" spans="1:12" x14ac:dyDescent="0.25">
      <c r="A5676" s="16"/>
      <c r="D5676" s="16"/>
      <c r="F5676" s="16"/>
      <c r="G5676" s="16"/>
      <c r="H5676" s="24"/>
      <c r="I5676" s="24"/>
      <c r="L5676"/>
    </row>
    <row r="5677" spans="1:12" x14ac:dyDescent="0.25">
      <c r="A5677" s="16"/>
      <c r="D5677" s="16"/>
      <c r="F5677" s="16"/>
      <c r="G5677" s="16"/>
      <c r="H5677" s="24"/>
      <c r="I5677" s="24"/>
      <c r="L5677"/>
    </row>
    <row r="5678" spans="1:12" x14ac:dyDescent="0.25">
      <c r="A5678" s="16"/>
      <c r="D5678" s="16"/>
      <c r="F5678" s="16"/>
      <c r="G5678" s="16"/>
      <c r="H5678" s="24"/>
      <c r="I5678" s="24"/>
      <c r="L5678"/>
    </row>
    <row r="5679" spans="1:12" x14ac:dyDescent="0.25">
      <c r="A5679" s="16"/>
      <c r="D5679" s="16"/>
      <c r="F5679" s="16"/>
      <c r="G5679" s="16"/>
      <c r="H5679" s="24"/>
      <c r="I5679" s="24"/>
      <c r="L5679"/>
    </row>
    <row r="5680" spans="1:12" x14ac:dyDescent="0.25">
      <c r="A5680" s="16"/>
      <c r="D5680" s="16"/>
      <c r="F5680" s="16"/>
      <c r="G5680" s="16"/>
      <c r="H5680" s="24"/>
      <c r="I5680" s="24"/>
      <c r="L5680"/>
    </row>
    <row r="5681" spans="1:12" x14ac:dyDescent="0.25">
      <c r="A5681" s="16"/>
      <c r="D5681" s="16"/>
      <c r="F5681" s="16"/>
      <c r="G5681" s="16"/>
      <c r="H5681" s="24"/>
      <c r="I5681" s="24"/>
      <c r="L5681"/>
    </row>
    <row r="5682" spans="1:12" x14ac:dyDescent="0.25">
      <c r="A5682" s="16"/>
      <c r="D5682" s="16"/>
      <c r="F5682" s="16"/>
      <c r="G5682" s="16"/>
      <c r="H5682" s="24"/>
      <c r="I5682" s="24"/>
      <c r="L5682"/>
    </row>
    <row r="5683" spans="1:12" x14ac:dyDescent="0.25">
      <c r="A5683" s="16"/>
      <c r="D5683" s="16"/>
      <c r="F5683" s="16"/>
      <c r="G5683" s="16"/>
      <c r="H5683" s="24"/>
      <c r="I5683" s="24"/>
      <c r="L5683"/>
    </row>
    <row r="5684" spans="1:12" x14ac:dyDescent="0.25">
      <c r="A5684" s="16"/>
      <c r="D5684" s="16"/>
      <c r="F5684" s="16"/>
      <c r="G5684" s="16"/>
      <c r="H5684" s="24"/>
      <c r="I5684" s="24"/>
      <c r="L5684"/>
    </row>
    <row r="5685" spans="1:12" x14ac:dyDescent="0.25">
      <c r="A5685" s="16"/>
      <c r="D5685" s="16"/>
      <c r="F5685" s="16"/>
      <c r="G5685" s="16"/>
      <c r="H5685" s="24"/>
      <c r="I5685" s="24"/>
      <c r="L5685"/>
    </row>
    <row r="5686" spans="1:12" x14ac:dyDescent="0.25">
      <c r="A5686" s="16"/>
      <c r="D5686" s="16"/>
      <c r="F5686" s="16"/>
      <c r="G5686" s="16"/>
      <c r="H5686" s="24"/>
      <c r="I5686" s="24"/>
      <c r="L5686"/>
    </row>
    <row r="5687" spans="1:12" x14ac:dyDescent="0.25">
      <c r="A5687" s="16"/>
      <c r="D5687" s="16"/>
      <c r="F5687" s="16"/>
      <c r="G5687" s="16"/>
      <c r="H5687" s="24"/>
      <c r="I5687" s="24"/>
      <c r="L5687"/>
    </row>
    <row r="5688" spans="1:12" x14ac:dyDescent="0.25">
      <c r="A5688" s="16"/>
      <c r="D5688" s="16"/>
      <c r="F5688" s="16"/>
      <c r="G5688" s="16"/>
      <c r="H5688" s="24"/>
      <c r="I5688" s="24"/>
      <c r="L5688"/>
    </row>
    <row r="5689" spans="1:12" x14ac:dyDescent="0.25">
      <c r="A5689" s="16"/>
      <c r="D5689" s="16"/>
      <c r="F5689" s="16"/>
      <c r="G5689" s="16"/>
      <c r="H5689" s="24"/>
      <c r="I5689" s="24"/>
      <c r="L5689"/>
    </row>
    <row r="5690" spans="1:12" x14ac:dyDescent="0.25">
      <c r="A5690" s="16"/>
      <c r="D5690" s="16"/>
      <c r="F5690" s="16"/>
      <c r="G5690" s="16"/>
      <c r="H5690" s="24"/>
      <c r="I5690" s="24"/>
      <c r="L5690"/>
    </row>
    <row r="5691" spans="1:12" x14ac:dyDescent="0.25">
      <c r="A5691" s="16"/>
      <c r="D5691" s="16"/>
      <c r="F5691" s="16"/>
      <c r="G5691" s="16"/>
      <c r="H5691" s="24"/>
      <c r="I5691" s="24"/>
      <c r="L5691"/>
    </row>
    <row r="5692" spans="1:12" x14ac:dyDescent="0.25">
      <c r="A5692" s="16"/>
      <c r="D5692" s="16"/>
      <c r="F5692" s="16"/>
      <c r="G5692" s="16"/>
      <c r="H5692" s="24"/>
      <c r="I5692" s="24"/>
      <c r="L5692"/>
    </row>
    <row r="5693" spans="1:12" x14ac:dyDescent="0.25">
      <c r="A5693" s="16"/>
      <c r="D5693" s="16"/>
      <c r="F5693" s="16"/>
      <c r="G5693" s="16"/>
      <c r="H5693" s="24"/>
      <c r="I5693" s="24"/>
      <c r="L5693"/>
    </row>
    <row r="5694" spans="1:12" x14ac:dyDescent="0.25">
      <c r="A5694" s="16"/>
      <c r="D5694" s="16"/>
      <c r="F5694" s="16"/>
      <c r="G5694" s="16"/>
      <c r="H5694" s="24"/>
      <c r="I5694" s="24"/>
      <c r="L5694"/>
    </row>
    <row r="5695" spans="1:12" x14ac:dyDescent="0.25">
      <c r="A5695" s="16"/>
      <c r="D5695" s="16"/>
      <c r="F5695" s="16"/>
      <c r="G5695" s="16"/>
      <c r="H5695" s="24"/>
      <c r="I5695" s="24"/>
      <c r="L5695"/>
    </row>
    <row r="5696" spans="1:12" x14ac:dyDescent="0.25">
      <c r="A5696" s="16"/>
      <c r="D5696" s="16"/>
      <c r="F5696" s="16"/>
      <c r="G5696" s="16"/>
      <c r="H5696" s="24"/>
      <c r="I5696" s="24"/>
      <c r="L5696"/>
    </row>
    <row r="5697" spans="1:12" x14ac:dyDescent="0.25">
      <c r="A5697" s="16"/>
      <c r="D5697" s="16"/>
      <c r="F5697" s="16"/>
      <c r="G5697" s="16"/>
      <c r="H5697" s="24"/>
      <c r="I5697" s="24"/>
      <c r="L5697"/>
    </row>
    <row r="5698" spans="1:12" x14ac:dyDescent="0.25">
      <c r="A5698" s="16"/>
      <c r="D5698" s="16"/>
      <c r="F5698" s="16"/>
      <c r="G5698" s="16"/>
      <c r="H5698" s="24"/>
      <c r="I5698" s="24"/>
      <c r="L5698"/>
    </row>
    <row r="5699" spans="1:12" x14ac:dyDescent="0.25">
      <c r="A5699" s="16"/>
      <c r="D5699" s="16"/>
      <c r="F5699" s="16"/>
      <c r="G5699" s="16"/>
      <c r="H5699" s="24"/>
      <c r="I5699" s="24"/>
      <c r="L5699"/>
    </row>
    <row r="5700" spans="1:12" x14ac:dyDescent="0.25">
      <c r="A5700" s="16"/>
      <c r="D5700" s="16"/>
      <c r="F5700" s="16"/>
      <c r="G5700" s="16"/>
      <c r="H5700" s="24"/>
      <c r="I5700" s="24"/>
      <c r="L5700"/>
    </row>
    <row r="5701" spans="1:12" x14ac:dyDescent="0.25">
      <c r="A5701" s="16"/>
      <c r="D5701" s="16"/>
      <c r="F5701" s="16"/>
      <c r="G5701" s="16"/>
      <c r="H5701" s="24"/>
      <c r="I5701" s="24"/>
      <c r="L5701"/>
    </row>
    <row r="5702" spans="1:12" x14ac:dyDescent="0.25">
      <c r="A5702" s="16"/>
      <c r="D5702" s="16"/>
      <c r="F5702" s="16"/>
      <c r="G5702" s="16"/>
      <c r="H5702" s="24"/>
      <c r="I5702" s="24"/>
      <c r="L5702"/>
    </row>
    <row r="5703" spans="1:12" x14ac:dyDescent="0.25">
      <c r="A5703" s="16"/>
      <c r="D5703" s="16"/>
      <c r="F5703" s="16"/>
      <c r="G5703" s="16"/>
      <c r="H5703" s="24"/>
      <c r="I5703" s="24"/>
      <c r="L5703"/>
    </row>
    <row r="5704" spans="1:12" x14ac:dyDescent="0.25">
      <c r="A5704" s="16"/>
      <c r="D5704" s="16"/>
      <c r="F5704" s="16"/>
      <c r="G5704" s="16"/>
      <c r="H5704" s="24"/>
      <c r="I5704" s="24"/>
      <c r="L5704"/>
    </row>
    <row r="5705" spans="1:12" x14ac:dyDescent="0.25">
      <c r="A5705" s="16"/>
      <c r="D5705" s="16"/>
      <c r="F5705" s="16"/>
      <c r="G5705" s="16"/>
      <c r="H5705" s="24"/>
      <c r="I5705" s="24"/>
      <c r="L5705"/>
    </row>
    <row r="5706" spans="1:12" x14ac:dyDescent="0.25">
      <c r="A5706" s="16"/>
      <c r="D5706" s="16"/>
      <c r="F5706" s="16"/>
      <c r="G5706" s="16"/>
      <c r="H5706" s="24"/>
      <c r="I5706" s="24"/>
      <c r="L5706"/>
    </row>
    <row r="5707" spans="1:12" x14ac:dyDescent="0.25">
      <c r="A5707" s="16"/>
      <c r="D5707" s="16"/>
      <c r="F5707" s="16"/>
      <c r="G5707" s="16"/>
      <c r="H5707" s="24"/>
      <c r="I5707" s="24"/>
      <c r="L5707"/>
    </row>
    <row r="5708" spans="1:12" x14ac:dyDescent="0.25">
      <c r="A5708" s="16"/>
      <c r="D5708" s="16"/>
      <c r="F5708" s="16"/>
      <c r="G5708" s="16"/>
      <c r="H5708" s="24"/>
      <c r="I5708" s="24"/>
      <c r="L5708"/>
    </row>
    <row r="5709" spans="1:12" x14ac:dyDescent="0.25">
      <c r="A5709" s="16"/>
      <c r="D5709" s="16"/>
      <c r="F5709" s="16"/>
      <c r="G5709" s="16"/>
      <c r="H5709" s="24"/>
      <c r="I5709" s="24"/>
      <c r="L5709"/>
    </row>
    <row r="5710" spans="1:12" x14ac:dyDescent="0.25">
      <c r="A5710" s="16"/>
      <c r="D5710" s="16"/>
      <c r="F5710" s="16"/>
      <c r="G5710" s="16"/>
      <c r="H5710" s="24"/>
      <c r="I5710" s="24"/>
      <c r="L5710"/>
    </row>
    <row r="5711" spans="1:12" x14ac:dyDescent="0.25">
      <c r="A5711" s="16"/>
      <c r="D5711" s="16"/>
      <c r="F5711" s="16"/>
      <c r="G5711" s="16"/>
      <c r="H5711" s="24"/>
      <c r="I5711" s="24"/>
      <c r="L5711"/>
    </row>
    <row r="5712" spans="1:12" x14ac:dyDescent="0.25">
      <c r="A5712" s="16"/>
      <c r="D5712" s="16"/>
      <c r="F5712" s="16"/>
      <c r="G5712" s="16"/>
      <c r="H5712" s="24"/>
      <c r="I5712" s="24"/>
      <c r="L5712"/>
    </row>
    <row r="5713" spans="1:12" x14ac:dyDescent="0.25">
      <c r="A5713" s="16"/>
      <c r="D5713" s="16"/>
      <c r="F5713" s="16"/>
      <c r="G5713" s="16"/>
      <c r="H5713" s="24"/>
      <c r="I5713" s="24"/>
      <c r="L5713"/>
    </row>
    <row r="5714" spans="1:12" x14ac:dyDescent="0.25">
      <c r="A5714" s="16"/>
      <c r="D5714" s="16"/>
      <c r="F5714" s="16"/>
      <c r="G5714" s="16"/>
      <c r="H5714" s="24"/>
      <c r="I5714" s="24"/>
      <c r="L5714"/>
    </row>
    <row r="5715" spans="1:12" x14ac:dyDescent="0.25">
      <c r="A5715" s="16"/>
      <c r="D5715" s="16"/>
      <c r="F5715" s="16"/>
      <c r="G5715" s="16"/>
      <c r="H5715" s="24"/>
      <c r="I5715" s="24"/>
      <c r="L5715"/>
    </row>
    <row r="5716" spans="1:12" x14ac:dyDescent="0.25">
      <c r="A5716" s="16"/>
      <c r="D5716" s="16"/>
      <c r="F5716" s="16"/>
      <c r="G5716" s="16"/>
      <c r="H5716" s="24"/>
      <c r="I5716" s="24"/>
      <c r="L5716"/>
    </row>
    <row r="5717" spans="1:12" x14ac:dyDescent="0.25">
      <c r="A5717" s="16"/>
      <c r="D5717" s="16"/>
      <c r="F5717" s="16"/>
      <c r="G5717" s="16"/>
      <c r="H5717" s="24"/>
      <c r="I5717" s="24"/>
      <c r="L5717"/>
    </row>
    <row r="5718" spans="1:12" x14ac:dyDescent="0.25">
      <c r="A5718" s="16"/>
      <c r="D5718" s="16"/>
      <c r="F5718" s="16"/>
      <c r="G5718" s="16"/>
      <c r="H5718" s="24"/>
      <c r="I5718" s="24"/>
      <c r="L5718"/>
    </row>
    <row r="5719" spans="1:12" x14ac:dyDescent="0.25">
      <c r="A5719" s="16"/>
      <c r="D5719" s="16"/>
      <c r="F5719" s="16"/>
      <c r="G5719" s="16"/>
      <c r="H5719" s="24"/>
      <c r="I5719" s="24"/>
      <c r="L5719"/>
    </row>
    <row r="5720" spans="1:12" x14ac:dyDescent="0.25">
      <c r="A5720" s="16"/>
      <c r="D5720" s="16"/>
      <c r="F5720" s="16"/>
      <c r="G5720" s="16"/>
      <c r="H5720" s="24"/>
      <c r="I5720" s="24"/>
      <c r="L5720"/>
    </row>
    <row r="5721" spans="1:12" x14ac:dyDescent="0.25">
      <c r="A5721" s="16"/>
      <c r="D5721" s="16"/>
      <c r="F5721" s="16"/>
      <c r="G5721" s="16"/>
      <c r="H5721" s="24"/>
      <c r="I5721" s="24"/>
      <c r="L5721"/>
    </row>
    <row r="5722" spans="1:12" x14ac:dyDescent="0.25">
      <c r="A5722" s="16"/>
      <c r="D5722" s="16"/>
      <c r="F5722" s="16"/>
      <c r="G5722" s="16"/>
      <c r="H5722" s="24"/>
      <c r="I5722" s="24"/>
      <c r="L5722"/>
    </row>
    <row r="5723" spans="1:12" x14ac:dyDescent="0.25">
      <c r="A5723" s="16"/>
      <c r="D5723" s="16"/>
      <c r="F5723" s="16"/>
      <c r="G5723" s="16"/>
      <c r="H5723" s="24"/>
      <c r="I5723" s="24"/>
      <c r="L5723"/>
    </row>
    <row r="5724" spans="1:12" x14ac:dyDescent="0.25">
      <c r="A5724" s="16"/>
      <c r="D5724" s="16"/>
      <c r="F5724" s="16"/>
      <c r="G5724" s="16"/>
      <c r="H5724" s="24"/>
      <c r="I5724" s="24"/>
      <c r="L5724"/>
    </row>
    <row r="5725" spans="1:12" x14ac:dyDescent="0.25">
      <c r="A5725" s="16"/>
      <c r="D5725" s="16"/>
      <c r="F5725" s="16"/>
      <c r="G5725" s="16"/>
      <c r="H5725" s="24"/>
      <c r="I5725" s="24"/>
      <c r="L5725"/>
    </row>
    <row r="5726" spans="1:12" x14ac:dyDescent="0.25">
      <c r="A5726" s="16"/>
      <c r="D5726" s="16"/>
      <c r="F5726" s="16"/>
      <c r="G5726" s="16"/>
      <c r="H5726" s="24"/>
      <c r="I5726" s="24"/>
      <c r="L5726"/>
    </row>
    <row r="5727" spans="1:12" x14ac:dyDescent="0.25">
      <c r="A5727" s="16"/>
      <c r="D5727" s="16"/>
      <c r="F5727" s="16"/>
      <c r="G5727" s="16"/>
      <c r="H5727" s="24"/>
      <c r="I5727" s="24"/>
      <c r="L5727"/>
    </row>
    <row r="5728" spans="1:12" x14ac:dyDescent="0.25">
      <c r="A5728" s="16"/>
      <c r="D5728" s="16"/>
      <c r="F5728" s="16"/>
      <c r="G5728" s="16"/>
      <c r="H5728" s="24"/>
      <c r="I5728" s="24"/>
      <c r="L5728"/>
    </row>
    <row r="5729" spans="1:12" x14ac:dyDescent="0.25">
      <c r="A5729" s="16"/>
      <c r="D5729" s="16"/>
      <c r="F5729" s="16"/>
      <c r="G5729" s="16"/>
      <c r="H5729" s="24"/>
      <c r="I5729" s="24"/>
      <c r="L5729"/>
    </row>
    <row r="5730" spans="1:12" x14ac:dyDescent="0.25">
      <c r="A5730" s="16"/>
      <c r="D5730" s="16"/>
      <c r="F5730" s="16"/>
      <c r="G5730" s="16"/>
      <c r="H5730" s="24"/>
      <c r="I5730" s="24"/>
      <c r="L5730"/>
    </row>
    <row r="5731" spans="1:12" x14ac:dyDescent="0.25">
      <c r="A5731" s="16"/>
      <c r="D5731" s="16"/>
      <c r="F5731" s="16"/>
      <c r="G5731" s="16"/>
      <c r="H5731" s="24"/>
      <c r="I5731" s="24"/>
      <c r="L5731"/>
    </row>
    <row r="5732" spans="1:12" x14ac:dyDescent="0.25">
      <c r="A5732" s="16"/>
      <c r="D5732" s="16"/>
      <c r="F5732" s="16"/>
      <c r="G5732" s="16"/>
      <c r="H5732" s="24"/>
      <c r="I5732" s="24"/>
      <c r="L5732"/>
    </row>
    <row r="5733" spans="1:12" x14ac:dyDescent="0.25">
      <c r="A5733" s="16"/>
      <c r="D5733" s="16"/>
      <c r="F5733" s="16"/>
      <c r="G5733" s="16"/>
      <c r="H5733" s="24"/>
      <c r="I5733" s="24"/>
      <c r="L5733"/>
    </row>
    <row r="5734" spans="1:12" x14ac:dyDescent="0.25">
      <c r="A5734" s="16"/>
      <c r="D5734" s="16"/>
      <c r="F5734" s="16"/>
      <c r="G5734" s="16"/>
      <c r="H5734" s="24"/>
      <c r="I5734" s="24"/>
      <c r="L5734"/>
    </row>
    <row r="5735" spans="1:12" x14ac:dyDescent="0.25">
      <c r="A5735" s="16"/>
      <c r="D5735" s="16"/>
      <c r="F5735" s="16"/>
      <c r="G5735" s="16"/>
      <c r="H5735" s="24"/>
      <c r="I5735" s="24"/>
      <c r="L5735"/>
    </row>
    <row r="5736" spans="1:12" x14ac:dyDescent="0.25">
      <c r="A5736" s="16"/>
      <c r="D5736" s="16"/>
      <c r="F5736" s="16"/>
      <c r="G5736" s="16"/>
      <c r="H5736" s="24"/>
      <c r="I5736" s="24"/>
      <c r="L5736"/>
    </row>
    <row r="5737" spans="1:12" x14ac:dyDescent="0.25">
      <c r="A5737" s="16"/>
      <c r="D5737" s="16"/>
      <c r="F5737" s="16"/>
      <c r="G5737" s="16"/>
      <c r="H5737" s="24"/>
      <c r="I5737" s="24"/>
      <c r="L5737"/>
    </row>
    <row r="5738" spans="1:12" x14ac:dyDescent="0.25">
      <c r="A5738" s="16"/>
      <c r="D5738" s="16"/>
      <c r="F5738" s="16"/>
      <c r="G5738" s="16"/>
      <c r="H5738" s="24"/>
      <c r="I5738" s="24"/>
      <c r="L5738"/>
    </row>
    <row r="5739" spans="1:12" x14ac:dyDescent="0.25">
      <c r="A5739" s="16"/>
      <c r="D5739" s="16"/>
      <c r="F5739" s="16"/>
      <c r="G5739" s="16"/>
      <c r="H5739" s="24"/>
      <c r="I5739" s="24"/>
      <c r="L5739"/>
    </row>
    <row r="5740" spans="1:12" x14ac:dyDescent="0.25">
      <c r="A5740" s="16"/>
      <c r="D5740" s="16"/>
      <c r="F5740" s="16"/>
      <c r="G5740" s="16"/>
      <c r="H5740" s="24"/>
      <c r="I5740" s="24"/>
      <c r="L5740"/>
    </row>
    <row r="5741" spans="1:12" x14ac:dyDescent="0.25">
      <c r="A5741" s="16"/>
      <c r="D5741" s="16"/>
      <c r="F5741" s="16"/>
      <c r="G5741" s="16"/>
      <c r="H5741" s="24"/>
      <c r="I5741" s="24"/>
      <c r="L5741"/>
    </row>
    <row r="5742" spans="1:12" x14ac:dyDescent="0.25">
      <c r="A5742" s="16"/>
      <c r="D5742" s="16"/>
      <c r="F5742" s="16"/>
      <c r="G5742" s="16"/>
      <c r="H5742" s="24"/>
      <c r="I5742" s="24"/>
      <c r="L5742"/>
    </row>
    <row r="5743" spans="1:12" x14ac:dyDescent="0.25">
      <c r="A5743" s="16"/>
      <c r="D5743" s="16"/>
      <c r="F5743" s="16"/>
      <c r="G5743" s="16"/>
      <c r="H5743" s="24"/>
      <c r="I5743" s="24"/>
      <c r="L5743"/>
    </row>
    <row r="5744" spans="1:12" x14ac:dyDescent="0.25">
      <c r="A5744" s="16"/>
      <c r="D5744" s="16"/>
      <c r="F5744" s="16"/>
      <c r="G5744" s="16"/>
      <c r="H5744" s="24"/>
      <c r="I5744" s="24"/>
      <c r="L5744"/>
    </row>
    <row r="5745" spans="1:12" x14ac:dyDescent="0.25">
      <c r="A5745" s="16"/>
      <c r="D5745" s="16"/>
      <c r="F5745" s="16"/>
      <c r="G5745" s="16"/>
      <c r="H5745" s="24"/>
      <c r="I5745" s="24"/>
      <c r="L5745"/>
    </row>
    <row r="5746" spans="1:12" x14ac:dyDescent="0.25">
      <c r="A5746" s="16"/>
      <c r="D5746" s="16"/>
      <c r="F5746" s="16"/>
      <c r="G5746" s="16"/>
      <c r="H5746" s="24"/>
      <c r="I5746" s="24"/>
      <c r="L5746"/>
    </row>
    <row r="5747" spans="1:12" x14ac:dyDescent="0.25">
      <c r="A5747" s="16"/>
      <c r="D5747" s="16"/>
      <c r="F5747" s="16"/>
      <c r="G5747" s="16"/>
      <c r="H5747" s="24"/>
      <c r="I5747" s="24"/>
      <c r="L5747"/>
    </row>
    <row r="5748" spans="1:12" x14ac:dyDescent="0.25">
      <c r="A5748" s="16"/>
      <c r="D5748" s="16"/>
      <c r="F5748" s="16"/>
      <c r="G5748" s="16"/>
      <c r="H5748" s="24"/>
      <c r="I5748" s="24"/>
      <c r="L5748"/>
    </row>
    <row r="5749" spans="1:12" x14ac:dyDescent="0.25">
      <c r="A5749" s="16"/>
      <c r="D5749" s="16"/>
      <c r="F5749" s="16"/>
      <c r="G5749" s="16"/>
      <c r="H5749" s="24"/>
      <c r="I5749" s="24"/>
      <c r="L5749"/>
    </row>
    <row r="5750" spans="1:12" x14ac:dyDescent="0.25">
      <c r="A5750" s="16"/>
      <c r="D5750" s="16"/>
      <c r="F5750" s="16"/>
      <c r="G5750" s="16"/>
      <c r="H5750" s="24"/>
      <c r="I5750" s="24"/>
      <c r="L5750"/>
    </row>
    <row r="5751" spans="1:12" x14ac:dyDescent="0.25">
      <c r="A5751" s="16"/>
      <c r="D5751" s="16"/>
      <c r="F5751" s="16"/>
      <c r="G5751" s="16"/>
      <c r="H5751" s="24"/>
      <c r="I5751" s="24"/>
      <c r="L5751"/>
    </row>
    <row r="5752" spans="1:12" x14ac:dyDescent="0.25">
      <c r="A5752" s="16"/>
      <c r="D5752" s="16"/>
      <c r="F5752" s="16"/>
      <c r="G5752" s="16"/>
      <c r="H5752" s="24"/>
      <c r="I5752" s="24"/>
      <c r="L5752"/>
    </row>
    <row r="5753" spans="1:12" x14ac:dyDescent="0.25">
      <c r="A5753" s="16"/>
      <c r="D5753" s="16"/>
      <c r="F5753" s="16"/>
      <c r="G5753" s="16"/>
      <c r="H5753" s="24"/>
      <c r="I5753" s="24"/>
      <c r="L5753"/>
    </row>
    <row r="5754" spans="1:12" x14ac:dyDescent="0.25">
      <c r="A5754" s="16"/>
      <c r="D5754" s="16"/>
      <c r="F5754" s="16"/>
      <c r="G5754" s="16"/>
      <c r="H5754" s="24"/>
      <c r="I5754" s="24"/>
      <c r="L5754"/>
    </row>
    <row r="5755" spans="1:12" x14ac:dyDescent="0.25">
      <c r="A5755" s="16"/>
      <c r="D5755" s="16"/>
      <c r="F5755" s="16"/>
      <c r="G5755" s="16"/>
      <c r="H5755" s="24"/>
      <c r="I5755" s="24"/>
      <c r="L5755"/>
    </row>
    <row r="5756" spans="1:12" x14ac:dyDescent="0.25">
      <c r="A5756" s="16"/>
      <c r="D5756" s="16"/>
      <c r="F5756" s="16"/>
      <c r="G5756" s="16"/>
      <c r="H5756" s="24"/>
      <c r="I5756" s="24"/>
      <c r="L5756"/>
    </row>
    <row r="5757" spans="1:12" x14ac:dyDescent="0.25">
      <c r="A5757" s="16"/>
      <c r="D5757" s="16"/>
      <c r="F5757" s="16"/>
      <c r="G5757" s="16"/>
      <c r="H5757" s="24"/>
      <c r="I5757" s="24"/>
      <c r="L5757"/>
    </row>
    <row r="5758" spans="1:12" x14ac:dyDescent="0.25">
      <c r="A5758" s="16"/>
      <c r="D5758" s="16"/>
      <c r="F5758" s="16"/>
      <c r="G5758" s="16"/>
      <c r="H5758" s="24"/>
      <c r="I5758" s="24"/>
      <c r="L5758"/>
    </row>
    <row r="5759" spans="1:12" x14ac:dyDescent="0.25">
      <c r="A5759" s="16"/>
      <c r="D5759" s="16"/>
      <c r="F5759" s="16"/>
      <c r="G5759" s="16"/>
      <c r="H5759" s="24"/>
      <c r="I5759" s="24"/>
      <c r="L5759"/>
    </row>
    <row r="5760" spans="1:12" x14ac:dyDescent="0.25">
      <c r="A5760" s="16"/>
      <c r="D5760" s="16"/>
      <c r="F5760" s="16"/>
      <c r="G5760" s="16"/>
      <c r="H5760" s="24"/>
      <c r="I5760" s="24"/>
      <c r="L5760"/>
    </row>
    <row r="5761" spans="1:12" x14ac:dyDescent="0.25">
      <c r="A5761" s="16"/>
      <c r="D5761" s="16"/>
      <c r="F5761" s="16"/>
      <c r="G5761" s="16"/>
      <c r="H5761" s="24"/>
      <c r="I5761" s="24"/>
      <c r="L5761"/>
    </row>
    <row r="5762" spans="1:12" x14ac:dyDescent="0.25">
      <c r="A5762" s="16"/>
      <c r="D5762" s="16"/>
      <c r="F5762" s="16"/>
      <c r="G5762" s="16"/>
      <c r="H5762" s="24"/>
      <c r="I5762" s="24"/>
      <c r="L5762"/>
    </row>
    <row r="5763" spans="1:12" x14ac:dyDescent="0.25">
      <c r="A5763" s="16"/>
      <c r="D5763" s="16"/>
      <c r="F5763" s="16"/>
      <c r="G5763" s="16"/>
      <c r="H5763" s="24"/>
      <c r="I5763" s="24"/>
      <c r="L5763"/>
    </row>
    <row r="5764" spans="1:12" x14ac:dyDescent="0.25">
      <c r="A5764" s="16"/>
      <c r="D5764" s="16"/>
      <c r="F5764" s="16"/>
      <c r="G5764" s="16"/>
      <c r="H5764" s="24"/>
      <c r="I5764" s="24"/>
      <c r="L5764"/>
    </row>
    <row r="5765" spans="1:12" x14ac:dyDescent="0.25">
      <c r="A5765" s="16"/>
      <c r="D5765" s="16"/>
      <c r="F5765" s="16"/>
      <c r="G5765" s="16"/>
      <c r="H5765" s="24"/>
      <c r="I5765" s="24"/>
      <c r="L5765"/>
    </row>
    <row r="5766" spans="1:12" x14ac:dyDescent="0.25">
      <c r="A5766" s="16"/>
      <c r="D5766" s="16"/>
      <c r="F5766" s="16"/>
      <c r="G5766" s="16"/>
      <c r="H5766" s="24"/>
      <c r="I5766" s="24"/>
      <c r="L5766"/>
    </row>
    <row r="5767" spans="1:12" x14ac:dyDescent="0.25">
      <c r="A5767" s="16"/>
      <c r="D5767" s="16"/>
      <c r="F5767" s="16"/>
      <c r="G5767" s="16"/>
      <c r="H5767" s="24"/>
      <c r="I5767" s="24"/>
      <c r="L5767"/>
    </row>
    <row r="5768" spans="1:12" x14ac:dyDescent="0.25">
      <c r="A5768" s="16"/>
      <c r="D5768" s="16"/>
      <c r="F5768" s="16"/>
      <c r="G5768" s="16"/>
      <c r="H5768" s="24"/>
      <c r="I5768" s="24"/>
      <c r="L5768"/>
    </row>
    <row r="5769" spans="1:12" x14ac:dyDescent="0.25">
      <c r="A5769" s="16"/>
      <c r="D5769" s="16"/>
      <c r="F5769" s="16"/>
      <c r="G5769" s="16"/>
      <c r="H5769" s="24"/>
      <c r="I5769" s="24"/>
      <c r="L5769"/>
    </row>
    <row r="5770" spans="1:12" x14ac:dyDescent="0.25">
      <c r="A5770" s="16"/>
      <c r="D5770" s="16"/>
      <c r="F5770" s="16"/>
      <c r="G5770" s="16"/>
      <c r="H5770" s="24"/>
      <c r="I5770" s="24"/>
      <c r="L5770"/>
    </row>
    <row r="5771" spans="1:12" x14ac:dyDescent="0.25">
      <c r="A5771" s="16"/>
      <c r="D5771" s="16"/>
      <c r="F5771" s="16"/>
      <c r="G5771" s="16"/>
      <c r="H5771" s="24"/>
      <c r="I5771" s="24"/>
      <c r="L5771"/>
    </row>
    <row r="5772" spans="1:12" x14ac:dyDescent="0.25">
      <c r="A5772" s="16"/>
      <c r="D5772" s="16"/>
      <c r="F5772" s="16"/>
      <c r="G5772" s="16"/>
      <c r="H5772" s="24"/>
      <c r="I5772" s="24"/>
      <c r="L5772"/>
    </row>
    <row r="5773" spans="1:12" x14ac:dyDescent="0.25">
      <c r="A5773" s="16"/>
      <c r="D5773" s="16"/>
      <c r="F5773" s="16"/>
      <c r="G5773" s="16"/>
      <c r="H5773" s="24"/>
      <c r="I5773" s="24"/>
      <c r="L5773"/>
    </row>
    <row r="5774" spans="1:12" x14ac:dyDescent="0.25">
      <c r="A5774" s="16"/>
      <c r="D5774" s="16"/>
      <c r="F5774" s="16"/>
      <c r="G5774" s="16"/>
      <c r="H5774" s="24"/>
      <c r="I5774" s="24"/>
      <c r="L5774"/>
    </row>
    <row r="5775" spans="1:12" x14ac:dyDescent="0.25">
      <c r="A5775" s="16"/>
      <c r="D5775" s="16"/>
      <c r="F5775" s="16"/>
      <c r="G5775" s="16"/>
      <c r="H5775" s="24"/>
      <c r="I5775" s="24"/>
      <c r="L5775"/>
    </row>
    <row r="5776" spans="1:12" x14ac:dyDescent="0.25">
      <c r="A5776" s="16"/>
      <c r="D5776" s="16"/>
      <c r="F5776" s="16"/>
      <c r="G5776" s="16"/>
      <c r="H5776" s="24"/>
      <c r="I5776" s="24"/>
      <c r="L5776"/>
    </row>
    <row r="5777" spans="1:12" x14ac:dyDescent="0.25">
      <c r="A5777" s="16"/>
      <c r="D5777" s="16"/>
      <c r="F5777" s="16"/>
      <c r="G5777" s="16"/>
      <c r="H5777" s="24"/>
      <c r="I5777" s="24"/>
      <c r="L5777"/>
    </row>
    <row r="5778" spans="1:12" x14ac:dyDescent="0.25">
      <c r="A5778" s="16"/>
      <c r="D5778" s="16"/>
      <c r="F5778" s="16"/>
      <c r="G5778" s="16"/>
      <c r="H5778" s="24"/>
      <c r="I5778" s="24"/>
      <c r="L5778"/>
    </row>
    <row r="5779" spans="1:12" x14ac:dyDescent="0.25">
      <c r="A5779" s="16"/>
      <c r="D5779" s="16"/>
      <c r="F5779" s="16"/>
      <c r="G5779" s="16"/>
      <c r="H5779" s="24"/>
      <c r="I5779" s="24"/>
      <c r="L5779"/>
    </row>
    <row r="5780" spans="1:12" x14ac:dyDescent="0.25">
      <c r="A5780" s="16"/>
      <c r="D5780" s="16"/>
      <c r="F5780" s="16"/>
      <c r="G5780" s="16"/>
      <c r="H5780" s="24"/>
      <c r="I5780" s="24"/>
      <c r="L5780"/>
    </row>
    <row r="5781" spans="1:12" x14ac:dyDescent="0.25">
      <c r="A5781" s="16"/>
      <c r="D5781" s="16"/>
      <c r="F5781" s="16"/>
      <c r="G5781" s="16"/>
      <c r="H5781" s="24"/>
      <c r="I5781" s="24"/>
      <c r="L5781"/>
    </row>
    <row r="5782" spans="1:12" x14ac:dyDescent="0.25">
      <c r="A5782" s="16"/>
      <c r="D5782" s="16"/>
      <c r="F5782" s="16"/>
      <c r="G5782" s="16"/>
      <c r="H5782" s="24"/>
      <c r="I5782" s="24"/>
      <c r="L5782"/>
    </row>
    <row r="5783" spans="1:12" x14ac:dyDescent="0.25">
      <c r="A5783" s="16"/>
      <c r="D5783" s="16"/>
      <c r="F5783" s="16"/>
      <c r="G5783" s="16"/>
      <c r="H5783" s="24"/>
      <c r="I5783" s="24"/>
      <c r="L5783"/>
    </row>
    <row r="5784" spans="1:12" x14ac:dyDescent="0.25">
      <c r="A5784" s="16"/>
      <c r="D5784" s="16"/>
      <c r="F5784" s="16"/>
      <c r="G5784" s="16"/>
      <c r="H5784" s="24"/>
      <c r="I5784" s="24"/>
      <c r="L5784"/>
    </row>
    <row r="5785" spans="1:12" x14ac:dyDescent="0.25">
      <c r="A5785" s="16"/>
      <c r="D5785" s="16"/>
      <c r="F5785" s="16"/>
      <c r="G5785" s="16"/>
      <c r="H5785" s="24"/>
      <c r="I5785" s="24"/>
      <c r="L5785"/>
    </row>
    <row r="5786" spans="1:12" x14ac:dyDescent="0.25">
      <c r="A5786" s="16"/>
      <c r="D5786" s="16"/>
      <c r="F5786" s="16"/>
      <c r="G5786" s="16"/>
      <c r="H5786" s="24"/>
      <c r="I5786" s="24"/>
      <c r="L5786"/>
    </row>
    <row r="5787" spans="1:12" x14ac:dyDescent="0.25">
      <c r="A5787" s="16"/>
      <c r="D5787" s="16"/>
      <c r="F5787" s="16"/>
      <c r="G5787" s="16"/>
      <c r="H5787" s="24"/>
      <c r="I5787" s="24"/>
      <c r="L5787"/>
    </row>
    <row r="5788" spans="1:12" x14ac:dyDescent="0.25">
      <c r="A5788" s="16"/>
      <c r="D5788" s="16"/>
      <c r="F5788" s="16"/>
      <c r="G5788" s="16"/>
      <c r="H5788" s="24"/>
      <c r="I5788" s="24"/>
      <c r="L5788"/>
    </row>
    <row r="5789" spans="1:12" x14ac:dyDescent="0.25">
      <c r="A5789" s="16"/>
      <c r="D5789" s="16"/>
      <c r="F5789" s="16"/>
      <c r="G5789" s="16"/>
      <c r="H5789" s="24"/>
      <c r="I5789" s="24"/>
      <c r="L5789"/>
    </row>
    <row r="5790" spans="1:12" x14ac:dyDescent="0.25">
      <c r="A5790" s="16"/>
      <c r="D5790" s="16"/>
      <c r="F5790" s="16"/>
      <c r="G5790" s="16"/>
      <c r="H5790" s="24"/>
      <c r="I5790" s="24"/>
      <c r="L5790"/>
    </row>
    <row r="5791" spans="1:12" x14ac:dyDescent="0.25">
      <c r="A5791" s="16"/>
      <c r="D5791" s="16"/>
      <c r="F5791" s="16"/>
      <c r="G5791" s="16"/>
      <c r="H5791" s="24"/>
      <c r="I5791" s="24"/>
      <c r="L5791"/>
    </row>
    <row r="5792" spans="1:12" x14ac:dyDescent="0.25">
      <c r="A5792" s="16"/>
      <c r="D5792" s="16"/>
      <c r="F5792" s="16"/>
      <c r="G5792" s="16"/>
      <c r="H5792" s="24"/>
      <c r="I5792" s="24"/>
      <c r="L5792"/>
    </row>
    <row r="5793" spans="1:12" x14ac:dyDescent="0.25">
      <c r="A5793" s="16"/>
      <c r="D5793" s="16"/>
      <c r="F5793" s="16"/>
      <c r="G5793" s="16"/>
      <c r="H5793" s="24"/>
      <c r="I5793" s="24"/>
      <c r="L5793"/>
    </row>
    <row r="5794" spans="1:12" x14ac:dyDescent="0.25">
      <c r="A5794" s="16"/>
      <c r="D5794" s="16"/>
      <c r="F5794" s="16"/>
      <c r="G5794" s="16"/>
      <c r="H5794" s="24"/>
      <c r="I5794" s="24"/>
      <c r="L5794"/>
    </row>
    <row r="5795" spans="1:12" x14ac:dyDescent="0.25">
      <c r="A5795" s="16"/>
      <c r="D5795" s="16"/>
      <c r="F5795" s="16"/>
      <c r="G5795" s="16"/>
      <c r="H5795" s="24"/>
      <c r="I5795" s="24"/>
      <c r="L5795"/>
    </row>
    <row r="5796" spans="1:12" x14ac:dyDescent="0.25">
      <c r="A5796" s="16"/>
      <c r="D5796" s="16"/>
      <c r="F5796" s="16"/>
      <c r="G5796" s="16"/>
      <c r="H5796" s="24"/>
      <c r="I5796" s="24"/>
      <c r="L5796"/>
    </row>
    <row r="5797" spans="1:12" x14ac:dyDescent="0.25">
      <c r="A5797" s="16"/>
      <c r="D5797" s="16"/>
      <c r="F5797" s="16"/>
      <c r="G5797" s="16"/>
      <c r="H5797" s="24"/>
      <c r="I5797" s="24"/>
      <c r="L5797"/>
    </row>
    <row r="5798" spans="1:12" x14ac:dyDescent="0.25">
      <c r="A5798" s="16"/>
      <c r="D5798" s="16"/>
      <c r="F5798" s="16"/>
      <c r="G5798" s="16"/>
      <c r="H5798" s="24"/>
      <c r="I5798" s="24"/>
      <c r="L5798"/>
    </row>
    <row r="5799" spans="1:12" x14ac:dyDescent="0.25">
      <c r="A5799" s="16"/>
      <c r="D5799" s="16"/>
      <c r="F5799" s="16"/>
      <c r="G5799" s="16"/>
      <c r="H5799" s="24"/>
      <c r="I5799" s="24"/>
      <c r="L5799"/>
    </row>
    <row r="5800" spans="1:12" x14ac:dyDescent="0.25">
      <c r="A5800" s="16"/>
      <c r="D5800" s="16"/>
      <c r="F5800" s="16"/>
      <c r="G5800" s="16"/>
      <c r="H5800" s="24"/>
      <c r="I5800" s="24"/>
      <c r="L5800"/>
    </row>
    <row r="5801" spans="1:12" x14ac:dyDescent="0.25">
      <c r="A5801" s="16"/>
      <c r="D5801" s="16"/>
      <c r="F5801" s="16"/>
      <c r="G5801" s="16"/>
      <c r="H5801" s="24"/>
      <c r="I5801" s="24"/>
      <c r="L5801"/>
    </row>
    <row r="5802" spans="1:12" x14ac:dyDescent="0.25">
      <c r="A5802" s="16"/>
      <c r="D5802" s="16"/>
      <c r="F5802" s="16"/>
      <c r="G5802" s="16"/>
      <c r="H5802" s="24"/>
      <c r="I5802" s="24"/>
      <c r="L5802"/>
    </row>
    <row r="5803" spans="1:12" x14ac:dyDescent="0.25">
      <c r="A5803" s="16"/>
      <c r="D5803" s="16"/>
      <c r="F5803" s="16"/>
      <c r="G5803" s="16"/>
      <c r="H5803" s="24"/>
      <c r="I5803" s="24"/>
      <c r="L5803"/>
    </row>
    <row r="5804" spans="1:12" x14ac:dyDescent="0.25">
      <c r="A5804" s="16"/>
      <c r="D5804" s="16"/>
      <c r="F5804" s="16"/>
      <c r="G5804" s="16"/>
      <c r="H5804" s="24"/>
      <c r="I5804" s="24"/>
      <c r="L5804"/>
    </row>
    <row r="5805" spans="1:12" x14ac:dyDescent="0.25">
      <c r="A5805" s="16"/>
      <c r="D5805" s="16"/>
      <c r="F5805" s="16"/>
      <c r="G5805" s="16"/>
      <c r="H5805" s="24"/>
      <c r="I5805" s="24"/>
      <c r="L5805"/>
    </row>
    <row r="5806" spans="1:12" x14ac:dyDescent="0.25">
      <c r="A5806" s="16"/>
      <c r="D5806" s="16"/>
      <c r="F5806" s="16"/>
      <c r="G5806" s="16"/>
      <c r="H5806" s="24"/>
      <c r="I5806" s="24"/>
      <c r="L5806"/>
    </row>
    <row r="5807" spans="1:12" x14ac:dyDescent="0.25">
      <c r="A5807" s="16"/>
      <c r="D5807" s="16"/>
      <c r="F5807" s="16"/>
      <c r="G5807" s="16"/>
      <c r="H5807" s="24"/>
      <c r="I5807" s="24"/>
      <c r="L5807"/>
    </row>
    <row r="5808" spans="1:12" x14ac:dyDescent="0.25">
      <c r="A5808" s="16"/>
      <c r="D5808" s="16"/>
      <c r="F5808" s="16"/>
      <c r="G5808" s="16"/>
      <c r="H5808" s="24"/>
      <c r="I5808" s="24"/>
      <c r="L5808"/>
    </row>
    <row r="5809" spans="1:12" x14ac:dyDescent="0.25">
      <c r="A5809" s="16"/>
      <c r="D5809" s="16"/>
      <c r="F5809" s="16"/>
      <c r="G5809" s="16"/>
      <c r="H5809" s="24"/>
      <c r="I5809" s="24"/>
      <c r="L5809"/>
    </row>
    <row r="5810" spans="1:12" x14ac:dyDescent="0.25">
      <c r="A5810" s="16"/>
      <c r="D5810" s="16"/>
      <c r="F5810" s="16"/>
      <c r="G5810" s="16"/>
      <c r="H5810" s="24"/>
      <c r="I5810" s="24"/>
      <c r="L5810"/>
    </row>
    <row r="5811" spans="1:12" x14ac:dyDescent="0.25">
      <c r="A5811" s="16"/>
      <c r="D5811" s="16"/>
      <c r="F5811" s="16"/>
      <c r="G5811" s="16"/>
      <c r="H5811" s="24"/>
      <c r="I5811" s="24"/>
      <c r="L5811"/>
    </row>
    <row r="5812" spans="1:12" x14ac:dyDescent="0.25">
      <c r="A5812" s="16"/>
      <c r="D5812" s="16"/>
      <c r="F5812" s="16"/>
      <c r="G5812" s="16"/>
      <c r="H5812" s="24"/>
      <c r="I5812" s="24"/>
      <c r="L5812"/>
    </row>
    <row r="5813" spans="1:12" x14ac:dyDescent="0.25">
      <c r="A5813" s="16"/>
      <c r="D5813" s="16"/>
      <c r="F5813" s="16"/>
      <c r="G5813" s="16"/>
      <c r="H5813" s="24"/>
      <c r="I5813" s="24"/>
      <c r="L5813"/>
    </row>
    <row r="5814" spans="1:12" x14ac:dyDescent="0.25">
      <c r="A5814" s="16"/>
      <c r="D5814" s="16"/>
      <c r="F5814" s="16"/>
      <c r="G5814" s="16"/>
      <c r="H5814" s="24"/>
      <c r="I5814" s="24"/>
      <c r="L5814"/>
    </row>
    <row r="5815" spans="1:12" x14ac:dyDescent="0.25">
      <c r="A5815" s="16"/>
      <c r="D5815" s="16"/>
      <c r="F5815" s="16"/>
      <c r="G5815" s="16"/>
      <c r="H5815" s="24"/>
      <c r="I5815" s="24"/>
      <c r="L5815"/>
    </row>
    <row r="5816" spans="1:12" x14ac:dyDescent="0.25">
      <c r="A5816" s="16"/>
      <c r="D5816" s="16"/>
      <c r="F5816" s="16"/>
      <c r="G5816" s="16"/>
      <c r="H5816" s="24"/>
      <c r="I5816" s="24"/>
      <c r="L5816"/>
    </row>
    <row r="5817" spans="1:12" x14ac:dyDescent="0.25">
      <c r="A5817" s="16"/>
      <c r="D5817" s="16"/>
      <c r="F5817" s="16"/>
      <c r="G5817" s="16"/>
      <c r="H5817" s="24"/>
      <c r="I5817" s="24"/>
      <c r="L5817"/>
    </row>
    <row r="5818" spans="1:12" x14ac:dyDescent="0.25">
      <c r="A5818" s="16"/>
      <c r="D5818" s="16"/>
      <c r="F5818" s="16"/>
      <c r="G5818" s="16"/>
      <c r="H5818" s="24"/>
      <c r="I5818" s="24"/>
      <c r="L5818"/>
    </row>
    <row r="5819" spans="1:12" x14ac:dyDescent="0.25">
      <c r="A5819" s="16"/>
      <c r="D5819" s="16"/>
      <c r="F5819" s="16"/>
      <c r="G5819" s="16"/>
      <c r="H5819" s="24"/>
      <c r="I5819" s="24"/>
      <c r="L5819"/>
    </row>
    <row r="5820" spans="1:12" x14ac:dyDescent="0.25">
      <c r="A5820" s="16"/>
      <c r="D5820" s="16"/>
      <c r="F5820" s="16"/>
      <c r="G5820" s="16"/>
      <c r="H5820" s="24"/>
      <c r="I5820" s="24"/>
      <c r="L5820"/>
    </row>
    <row r="5821" spans="1:12" x14ac:dyDescent="0.25">
      <c r="A5821" s="16"/>
      <c r="D5821" s="16"/>
      <c r="F5821" s="16"/>
      <c r="G5821" s="16"/>
      <c r="H5821" s="24"/>
      <c r="I5821" s="24"/>
      <c r="L5821"/>
    </row>
    <row r="5822" spans="1:12" x14ac:dyDescent="0.25">
      <c r="A5822" s="16"/>
      <c r="D5822" s="16"/>
      <c r="F5822" s="16"/>
      <c r="G5822" s="16"/>
      <c r="H5822" s="24"/>
      <c r="I5822" s="24"/>
      <c r="L5822"/>
    </row>
    <row r="5823" spans="1:12" x14ac:dyDescent="0.25">
      <c r="A5823" s="16"/>
      <c r="D5823" s="16"/>
      <c r="F5823" s="16"/>
      <c r="G5823" s="16"/>
      <c r="H5823" s="24"/>
      <c r="I5823" s="24"/>
      <c r="L5823"/>
    </row>
    <row r="5824" spans="1:12" x14ac:dyDescent="0.25">
      <c r="A5824" s="16"/>
      <c r="D5824" s="16"/>
      <c r="F5824" s="16"/>
      <c r="G5824" s="16"/>
      <c r="H5824" s="24"/>
      <c r="I5824" s="24"/>
      <c r="L5824"/>
    </row>
    <row r="5825" spans="1:12" x14ac:dyDescent="0.25">
      <c r="A5825" s="16"/>
      <c r="D5825" s="16"/>
      <c r="F5825" s="16"/>
      <c r="G5825" s="16"/>
      <c r="H5825" s="24"/>
      <c r="I5825" s="24"/>
      <c r="L5825"/>
    </row>
    <row r="5826" spans="1:12" x14ac:dyDescent="0.25">
      <c r="A5826" s="16"/>
      <c r="D5826" s="16"/>
      <c r="F5826" s="16"/>
      <c r="G5826" s="16"/>
      <c r="H5826" s="24"/>
      <c r="I5826" s="24"/>
      <c r="L5826"/>
    </row>
    <row r="5827" spans="1:12" x14ac:dyDescent="0.25">
      <c r="A5827" s="16"/>
      <c r="D5827" s="16"/>
      <c r="F5827" s="16"/>
      <c r="G5827" s="16"/>
      <c r="H5827" s="24"/>
      <c r="I5827" s="24"/>
      <c r="L5827"/>
    </row>
    <row r="5828" spans="1:12" x14ac:dyDescent="0.25">
      <c r="A5828" s="16"/>
      <c r="D5828" s="16"/>
      <c r="F5828" s="16"/>
      <c r="G5828" s="16"/>
      <c r="H5828" s="24"/>
      <c r="I5828" s="24"/>
      <c r="L5828"/>
    </row>
    <row r="5829" spans="1:12" x14ac:dyDescent="0.25">
      <c r="A5829" s="16"/>
      <c r="D5829" s="16"/>
      <c r="F5829" s="16"/>
      <c r="G5829" s="16"/>
      <c r="H5829" s="24"/>
      <c r="I5829" s="24"/>
      <c r="L5829"/>
    </row>
    <row r="5830" spans="1:12" x14ac:dyDescent="0.25">
      <c r="A5830" s="16"/>
      <c r="D5830" s="16"/>
      <c r="F5830" s="16"/>
      <c r="G5830" s="16"/>
      <c r="H5830" s="24"/>
      <c r="I5830" s="24"/>
      <c r="L5830"/>
    </row>
    <row r="5831" spans="1:12" x14ac:dyDescent="0.25">
      <c r="A5831" s="16"/>
      <c r="D5831" s="16"/>
      <c r="F5831" s="16"/>
      <c r="G5831" s="16"/>
      <c r="H5831" s="24"/>
      <c r="I5831" s="24"/>
      <c r="L5831"/>
    </row>
    <row r="5832" spans="1:12" x14ac:dyDescent="0.25">
      <c r="A5832" s="16"/>
      <c r="D5832" s="16"/>
      <c r="F5832" s="16"/>
      <c r="G5832" s="16"/>
      <c r="H5832" s="24"/>
      <c r="I5832" s="24"/>
      <c r="L5832"/>
    </row>
    <row r="5833" spans="1:12" x14ac:dyDescent="0.25">
      <c r="A5833" s="16"/>
      <c r="D5833" s="16"/>
      <c r="F5833" s="16"/>
      <c r="G5833" s="16"/>
      <c r="H5833" s="24"/>
      <c r="I5833" s="24"/>
      <c r="L5833"/>
    </row>
    <row r="5834" spans="1:12" x14ac:dyDescent="0.25">
      <c r="A5834" s="16"/>
      <c r="D5834" s="16"/>
      <c r="F5834" s="16"/>
      <c r="G5834" s="16"/>
      <c r="H5834" s="24"/>
      <c r="I5834" s="24"/>
      <c r="L5834"/>
    </row>
    <row r="5835" spans="1:12" x14ac:dyDescent="0.25">
      <c r="A5835" s="16"/>
      <c r="D5835" s="16"/>
      <c r="F5835" s="16"/>
      <c r="G5835" s="16"/>
      <c r="H5835" s="24"/>
      <c r="I5835" s="24"/>
      <c r="L5835"/>
    </row>
    <row r="5836" spans="1:12" x14ac:dyDescent="0.25">
      <c r="A5836" s="16"/>
      <c r="D5836" s="16"/>
      <c r="F5836" s="16"/>
      <c r="G5836" s="16"/>
      <c r="H5836" s="24"/>
      <c r="I5836" s="24"/>
      <c r="L5836"/>
    </row>
    <row r="5837" spans="1:12" x14ac:dyDescent="0.25">
      <c r="A5837" s="16"/>
      <c r="D5837" s="16"/>
      <c r="F5837" s="16"/>
      <c r="G5837" s="16"/>
      <c r="H5837" s="24"/>
      <c r="I5837" s="24"/>
      <c r="L5837"/>
    </row>
    <row r="5838" spans="1:12" x14ac:dyDescent="0.25">
      <c r="A5838" s="16"/>
      <c r="D5838" s="16"/>
      <c r="F5838" s="16"/>
      <c r="G5838" s="16"/>
      <c r="H5838" s="24"/>
      <c r="I5838" s="24"/>
      <c r="L5838"/>
    </row>
    <row r="5839" spans="1:12" x14ac:dyDescent="0.25">
      <c r="A5839" s="16"/>
      <c r="D5839" s="16"/>
      <c r="F5839" s="16"/>
      <c r="G5839" s="16"/>
      <c r="H5839" s="24"/>
      <c r="I5839" s="24"/>
      <c r="L5839"/>
    </row>
    <row r="5840" spans="1:12" x14ac:dyDescent="0.25">
      <c r="A5840" s="16"/>
      <c r="D5840" s="16"/>
      <c r="F5840" s="16"/>
      <c r="G5840" s="16"/>
      <c r="H5840" s="24"/>
      <c r="I5840" s="24"/>
      <c r="L5840"/>
    </row>
    <row r="5841" spans="1:12" x14ac:dyDescent="0.25">
      <c r="A5841" s="16"/>
      <c r="D5841" s="16"/>
      <c r="F5841" s="16"/>
      <c r="G5841" s="16"/>
      <c r="H5841" s="24"/>
      <c r="I5841" s="24"/>
      <c r="L5841"/>
    </row>
    <row r="5842" spans="1:12" x14ac:dyDescent="0.25">
      <c r="A5842" s="16"/>
      <c r="D5842" s="16"/>
      <c r="F5842" s="16"/>
      <c r="G5842" s="16"/>
      <c r="H5842" s="24"/>
      <c r="I5842" s="24"/>
      <c r="L5842"/>
    </row>
    <row r="5843" spans="1:12" x14ac:dyDescent="0.25">
      <c r="A5843" s="16"/>
      <c r="D5843" s="16"/>
      <c r="F5843" s="16"/>
      <c r="G5843" s="16"/>
      <c r="H5843" s="24"/>
      <c r="I5843" s="24"/>
      <c r="L5843"/>
    </row>
    <row r="5844" spans="1:12" x14ac:dyDescent="0.25">
      <c r="A5844" s="16"/>
      <c r="D5844" s="16"/>
      <c r="F5844" s="16"/>
      <c r="G5844" s="16"/>
      <c r="H5844" s="24"/>
      <c r="I5844" s="24"/>
      <c r="L5844"/>
    </row>
    <row r="5845" spans="1:12" x14ac:dyDescent="0.25">
      <c r="A5845" s="16"/>
      <c r="D5845" s="16"/>
      <c r="F5845" s="16"/>
      <c r="G5845" s="16"/>
      <c r="H5845" s="24"/>
      <c r="I5845" s="24"/>
      <c r="L5845"/>
    </row>
    <row r="5846" spans="1:12" x14ac:dyDescent="0.25">
      <c r="A5846" s="16"/>
      <c r="D5846" s="16"/>
      <c r="F5846" s="16"/>
      <c r="G5846" s="16"/>
      <c r="H5846" s="24"/>
      <c r="I5846" s="24"/>
      <c r="L5846"/>
    </row>
    <row r="5847" spans="1:12" x14ac:dyDescent="0.25">
      <c r="A5847" s="16"/>
      <c r="D5847" s="16"/>
      <c r="F5847" s="16"/>
      <c r="G5847" s="16"/>
      <c r="H5847" s="24"/>
      <c r="I5847" s="24"/>
      <c r="L5847"/>
    </row>
    <row r="5848" spans="1:12" x14ac:dyDescent="0.25">
      <c r="A5848" s="16"/>
      <c r="D5848" s="16"/>
      <c r="F5848" s="16"/>
      <c r="G5848" s="16"/>
      <c r="H5848" s="24"/>
      <c r="I5848" s="24"/>
      <c r="L5848"/>
    </row>
    <row r="5849" spans="1:12" x14ac:dyDescent="0.25">
      <c r="A5849" s="16"/>
      <c r="D5849" s="16"/>
      <c r="F5849" s="16"/>
      <c r="G5849" s="16"/>
      <c r="H5849" s="24"/>
      <c r="I5849" s="24"/>
      <c r="L5849"/>
    </row>
    <row r="5850" spans="1:12" x14ac:dyDescent="0.25">
      <c r="A5850" s="16"/>
      <c r="D5850" s="16"/>
      <c r="F5850" s="16"/>
      <c r="G5850" s="16"/>
      <c r="H5850" s="24"/>
      <c r="I5850" s="24"/>
      <c r="L5850"/>
    </row>
    <row r="5851" spans="1:12" x14ac:dyDescent="0.25">
      <c r="A5851" s="16"/>
      <c r="D5851" s="16"/>
      <c r="F5851" s="16"/>
      <c r="G5851" s="16"/>
      <c r="H5851" s="24"/>
      <c r="I5851" s="24"/>
      <c r="L5851"/>
    </row>
    <row r="5852" spans="1:12" x14ac:dyDescent="0.25">
      <c r="A5852" s="16"/>
      <c r="D5852" s="16"/>
      <c r="F5852" s="16"/>
      <c r="G5852" s="16"/>
      <c r="H5852" s="24"/>
      <c r="I5852" s="24"/>
      <c r="L5852"/>
    </row>
    <row r="5853" spans="1:12" x14ac:dyDescent="0.25">
      <c r="A5853" s="16"/>
      <c r="D5853" s="16"/>
      <c r="F5853" s="16"/>
      <c r="G5853" s="16"/>
      <c r="H5853" s="24"/>
      <c r="I5853" s="24"/>
      <c r="L5853"/>
    </row>
    <row r="5854" spans="1:12" x14ac:dyDescent="0.25">
      <c r="A5854" s="16"/>
      <c r="D5854" s="16"/>
      <c r="F5854" s="16"/>
      <c r="G5854" s="16"/>
      <c r="H5854" s="24"/>
      <c r="I5854" s="24"/>
      <c r="L5854"/>
    </row>
    <row r="5855" spans="1:12" x14ac:dyDescent="0.25">
      <c r="A5855" s="16"/>
      <c r="D5855" s="16"/>
      <c r="F5855" s="16"/>
      <c r="G5855" s="16"/>
      <c r="H5855" s="24"/>
      <c r="I5855" s="24"/>
      <c r="L5855"/>
    </row>
    <row r="5856" spans="1:12" x14ac:dyDescent="0.25">
      <c r="A5856" s="16"/>
      <c r="D5856" s="16"/>
      <c r="F5856" s="16"/>
      <c r="G5856" s="16"/>
      <c r="H5856" s="24"/>
      <c r="I5856" s="24"/>
      <c r="L5856"/>
    </row>
    <row r="5857" spans="1:12" x14ac:dyDescent="0.25">
      <c r="A5857" s="16"/>
      <c r="D5857" s="16"/>
      <c r="F5857" s="16"/>
      <c r="G5857" s="16"/>
      <c r="H5857" s="24"/>
      <c r="I5857" s="24"/>
      <c r="L5857"/>
    </row>
    <row r="5858" spans="1:12" x14ac:dyDescent="0.25">
      <c r="A5858" s="16"/>
      <c r="D5858" s="16"/>
      <c r="F5858" s="16"/>
      <c r="G5858" s="16"/>
      <c r="H5858" s="24"/>
      <c r="I5858" s="24"/>
      <c r="L5858"/>
    </row>
    <row r="5859" spans="1:12" x14ac:dyDescent="0.25">
      <c r="A5859" s="16"/>
      <c r="D5859" s="16"/>
      <c r="F5859" s="16"/>
      <c r="G5859" s="16"/>
      <c r="H5859" s="24"/>
      <c r="I5859" s="24"/>
      <c r="L5859"/>
    </row>
    <row r="5860" spans="1:12" x14ac:dyDescent="0.25">
      <c r="A5860" s="16"/>
      <c r="D5860" s="16"/>
      <c r="F5860" s="16"/>
      <c r="G5860" s="16"/>
      <c r="H5860" s="24"/>
      <c r="I5860" s="24"/>
      <c r="L5860"/>
    </row>
    <row r="5861" spans="1:12" x14ac:dyDescent="0.25">
      <c r="A5861" s="16"/>
      <c r="D5861" s="16"/>
      <c r="F5861" s="16"/>
      <c r="G5861" s="16"/>
      <c r="H5861" s="24"/>
      <c r="I5861" s="24"/>
      <c r="L5861"/>
    </row>
    <row r="5862" spans="1:12" x14ac:dyDescent="0.25">
      <c r="A5862" s="16"/>
      <c r="D5862" s="16"/>
      <c r="F5862" s="16"/>
      <c r="G5862" s="16"/>
      <c r="H5862" s="24"/>
      <c r="I5862" s="24"/>
      <c r="L5862"/>
    </row>
    <row r="5863" spans="1:12" x14ac:dyDescent="0.25">
      <c r="A5863" s="16"/>
      <c r="D5863" s="16"/>
      <c r="F5863" s="16"/>
      <c r="G5863" s="16"/>
      <c r="H5863" s="24"/>
      <c r="I5863" s="24"/>
      <c r="L5863"/>
    </row>
    <row r="5864" spans="1:12" x14ac:dyDescent="0.25">
      <c r="A5864" s="16"/>
      <c r="D5864" s="16"/>
      <c r="F5864" s="16"/>
      <c r="G5864" s="16"/>
      <c r="H5864" s="24"/>
      <c r="I5864" s="24"/>
      <c r="L5864"/>
    </row>
    <row r="5865" spans="1:12" x14ac:dyDescent="0.25">
      <c r="A5865" s="16"/>
      <c r="D5865" s="16"/>
      <c r="F5865" s="16"/>
      <c r="G5865" s="16"/>
      <c r="H5865" s="24"/>
      <c r="I5865" s="24"/>
      <c r="L5865"/>
    </row>
    <row r="5866" spans="1:12" x14ac:dyDescent="0.25">
      <c r="A5866" s="16"/>
      <c r="D5866" s="16"/>
      <c r="F5866" s="16"/>
      <c r="G5866" s="16"/>
      <c r="H5866" s="24"/>
      <c r="I5866" s="24"/>
      <c r="L5866"/>
    </row>
    <row r="5867" spans="1:12" x14ac:dyDescent="0.25">
      <c r="A5867" s="16"/>
      <c r="D5867" s="16"/>
      <c r="F5867" s="16"/>
      <c r="G5867" s="16"/>
      <c r="H5867" s="24"/>
      <c r="I5867" s="24"/>
      <c r="L5867"/>
    </row>
    <row r="5868" spans="1:12" x14ac:dyDescent="0.25">
      <c r="A5868" s="16"/>
      <c r="D5868" s="16"/>
      <c r="F5868" s="16"/>
      <c r="G5868" s="16"/>
      <c r="H5868" s="24"/>
      <c r="I5868" s="24"/>
      <c r="L5868"/>
    </row>
    <row r="5869" spans="1:12" x14ac:dyDescent="0.25">
      <c r="A5869" s="16"/>
      <c r="D5869" s="16"/>
      <c r="F5869" s="16"/>
      <c r="G5869" s="16"/>
      <c r="H5869" s="24"/>
      <c r="I5869" s="24"/>
      <c r="L5869"/>
    </row>
    <row r="5870" spans="1:12" x14ac:dyDescent="0.25">
      <c r="A5870" s="16"/>
      <c r="D5870" s="16"/>
      <c r="F5870" s="16"/>
      <c r="G5870" s="16"/>
      <c r="H5870" s="24"/>
      <c r="I5870" s="24"/>
      <c r="L5870"/>
    </row>
    <row r="5871" spans="1:12" x14ac:dyDescent="0.25">
      <c r="A5871" s="16"/>
      <c r="D5871" s="16"/>
      <c r="F5871" s="16"/>
      <c r="G5871" s="16"/>
      <c r="H5871" s="24"/>
      <c r="I5871" s="24"/>
      <c r="L5871"/>
    </row>
    <row r="5872" spans="1:12" x14ac:dyDescent="0.25">
      <c r="A5872" s="16"/>
      <c r="D5872" s="16"/>
      <c r="F5872" s="16"/>
      <c r="G5872" s="16"/>
      <c r="H5872" s="24"/>
      <c r="I5872" s="24"/>
      <c r="L5872"/>
    </row>
    <row r="5873" spans="1:12" x14ac:dyDescent="0.25">
      <c r="A5873" s="16"/>
      <c r="D5873" s="16"/>
      <c r="F5873" s="16"/>
      <c r="G5873" s="16"/>
      <c r="H5873" s="24"/>
      <c r="I5873" s="24"/>
      <c r="L5873"/>
    </row>
    <row r="5874" spans="1:12" x14ac:dyDescent="0.25">
      <c r="A5874" s="16"/>
      <c r="D5874" s="16"/>
      <c r="F5874" s="16"/>
      <c r="G5874" s="16"/>
      <c r="H5874" s="24"/>
      <c r="I5874" s="24"/>
      <c r="L5874"/>
    </row>
    <row r="5875" spans="1:12" x14ac:dyDescent="0.25">
      <c r="A5875" s="16"/>
      <c r="D5875" s="16"/>
      <c r="F5875" s="16"/>
      <c r="G5875" s="16"/>
      <c r="H5875" s="24"/>
      <c r="I5875" s="24"/>
      <c r="L5875"/>
    </row>
    <row r="5876" spans="1:12" x14ac:dyDescent="0.25">
      <c r="A5876" s="16"/>
      <c r="D5876" s="16"/>
      <c r="F5876" s="16"/>
      <c r="G5876" s="16"/>
      <c r="H5876" s="24"/>
      <c r="I5876" s="24"/>
      <c r="L5876"/>
    </row>
    <row r="5877" spans="1:12" x14ac:dyDescent="0.25">
      <c r="A5877" s="16"/>
      <c r="D5877" s="16"/>
      <c r="F5877" s="16"/>
      <c r="G5877" s="16"/>
      <c r="H5877" s="24"/>
      <c r="I5877" s="24"/>
      <c r="L5877"/>
    </row>
    <row r="5878" spans="1:12" x14ac:dyDescent="0.25">
      <c r="A5878" s="16"/>
      <c r="D5878" s="16"/>
      <c r="F5878" s="16"/>
      <c r="G5878" s="16"/>
      <c r="H5878" s="24"/>
      <c r="I5878" s="24"/>
      <c r="L5878"/>
    </row>
    <row r="5879" spans="1:12" x14ac:dyDescent="0.25">
      <c r="A5879" s="16"/>
      <c r="D5879" s="16"/>
      <c r="F5879" s="16"/>
      <c r="G5879" s="16"/>
      <c r="H5879" s="24"/>
      <c r="I5879" s="24"/>
      <c r="L5879"/>
    </row>
    <row r="5880" spans="1:12" x14ac:dyDescent="0.25">
      <c r="A5880" s="16"/>
      <c r="D5880" s="16"/>
      <c r="F5880" s="16"/>
      <c r="G5880" s="16"/>
      <c r="H5880" s="24"/>
      <c r="I5880" s="24"/>
      <c r="L5880"/>
    </row>
    <row r="5881" spans="1:12" x14ac:dyDescent="0.25">
      <c r="A5881" s="16"/>
      <c r="D5881" s="16"/>
      <c r="F5881" s="16"/>
      <c r="G5881" s="16"/>
      <c r="H5881" s="24"/>
      <c r="I5881" s="24"/>
      <c r="L5881"/>
    </row>
    <row r="5882" spans="1:12" x14ac:dyDescent="0.25">
      <c r="A5882" s="16"/>
      <c r="D5882" s="16"/>
      <c r="F5882" s="16"/>
      <c r="G5882" s="16"/>
      <c r="H5882" s="24"/>
      <c r="I5882" s="24"/>
      <c r="L5882"/>
    </row>
    <row r="5883" spans="1:12" x14ac:dyDescent="0.25">
      <c r="A5883" s="16"/>
      <c r="D5883" s="16"/>
      <c r="F5883" s="16"/>
      <c r="G5883" s="16"/>
      <c r="H5883" s="24"/>
      <c r="I5883" s="24"/>
      <c r="L5883"/>
    </row>
    <row r="5884" spans="1:12" x14ac:dyDescent="0.25">
      <c r="A5884" s="16"/>
      <c r="D5884" s="16"/>
      <c r="F5884" s="16"/>
      <c r="G5884" s="16"/>
      <c r="H5884" s="24"/>
      <c r="I5884" s="24"/>
      <c r="L5884"/>
    </row>
    <row r="5885" spans="1:12" x14ac:dyDescent="0.25">
      <c r="A5885" s="16"/>
      <c r="D5885" s="16"/>
      <c r="F5885" s="16"/>
      <c r="G5885" s="16"/>
      <c r="H5885" s="24"/>
      <c r="I5885" s="24"/>
      <c r="L5885"/>
    </row>
    <row r="5886" spans="1:12" x14ac:dyDescent="0.25">
      <c r="A5886" s="16"/>
      <c r="D5886" s="16"/>
      <c r="F5886" s="16"/>
      <c r="G5886" s="16"/>
      <c r="H5886" s="24"/>
      <c r="I5886" s="24"/>
      <c r="L5886"/>
    </row>
    <row r="5887" spans="1:12" x14ac:dyDescent="0.25">
      <c r="A5887" s="16"/>
      <c r="D5887" s="16"/>
      <c r="F5887" s="16"/>
      <c r="G5887" s="16"/>
      <c r="H5887" s="24"/>
      <c r="I5887" s="24"/>
      <c r="L5887"/>
    </row>
    <row r="5888" spans="1:12" x14ac:dyDescent="0.25">
      <c r="A5888" s="16"/>
      <c r="D5888" s="16"/>
      <c r="F5888" s="16"/>
      <c r="G5888" s="16"/>
      <c r="H5888" s="24"/>
      <c r="I5888" s="24"/>
      <c r="L5888"/>
    </row>
    <row r="5889" spans="1:12" x14ac:dyDescent="0.25">
      <c r="A5889" s="16"/>
      <c r="D5889" s="16"/>
      <c r="F5889" s="16"/>
      <c r="G5889" s="16"/>
      <c r="H5889" s="24"/>
      <c r="I5889" s="24"/>
      <c r="L5889"/>
    </row>
    <row r="5890" spans="1:12" x14ac:dyDescent="0.25">
      <c r="A5890" s="16"/>
      <c r="D5890" s="16"/>
      <c r="F5890" s="16"/>
      <c r="G5890" s="16"/>
      <c r="H5890" s="24"/>
      <c r="I5890" s="24"/>
      <c r="L5890"/>
    </row>
    <row r="5891" spans="1:12" x14ac:dyDescent="0.25">
      <c r="A5891" s="16"/>
      <c r="D5891" s="16"/>
      <c r="F5891" s="16"/>
      <c r="G5891" s="16"/>
      <c r="H5891" s="24"/>
      <c r="I5891" s="24"/>
      <c r="L5891"/>
    </row>
    <row r="5892" spans="1:12" x14ac:dyDescent="0.25">
      <c r="A5892" s="16"/>
      <c r="D5892" s="16"/>
      <c r="F5892" s="16"/>
      <c r="G5892" s="16"/>
      <c r="H5892" s="24"/>
      <c r="I5892" s="24"/>
      <c r="L5892"/>
    </row>
    <row r="5893" spans="1:12" x14ac:dyDescent="0.25">
      <c r="A5893" s="16"/>
      <c r="D5893" s="16"/>
      <c r="F5893" s="16"/>
      <c r="G5893" s="16"/>
      <c r="H5893" s="24"/>
      <c r="I5893" s="24"/>
      <c r="L5893"/>
    </row>
    <row r="5894" spans="1:12" x14ac:dyDescent="0.25">
      <c r="A5894" s="16"/>
      <c r="D5894" s="16"/>
      <c r="F5894" s="16"/>
      <c r="G5894" s="16"/>
      <c r="H5894" s="24"/>
      <c r="I5894" s="24"/>
      <c r="L5894"/>
    </row>
    <row r="5895" spans="1:12" x14ac:dyDescent="0.25">
      <c r="A5895" s="16"/>
      <c r="D5895" s="16"/>
      <c r="F5895" s="16"/>
      <c r="G5895" s="16"/>
      <c r="H5895" s="24"/>
      <c r="I5895" s="24"/>
      <c r="L5895"/>
    </row>
    <row r="5896" spans="1:12" x14ac:dyDescent="0.25">
      <c r="A5896" s="16"/>
      <c r="D5896" s="16"/>
      <c r="F5896" s="16"/>
      <c r="G5896" s="16"/>
      <c r="H5896" s="24"/>
      <c r="I5896" s="24"/>
      <c r="L5896"/>
    </row>
    <row r="5897" spans="1:12" x14ac:dyDescent="0.25">
      <c r="A5897" s="16"/>
      <c r="D5897" s="16"/>
      <c r="F5897" s="16"/>
      <c r="G5897" s="16"/>
      <c r="H5897" s="24"/>
      <c r="I5897" s="24"/>
      <c r="L5897"/>
    </row>
    <row r="5898" spans="1:12" x14ac:dyDescent="0.25">
      <c r="A5898" s="16"/>
      <c r="D5898" s="16"/>
      <c r="F5898" s="16"/>
      <c r="G5898" s="16"/>
      <c r="H5898" s="24"/>
      <c r="I5898" s="24"/>
      <c r="L5898"/>
    </row>
    <row r="5899" spans="1:12" x14ac:dyDescent="0.25">
      <c r="A5899" s="16"/>
      <c r="D5899" s="16"/>
      <c r="F5899" s="16"/>
      <c r="G5899" s="16"/>
      <c r="H5899" s="24"/>
      <c r="I5899" s="24"/>
      <c r="L5899"/>
    </row>
    <row r="5900" spans="1:12" x14ac:dyDescent="0.25">
      <c r="A5900" s="16"/>
      <c r="D5900" s="16"/>
      <c r="F5900" s="16"/>
      <c r="G5900" s="16"/>
      <c r="H5900" s="24"/>
      <c r="I5900" s="24"/>
      <c r="L5900"/>
    </row>
    <row r="5901" spans="1:12" x14ac:dyDescent="0.25">
      <c r="A5901" s="16"/>
      <c r="D5901" s="16"/>
      <c r="F5901" s="16"/>
      <c r="G5901" s="16"/>
      <c r="H5901" s="24"/>
      <c r="I5901" s="24"/>
      <c r="L5901"/>
    </row>
    <row r="5902" spans="1:12" x14ac:dyDescent="0.25">
      <c r="A5902" s="16"/>
      <c r="D5902" s="16"/>
      <c r="F5902" s="16"/>
      <c r="G5902" s="16"/>
      <c r="H5902" s="24"/>
      <c r="I5902" s="24"/>
      <c r="L5902"/>
    </row>
    <row r="5903" spans="1:12" x14ac:dyDescent="0.25">
      <c r="A5903" s="16"/>
      <c r="D5903" s="16"/>
      <c r="F5903" s="16"/>
      <c r="G5903" s="16"/>
      <c r="H5903" s="24"/>
      <c r="I5903" s="24"/>
      <c r="L5903"/>
    </row>
    <row r="5904" spans="1:12" x14ac:dyDescent="0.25">
      <c r="A5904" s="16"/>
      <c r="D5904" s="16"/>
      <c r="F5904" s="16"/>
      <c r="G5904" s="16"/>
      <c r="H5904" s="24"/>
      <c r="I5904" s="24"/>
      <c r="L5904"/>
    </row>
    <row r="5905" spans="1:12" x14ac:dyDescent="0.25">
      <c r="A5905" s="16"/>
      <c r="D5905" s="16"/>
      <c r="F5905" s="16"/>
      <c r="G5905" s="16"/>
      <c r="H5905" s="24"/>
      <c r="I5905" s="24"/>
      <c r="L5905"/>
    </row>
    <row r="5906" spans="1:12" x14ac:dyDescent="0.25">
      <c r="A5906" s="16"/>
      <c r="D5906" s="16"/>
      <c r="F5906" s="16"/>
      <c r="G5906" s="16"/>
      <c r="H5906" s="24"/>
      <c r="I5906" s="24"/>
      <c r="L5906"/>
    </row>
    <row r="5907" spans="1:12" x14ac:dyDescent="0.25">
      <c r="A5907" s="16"/>
      <c r="D5907" s="16"/>
      <c r="F5907" s="16"/>
      <c r="G5907" s="16"/>
      <c r="H5907" s="24"/>
      <c r="I5907" s="24"/>
      <c r="L5907"/>
    </row>
    <row r="5908" spans="1:12" x14ac:dyDescent="0.25">
      <c r="A5908" s="16"/>
      <c r="D5908" s="16"/>
      <c r="F5908" s="16"/>
      <c r="G5908" s="16"/>
      <c r="H5908" s="24"/>
      <c r="I5908" s="24"/>
      <c r="L5908"/>
    </row>
    <row r="5909" spans="1:12" x14ac:dyDescent="0.25">
      <c r="A5909" s="16"/>
      <c r="D5909" s="16"/>
      <c r="F5909" s="16"/>
      <c r="G5909" s="16"/>
      <c r="H5909" s="24"/>
      <c r="I5909" s="24"/>
      <c r="L5909"/>
    </row>
    <row r="5910" spans="1:12" x14ac:dyDescent="0.25">
      <c r="A5910" s="16"/>
      <c r="D5910" s="16"/>
      <c r="F5910" s="16"/>
      <c r="G5910" s="16"/>
      <c r="H5910" s="24"/>
      <c r="I5910" s="24"/>
      <c r="L5910"/>
    </row>
    <row r="5911" spans="1:12" x14ac:dyDescent="0.25">
      <c r="A5911" s="16"/>
      <c r="D5911" s="16"/>
      <c r="F5911" s="16"/>
      <c r="G5911" s="16"/>
      <c r="H5911" s="24"/>
      <c r="I5911" s="24"/>
      <c r="L5911"/>
    </row>
    <row r="5912" spans="1:12" x14ac:dyDescent="0.25">
      <c r="A5912" s="16"/>
      <c r="D5912" s="16"/>
      <c r="F5912" s="16"/>
      <c r="G5912" s="16"/>
      <c r="H5912" s="24"/>
      <c r="I5912" s="24"/>
      <c r="L5912"/>
    </row>
    <row r="5913" spans="1:12" x14ac:dyDescent="0.25">
      <c r="A5913" s="16"/>
      <c r="D5913" s="16"/>
      <c r="F5913" s="16"/>
      <c r="G5913" s="16"/>
      <c r="H5913" s="24"/>
      <c r="I5913" s="24"/>
      <c r="L5913"/>
    </row>
    <row r="5914" spans="1:12" x14ac:dyDescent="0.25">
      <c r="A5914" s="16"/>
      <c r="D5914" s="16"/>
      <c r="F5914" s="16"/>
      <c r="G5914" s="16"/>
      <c r="H5914" s="24"/>
      <c r="I5914" s="24"/>
      <c r="L5914"/>
    </row>
    <row r="5915" spans="1:12" x14ac:dyDescent="0.25">
      <c r="A5915" s="16"/>
      <c r="D5915" s="16"/>
      <c r="F5915" s="16"/>
      <c r="G5915" s="16"/>
      <c r="H5915" s="24"/>
      <c r="I5915" s="24"/>
      <c r="L5915"/>
    </row>
    <row r="5916" spans="1:12" x14ac:dyDescent="0.25">
      <c r="A5916" s="16"/>
      <c r="D5916" s="16"/>
      <c r="F5916" s="16"/>
      <c r="G5916" s="16"/>
      <c r="H5916" s="24"/>
      <c r="I5916" s="24"/>
      <c r="L5916"/>
    </row>
    <row r="5917" spans="1:12" x14ac:dyDescent="0.25">
      <c r="A5917" s="16"/>
      <c r="D5917" s="16"/>
      <c r="F5917" s="16"/>
      <c r="G5917" s="16"/>
      <c r="H5917" s="24"/>
      <c r="I5917" s="24"/>
      <c r="L5917"/>
    </row>
    <row r="5918" spans="1:12" x14ac:dyDescent="0.25">
      <c r="A5918" s="16"/>
      <c r="D5918" s="16"/>
      <c r="F5918" s="16"/>
      <c r="G5918" s="16"/>
      <c r="H5918" s="24"/>
      <c r="I5918" s="24"/>
      <c r="L5918"/>
    </row>
    <row r="5919" spans="1:12" x14ac:dyDescent="0.25">
      <c r="A5919" s="16"/>
      <c r="D5919" s="16"/>
      <c r="F5919" s="16"/>
      <c r="G5919" s="16"/>
      <c r="H5919" s="24"/>
      <c r="I5919" s="24"/>
      <c r="L5919"/>
    </row>
    <row r="5920" spans="1:12" x14ac:dyDescent="0.25">
      <c r="A5920" s="16"/>
      <c r="D5920" s="16"/>
      <c r="F5920" s="16"/>
      <c r="G5920" s="16"/>
      <c r="H5920" s="24"/>
      <c r="I5920" s="24"/>
      <c r="L5920"/>
    </row>
    <row r="5921" spans="1:12" x14ac:dyDescent="0.25">
      <c r="A5921" s="16"/>
      <c r="D5921" s="16"/>
      <c r="F5921" s="16"/>
      <c r="G5921" s="16"/>
      <c r="H5921" s="24"/>
      <c r="I5921" s="24"/>
      <c r="L5921"/>
    </row>
    <row r="5922" spans="1:12" x14ac:dyDescent="0.25">
      <c r="A5922" s="16"/>
      <c r="D5922" s="16"/>
      <c r="F5922" s="16"/>
      <c r="G5922" s="16"/>
      <c r="H5922" s="24"/>
      <c r="I5922" s="24"/>
      <c r="L5922"/>
    </row>
    <row r="5923" spans="1:12" x14ac:dyDescent="0.25">
      <c r="A5923" s="16"/>
      <c r="D5923" s="16"/>
      <c r="F5923" s="16"/>
      <c r="G5923" s="16"/>
      <c r="H5923" s="24"/>
      <c r="I5923" s="24"/>
      <c r="L5923"/>
    </row>
    <row r="5924" spans="1:12" x14ac:dyDescent="0.25">
      <c r="A5924" s="16"/>
      <c r="D5924" s="16"/>
      <c r="F5924" s="16"/>
      <c r="G5924" s="16"/>
      <c r="H5924" s="24"/>
      <c r="I5924" s="24"/>
      <c r="L5924"/>
    </row>
    <row r="5925" spans="1:12" x14ac:dyDescent="0.25">
      <c r="A5925" s="16"/>
      <c r="D5925" s="16"/>
      <c r="F5925" s="16"/>
      <c r="G5925" s="16"/>
      <c r="H5925" s="24"/>
      <c r="I5925" s="24"/>
      <c r="L5925"/>
    </row>
    <row r="5926" spans="1:12" x14ac:dyDescent="0.25">
      <c r="A5926" s="16"/>
      <c r="D5926" s="16"/>
      <c r="F5926" s="16"/>
      <c r="G5926" s="16"/>
      <c r="H5926" s="24"/>
      <c r="I5926" s="24"/>
      <c r="L5926"/>
    </row>
    <row r="5927" spans="1:12" x14ac:dyDescent="0.25">
      <c r="A5927" s="16"/>
      <c r="D5927" s="16"/>
      <c r="F5927" s="16"/>
      <c r="G5927" s="16"/>
      <c r="H5927" s="24"/>
      <c r="I5927" s="24"/>
      <c r="L5927"/>
    </row>
    <row r="5928" spans="1:12" x14ac:dyDescent="0.25">
      <c r="A5928" s="16"/>
      <c r="D5928" s="16"/>
      <c r="F5928" s="16"/>
      <c r="G5928" s="16"/>
      <c r="H5928" s="24"/>
      <c r="I5928" s="24"/>
      <c r="L5928"/>
    </row>
    <row r="5929" spans="1:12" x14ac:dyDescent="0.25">
      <c r="A5929" s="16"/>
      <c r="D5929" s="16"/>
      <c r="F5929" s="16"/>
      <c r="G5929" s="16"/>
      <c r="H5929" s="24"/>
      <c r="I5929" s="24"/>
      <c r="L5929"/>
    </row>
    <row r="5930" spans="1:12" x14ac:dyDescent="0.25">
      <c r="A5930" s="16"/>
      <c r="D5930" s="16"/>
      <c r="F5930" s="16"/>
      <c r="G5930" s="16"/>
      <c r="H5930" s="24"/>
      <c r="I5930" s="24"/>
      <c r="L5930"/>
    </row>
    <row r="5931" spans="1:12" x14ac:dyDescent="0.25">
      <c r="A5931" s="16"/>
      <c r="D5931" s="16"/>
      <c r="F5931" s="16"/>
      <c r="G5931" s="16"/>
      <c r="H5931" s="24"/>
      <c r="I5931" s="24"/>
      <c r="L5931"/>
    </row>
    <row r="5932" spans="1:12" x14ac:dyDescent="0.25">
      <c r="A5932" s="16"/>
      <c r="D5932" s="16"/>
      <c r="F5932" s="16"/>
      <c r="G5932" s="16"/>
      <c r="H5932" s="24"/>
      <c r="I5932" s="24"/>
      <c r="L5932"/>
    </row>
    <row r="5933" spans="1:12" x14ac:dyDescent="0.25">
      <c r="A5933" s="16"/>
      <c r="D5933" s="16"/>
      <c r="F5933" s="16"/>
      <c r="G5933" s="16"/>
      <c r="H5933" s="24"/>
      <c r="I5933" s="24"/>
      <c r="L5933"/>
    </row>
    <row r="5934" spans="1:12" x14ac:dyDescent="0.25">
      <c r="A5934" s="16"/>
      <c r="D5934" s="16"/>
      <c r="F5934" s="16"/>
      <c r="G5934" s="16"/>
      <c r="H5934" s="24"/>
      <c r="I5934" s="24"/>
      <c r="L5934"/>
    </row>
    <row r="5935" spans="1:12" x14ac:dyDescent="0.25">
      <c r="A5935" s="16"/>
      <c r="D5935" s="16"/>
      <c r="F5935" s="16"/>
      <c r="G5935" s="16"/>
      <c r="H5935" s="24"/>
      <c r="I5935" s="24"/>
      <c r="L5935"/>
    </row>
    <row r="5936" spans="1:12" x14ac:dyDescent="0.25">
      <c r="A5936" s="16"/>
      <c r="D5936" s="16"/>
      <c r="F5936" s="16"/>
      <c r="G5936" s="16"/>
      <c r="H5936" s="24"/>
      <c r="I5936" s="24"/>
      <c r="L5936"/>
    </row>
    <row r="5937" spans="1:12" x14ac:dyDescent="0.25">
      <c r="A5937" s="16"/>
      <c r="D5937" s="16"/>
      <c r="F5937" s="16"/>
      <c r="G5937" s="16"/>
      <c r="H5937" s="24"/>
      <c r="I5937" s="24"/>
      <c r="L5937"/>
    </row>
    <row r="5938" spans="1:12" x14ac:dyDescent="0.25">
      <c r="A5938" s="16"/>
      <c r="D5938" s="16"/>
      <c r="F5938" s="16"/>
      <c r="G5938" s="16"/>
      <c r="H5938" s="24"/>
      <c r="I5938" s="24"/>
      <c r="L5938"/>
    </row>
    <row r="5939" spans="1:12" x14ac:dyDescent="0.25">
      <c r="A5939" s="16"/>
      <c r="D5939" s="16"/>
      <c r="F5939" s="16"/>
      <c r="G5939" s="16"/>
      <c r="H5939" s="24"/>
      <c r="I5939" s="24"/>
      <c r="L5939"/>
    </row>
    <row r="5940" spans="1:12" x14ac:dyDescent="0.25">
      <c r="A5940" s="16"/>
      <c r="D5940" s="16"/>
      <c r="F5940" s="16"/>
      <c r="G5940" s="16"/>
      <c r="H5940" s="24"/>
      <c r="I5940" s="24"/>
      <c r="L5940"/>
    </row>
    <row r="5941" spans="1:12" x14ac:dyDescent="0.25">
      <c r="A5941" s="16"/>
      <c r="D5941" s="16"/>
      <c r="F5941" s="16"/>
      <c r="G5941" s="16"/>
      <c r="H5941" s="24"/>
      <c r="I5941" s="24"/>
      <c r="L5941"/>
    </row>
    <row r="5942" spans="1:12" x14ac:dyDescent="0.25">
      <c r="A5942" s="16"/>
      <c r="D5942" s="16"/>
      <c r="F5942" s="16"/>
      <c r="G5942" s="16"/>
      <c r="H5942" s="24"/>
      <c r="I5942" s="24"/>
      <c r="L5942"/>
    </row>
    <row r="5943" spans="1:12" x14ac:dyDescent="0.25">
      <c r="A5943" s="16"/>
      <c r="D5943" s="16"/>
      <c r="F5943" s="16"/>
      <c r="G5943" s="16"/>
      <c r="H5943" s="24"/>
      <c r="I5943" s="24"/>
      <c r="L5943"/>
    </row>
    <row r="5944" spans="1:12" x14ac:dyDescent="0.25">
      <c r="A5944" s="16"/>
      <c r="D5944" s="16"/>
      <c r="F5944" s="16"/>
      <c r="G5944" s="16"/>
      <c r="H5944" s="24"/>
      <c r="I5944" s="24"/>
      <c r="L5944"/>
    </row>
    <row r="5945" spans="1:12" x14ac:dyDescent="0.25">
      <c r="A5945" s="16"/>
      <c r="D5945" s="16"/>
      <c r="F5945" s="16"/>
      <c r="G5945" s="16"/>
      <c r="H5945" s="24"/>
      <c r="I5945" s="24"/>
      <c r="L5945"/>
    </row>
    <row r="5946" spans="1:12" x14ac:dyDescent="0.25">
      <c r="A5946" s="16"/>
      <c r="D5946" s="16"/>
      <c r="F5946" s="16"/>
      <c r="G5946" s="16"/>
      <c r="H5946" s="24"/>
      <c r="I5946" s="24"/>
      <c r="L5946"/>
    </row>
    <row r="5947" spans="1:12" x14ac:dyDescent="0.25">
      <c r="A5947" s="16"/>
      <c r="D5947" s="16"/>
      <c r="F5947" s="16"/>
      <c r="G5947" s="16"/>
      <c r="H5947" s="24"/>
      <c r="I5947" s="24"/>
      <c r="L5947"/>
    </row>
    <row r="5948" spans="1:12" x14ac:dyDescent="0.25">
      <c r="A5948" s="16"/>
      <c r="D5948" s="16"/>
      <c r="F5948" s="16"/>
      <c r="G5948" s="16"/>
      <c r="H5948" s="24"/>
      <c r="I5948" s="24"/>
      <c r="L5948"/>
    </row>
    <row r="5949" spans="1:12" x14ac:dyDescent="0.25">
      <c r="A5949" s="16"/>
      <c r="D5949" s="16"/>
      <c r="F5949" s="16"/>
      <c r="G5949" s="16"/>
      <c r="H5949" s="24"/>
      <c r="I5949" s="24"/>
      <c r="L5949"/>
    </row>
    <row r="5950" spans="1:12" x14ac:dyDescent="0.25">
      <c r="A5950" s="16"/>
      <c r="D5950" s="16"/>
      <c r="F5950" s="16"/>
      <c r="G5950" s="16"/>
      <c r="H5950" s="24"/>
      <c r="I5950" s="24"/>
      <c r="L5950"/>
    </row>
    <row r="5951" spans="1:12" x14ac:dyDescent="0.25">
      <c r="A5951" s="16"/>
      <c r="D5951" s="16"/>
      <c r="F5951" s="16"/>
      <c r="G5951" s="16"/>
      <c r="H5951" s="24"/>
      <c r="I5951" s="24"/>
      <c r="L5951"/>
    </row>
    <row r="5952" spans="1:12" x14ac:dyDescent="0.25">
      <c r="A5952" s="16"/>
      <c r="D5952" s="16"/>
      <c r="F5952" s="16"/>
      <c r="G5952" s="16"/>
      <c r="H5952" s="24"/>
      <c r="I5952" s="24"/>
      <c r="L5952"/>
    </row>
    <row r="5953" spans="1:12" x14ac:dyDescent="0.25">
      <c r="A5953" s="16"/>
      <c r="D5953" s="16"/>
      <c r="F5953" s="16"/>
      <c r="G5953" s="16"/>
      <c r="H5953" s="24"/>
      <c r="I5953" s="24"/>
      <c r="L5953"/>
    </row>
    <row r="5954" spans="1:12" x14ac:dyDescent="0.25">
      <c r="A5954" s="16"/>
      <c r="D5954" s="16"/>
      <c r="F5954" s="16"/>
      <c r="G5954" s="16"/>
      <c r="H5954" s="24"/>
      <c r="I5954" s="24"/>
      <c r="L5954"/>
    </row>
    <row r="5955" spans="1:12" x14ac:dyDescent="0.25">
      <c r="A5955" s="16"/>
      <c r="D5955" s="16"/>
      <c r="F5955" s="16"/>
      <c r="G5955" s="16"/>
      <c r="H5955" s="24"/>
      <c r="I5955" s="24"/>
      <c r="L5955"/>
    </row>
    <row r="5956" spans="1:12" x14ac:dyDescent="0.25">
      <c r="A5956" s="16"/>
      <c r="D5956" s="16"/>
      <c r="F5956" s="16"/>
      <c r="G5956" s="16"/>
      <c r="H5956" s="24"/>
      <c r="I5956" s="24"/>
      <c r="L5956"/>
    </row>
    <row r="5957" spans="1:12" x14ac:dyDescent="0.25">
      <c r="A5957" s="16"/>
      <c r="D5957" s="16"/>
      <c r="F5957" s="16"/>
      <c r="G5957" s="16"/>
      <c r="H5957" s="24"/>
      <c r="I5957" s="24"/>
      <c r="L5957"/>
    </row>
    <row r="5958" spans="1:12" x14ac:dyDescent="0.25">
      <c r="A5958" s="16"/>
      <c r="D5958" s="16"/>
      <c r="F5958" s="16"/>
      <c r="G5958" s="16"/>
      <c r="H5958" s="24"/>
      <c r="I5958" s="24"/>
      <c r="L5958"/>
    </row>
    <row r="5959" spans="1:12" x14ac:dyDescent="0.25">
      <c r="A5959" s="16"/>
      <c r="D5959" s="16"/>
      <c r="F5959" s="16"/>
      <c r="G5959" s="16"/>
      <c r="H5959" s="24"/>
      <c r="I5959" s="24"/>
      <c r="L5959"/>
    </row>
    <row r="5960" spans="1:12" x14ac:dyDescent="0.25">
      <c r="A5960" s="16"/>
      <c r="D5960" s="16"/>
      <c r="F5960" s="16"/>
      <c r="G5960" s="16"/>
      <c r="H5960" s="24"/>
      <c r="I5960" s="24"/>
      <c r="L5960"/>
    </row>
    <row r="5961" spans="1:12" x14ac:dyDescent="0.25">
      <c r="A5961" s="16"/>
      <c r="D5961" s="16"/>
      <c r="F5961" s="16"/>
      <c r="G5961" s="16"/>
      <c r="H5961" s="24"/>
      <c r="I5961" s="24"/>
      <c r="L5961"/>
    </row>
    <row r="5962" spans="1:12" x14ac:dyDescent="0.25">
      <c r="A5962" s="16"/>
      <c r="D5962" s="16"/>
      <c r="F5962" s="16"/>
      <c r="G5962" s="16"/>
      <c r="H5962" s="24"/>
      <c r="I5962" s="24"/>
      <c r="L5962"/>
    </row>
    <row r="5963" spans="1:12" x14ac:dyDescent="0.25">
      <c r="A5963" s="16"/>
      <c r="D5963" s="16"/>
      <c r="F5963" s="16"/>
      <c r="G5963" s="16"/>
      <c r="H5963" s="24"/>
      <c r="I5963" s="24"/>
      <c r="L5963"/>
    </row>
    <row r="5964" spans="1:12" x14ac:dyDescent="0.25">
      <c r="A5964" s="16"/>
      <c r="D5964" s="16"/>
      <c r="F5964" s="16"/>
      <c r="G5964" s="16"/>
      <c r="H5964" s="24"/>
      <c r="I5964" s="24"/>
      <c r="L5964"/>
    </row>
    <row r="5965" spans="1:12" x14ac:dyDescent="0.25">
      <c r="A5965" s="16"/>
      <c r="D5965" s="16"/>
      <c r="F5965" s="16"/>
      <c r="G5965" s="16"/>
      <c r="H5965" s="24"/>
      <c r="I5965" s="24"/>
      <c r="L5965"/>
    </row>
    <row r="5966" spans="1:12" x14ac:dyDescent="0.25">
      <c r="A5966" s="16"/>
      <c r="D5966" s="16"/>
      <c r="F5966" s="16"/>
      <c r="G5966" s="16"/>
      <c r="H5966" s="24"/>
      <c r="I5966" s="24"/>
      <c r="L5966"/>
    </row>
    <row r="5967" spans="1:12" x14ac:dyDescent="0.25">
      <c r="A5967" s="16"/>
      <c r="D5967" s="16"/>
      <c r="F5967" s="16"/>
      <c r="G5967" s="16"/>
      <c r="H5967" s="24"/>
      <c r="I5967" s="24"/>
      <c r="L5967"/>
    </row>
    <row r="5968" spans="1:12" x14ac:dyDescent="0.25">
      <c r="A5968" s="16"/>
      <c r="D5968" s="16"/>
      <c r="F5968" s="16"/>
      <c r="G5968" s="16"/>
      <c r="H5968" s="24"/>
      <c r="I5968" s="24"/>
      <c r="L5968"/>
    </row>
    <row r="5969" spans="1:12" x14ac:dyDescent="0.25">
      <c r="A5969" s="16"/>
      <c r="D5969" s="16"/>
      <c r="F5969" s="16"/>
      <c r="G5969" s="16"/>
      <c r="H5969" s="24"/>
      <c r="I5969" s="24"/>
      <c r="L5969"/>
    </row>
    <row r="5970" spans="1:12" x14ac:dyDescent="0.25">
      <c r="A5970" s="16"/>
      <c r="D5970" s="16"/>
      <c r="F5970" s="16"/>
      <c r="G5970" s="16"/>
      <c r="H5970" s="24"/>
      <c r="I5970" s="24"/>
      <c r="L5970"/>
    </row>
    <row r="5971" spans="1:12" x14ac:dyDescent="0.25">
      <c r="A5971" s="16"/>
      <c r="D5971" s="16"/>
      <c r="F5971" s="16"/>
      <c r="G5971" s="16"/>
      <c r="H5971" s="24"/>
      <c r="I5971" s="24"/>
      <c r="L5971"/>
    </row>
    <row r="5972" spans="1:12" x14ac:dyDescent="0.25">
      <c r="A5972" s="16"/>
      <c r="D5972" s="16"/>
      <c r="F5972" s="16"/>
      <c r="G5972" s="16"/>
      <c r="H5972" s="24"/>
      <c r="I5972" s="24"/>
      <c r="L5972"/>
    </row>
    <row r="5973" spans="1:12" x14ac:dyDescent="0.25">
      <c r="A5973" s="16"/>
      <c r="D5973" s="16"/>
      <c r="F5973" s="16"/>
      <c r="G5973" s="16"/>
      <c r="H5973" s="24"/>
      <c r="I5973" s="24"/>
      <c r="L5973"/>
    </row>
    <row r="5974" spans="1:12" x14ac:dyDescent="0.25">
      <c r="A5974" s="16"/>
      <c r="D5974" s="16"/>
      <c r="F5974" s="16"/>
      <c r="G5974" s="16"/>
      <c r="H5974" s="24"/>
      <c r="I5974" s="24"/>
      <c r="L5974"/>
    </row>
    <row r="5975" spans="1:12" x14ac:dyDescent="0.25">
      <c r="A5975" s="16"/>
      <c r="D5975" s="16"/>
      <c r="F5975" s="16"/>
      <c r="G5975" s="16"/>
      <c r="H5975" s="24"/>
      <c r="I5975" s="24"/>
      <c r="L5975"/>
    </row>
    <row r="5976" spans="1:12" x14ac:dyDescent="0.25">
      <c r="A5976" s="16"/>
      <c r="D5976" s="16"/>
      <c r="F5976" s="16"/>
      <c r="G5976" s="16"/>
      <c r="H5976" s="24"/>
      <c r="I5976" s="24"/>
      <c r="L5976"/>
    </row>
    <row r="5977" spans="1:12" x14ac:dyDescent="0.25">
      <c r="A5977" s="16"/>
      <c r="D5977" s="16"/>
      <c r="F5977" s="16"/>
      <c r="G5977" s="16"/>
      <c r="H5977" s="24"/>
      <c r="I5977" s="24"/>
      <c r="L5977"/>
    </row>
    <row r="5978" spans="1:12" x14ac:dyDescent="0.25">
      <c r="A5978" s="16"/>
      <c r="D5978" s="16"/>
      <c r="F5978" s="16"/>
      <c r="G5978" s="16"/>
      <c r="H5978" s="24"/>
      <c r="I5978" s="24"/>
      <c r="L5978"/>
    </row>
    <row r="5979" spans="1:12" x14ac:dyDescent="0.25">
      <c r="A5979" s="16"/>
      <c r="D5979" s="16"/>
      <c r="F5979" s="16"/>
      <c r="G5979" s="16"/>
      <c r="H5979" s="24"/>
      <c r="I5979" s="24"/>
      <c r="L5979"/>
    </row>
    <row r="5980" spans="1:12" x14ac:dyDescent="0.25">
      <c r="A5980" s="16"/>
      <c r="D5980" s="16"/>
      <c r="F5980" s="16"/>
      <c r="G5980" s="16"/>
      <c r="H5980" s="24"/>
      <c r="I5980" s="24"/>
      <c r="L5980"/>
    </row>
    <row r="5981" spans="1:12" x14ac:dyDescent="0.25">
      <c r="A5981" s="16"/>
      <c r="D5981" s="16"/>
      <c r="F5981" s="16"/>
      <c r="G5981" s="16"/>
      <c r="H5981" s="24"/>
      <c r="I5981" s="24"/>
      <c r="L5981"/>
    </row>
    <row r="5982" spans="1:12" x14ac:dyDescent="0.25">
      <c r="A5982" s="16"/>
      <c r="D5982" s="16"/>
      <c r="F5982" s="16"/>
      <c r="G5982" s="16"/>
      <c r="H5982" s="24"/>
      <c r="I5982" s="24"/>
      <c r="L5982"/>
    </row>
    <row r="5983" spans="1:12" x14ac:dyDescent="0.25">
      <c r="A5983" s="16"/>
      <c r="D5983" s="16"/>
      <c r="F5983" s="16"/>
      <c r="G5983" s="16"/>
      <c r="H5983" s="24"/>
      <c r="I5983" s="24"/>
      <c r="L5983"/>
    </row>
    <row r="5984" spans="1:12" x14ac:dyDescent="0.25">
      <c r="A5984" s="16"/>
      <c r="D5984" s="16"/>
      <c r="F5984" s="16"/>
      <c r="G5984" s="16"/>
      <c r="H5984" s="24"/>
      <c r="I5984" s="24"/>
      <c r="L5984"/>
    </row>
    <row r="5985" spans="1:12" x14ac:dyDescent="0.25">
      <c r="A5985" s="16"/>
      <c r="D5985" s="16"/>
      <c r="F5985" s="16"/>
      <c r="G5985" s="16"/>
      <c r="H5985" s="24"/>
      <c r="I5985" s="24"/>
      <c r="L5985"/>
    </row>
    <row r="5986" spans="1:12" x14ac:dyDescent="0.25">
      <c r="A5986" s="16"/>
      <c r="D5986" s="16"/>
      <c r="F5986" s="16"/>
      <c r="G5986" s="16"/>
      <c r="H5986" s="24"/>
      <c r="I5986" s="24"/>
      <c r="L5986"/>
    </row>
    <row r="5987" spans="1:12" x14ac:dyDescent="0.25">
      <c r="A5987" s="16"/>
      <c r="D5987" s="16"/>
      <c r="F5987" s="16"/>
      <c r="G5987" s="16"/>
      <c r="H5987" s="24"/>
      <c r="I5987" s="24"/>
      <c r="L5987"/>
    </row>
    <row r="5988" spans="1:12" x14ac:dyDescent="0.25">
      <c r="A5988" s="16"/>
      <c r="D5988" s="16"/>
      <c r="F5988" s="16"/>
      <c r="G5988" s="16"/>
      <c r="H5988" s="24"/>
      <c r="I5988" s="24"/>
      <c r="L5988"/>
    </row>
    <row r="5989" spans="1:12" x14ac:dyDescent="0.25">
      <c r="A5989" s="16"/>
      <c r="D5989" s="16"/>
      <c r="F5989" s="16"/>
      <c r="G5989" s="16"/>
      <c r="H5989" s="24"/>
      <c r="I5989" s="24"/>
      <c r="L5989"/>
    </row>
    <row r="5990" spans="1:12" x14ac:dyDescent="0.25">
      <c r="A5990" s="16"/>
      <c r="D5990" s="16"/>
      <c r="F5990" s="16"/>
      <c r="G5990" s="16"/>
      <c r="H5990" s="24"/>
      <c r="I5990" s="24"/>
      <c r="L5990"/>
    </row>
    <row r="5991" spans="1:12" x14ac:dyDescent="0.25">
      <c r="A5991" s="16"/>
      <c r="D5991" s="16"/>
      <c r="F5991" s="16"/>
      <c r="G5991" s="16"/>
      <c r="H5991" s="24"/>
      <c r="I5991" s="24"/>
      <c r="L5991"/>
    </row>
    <row r="5992" spans="1:12" x14ac:dyDescent="0.25">
      <c r="A5992" s="16"/>
      <c r="D5992" s="16"/>
      <c r="F5992" s="16"/>
      <c r="G5992" s="16"/>
      <c r="H5992" s="24"/>
      <c r="I5992" s="24"/>
      <c r="L5992"/>
    </row>
    <row r="5993" spans="1:12" x14ac:dyDescent="0.25">
      <c r="A5993" s="16"/>
      <c r="D5993" s="16"/>
      <c r="F5993" s="16"/>
      <c r="G5993" s="16"/>
      <c r="H5993" s="24"/>
      <c r="I5993" s="24"/>
      <c r="L5993"/>
    </row>
    <row r="5994" spans="1:12" x14ac:dyDescent="0.25">
      <c r="A5994" s="16"/>
      <c r="D5994" s="16"/>
      <c r="F5994" s="16"/>
      <c r="G5994" s="16"/>
      <c r="H5994" s="24"/>
      <c r="I5994" s="24"/>
      <c r="L5994"/>
    </row>
    <row r="5995" spans="1:12" x14ac:dyDescent="0.25">
      <c r="A5995" s="16"/>
      <c r="D5995" s="16"/>
      <c r="F5995" s="16"/>
      <c r="G5995" s="16"/>
      <c r="H5995" s="24"/>
      <c r="I5995" s="24"/>
      <c r="L5995"/>
    </row>
    <row r="5996" spans="1:12" x14ac:dyDescent="0.25">
      <c r="A5996" s="16"/>
      <c r="D5996" s="16"/>
      <c r="F5996" s="16"/>
      <c r="G5996" s="16"/>
      <c r="H5996" s="24"/>
      <c r="I5996" s="24"/>
      <c r="L5996"/>
    </row>
    <row r="5997" spans="1:12" x14ac:dyDescent="0.25">
      <c r="A5997" s="16"/>
      <c r="D5997" s="16"/>
      <c r="F5997" s="16"/>
      <c r="G5997" s="16"/>
      <c r="H5997" s="24"/>
      <c r="I5997" s="24"/>
      <c r="L5997"/>
    </row>
    <row r="5998" spans="1:12" x14ac:dyDescent="0.25">
      <c r="A5998" s="16"/>
      <c r="D5998" s="16"/>
      <c r="F5998" s="16"/>
      <c r="G5998" s="16"/>
      <c r="H5998" s="24"/>
      <c r="I5998" s="24"/>
      <c r="L5998"/>
    </row>
    <row r="5999" spans="1:12" x14ac:dyDescent="0.25">
      <c r="A5999" s="16"/>
      <c r="D5999" s="16"/>
      <c r="F5999" s="16"/>
      <c r="G5999" s="16"/>
      <c r="H5999" s="24"/>
      <c r="I5999" s="24"/>
      <c r="L5999"/>
    </row>
    <row r="6000" spans="1:12" x14ac:dyDescent="0.25">
      <c r="A6000" s="16"/>
      <c r="D6000" s="16"/>
      <c r="F6000" s="16"/>
      <c r="G6000" s="16"/>
      <c r="H6000" s="24"/>
      <c r="I6000" s="24"/>
      <c r="L6000"/>
    </row>
    <row r="6001" spans="1:12" x14ac:dyDescent="0.25">
      <c r="A6001" s="16"/>
      <c r="D6001" s="16"/>
      <c r="F6001" s="16"/>
      <c r="G6001" s="16"/>
      <c r="H6001" s="24"/>
      <c r="I6001" s="24"/>
      <c r="L6001"/>
    </row>
    <row r="6002" spans="1:12" x14ac:dyDescent="0.25">
      <c r="A6002" s="16"/>
      <c r="D6002" s="16"/>
      <c r="F6002" s="16"/>
      <c r="G6002" s="16"/>
      <c r="H6002" s="24"/>
      <c r="I6002" s="24"/>
      <c r="L6002"/>
    </row>
    <row r="6003" spans="1:12" x14ac:dyDescent="0.25">
      <c r="A6003" s="16"/>
      <c r="D6003" s="16"/>
      <c r="F6003" s="16"/>
      <c r="G6003" s="16"/>
      <c r="H6003" s="24"/>
      <c r="I6003" s="24"/>
      <c r="L6003"/>
    </row>
    <row r="6004" spans="1:12" x14ac:dyDescent="0.25">
      <c r="A6004" s="16"/>
      <c r="D6004" s="16"/>
      <c r="F6004" s="16"/>
      <c r="G6004" s="16"/>
      <c r="H6004" s="24"/>
      <c r="I6004" s="24"/>
      <c r="L6004"/>
    </row>
    <row r="6005" spans="1:12" x14ac:dyDescent="0.25">
      <c r="A6005" s="16"/>
      <c r="D6005" s="16"/>
      <c r="F6005" s="16"/>
      <c r="G6005" s="16"/>
      <c r="H6005" s="24"/>
      <c r="I6005" s="24"/>
      <c r="L6005"/>
    </row>
    <row r="6006" spans="1:12" x14ac:dyDescent="0.25">
      <c r="A6006" s="16"/>
      <c r="D6006" s="16"/>
      <c r="F6006" s="16"/>
      <c r="G6006" s="16"/>
      <c r="H6006" s="24"/>
      <c r="I6006" s="24"/>
      <c r="L6006"/>
    </row>
    <row r="6007" spans="1:12" x14ac:dyDescent="0.25">
      <c r="A6007" s="16"/>
      <c r="D6007" s="16"/>
      <c r="F6007" s="16"/>
      <c r="G6007" s="16"/>
      <c r="H6007" s="24"/>
      <c r="I6007" s="24"/>
      <c r="L6007"/>
    </row>
    <row r="6008" spans="1:12" x14ac:dyDescent="0.25">
      <c r="A6008" s="16"/>
      <c r="D6008" s="16"/>
      <c r="F6008" s="16"/>
      <c r="G6008" s="16"/>
      <c r="H6008" s="24"/>
      <c r="I6008" s="24"/>
      <c r="L6008"/>
    </row>
    <row r="6009" spans="1:12" x14ac:dyDescent="0.25">
      <c r="A6009" s="16"/>
      <c r="D6009" s="16"/>
      <c r="F6009" s="16"/>
      <c r="G6009" s="16"/>
      <c r="H6009" s="24"/>
      <c r="I6009" s="24"/>
      <c r="L6009"/>
    </row>
    <row r="6010" spans="1:12" x14ac:dyDescent="0.25">
      <c r="A6010" s="16"/>
      <c r="D6010" s="16"/>
      <c r="F6010" s="16"/>
      <c r="G6010" s="16"/>
      <c r="H6010" s="24"/>
      <c r="I6010" s="24"/>
      <c r="L6010"/>
    </row>
    <row r="6011" spans="1:12" x14ac:dyDescent="0.25">
      <c r="A6011" s="16"/>
      <c r="D6011" s="16"/>
      <c r="F6011" s="16"/>
      <c r="G6011" s="16"/>
      <c r="H6011" s="24"/>
      <c r="I6011" s="24"/>
      <c r="L6011"/>
    </row>
    <row r="6012" spans="1:12" x14ac:dyDescent="0.25">
      <c r="A6012" s="16"/>
      <c r="D6012" s="16"/>
      <c r="F6012" s="16"/>
      <c r="G6012" s="16"/>
      <c r="H6012" s="24"/>
      <c r="I6012" s="24"/>
      <c r="L6012"/>
    </row>
    <row r="6013" spans="1:12" x14ac:dyDescent="0.25">
      <c r="A6013" s="16"/>
      <c r="D6013" s="16"/>
      <c r="F6013" s="16"/>
      <c r="G6013" s="16"/>
      <c r="H6013" s="24"/>
      <c r="I6013" s="24"/>
      <c r="L6013"/>
    </row>
    <row r="6014" spans="1:12" x14ac:dyDescent="0.25">
      <c r="A6014" s="16"/>
      <c r="D6014" s="16"/>
      <c r="F6014" s="16"/>
      <c r="G6014" s="16"/>
      <c r="H6014" s="24"/>
      <c r="I6014" s="24"/>
      <c r="L6014"/>
    </row>
    <row r="6015" spans="1:12" x14ac:dyDescent="0.25">
      <c r="A6015" s="16"/>
      <c r="D6015" s="16"/>
      <c r="F6015" s="16"/>
      <c r="G6015" s="16"/>
      <c r="H6015" s="24"/>
      <c r="I6015" s="24"/>
      <c r="L6015"/>
    </row>
    <row r="6016" spans="1:12" x14ac:dyDescent="0.25">
      <c r="A6016" s="16"/>
      <c r="D6016" s="16"/>
      <c r="F6016" s="16"/>
      <c r="G6016" s="16"/>
      <c r="H6016" s="24"/>
      <c r="I6016" s="24"/>
      <c r="L6016"/>
    </row>
    <row r="6017" spans="1:12" x14ac:dyDescent="0.25">
      <c r="A6017" s="16"/>
      <c r="D6017" s="16"/>
      <c r="F6017" s="16"/>
      <c r="G6017" s="16"/>
      <c r="H6017" s="24"/>
      <c r="I6017" s="24"/>
      <c r="L6017"/>
    </row>
    <row r="6018" spans="1:12" x14ac:dyDescent="0.25">
      <c r="A6018" s="16"/>
      <c r="D6018" s="16"/>
      <c r="F6018" s="16"/>
      <c r="G6018" s="16"/>
      <c r="H6018" s="24"/>
      <c r="I6018" s="24"/>
      <c r="L6018"/>
    </row>
    <row r="6019" spans="1:12" x14ac:dyDescent="0.25">
      <c r="A6019" s="16"/>
      <c r="D6019" s="16"/>
      <c r="F6019" s="16"/>
      <c r="G6019" s="16"/>
      <c r="H6019" s="24"/>
      <c r="I6019" s="24"/>
      <c r="L6019"/>
    </row>
    <row r="6020" spans="1:12" x14ac:dyDescent="0.25">
      <c r="A6020" s="16"/>
      <c r="D6020" s="16"/>
      <c r="F6020" s="16"/>
      <c r="G6020" s="16"/>
      <c r="H6020" s="24"/>
      <c r="I6020" s="24"/>
      <c r="L6020"/>
    </row>
    <row r="6021" spans="1:12" x14ac:dyDescent="0.25">
      <c r="A6021" s="16"/>
      <c r="D6021" s="16"/>
      <c r="F6021" s="16"/>
      <c r="G6021" s="16"/>
      <c r="H6021" s="24"/>
      <c r="I6021" s="24"/>
      <c r="L6021"/>
    </row>
    <row r="6022" spans="1:12" x14ac:dyDescent="0.25">
      <c r="A6022" s="16"/>
      <c r="D6022" s="16"/>
      <c r="F6022" s="16"/>
      <c r="G6022" s="16"/>
      <c r="H6022" s="24"/>
      <c r="I6022" s="24"/>
      <c r="L6022"/>
    </row>
    <row r="6023" spans="1:12" x14ac:dyDescent="0.25">
      <c r="A6023" s="16"/>
      <c r="D6023" s="16"/>
      <c r="F6023" s="16"/>
      <c r="G6023" s="16"/>
      <c r="H6023" s="24"/>
      <c r="I6023" s="24"/>
      <c r="L6023"/>
    </row>
    <row r="6024" spans="1:12" x14ac:dyDescent="0.25">
      <c r="A6024" s="16"/>
      <c r="D6024" s="16"/>
      <c r="F6024" s="16"/>
      <c r="G6024" s="16"/>
      <c r="H6024" s="24"/>
      <c r="I6024" s="24"/>
      <c r="L6024"/>
    </row>
    <row r="6025" spans="1:12" x14ac:dyDescent="0.25">
      <c r="A6025" s="16"/>
      <c r="D6025" s="16"/>
      <c r="F6025" s="16"/>
      <c r="G6025" s="16"/>
      <c r="H6025" s="24"/>
      <c r="I6025" s="24"/>
      <c r="L6025"/>
    </row>
    <row r="6026" spans="1:12" x14ac:dyDescent="0.25">
      <c r="A6026" s="16"/>
      <c r="D6026" s="16"/>
      <c r="F6026" s="16"/>
      <c r="G6026" s="16"/>
      <c r="H6026" s="24"/>
      <c r="I6026" s="24"/>
      <c r="L6026"/>
    </row>
    <row r="6027" spans="1:12" x14ac:dyDescent="0.25">
      <c r="A6027" s="16"/>
      <c r="D6027" s="16"/>
      <c r="F6027" s="16"/>
      <c r="G6027" s="16"/>
      <c r="H6027" s="24"/>
      <c r="I6027" s="24"/>
      <c r="L6027"/>
    </row>
    <row r="6028" spans="1:12" x14ac:dyDescent="0.25">
      <c r="A6028" s="16"/>
      <c r="D6028" s="16"/>
      <c r="F6028" s="16"/>
      <c r="G6028" s="16"/>
      <c r="H6028" s="24"/>
      <c r="I6028" s="24"/>
      <c r="L6028"/>
    </row>
    <row r="6029" spans="1:12" x14ac:dyDescent="0.25">
      <c r="A6029" s="16"/>
      <c r="D6029" s="16"/>
      <c r="F6029" s="16"/>
      <c r="G6029" s="16"/>
      <c r="H6029" s="24"/>
      <c r="I6029" s="24"/>
      <c r="L6029"/>
    </row>
    <row r="6030" spans="1:12" x14ac:dyDescent="0.25">
      <c r="A6030" s="16"/>
      <c r="D6030" s="16"/>
      <c r="F6030" s="16"/>
      <c r="G6030" s="16"/>
      <c r="H6030" s="24"/>
      <c r="I6030" s="24"/>
      <c r="L6030"/>
    </row>
    <row r="6031" spans="1:12" x14ac:dyDescent="0.25">
      <c r="A6031" s="16"/>
      <c r="D6031" s="16"/>
      <c r="F6031" s="16"/>
      <c r="G6031" s="16"/>
      <c r="H6031" s="24"/>
      <c r="I6031" s="24"/>
      <c r="L6031"/>
    </row>
    <row r="6032" spans="1:12" x14ac:dyDescent="0.25">
      <c r="A6032" s="16"/>
      <c r="D6032" s="16"/>
      <c r="F6032" s="16"/>
      <c r="G6032" s="16"/>
      <c r="H6032" s="24"/>
      <c r="I6032" s="24"/>
      <c r="L6032"/>
    </row>
    <row r="6033" spans="1:12" x14ac:dyDescent="0.25">
      <c r="A6033" s="16"/>
      <c r="D6033" s="16"/>
      <c r="F6033" s="16"/>
      <c r="G6033" s="16"/>
      <c r="H6033" s="24"/>
      <c r="I6033" s="24"/>
      <c r="L6033"/>
    </row>
    <row r="6034" spans="1:12" x14ac:dyDescent="0.25">
      <c r="A6034" s="16"/>
      <c r="D6034" s="16"/>
      <c r="F6034" s="16"/>
      <c r="G6034" s="16"/>
      <c r="H6034" s="24"/>
      <c r="I6034" s="24"/>
      <c r="L6034"/>
    </row>
    <row r="6035" spans="1:12" x14ac:dyDescent="0.25">
      <c r="A6035" s="16"/>
      <c r="D6035" s="16"/>
      <c r="F6035" s="16"/>
      <c r="G6035" s="16"/>
      <c r="H6035" s="24"/>
      <c r="I6035" s="24"/>
      <c r="L6035"/>
    </row>
    <row r="6036" spans="1:12" x14ac:dyDescent="0.25">
      <c r="A6036" s="16"/>
      <c r="D6036" s="16"/>
      <c r="F6036" s="16"/>
      <c r="G6036" s="16"/>
      <c r="H6036" s="24"/>
      <c r="I6036" s="24"/>
      <c r="L6036"/>
    </row>
    <row r="6037" spans="1:12" x14ac:dyDescent="0.25">
      <c r="A6037" s="16"/>
      <c r="D6037" s="16"/>
      <c r="F6037" s="16"/>
      <c r="G6037" s="16"/>
      <c r="H6037" s="24"/>
      <c r="I6037" s="24"/>
      <c r="L6037"/>
    </row>
    <row r="6038" spans="1:12" x14ac:dyDescent="0.25">
      <c r="A6038" s="16"/>
      <c r="D6038" s="16"/>
      <c r="F6038" s="16"/>
      <c r="G6038" s="16"/>
      <c r="H6038" s="24"/>
      <c r="I6038" s="24"/>
      <c r="L6038"/>
    </row>
    <row r="6039" spans="1:12" x14ac:dyDescent="0.25">
      <c r="A6039" s="16"/>
      <c r="D6039" s="16"/>
      <c r="F6039" s="16"/>
      <c r="G6039" s="16"/>
      <c r="H6039" s="24"/>
      <c r="I6039" s="24"/>
      <c r="L6039"/>
    </row>
    <row r="6040" spans="1:12" x14ac:dyDescent="0.25">
      <c r="A6040" s="16"/>
      <c r="D6040" s="16"/>
      <c r="F6040" s="16"/>
      <c r="G6040" s="16"/>
      <c r="H6040" s="24"/>
      <c r="I6040" s="24"/>
      <c r="L6040"/>
    </row>
    <row r="6041" spans="1:12" x14ac:dyDescent="0.25">
      <c r="A6041" s="16"/>
      <c r="D6041" s="16"/>
      <c r="F6041" s="16"/>
      <c r="G6041" s="16"/>
      <c r="H6041" s="24"/>
      <c r="I6041" s="24"/>
      <c r="L6041"/>
    </row>
    <row r="6042" spans="1:12" x14ac:dyDescent="0.25">
      <c r="A6042" s="16"/>
      <c r="D6042" s="16"/>
      <c r="F6042" s="16"/>
      <c r="G6042" s="16"/>
      <c r="H6042" s="24"/>
      <c r="I6042" s="24"/>
      <c r="L6042"/>
    </row>
    <row r="6043" spans="1:12" x14ac:dyDescent="0.25">
      <c r="A6043" s="16"/>
      <c r="D6043" s="16"/>
      <c r="F6043" s="16"/>
      <c r="G6043" s="16"/>
      <c r="H6043" s="24"/>
      <c r="I6043" s="24"/>
      <c r="L6043"/>
    </row>
    <row r="6044" spans="1:12" x14ac:dyDescent="0.25">
      <c r="A6044" s="16"/>
      <c r="D6044" s="16"/>
      <c r="F6044" s="16"/>
      <c r="G6044" s="16"/>
      <c r="H6044" s="24"/>
      <c r="I6044" s="24"/>
      <c r="L6044"/>
    </row>
    <row r="6045" spans="1:12" x14ac:dyDescent="0.25">
      <c r="A6045" s="16"/>
      <c r="D6045" s="16"/>
      <c r="F6045" s="16"/>
      <c r="G6045" s="16"/>
      <c r="H6045" s="24"/>
      <c r="I6045" s="24"/>
      <c r="L6045"/>
    </row>
    <row r="6046" spans="1:12" x14ac:dyDescent="0.25">
      <c r="A6046" s="16"/>
      <c r="D6046" s="16"/>
      <c r="F6046" s="16"/>
      <c r="G6046" s="16"/>
      <c r="H6046" s="24"/>
      <c r="I6046" s="24"/>
      <c r="L6046"/>
    </row>
    <row r="6047" spans="1:12" x14ac:dyDescent="0.25">
      <c r="A6047" s="16"/>
      <c r="D6047" s="16"/>
      <c r="F6047" s="16"/>
      <c r="G6047" s="16"/>
      <c r="H6047" s="24"/>
      <c r="I6047" s="24"/>
      <c r="L6047"/>
    </row>
    <row r="6048" spans="1:12" x14ac:dyDescent="0.25">
      <c r="A6048" s="16"/>
      <c r="D6048" s="16"/>
      <c r="F6048" s="16"/>
      <c r="G6048" s="16"/>
      <c r="H6048" s="24"/>
      <c r="I6048" s="24"/>
      <c r="L6048"/>
    </row>
    <row r="6049" spans="1:12" x14ac:dyDescent="0.25">
      <c r="A6049" s="16"/>
      <c r="D6049" s="16"/>
      <c r="F6049" s="16"/>
      <c r="G6049" s="16"/>
      <c r="H6049" s="24"/>
      <c r="I6049" s="24"/>
      <c r="L6049"/>
    </row>
    <row r="6050" spans="1:12" x14ac:dyDescent="0.25">
      <c r="A6050" s="16"/>
      <c r="D6050" s="16"/>
      <c r="F6050" s="16"/>
      <c r="G6050" s="16"/>
      <c r="H6050" s="24"/>
      <c r="I6050" s="24"/>
      <c r="L6050"/>
    </row>
    <row r="6051" spans="1:12" x14ac:dyDescent="0.25">
      <c r="A6051" s="16"/>
      <c r="D6051" s="16"/>
      <c r="F6051" s="16"/>
      <c r="G6051" s="16"/>
      <c r="H6051" s="24"/>
      <c r="I6051" s="24"/>
      <c r="L6051"/>
    </row>
    <row r="6052" spans="1:12" x14ac:dyDescent="0.25">
      <c r="A6052" s="16"/>
      <c r="D6052" s="16"/>
      <c r="F6052" s="16"/>
      <c r="G6052" s="16"/>
      <c r="H6052" s="24"/>
      <c r="I6052" s="24"/>
      <c r="L6052"/>
    </row>
    <row r="6053" spans="1:12" x14ac:dyDescent="0.25">
      <c r="A6053" s="16"/>
      <c r="D6053" s="16"/>
      <c r="F6053" s="16"/>
      <c r="G6053" s="16"/>
      <c r="H6053" s="24"/>
      <c r="I6053" s="24"/>
      <c r="L6053"/>
    </row>
    <row r="6054" spans="1:12" x14ac:dyDescent="0.25">
      <c r="A6054" s="16"/>
      <c r="D6054" s="16"/>
      <c r="F6054" s="16"/>
      <c r="G6054" s="16"/>
      <c r="H6054" s="24"/>
      <c r="I6054" s="24"/>
      <c r="L6054"/>
    </row>
    <row r="6055" spans="1:12" x14ac:dyDescent="0.25">
      <c r="A6055" s="16"/>
      <c r="D6055" s="16"/>
      <c r="F6055" s="16"/>
      <c r="G6055" s="16"/>
      <c r="H6055" s="24"/>
      <c r="I6055" s="24"/>
      <c r="L6055"/>
    </row>
    <row r="6056" spans="1:12" x14ac:dyDescent="0.25">
      <c r="A6056" s="16"/>
      <c r="D6056" s="16"/>
      <c r="F6056" s="16"/>
      <c r="G6056" s="16"/>
      <c r="H6056" s="24"/>
      <c r="I6056" s="24"/>
      <c r="L6056"/>
    </row>
    <row r="6057" spans="1:12" x14ac:dyDescent="0.25">
      <c r="A6057" s="16"/>
      <c r="D6057" s="16"/>
      <c r="F6057" s="16"/>
      <c r="G6057" s="16"/>
      <c r="H6057" s="24"/>
      <c r="I6057" s="24"/>
      <c r="L6057"/>
    </row>
    <row r="6058" spans="1:12" x14ac:dyDescent="0.25">
      <c r="A6058" s="16"/>
      <c r="D6058" s="16"/>
      <c r="F6058" s="16"/>
      <c r="G6058" s="16"/>
      <c r="H6058" s="24"/>
      <c r="I6058" s="24"/>
      <c r="L6058"/>
    </row>
    <row r="6059" spans="1:12" x14ac:dyDescent="0.25">
      <c r="A6059" s="16"/>
      <c r="D6059" s="16"/>
      <c r="F6059" s="16"/>
      <c r="G6059" s="16"/>
      <c r="H6059" s="24"/>
      <c r="I6059" s="24"/>
      <c r="L6059"/>
    </row>
    <row r="6060" spans="1:12" x14ac:dyDescent="0.25">
      <c r="A6060" s="16"/>
      <c r="D6060" s="16"/>
      <c r="F6060" s="16"/>
      <c r="G6060" s="16"/>
      <c r="H6060" s="24"/>
      <c r="I6060" s="24"/>
      <c r="L6060"/>
    </row>
    <row r="6061" spans="1:12" x14ac:dyDescent="0.25">
      <c r="A6061" s="16"/>
      <c r="D6061" s="16"/>
      <c r="F6061" s="16"/>
      <c r="G6061" s="16"/>
      <c r="H6061" s="24"/>
      <c r="I6061" s="24"/>
      <c r="L6061"/>
    </row>
    <row r="6062" spans="1:12" x14ac:dyDescent="0.25">
      <c r="A6062" s="16"/>
      <c r="D6062" s="16"/>
      <c r="F6062" s="16"/>
      <c r="G6062" s="16"/>
      <c r="H6062" s="24"/>
      <c r="I6062" s="24"/>
      <c r="L6062"/>
    </row>
    <row r="6063" spans="1:12" x14ac:dyDescent="0.25">
      <c r="A6063" s="16"/>
      <c r="D6063" s="16"/>
      <c r="F6063" s="16"/>
      <c r="G6063" s="16"/>
      <c r="H6063" s="24"/>
      <c r="I6063" s="24"/>
      <c r="L6063"/>
    </row>
    <row r="6064" spans="1:12" x14ac:dyDescent="0.25">
      <c r="A6064" s="16"/>
      <c r="D6064" s="16"/>
      <c r="F6064" s="16"/>
      <c r="G6064" s="16"/>
      <c r="H6064" s="24"/>
      <c r="I6064" s="24"/>
      <c r="L6064"/>
    </row>
    <row r="6065" spans="1:12" x14ac:dyDescent="0.25">
      <c r="A6065" s="16"/>
      <c r="D6065" s="16"/>
      <c r="F6065" s="16"/>
      <c r="G6065" s="16"/>
      <c r="H6065" s="24"/>
      <c r="I6065" s="24"/>
      <c r="L6065"/>
    </row>
    <row r="6066" spans="1:12" x14ac:dyDescent="0.25">
      <c r="A6066" s="16"/>
      <c r="D6066" s="16"/>
      <c r="F6066" s="16"/>
      <c r="G6066" s="16"/>
      <c r="H6066" s="24"/>
      <c r="I6066" s="24"/>
      <c r="L6066"/>
    </row>
    <row r="6067" spans="1:12" x14ac:dyDescent="0.25">
      <c r="A6067" s="16"/>
      <c r="D6067" s="16"/>
      <c r="F6067" s="16"/>
      <c r="G6067" s="16"/>
      <c r="H6067" s="24"/>
      <c r="I6067" s="24"/>
      <c r="L6067"/>
    </row>
    <row r="6068" spans="1:12" x14ac:dyDescent="0.25">
      <c r="A6068" s="16"/>
      <c r="D6068" s="16"/>
      <c r="F6068" s="16"/>
      <c r="G6068" s="16"/>
      <c r="H6068" s="24"/>
      <c r="I6068" s="24"/>
      <c r="L6068"/>
    </row>
    <row r="6069" spans="1:12" x14ac:dyDescent="0.25">
      <c r="A6069" s="16"/>
      <c r="D6069" s="16"/>
      <c r="F6069" s="16"/>
      <c r="G6069" s="16"/>
      <c r="H6069" s="24"/>
      <c r="I6069" s="24"/>
      <c r="L6069"/>
    </row>
    <row r="6070" spans="1:12" x14ac:dyDescent="0.25">
      <c r="A6070" s="16"/>
      <c r="D6070" s="16"/>
      <c r="F6070" s="16"/>
      <c r="G6070" s="16"/>
      <c r="H6070" s="24"/>
      <c r="I6070" s="24"/>
      <c r="L6070"/>
    </row>
    <row r="6071" spans="1:12" x14ac:dyDescent="0.25">
      <c r="A6071" s="16"/>
      <c r="D6071" s="16"/>
      <c r="F6071" s="16"/>
      <c r="G6071" s="16"/>
      <c r="H6071" s="24"/>
      <c r="I6071" s="24"/>
      <c r="L6071"/>
    </row>
    <row r="6072" spans="1:12" x14ac:dyDescent="0.25">
      <c r="A6072" s="16"/>
      <c r="D6072" s="16"/>
      <c r="F6072" s="16"/>
      <c r="G6072" s="16"/>
      <c r="H6072" s="24"/>
      <c r="I6072" s="24"/>
      <c r="L6072"/>
    </row>
    <row r="6073" spans="1:12" x14ac:dyDescent="0.25">
      <c r="A6073" s="16"/>
      <c r="D6073" s="16"/>
      <c r="F6073" s="16"/>
      <c r="G6073" s="16"/>
      <c r="H6073" s="24"/>
      <c r="I6073" s="24"/>
      <c r="L6073"/>
    </row>
    <row r="6074" spans="1:12" x14ac:dyDescent="0.25">
      <c r="A6074" s="16"/>
      <c r="D6074" s="16"/>
      <c r="F6074" s="16"/>
      <c r="G6074" s="16"/>
      <c r="H6074" s="24"/>
      <c r="I6074" s="24"/>
      <c r="L6074"/>
    </row>
    <row r="6075" spans="1:12" x14ac:dyDescent="0.25">
      <c r="A6075" s="16"/>
      <c r="D6075" s="16"/>
      <c r="F6075" s="16"/>
      <c r="G6075" s="16"/>
      <c r="H6075" s="24"/>
      <c r="I6075" s="24"/>
      <c r="L6075"/>
    </row>
    <row r="6076" spans="1:12" x14ac:dyDescent="0.25">
      <c r="A6076" s="16"/>
      <c r="D6076" s="16"/>
      <c r="F6076" s="16"/>
      <c r="G6076" s="16"/>
      <c r="H6076" s="24"/>
      <c r="I6076" s="24"/>
      <c r="L6076"/>
    </row>
    <row r="6077" spans="1:12" x14ac:dyDescent="0.25">
      <c r="A6077" s="16"/>
      <c r="D6077" s="16"/>
      <c r="F6077" s="16"/>
      <c r="G6077" s="16"/>
      <c r="H6077" s="24"/>
      <c r="I6077" s="24"/>
      <c r="L6077"/>
    </row>
    <row r="6078" spans="1:12" x14ac:dyDescent="0.25">
      <c r="A6078" s="16"/>
      <c r="D6078" s="16"/>
      <c r="F6078" s="16"/>
      <c r="G6078" s="16"/>
      <c r="H6078" s="24"/>
      <c r="I6078" s="24"/>
      <c r="L6078"/>
    </row>
    <row r="6079" spans="1:12" x14ac:dyDescent="0.25">
      <c r="A6079" s="16"/>
      <c r="D6079" s="16"/>
      <c r="F6079" s="16"/>
      <c r="G6079" s="16"/>
      <c r="H6079" s="24"/>
      <c r="I6079" s="24"/>
      <c r="L6079"/>
    </row>
    <row r="6080" spans="1:12" x14ac:dyDescent="0.25">
      <c r="A6080" s="16"/>
      <c r="D6080" s="16"/>
      <c r="F6080" s="16"/>
      <c r="G6080" s="16"/>
      <c r="H6080" s="24"/>
      <c r="I6080" s="24"/>
      <c r="L6080"/>
    </row>
    <row r="6081" spans="1:12" x14ac:dyDescent="0.25">
      <c r="A6081" s="16"/>
      <c r="D6081" s="16"/>
      <c r="F6081" s="16"/>
      <c r="G6081" s="16"/>
      <c r="H6081" s="24"/>
      <c r="I6081" s="24"/>
      <c r="L6081"/>
    </row>
    <row r="6082" spans="1:12" x14ac:dyDescent="0.25">
      <c r="A6082" s="16"/>
      <c r="D6082" s="16"/>
      <c r="F6082" s="16"/>
      <c r="G6082" s="16"/>
      <c r="H6082" s="24"/>
      <c r="I6082" s="24"/>
      <c r="L6082"/>
    </row>
    <row r="6083" spans="1:12" x14ac:dyDescent="0.25">
      <c r="A6083" s="16"/>
      <c r="D6083" s="16"/>
      <c r="F6083" s="16"/>
      <c r="G6083" s="16"/>
      <c r="H6083" s="24"/>
      <c r="I6083" s="24"/>
      <c r="L6083"/>
    </row>
    <row r="6084" spans="1:12" x14ac:dyDescent="0.25">
      <c r="A6084" s="16"/>
      <c r="D6084" s="16"/>
      <c r="F6084" s="16"/>
      <c r="G6084" s="16"/>
      <c r="H6084" s="24"/>
      <c r="I6084" s="24"/>
      <c r="L6084"/>
    </row>
    <row r="6085" spans="1:12" x14ac:dyDescent="0.25">
      <c r="A6085" s="16"/>
      <c r="D6085" s="16"/>
      <c r="F6085" s="16"/>
      <c r="G6085" s="16"/>
      <c r="H6085" s="24"/>
      <c r="I6085" s="24"/>
      <c r="L6085"/>
    </row>
    <row r="6086" spans="1:12" x14ac:dyDescent="0.25">
      <c r="A6086" s="16"/>
      <c r="D6086" s="16"/>
      <c r="F6086" s="16"/>
      <c r="G6086" s="16"/>
      <c r="H6086" s="24"/>
      <c r="I6086" s="24"/>
      <c r="L6086"/>
    </row>
    <row r="6087" spans="1:12" x14ac:dyDescent="0.25">
      <c r="A6087" s="16"/>
      <c r="D6087" s="16"/>
      <c r="F6087" s="16"/>
      <c r="G6087" s="16"/>
      <c r="H6087" s="24"/>
      <c r="I6087" s="24"/>
      <c r="L6087"/>
    </row>
    <row r="6088" spans="1:12" x14ac:dyDescent="0.25">
      <c r="A6088" s="16"/>
      <c r="D6088" s="16"/>
      <c r="F6088" s="16"/>
      <c r="G6088" s="16"/>
      <c r="H6088" s="24"/>
      <c r="I6088" s="24"/>
      <c r="L6088"/>
    </row>
    <row r="6089" spans="1:12" x14ac:dyDescent="0.25">
      <c r="A6089" s="16"/>
      <c r="D6089" s="16"/>
      <c r="F6089" s="16"/>
      <c r="G6089" s="16"/>
      <c r="H6089" s="24"/>
      <c r="I6089" s="24"/>
      <c r="L6089"/>
    </row>
    <row r="6090" spans="1:12" x14ac:dyDescent="0.25">
      <c r="A6090" s="16"/>
      <c r="D6090" s="16"/>
      <c r="F6090" s="16"/>
      <c r="G6090" s="16"/>
      <c r="H6090" s="24"/>
      <c r="I6090" s="24"/>
      <c r="L6090"/>
    </row>
    <row r="6091" spans="1:12" x14ac:dyDescent="0.25">
      <c r="A6091" s="16"/>
      <c r="D6091" s="16"/>
      <c r="F6091" s="16"/>
      <c r="G6091" s="16"/>
      <c r="H6091" s="24"/>
      <c r="I6091" s="24"/>
      <c r="L6091"/>
    </row>
    <row r="6092" spans="1:12" x14ac:dyDescent="0.25">
      <c r="A6092" s="16"/>
      <c r="D6092" s="16"/>
      <c r="F6092" s="16"/>
      <c r="G6092" s="16"/>
      <c r="H6092" s="24"/>
      <c r="I6092" s="24"/>
      <c r="L6092"/>
    </row>
    <row r="6093" spans="1:12" x14ac:dyDescent="0.25">
      <c r="A6093" s="16"/>
      <c r="D6093" s="16"/>
      <c r="F6093" s="16"/>
      <c r="G6093" s="16"/>
      <c r="H6093" s="24"/>
      <c r="I6093" s="24"/>
      <c r="L6093"/>
    </row>
    <row r="6094" spans="1:12" x14ac:dyDescent="0.25">
      <c r="A6094" s="16"/>
      <c r="D6094" s="16"/>
      <c r="F6094" s="16"/>
      <c r="G6094" s="16"/>
      <c r="H6094" s="24"/>
      <c r="I6094" s="24"/>
      <c r="L6094"/>
    </row>
    <row r="6095" spans="1:12" x14ac:dyDescent="0.25">
      <c r="A6095" s="16"/>
      <c r="D6095" s="16"/>
      <c r="F6095" s="16"/>
      <c r="G6095" s="16"/>
      <c r="H6095" s="24"/>
      <c r="I6095" s="24"/>
      <c r="L6095"/>
    </row>
    <row r="6096" spans="1:12" x14ac:dyDescent="0.25">
      <c r="A6096" s="16"/>
      <c r="D6096" s="16"/>
      <c r="F6096" s="16"/>
      <c r="G6096" s="16"/>
      <c r="H6096" s="24"/>
      <c r="I6096" s="24"/>
      <c r="L6096"/>
    </row>
    <row r="6097" spans="1:12" x14ac:dyDescent="0.25">
      <c r="A6097" s="16"/>
      <c r="D6097" s="16"/>
      <c r="F6097" s="16"/>
      <c r="G6097" s="16"/>
      <c r="H6097" s="24"/>
      <c r="I6097" s="24"/>
      <c r="L6097"/>
    </row>
    <row r="6098" spans="1:12" x14ac:dyDescent="0.25">
      <c r="A6098" s="16"/>
      <c r="D6098" s="16"/>
      <c r="F6098" s="16"/>
      <c r="G6098" s="16"/>
      <c r="H6098" s="24"/>
      <c r="I6098" s="24"/>
      <c r="L6098"/>
    </row>
    <row r="6099" spans="1:12" x14ac:dyDescent="0.25">
      <c r="A6099" s="16"/>
      <c r="D6099" s="16"/>
      <c r="F6099" s="16"/>
      <c r="G6099" s="16"/>
      <c r="H6099" s="24"/>
      <c r="I6099" s="24"/>
      <c r="L6099"/>
    </row>
    <row r="6100" spans="1:12" x14ac:dyDescent="0.25">
      <c r="A6100" s="16"/>
      <c r="D6100" s="16"/>
      <c r="F6100" s="16"/>
      <c r="G6100" s="16"/>
      <c r="H6100" s="24"/>
      <c r="I6100" s="24"/>
      <c r="L6100"/>
    </row>
    <row r="6101" spans="1:12" x14ac:dyDescent="0.25">
      <c r="A6101" s="16"/>
      <c r="D6101" s="16"/>
      <c r="F6101" s="16"/>
      <c r="G6101" s="16"/>
      <c r="H6101" s="24"/>
      <c r="I6101" s="24"/>
      <c r="L6101"/>
    </row>
    <row r="6102" spans="1:12" x14ac:dyDescent="0.25">
      <c r="A6102" s="16"/>
      <c r="D6102" s="16"/>
      <c r="F6102" s="16"/>
      <c r="G6102" s="16"/>
      <c r="H6102" s="24"/>
      <c r="I6102" s="24"/>
      <c r="L6102"/>
    </row>
    <row r="6103" spans="1:12" x14ac:dyDescent="0.25">
      <c r="A6103" s="16"/>
      <c r="D6103" s="16"/>
      <c r="F6103" s="16"/>
      <c r="G6103" s="16"/>
      <c r="H6103" s="24"/>
      <c r="I6103" s="24"/>
      <c r="L6103"/>
    </row>
    <row r="6104" spans="1:12" x14ac:dyDescent="0.25">
      <c r="A6104" s="16"/>
      <c r="D6104" s="16"/>
      <c r="F6104" s="16"/>
      <c r="G6104" s="16"/>
      <c r="H6104" s="24"/>
      <c r="I6104" s="24"/>
      <c r="L6104"/>
    </row>
    <row r="6105" spans="1:12" x14ac:dyDescent="0.25">
      <c r="A6105" s="16"/>
      <c r="D6105" s="16"/>
      <c r="F6105" s="16"/>
      <c r="G6105" s="16"/>
      <c r="H6105" s="24"/>
      <c r="I6105" s="24"/>
      <c r="L6105"/>
    </row>
    <row r="6106" spans="1:12" x14ac:dyDescent="0.25">
      <c r="A6106" s="16"/>
      <c r="D6106" s="16"/>
      <c r="F6106" s="16"/>
      <c r="G6106" s="16"/>
      <c r="H6106" s="24"/>
      <c r="I6106" s="24"/>
      <c r="L6106"/>
    </row>
    <row r="6107" spans="1:12" x14ac:dyDescent="0.25">
      <c r="A6107" s="16"/>
      <c r="D6107" s="16"/>
      <c r="F6107" s="16"/>
      <c r="G6107" s="16"/>
      <c r="H6107" s="24"/>
      <c r="I6107" s="24"/>
      <c r="L6107"/>
    </row>
    <row r="6108" spans="1:12" x14ac:dyDescent="0.25">
      <c r="A6108" s="16"/>
      <c r="D6108" s="16"/>
      <c r="F6108" s="16"/>
      <c r="G6108" s="16"/>
      <c r="H6108" s="24"/>
      <c r="I6108" s="24"/>
      <c r="L6108"/>
    </row>
    <row r="6109" spans="1:12" x14ac:dyDescent="0.25">
      <c r="A6109" s="16"/>
      <c r="D6109" s="16"/>
      <c r="F6109" s="16"/>
      <c r="G6109" s="16"/>
      <c r="H6109" s="24"/>
      <c r="I6109" s="24"/>
      <c r="L6109"/>
    </row>
    <row r="6110" spans="1:12" x14ac:dyDescent="0.25">
      <c r="A6110" s="16"/>
      <c r="D6110" s="16"/>
      <c r="F6110" s="16"/>
      <c r="G6110" s="16"/>
      <c r="H6110" s="24"/>
      <c r="I6110" s="24"/>
      <c r="L6110"/>
    </row>
    <row r="6111" spans="1:12" x14ac:dyDescent="0.25">
      <c r="A6111" s="16"/>
      <c r="D6111" s="16"/>
      <c r="F6111" s="16"/>
      <c r="G6111" s="16"/>
      <c r="H6111" s="24"/>
      <c r="I6111" s="24"/>
      <c r="L6111"/>
    </row>
    <row r="6112" spans="1:12" x14ac:dyDescent="0.25">
      <c r="A6112" s="16"/>
      <c r="D6112" s="16"/>
      <c r="F6112" s="16"/>
      <c r="G6112" s="16"/>
      <c r="H6112" s="24"/>
      <c r="I6112" s="24"/>
      <c r="L6112"/>
    </row>
    <row r="6113" spans="1:12" x14ac:dyDescent="0.25">
      <c r="A6113" s="16"/>
      <c r="D6113" s="16"/>
      <c r="F6113" s="16"/>
      <c r="G6113" s="16"/>
      <c r="H6113" s="24"/>
      <c r="I6113" s="24"/>
      <c r="L6113"/>
    </row>
    <row r="6114" spans="1:12" x14ac:dyDescent="0.25">
      <c r="A6114" s="16"/>
      <c r="D6114" s="16"/>
      <c r="F6114" s="16"/>
      <c r="G6114" s="16"/>
      <c r="H6114" s="24"/>
      <c r="I6114" s="24"/>
      <c r="L6114"/>
    </row>
    <row r="6115" spans="1:12" x14ac:dyDescent="0.25">
      <c r="A6115" s="16"/>
      <c r="D6115" s="16"/>
      <c r="F6115" s="16"/>
      <c r="G6115" s="16"/>
      <c r="H6115" s="24"/>
      <c r="I6115" s="24"/>
      <c r="L6115"/>
    </row>
    <row r="6116" spans="1:12" x14ac:dyDescent="0.25">
      <c r="A6116" s="16"/>
      <c r="D6116" s="16"/>
      <c r="F6116" s="16"/>
      <c r="G6116" s="16"/>
      <c r="H6116" s="24"/>
      <c r="I6116" s="24"/>
      <c r="L6116"/>
    </row>
    <row r="6117" spans="1:12" x14ac:dyDescent="0.25">
      <c r="A6117" s="16"/>
      <c r="D6117" s="16"/>
      <c r="F6117" s="16"/>
      <c r="G6117" s="16"/>
      <c r="H6117" s="24"/>
      <c r="I6117" s="24"/>
      <c r="L6117"/>
    </row>
    <row r="6118" spans="1:12" x14ac:dyDescent="0.25">
      <c r="A6118" s="16"/>
      <c r="D6118" s="16"/>
      <c r="F6118" s="16"/>
      <c r="G6118" s="16"/>
      <c r="H6118" s="24"/>
      <c r="I6118" s="24"/>
      <c r="L6118"/>
    </row>
    <row r="6119" spans="1:12" x14ac:dyDescent="0.25">
      <c r="A6119" s="16"/>
      <c r="D6119" s="16"/>
      <c r="F6119" s="16"/>
      <c r="G6119" s="16"/>
      <c r="H6119" s="24"/>
      <c r="I6119" s="24"/>
      <c r="L6119"/>
    </row>
    <row r="6120" spans="1:12" x14ac:dyDescent="0.25">
      <c r="A6120" s="16"/>
      <c r="D6120" s="16"/>
      <c r="F6120" s="16"/>
      <c r="G6120" s="16"/>
      <c r="H6120" s="24"/>
      <c r="I6120" s="24"/>
      <c r="L6120"/>
    </row>
    <row r="6121" spans="1:12" x14ac:dyDescent="0.25">
      <c r="A6121" s="16"/>
      <c r="D6121" s="16"/>
      <c r="F6121" s="16"/>
      <c r="G6121" s="16"/>
      <c r="H6121" s="24"/>
      <c r="I6121" s="24"/>
      <c r="L6121"/>
    </row>
    <row r="6122" spans="1:12" x14ac:dyDescent="0.25">
      <c r="A6122" s="16"/>
      <c r="D6122" s="16"/>
      <c r="F6122" s="16"/>
      <c r="G6122" s="16"/>
      <c r="H6122" s="24"/>
      <c r="I6122" s="24"/>
      <c r="L6122"/>
    </row>
    <row r="6123" spans="1:12" x14ac:dyDescent="0.25">
      <c r="A6123" s="16"/>
      <c r="D6123" s="16"/>
      <c r="F6123" s="16"/>
      <c r="G6123" s="16"/>
      <c r="H6123" s="24"/>
      <c r="I6123" s="24"/>
      <c r="L6123"/>
    </row>
    <row r="6124" spans="1:12" x14ac:dyDescent="0.25">
      <c r="A6124" s="16"/>
      <c r="D6124" s="16"/>
      <c r="F6124" s="16"/>
      <c r="G6124" s="16"/>
      <c r="H6124" s="24"/>
      <c r="I6124" s="24"/>
      <c r="L6124"/>
    </row>
    <row r="6125" spans="1:12" x14ac:dyDescent="0.25">
      <c r="A6125" s="16"/>
      <c r="D6125" s="16"/>
      <c r="F6125" s="16"/>
      <c r="G6125" s="16"/>
      <c r="H6125" s="24"/>
      <c r="I6125" s="24"/>
      <c r="L6125"/>
    </row>
    <row r="6126" spans="1:12" x14ac:dyDescent="0.25">
      <c r="A6126" s="16"/>
      <c r="D6126" s="16"/>
      <c r="F6126" s="16"/>
      <c r="G6126" s="16"/>
      <c r="H6126" s="24"/>
      <c r="I6126" s="24"/>
      <c r="L6126"/>
    </row>
    <row r="6127" spans="1:12" x14ac:dyDescent="0.25">
      <c r="A6127" s="16"/>
      <c r="D6127" s="16"/>
      <c r="F6127" s="16"/>
      <c r="G6127" s="16"/>
      <c r="H6127" s="24"/>
      <c r="I6127" s="24"/>
      <c r="L6127"/>
    </row>
    <row r="6128" spans="1:12" x14ac:dyDescent="0.25">
      <c r="A6128" s="16"/>
      <c r="D6128" s="16"/>
      <c r="F6128" s="16"/>
      <c r="G6128" s="16"/>
      <c r="H6128" s="24"/>
      <c r="I6128" s="24"/>
      <c r="L6128"/>
    </row>
    <row r="6129" spans="1:12" x14ac:dyDescent="0.25">
      <c r="A6129" s="16"/>
      <c r="D6129" s="16"/>
      <c r="F6129" s="16"/>
      <c r="G6129" s="16"/>
      <c r="H6129" s="24"/>
      <c r="I6129" s="24"/>
      <c r="L6129"/>
    </row>
    <row r="6130" spans="1:12" x14ac:dyDescent="0.25">
      <c r="A6130" s="16"/>
      <c r="D6130" s="16"/>
      <c r="F6130" s="16"/>
      <c r="G6130" s="16"/>
      <c r="H6130" s="24"/>
      <c r="I6130" s="24"/>
      <c r="L6130"/>
    </row>
    <row r="6131" spans="1:12" x14ac:dyDescent="0.25">
      <c r="A6131" s="16"/>
      <c r="D6131" s="16"/>
      <c r="F6131" s="16"/>
      <c r="G6131" s="16"/>
      <c r="H6131" s="24"/>
      <c r="I6131" s="24"/>
      <c r="L6131"/>
    </row>
    <row r="6132" spans="1:12" x14ac:dyDescent="0.25">
      <c r="A6132" s="16"/>
      <c r="D6132" s="16"/>
      <c r="F6132" s="16"/>
      <c r="G6132" s="16"/>
      <c r="H6132" s="24"/>
      <c r="I6132" s="24"/>
      <c r="L6132"/>
    </row>
    <row r="6133" spans="1:12" x14ac:dyDescent="0.25">
      <c r="A6133" s="16"/>
      <c r="D6133" s="16"/>
      <c r="F6133" s="16"/>
      <c r="G6133" s="16"/>
      <c r="H6133" s="24"/>
      <c r="I6133" s="24"/>
      <c r="L6133"/>
    </row>
    <row r="6134" spans="1:12" x14ac:dyDescent="0.25">
      <c r="A6134" s="16"/>
      <c r="D6134" s="16"/>
      <c r="F6134" s="16"/>
      <c r="G6134" s="16"/>
      <c r="H6134" s="24"/>
      <c r="I6134" s="24"/>
      <c r="L6134"/>
    </row>
    <row r="6135" spans="1:12" x14ac:dyDescent="0.25">
      <c r="A6135" s="16"/>
      <c r="D6135" s="16"/>
      <c r="F6135" s="16"/>
      <c r="G6135" s="16"/>
      <c r="H6135" s="24"/>
      <c r="I6135" s="24"/>
      <c r="L6135"/>
    </row>
    <row r="6136" spans="1:12" x14ac:dyDescent="0.25">
      <c r="A6136" s="16"/>
      <c r="D6136" s="16"/>
      <c r="F6136" s="16"/>
      <c r="G6136" s="16"/>
      <c r="H6136" s="24"/>
      <c r="I6136" s="24"/>
      <c r="L6136"/>
    </row>
    <row r="6137" spans="1:12" x14ac:dyDescent="0.25">
      <c r="A6137" s="16"/>
      <c r="D6137" s="16"/>
      <c r="F6137" s="16"/>
      <c r="G6137" s="16"/>
      <c r="H6137" s="24"/>
      <c r="I6137" s="24"/>
      <c r="L6137"/>
    </row>
    <row r="6138" spans="1:12" x14ac:dyDescent="0.25">
      <c r="A6138" s="16"/>
      <c r="D6138" s="16"/>
      <c r="F6138" s="16"/>
      <c r="G6138" s="16"/>
      <c r="H6138" s="24"/>
      <c r="I6138" s="24"/>
      <c r="L6138"/>
    </row>
    <row r="6139" spans="1:12" x14ac:dyDescent="0.25">
      <c r="A6139" s="16"/>
      <c r="D6139" s="16"/>
      <c r="F6139" s="16"/>
      <c r="G6139" s="16"/>
      <c r="H6139" s="24"/>
      <c r="I6139" s="24"/>
      <c r="L6139"/>
    </row>
    <row r="6140" spans="1:12" x14ac:dyDescent="0.25">
      <c r="A6140" s="16"/>
      <c r="D6140" s="16"/>
      <c r="F6140" s="16"/>
      <c r="G6140" s="16"/>
      <c r="H6140" s="24"/>
      <c r="I6140" s="24"/>
      <c r="L6140"/>
    </row>
    <row r="6141" spans="1:12" x14ac:dyDescent="0.25">
      <c r="A6141" s="16"/>
      <c r="D6141" s="16"/>
      <c r="F6141" s="16"/>
      <c r="G6141" s="16"/>
      <c r="H6141" s="24"/>
      <c r="I6141" s="24"/>
      <c r="L6141"/>
    </row>
    <row r="6142" spans="1:12" x14ac:dyDescent="0.25">
      <c r="A6142" s="16"/>
      <c r="D6142" s="16"/>
      <c r="F6142" s="16"/>
      <c r="G6142" s="16"/>
      <c r="H6142" s="24"/>
      <c r="I6142" s="24"/>
      <c r="L6142"/>
    </row>
    <row r="6143" spans="1:12" x14ac:dyDescent="0.25">
      <c r="A6143" s="16"/>
      <c r="D6143" s="16"/>
      <c r="F6143" s="16"/>
      <c r="G6143" s="16"/>
      <c r="H6143" s="24"/>
      <c r="I6143" s="24"/>
      <c r="L6143"/>
    </row>
    <row r="6144" spans="1:12" x14ac:dyDescent="0.25">
      <c r="A6144" s="16"/>
      <c r="D6144" s="16"/>
      <c r="F6144" s="16"/>
      <c r="G6144" s="16"/>
      <c r="H6144" s="24"/>
      <c r="I6144" s="24"/>
      <c r="L6144"/>
    </row>
    <row r="6145" spans="1:12" x14ac:dyDescent="0.25">
      <c r="A6145" s="16"/>
      <c r="D6145" s="16"/>
      <c r="F6145" s="16"/>
      <c r="G6145" s="16"/>
      <c r="H6145" s="24"/>
      <c r="I6145" s="24"/>
      <c r="L6145"/>
    </row>
    <row r="6146" spans="1:12" x14ac:dyDescent="0.25">
      <c r="A6146" s="16"/>
      <c r="D6146" s="16"/>
      <c r="F6146" s="16"/>
      <c r="G6146" s="16"/>
      <c r="H6146" s="24"/>
      <c r="I6146" s="24"/>
      <c r="L6146"/>
    </row>
    <row r="6147" spans="1:12" x14ac:dyDescent="0.25">
      <c r="A6147" s="16"/>
      <c r="D6147" s="16"/>
      <c r="F6147" s="16"/>
      <c r="G6147" s="16"/>
      <c r="H6147" s="24"/>
      <c r="I6147" s="24"/>
      <c r="L6147"/>
    </row>
    <row r="6148" spans="1:12" x14ac:dyDescent="0.25">
      <c r="A6148" s="16"/>
      <c r="D6148" s="16"/>
      <c r="F6148" s="16"/>
      <c r="G6148" s="16"/>
      <c r="H6148" s="24"/>
      <c r="I6148" s="24"/>
      <c r="L6148"/>
    </row>
    <row r="6149" spans="1:12" x14ac:dyDescent="0.25">
      <c r="A6149" s="16"/>
      <c r="D6149" s="16"/>
      <c r="F6149" s="16"/>
      <c r="G6149" s="16"/>
      <c r="H6149" s="24"/>
      <c r="I6149" s="24"/>
      <c r="L6149"/>
    </row>
    <row r="6150" spans="1:12" x14ac:dyDescent="0.25">
      <c r="A6150" s="16"/>
      <c r="D6150" s="16"/>
      <c r="F6150" s="16"/>
      <c r="G6150" s="16"/>
      <c r="H6150" s="24"/>
      <c r="I6150" s="24"/>
      <c r="L6150"/>
    </row>
    <row r="6151" spans="1:12" x14ac:dyDescent="0.25">
      <c r="A6151" s="16"/>
      <c r="D6151" s="16"/>
      <c r="F6151" s="16"/>
      <c r="G6151" s="16"/>
      <c r="H6151" s="24"/>
      <c r="I6151" s="24"/>
      <c r="L6151"/>
    </row>
    <row r="6152" spans="1:12" x14ac:dyDescent="0.25">
      <c r="A6152" s="16"/>
      <c r="D6152" s="16"/>
      <c r="F6152" s="16"/>
      <c r="G6152" s="16"/>
      <c r="H6152" s="24"/>
      <c r="I6152" s="24"/>
      <c r="L6152"/>
    </row>
    <row r="6153" spans="1:12" x14ac:dyDescent="0.25">
      <c r="A6153" s="16"/>
      <c r="D6153" s="16"/>
      <c r="F6153" s="16"/>
      <c r="G6153" s="16"/>
      <c r="H6153" s="24"/>
      <c r="I6153" s="24"/>
      <c r="L6153"/>
    </row>
    <row r="6154" spans="1:12" x14ac:dyDescent="0.25">
      <c r="A6154" s="16"/>
      <c r="D6154" s="16"/>
      <c r="F6154" s="16"/>
      <c r="G6154" s="16"/>
      <c r="H6154" s="24"/>
      <c r="I6154" s="24"/>
      <c r="L6154"/>
    </row>
    <row r="6155" spans="1:12" x14ac:dyDescent="0.25">
      <c r="A6155" s="16"/>
      <c r="D6155" s="16"/>
      <c r="F6155" s="16"/>
      <c r="G6155" s="16"/>
      <c r="H6155" s="24"/>
      <c r="I6155" s="24"/>
      <c r="L6155"/>
    </row>
    <row r="6156" spans="1:12" x14ac:dyDescent="0.25">
      <c r="A6156" s="16"/>
      <c r="D6156" s="16"/>
      <c r="F6156" s="16"/>
      <c r="G6156" s="16"/>
      <c r="H6156" s="24"/>
      <c r="I6156" s="24"/>
      <c r="L6156"/>
    </row>
    <row r="6157" spans="1:12" x14ac:dyDescent="0.25">
      <c r="A6157" s="16"/>
      <c r="D6157" s="16"/>
      <c r="F6157" s="16"/>
      <c r="G6157" s="16"/>
      <c r="H6157" s="24"/>
      <c r="I6157" s="24"/>
      <c r="L6157"/>
    </row>
    <row r="6158" spans="1:12" x14ac:dyDescent="0.25">
      <c r="A6158" s="16"/>
      <c r="D6158" s="16"/>
      <c r="F6158" s="16"/>
      <c r="G6158" s="16"/>
      <c r="H6158" s="24"/>
      <c r="I6158" s="24"/>
      <c r="L6158"/>
    </row>
    <row r="6159" spans="1:12" x14ac:dyDescent="0.25">
      <c r="A6159" s="16"/>
      <c r="D6159" s="16"/>
      <c r="F6159" s="16"/>
      <c r="G6159" s="16"/>
      <c r="H6159" s="24"/>
      <c r="I6159" s="24"/>
      <c r="L6159"/>
    </row>
    <row r="6160" spans="1:12" x14ac:dyDescent="0.25">
      <c r="A6160" s="16"/>
      <c r="D6160" s="16"/>
      <c r="F6160" s="16"/>
      <c r="G6160" s="16"/>
      <c r="H6160" s="24"/>
      <c r="I6160" s="24"/>
      <c r="L6160"/>
    </row>
    <row r="6161" spans="1:12" x14ac:dyDescent="0.25">
      <c r="A6161" s="16"/>
      <c r="D6161" s="16"/>
      <c r="F6161" s="16"/>
      <c r="G6161" s="16"/>
      <c r="H6161" s="24"/>
      <c r="I6161" s="24"/>
      <c r="L6161"/>
    </row>
    <row r="6162" spans="1:12" x14ac:dyDescent="0.25">
      <c r="A6162" s="16"/>
      <c r="D6162" s="16"/>
      <c r="F6162" s="16"/>
      <c r="G6162" s="16"/>
      <c r="H6162" s="24"/>
      <c r="I6162" s="24"/>
      <c r="L6162"/>
    </row>
    <row r="6163" spans="1:12" x14ac:dyDescent="0.25">
      <c r="A6163" s="16"/>
      <c r="D6163" s="16"/>
      <c r="F6163" s="16"/>
      <c r="G6163" s="16"/>
      <c r="H6163" s="24"/>
      <c r="I6163" s="24"/>
      <c r="L6163"/>
    </row>
    <row r="6164" spans="1:12" x14ac:dyDescent="0.25">
      <c r="A6164" s="16"/>
      <c r="D6164" s="16"/>
      <c r="F6164" s="16"/>
      <c r="G6164" s="16"/>
      <c r="H6164" s="24"/>
      <c r="I6164" s="24"/>
      <c r="L6164"/>
    </row>
    <row r="6165" spans="1:12" x14ac:dyDescent="0.25">
      <c r="A6165" s="16"/>
      <c r="D6165" s="16"/>
      <c r="F6165" s="16"/>
      <c r="G6165" s="16"/>
      <c r="H6165" s="24"/>
      <c r="I6165" s="24"/>
      <c r="L6165"/>
    </row>
    <row r="6166" spans="1:12" x14ac:dyDescent="0.25">
      <c r="A6166" s="16"/>
      <c r="D6166" s="16"/>
      <c r="F6166" s="16"/>
      <c r="G6166" s="16"/>
      <c r="H6166" s="24"/>
      <c r="I6166" s="24"/>
      <c r="L6166"/>
    </row>
    <row r="6167" spans="1:12" x14ac:dyDescent="0.25">
      <c r="A6167" s="16"/>
      <c r="D6167" s="16"/>
      <c r="F6167" s="16"/>
      <c r="G6167" s="16"/>
      <c r="H6167" s="24"/>
      <c r="I6167" s="24"/>
      <c r="L6167"/>
    </row>
    <row r="6168" spans="1:12" x14ac:dyDescent="0.25">
      <c r="A6168" s="16"/>
      <c r="D6168" s="16"/>
      <c r="F6168" s="16"/>
      <c r="G6168" s="16"/>
      <c r="H6168" s="24"/>
      <c r="I6168" s="24"/>
      <c r="L6168"/>
    </row>
    <row r="6169" spans="1:12" x14ac:dyDescent="0.25">
      <c r="A6169" s="16"/>
      <c r="D6169" s="16"/>
      <c r="F6169" s="16"/>
      <c r="G6169" s="16"/>
      <c r="H6169" s="24"/>
      <c r="I6169" s="24"/>
      <c r="L6169"/>
    </row>
    <row r="6170" spans="1:12" x14ac:dyDescent="0.25">
      <c r="A6170" s="16"/>
      <c r="D6170" s="16"/>
      <c r="F6170" s="16"/>
      <c r="G6170" s="16"/>
      <c r="H6170" s="24"/>
      <c r="I6170" s="24"/>
      <c r="L6170"/>
    </row>
    <row r="6171" spans="1:12" x14ac:dyDescent="0.25">
      <c r="A6171" s="16"/>
      <c r="D6171" s="16"/>
      <c r="F6171" s="16"/>
      <c r="G6171" s="16"/>
      <c r="H6171" s="24"/>
      <c r="I6171" s="24"/>
      <c r="L6171"/>
    </row>
    <row r="6172" spans="1:12" x14ac:dyDescent="0.25">
      <c r="A6172" s="16"/>
      <c r="D6172" s="16"/>
      <c r="F6172" s="16"/>
      <c r="G6172" s="16"/>
      <c r="H6172" s="24"/>
      <c r="I6172" s="24"/>
      <c r="L6172"/>
    </row>
    <row r="6173" spans="1:12" x14ac:dyDescent="0.25">
      <c r="A6173" s="16"/>
      <c r="D6173" s="16"/>
      <c r="F6173" s="16"/>
      <c r="G6173" s="16"/>
      <c r="H6173" s="24"/>
      <c r="I6173" s="24"/>
      <c r="L6173"/>
    </row>
    <row r="6174" spans="1:12" x14ac:dyDescent="0.25">
      <c r="A6174" s="16"/>
      <c r="D6174" s="16"/>
      <c r="F6174" s="16"/>
      <c r="G6174" s="16"/>
      <c r="H6174" s="24"/>
      <c r="I6174" s="24"/>
      <c r="L6174"/>
    </row>
    <row r="6175" spans="1:12" x14ac:dyDescent="0.25">
      <c r="A6175" s="16"/>
      <c r="D6175" s="16"/>
      <c r="F6175" s="16"/>
      <c r="G6175" s="16"/>
      <c r="H6175" s="24"/>
      <c r="I6175" s="24"/>
      <c r="L6175"/>
    </row>
    <row r="6176" spans="1:12" x14ac:dyDescent="0.25">
      <c r="A6176" s="16"/>
      <c r="D6176" s="16"/>
      <c r="F6176" s="16"/>
      <c r="G6176" s="16"/>
      <c r="H6176" s="24"/>
      <c r="I6176" s="24"/>
      <c r="L6176"/>
    </row>
    <row r="6177" spans="1:12" x14ac:dyDescent="0.25">
      <c r="A6177" s="16"/>
      <c r="D6177" s="16"/>
      <c r="F6177" s="16"/>
      <c r="G6177" s="16"/>
      <c r="H6177" s="24"/>
      <c r="I6177" s="24"/>
      <c r="L6177"/>
    </row>
    <row r="6178" spans="1:12" x14ac:dyDescent="0.25">
      <c r="A6178" s="16"/>
      <c r="D6178" s="16"/>
      <c r="F6178" s="16"/>
      <c r="G6178" s="16"/>
      <c r="H6178" s="24"/>
      <c r="I6178" s="24"/>
      <c r="L6178"/>
    </row>
    <row r="6179" spans="1:12" x14ac:dyDescent="0.25">
      <c r="A6179" s="16"/>
      <c r="D6179" s="16"/>
      <c r="F6179" s="16"/>
      <c r="G6179" s="16"/>
      <c r="H6179" s="24"/>
      <c r="I6179" s="24"/>
      <c r="L6179"/>
    </row>
    <row r="6180" spans="1:12" x14ac:dyDescent="0.25">
      <c r="A6180" s="16"/>
      <c r="D6180" s="16"/>
      <c r="F6180" s="16"/>
      <c r="G6180" s="16"/>
      <c r="H6180" s="24"/>
      <c r="I6180" s="24"/>
      <c r="L6180"/>
    </row>
    <row r="6181" spans="1:12" x14ac:dyDescent="0.25">
      <c r="A6181" s="16"/>
      <c r="D6181" s="16"/>
      <c r="F6181" s="16"/>
      <c r="G6181" s="16"/>
      <c r="H6181" s="24"/>
      <c r="I6181" s="24"/>
      <c r="L6181"/>
    </row>
    <row r="6182" spans="1:12" x14ac:dyDescent="0.25">
      <c r="A6182" s="16"/>
      <c r="D6182" s="16"/>
      <c r="F6182" s="16"/>
      <c r="G6182" s="16"/>
      <c r="H6182" s="24"/>
      <c r="I6182" s="24"/>
      <c r="L6182"/>
    </row>
    <row r="6183" spans="1:12" x14ac:dyDescent="0.25">
      <c r="A6183" s="16"/>
      <c r="D6183" s="16"/>
      <c r="F6183" s="16"/>
      <c r="G6183" s="16"/>
      <c r="H6183" s="24"/>
      <c r="I6183" s="24"/>
      <c r="L6183"/>
    </row>
    <row r="6184" spans="1:12" x14ac:dyDescent="0.25">
      <c r="A6184" s="16"/>
      <c r="D6184" s="16"/>
      <c r="F6184" s="16"/>
      <c r="G6184" s="16"/>
      <c r="H6184" s="24"/>
      <c r="I6184" s="24"/>
      <c r="L6184"/>
    </row>
    <row r="6185" spans="1:12" x14ac:dyDescent="0.25">
      <c r="A6185" s="16"/>
      <c r="D6185" s="16"/>
      <c r="F6185" s="16"/>
      <c r="G6185" s="16"/>
      <c r="H6185" s="24"/>
      <c r="I6185" s="24"/>
      <c r="L6185"/>
    </row>
    <row r="6186" spans="1:12" x14ac:dyDescent="0.25">
      <c r="A6186" s="16"/>
      <c r="D6186" s="16"/>
      <c r="F6186" s="16"/>
      <c r="G6186" s="16"/>
      <c r="H6186" s="24"/>
      <c r="I6186" s="24"/>
      <c r="L6186"/>
    </row>
    <row r="6187" spans="1:12" x14ac:dyDescent="0.25">
      <c r="A6187" s="16"/>
      <c r="D6187" s="16"/>
      <c r="F6187" s="16"/>
      <c r="G6187" s="16"/>
      <c r="H6187" s="24"/>
      <c r="I6187" s="24"/>
      <c r="L6187"/>
    </row>
    <row r="6188" spans="1:12" x14ac:dyDescent="0.25">
      <c r="A6188" s="16"/>
      <c r="D6188" s="16"/>
      <c r="F6188" s="16"/>
      <c r="G6188" s="16"/>
      <c r="H6188" s="24"/>
      <c r="I6188" s="24"/>
      <c r="L6188"/>
    </row>
    <row r="6189" spans="1:12" x14ac:dyDescent="0.25">
      <c r="A6189" s="16"/>
      <c r="D6189" s="16"/>
      <c r="F6189" s="16"/>
      <c r="G6189" s="16"/>
      <c r="H6189" s="24"/>
      <c r="I6189" s="24"/>
      <c r="L6189"/>
    </row>
    <row r="6190" spans="1:12" x14ac:dyDescent="0.25">
      <c r="A6190" s="16"/>
      <c r="D6190" s="16"/>
      <c r="F6190" s="16"/>
      <c r="G6190" s="16"/>
      <c r="H6190" s="24"/>
      <c r="I6190" s="24"/>
      <c r="L6190"/>
    </row>
    <row r="6191" spans="1:12" x14ac:dyDescent="0.25">
      <c r="A6191" s="16"/>
      <c r="D6191" s="16"/>
      <c r="F6191" s="16"/>
      <c r="G6191" s="16"/>
      <c r="H6191" s="24"/>
      <c r="I6191" s="24"/>
      <c r="L6191"/>
    </row>
    <row r="6192" spans="1:12" x14ac:dyDescent="0.25">
      <c r="A6192" s="16"/>
      <c r="D6192" s="16"/>
      <c r="F6192" s="16"/>
      <c r="G6192" s="16"/>
      <c r="H6192" s="24"/>
      <c r="I6192" s="24"/>
      <c r="L6192"/>
    </row>
    <row r="6193" spans="1:12" x14ac:dyDescent="0.25">
      <c r="A6193" s="16"/>
      <c r="D6193" s="16"/>
      <c r="F6193" s="16"/>
      <c r="G6193" s="16"/>
      <c r="H6193" s="24"/>
      <c r="I6193" s="24"/>
      <c r="L6193"/>
    </row>
    <row r="6194" spans="1:12" x14ac:dyDescent="0.25">
      <c r="A6194" s="16"/>
      <c r="D6194" s="16"/>
      <c r="F6194" s="16"/>
      <c r="G6194" s="16"/>
      <c r="H6194" s="24"/>
      <c r="I6194" s="24"/>
      <c r="L6194"/>
    </row>
    <row r="6195" spans="1:12" x14ac:dyDescent="0.25">
      <c r="A6195" s="16"/>
      <c r="D6195" s="16"/>
      <c r="F6195" s="16"/>
      <c r="G6195" s="16"/>
      <c r="H6195" s="24"/>
      <c r="I6195" s="24"/>
      <c r="L6195"/>
    </row>
    <row r="6196" spans="1:12" x14ac:dyDescent="0.25">
      <c r="A6196" s="16"/>
      <c r="D6196" s="16"/>
      <c r="F6196" s="16"/>
      <c r="G6196" s="16"/>
      <c r="H6196" s="24"/>
      <c r="I6196" s="24"/>
      <c r="L6196"/>
    </row>
    <row r="6197" spans="1:12" x14ac:dyDescent="0.25">
      <c r="A6197" s="16"/>
      <c r="D6197" s="16"/>
      <c r="F6197" s="16"/>
      <c r="G6197" s="16"/>
      <c r="H6197" s="24"/>
      <c r="I6197" s="24"/>
      <c r="L6197"/>
    </row>
    <row r="6198" spans="1:12" x14ac:dyDescent="0.25">
      <c r="A6198" s="16"/>
      <c r="D6198" s="16"/>
      <c r="F6198" s="16"/>
      <c r="G6198" s="16"/>
      <c r="H6198" s="24"/>
      <c r="I6198" s="24"/>
      <c r="L6198"/>
    </row>
    <row r="6199" spans="1:12" x14ac:dyDescent="0.25">
      <c r="A6199" s="16"/>
      <c r="D6199" s="16"/>
      <c r="F6199" s="16"/>
      <c r="G6199" s="16"/>
      <c r="H6199" s="24"/>
      <c r="I6199" s="24"/>
      <c r="L6199"/>
    </row>
    <row r="6200" spans="1:12" x14ac:dyDescent="0.25">
      <c r="A6200" s="16"/>
      <c r="D6200" s="16"/>
      <c r="F6200" s="16"/>
      <c r="G6200" s="16"/>
      <c r="H6200" s="24"/>
      <c r="I6200" s="24"/>
      <c r="L6200"/>
    </row>
    <row r="6201" spans="1:12" x14ac:dyDescent="0.25">
      <c r="A6201" s="16"/>
      <c r="D6201" s="16"/>
      <c r="F6201" s="16"/>
      <c r="G6201" s="16"/>
      <c r="H6201" s="24"/>
      <c r="I6201" s="24"/>
      <c r="L6201"/>
    </row>
    <row r="6202" spans="1:12" x14ac:dyDescent="0.25">
      <c r="A6202" s="16"/>
      <c r="D6202" s="16"/>
      <c r="F6202" s="16"/>
      <c r="G6202" s="16"/>
      <c r="H6202" s="24"/>
      <c r="I6202" s="24"/>
      <c r="L6202"/>
    </row>
    <row r="6203" spans="1:12" x14ac:dyDescent="0.25">
      <c r="A6203" s="16"/>
      <c r="D6203" s="16"/>
      <c r="F6203" s="16"/>
      <c r="G6203" s="16"/>
      <c r="H6203" s="24"/>
      <c r="I6203" s="24"/>
      <c r="L6203"/>
    </row>
    <row r="6204" spans="1:12" x14ac:dyDescent="0.25">
      <c r="A6204" s="16"/>
      <c r="D6204" s="16"/>
      <c r="F6204" s="16"/>
      <c r="G6204" s="16"/>
      <c r="H6204" s="24"/>
      <c r="I6204" s="24"/>
      <c r="L6204"/>
    </row>
    <row r="6205" spans="1:12" x14ac:dyDescent="0.25">
      <c r="A6205" s="16"/>
      <c r="D6205" s="16"/>
      <c r="F6205" s="16"/>
      <c r="G6205" s="16"/>
      <c r="H6205" s="24"/>
      <c r="I6205" s="24"/>
      <c r="L6205"/>
    </row>
    <row r="6206" spans="1:12" x14ac:dyDescent="0.25">
      <c r="A6206" s="16"/>
      <c r="D6206" s="16"/>
      <c r="F6206" s="16"/>
      <c r="G6206" s="16"/>
      <c r="H6206" s="24"/>
      <c r="I6206" s="24"/>
      <c r="L6206"/>
    </row>
    <row r="6207" spans="1:12" x14ac:dyDescent="0.25">
      <c r="A6207" s="16"/>
      <c r="D6207" s="16"/>
      <c r="F6207" s="16"/>
      <c r="G6207" s="16"/>
      <c r="H6207" s="24"/>
      <c r="I6207" s="24"/>
      <c r="L6207"/>
    </row>
    <row r="6208" spans="1:12" x14ac:dyDescent="0.25">
      <c r="A6208" s="16"/>
      <c r="D6208" s="16"/>
      <c r="F6208" s="16"/>
      <c r="G6208" s="16"/>
      <c r="H6208" s="24"/>
      <c r="I6208" s="24"/>
      <c r="L6208"/>
    </row>
    <row r="6209" spans="1:12" x14ac:dyDescent="0.25">
      <c r="A6209" s="16"/>
      <c r="D6209" s="16"/>
      <c r="F6209" s="16"/>
      <c r="G6209" s="16"/>
      <c r="H6209" s="24"/>
      <c r="I6209" s="24"/>
      <c r="L6209"/>
    </row>
    <row r="6210" spans="1:12" x14ac:dyDescent="0.25">
      <c r="A6210" s="16"/>
      <c r="D6210" s="16"/>
      <c r="F6210" s="16"/>
      <c r="G6210" s="16"/>
      <c r="H6210" s="24"/>
      <c r="I6210" s="24"/>
      <c r="L6210"/>
    </row>
    <row r="6211" spans="1:12" x14ac:dyDescent="0.25">
      <c r="A6211" s="16"/>
      <c r="D6211" s="16"/>
      <c r="F6211" s="16"/>
      <c r="G6211" s="16"/>
      <c r="H6211" s="24"/>
      <c r="I6211" s="24"/>
      <c r="L6211"/>
    </row>
    <row r="6212" spans="1:12" x14ac:dyDescent="0.25">
      <c r="A6212" s="16"/>
      <c r="D6212" s="16"/>
      <c r="F6212" s="16"/>
      <c r="G6212" s="16"/>
      <c r="H6212" s="24"/>
      <c r="I6212" s="24"/>
      <c r="L6212"/>
    </row>
    <row r="6213" spans="1:12" x14ac:dyDescent="0.25">
      <c r="A6213" s="16"/>
      <c r="D6213" s="16"/>
      <c r="F6213" s="16"/>
      <c r="G6213" s="16"/>
      <c r="H6213" s="24"/>
      <c r="I6213" s="24"/>
      <c r="L6213"/>
    </row>
    <row r="6214" spans="1:12" x14ac:dyDescent="0.25">
      <c r="A6214" s="16"/>
      <c r="D6214" s="16"/>
      <c r="F6214" s="16"/>
      <c r="G6214" s="16"/>
      <c r="H6214" s="24"/>
      <c r="I6214" s="24"/>
      <c r="L6214"/>
    </row>
    <row r="6215" spans="1:12" x14ac:dyDescent="0.25">
      <c r="A6215" s="16"/>
      <c r="D6215" s="16"/>
      <c r="F6215" s="16"/>
      <c r="G6215" s="16"/>
      <c r="H6215" s="24"/>
      <c r="I6215" s="24"/>
      <c r="L6215"/>
    </row>
    <row r="6216" spans="1:12" x14ac:dyDescent="0.25">
      <c r="A6216" s="16"/>
      <c r="D6216" s="16"/>
      <c r="F6216" s="16"/>
      <c r="G6216" s="16"/>
      <c r="H6216" s="24"/>
      <c r="I6216" s="24"/>
      <c r="L6216"/>
    </row>
    <row r="6217" spans="1:12" x14ac:dyDescent="0.25">
      <c r="A6217" s="16"/>
      <c r="D6217" s="16"/>
      <c r="F6217" s="16"/>
      <c r="G6217" s="16"/>
      <c r="H6217" s="24"/>
      <c r="I6217" s="24"/>
      <c r="L6217"/>
    </row>
    <row r="6218" spans="1:12" x14ac:dyDescent="0.25">
      <c r="A6218" s="16"/>
      <c r="D6218" s="16"/>
      <c r="F6218" s="16"/>
      <c r="G6218" s="16"/>
      <c r="H6218" s="24"/>
      <c r="I6218" s="24"/>
      <c r="L6218"/>
    </row>
    <row r="6219" spans="1:12" x14ac:dyDescent="0.25">
      <c r="A6219" s="16"/>
      <c r="D6219" s="16"/>
      <c r="F6219" s="16"/>
      <c r="G6219" s="16"/>
      <c r="H6219" s="24"/>
      <c r="I6219" s="24"/>
      <c r="L6219"/>
    </row>
    <row r="6220" spans="1:12" x14ac:dyDescent="0.25">
      <c r="A6220" s="16"/>
      <c r="D6220" s="16"/>
      <c r="F6220" s="16"/>
      <c r="G6220" s="16"/>
      <c r="H6220" s="24"/>
      <c r="I6220" s="24"/>
      <c r="L6220"/>
    </row>
    <row r="6221" spans="1:12" x14ac:dyDescent="0.25">
      <c r="A6221" s="16"/>
      <c r="D6221" s="16"/>
      <c r="F6221" s="16"/>
      <c r="G6221" s="16"/>
      <c r="H6221" s="24"/>
      <c r="I6221" s="24"/>
      <c r="L6221"/>
    </row>
    <row r="6222" spans="1:12" x14ac:dyDescent="0.25">
      <c r="A6222" s="16"/>
      <c r="D6222" s="16"/>
      <c r="F6222" s="16"/>
      <c r="G6222" s="16"/>
      <c r="H6222" s="24"/>
      <c r="I6222" s="24"/>
      <c r="L6222"/>
    </row>
    <row r="6223" spans="1:12" x14ac:dyDescent="0.25">
      <c r="A6223" s="16"/>
      <c r="D6223" s="16"/>
      <c r="F6223" s="16"/>
      <c r="G6223" s="16"/>
      <c r="H6223" s="24"/>
      <c r="I6223" s="24"/>
      <c r="L6223"/>
    </row>
    <row r="6224" spans="1:12" x14ac:dyDescent="0.25">
      <c r="A6224" s="16"/>
      <c r="D6224" s="16"/>
      <c r="F6224" s="16"/>
      <c r="G6224" s="16"/>
      <c r="H6224" s="24"/>
      <c r="I6224" s="24"/>
      <c r="L6224"/>
    </row>
    <row r="6225" spans="1:12" x14ac:dyDescent="0.25">
      <c r="A6225" s="16"/>
      <c r="D6225" s="16"/>
      <c r="F6225" s="16"/>
      <c r="G6225" s="16"/>
      <c r="H6225" s="24"/>
      <c r="I6225" s="24"/>
      <c r="L6225"/>
    </row>
    <row r="6226" spans="1:12" x14ac:dyDescent="0.25">
      <c r="A6226" s="16"/>
      <c r="D6226" s="16"/>
      <c r="F6226" s="16"/>
      <c r="G6226" s="16"/>
      <c r="H6226" s="24"/>
      <c r="I6226" s="24"/>
      <c r="L6226"/>
    </row>
    <row r="6227" spans="1:12" x14ac:dyDescent="0.25">
      <c r="A6227" s="16"/>
      <c r="D6227" s="16"/>
      <c r="F6227" s="16"/>
      <c r="G6227" s="16"/>
      <c r="H6227" s="24"/>
      <c r="I6227" s="24"/>
      <c r="L6227"/>
    </row>
    <row r="6228" spans="1:12" x14ac:dyDescent="0.25">
      <c r="A6228" s="16"/>
      <c r="D6228" s="16"/>
      <c r="F6228" s="16"/>
      <c r="G6228" s="16"/>
      <c r="H6228" s="24"/>
      <c r="I6228" s="24"/>
      <c r="L6228"/>
    </row>
    <row r="6229" spans="1:12" x14ac:dyDescent="0.25">
      <c r="A6229" s="16"/>
      <c r="D6229" s="16"/>
      <c r="F6229" s="16"/>
      <c r="G6229" s="16"/>
      <c r="H6229" s="24"/>
      <c r="I6229" s="24"/>
      <c r="L6229"/>
    </row>
    <row r="6230" spans="1:12" x14ac:dyDescent="0.25">
      <c r="A6230" s="16"/>
      <c r="D6230" s="16"/>
      <c r="F6230" s="16"/>
      <c r="G6230" s="16"/>
      <c r="H6230" s="24"/>
      <c r="I6230" s="24"/>
      <c r="L6230"/>
    </row>
    <row r="6231" spans="1:12" x14ac:dyDescent="0.25">
      <c r="A6231" s="16"/>
      <c r="D6231" s="16"/>
      <c r="F6231" s="16"/>
      <c r="G6231" s="16"/>
      <c r="H6231" s="24"/>
      <c r="I6231" s="24"/>
      <c r="L6231"/>
    </row>
    <row r="6232" spans="1:12" x14ac:dyDescent="0.25">
      <c r="A6232" s="16"/>
      <c r="D6232" s="16"/>
      <c r="F6232" s="16"/>
      <c r="G6232" s="16"/>
      <c r="H6232" s="24"/>
      <c r="I6232" s="24"/>
      <c r="L6232"/>
    </row>
    <row r="6233" spans="1:12" x14ac:dyDescent="0.25">
      <c r="A6233" s="16"/>
      <c r="D6233" s="16"/>
      <c r="F6233" s="16"/>
      <c r="G6233" s="16"/>
      <c r="H6233" s="24"/>
      <c r="I6233" s="24"/>
      <c r="L6233"/>
    </row>
    <row r="6234" spans="1:12" x14ac:dyDescent="0.25">
      <c r="A6234" s="16"/>
      <c r="D6234" s="16"/>
      <c r="F6234" s="16"/>
      <c r="G6234" s="16"/>
      <c r="H6234" s="24"/>
      <c r="I6234" s="24"/>
      <c r="L6234"/>
    </row>
    <row r="6235" spans="1:12" x14ac:dyDescent="0.25">
      <c r="A6235" s="16"/>
      <c r="D6235" s="16"/>
      <c r="F6235" s="16"/>
      <c r="G6235" s="16"/>
      <c r="H6235" s="24"/>
      <c r="I6235" s="24"/>
      <c r="L6235"/>
    </row>
    <row r="6236" spans="1:12" x14ac:dyDescent="0.25">
      <c r="A6236" s="16"/>
      <c r="D6236" s="16"/>
      <c r="F6236" s="16"/>
      <c r="G6236" s="16"/>
      <c r="H6236" s="24"/>
      <c r="I6236" s="24"/>
      <c r="L6236"/>
    </row>
    <row r="6237" spans="1:12" x14ac:dyDescent="0.25">
      <c r="A6237" s="16"/>
      <c r="D6237" s="16"/>
      <c r="F6237" s="16"/>
      <c r="G6237" s="16"/>
      <c r="H6237" s="24"/>
      <c r="I6237" s="24"/>
      <c r="L6237"/>
    </row>
    <row r="6238" spans="1:12" x14ac:dyDescent="0.25">
      <c r="A6238" s="16"/>
      <c r="D6238" s="16"/>
      <c r="F6238" s="16"/>
      <c r="G6238" s="16"/>
      <c r="H6238" s="24"/>
      <c r="I6238" s="24"/>
      <c r="L6238"/>
    </row>
    <row r="6239" spans="1:12" x14ac:dyDescent="0.25">
      <c r="A6239" s="16"/>
      <c r="D6239" s="16"/>
      <c r="F6239" s="16"/>
      <c r="G6239" s="16"/>
      <c r="H6239" s="24"/>
      <c r="I6239" s="24"/>
      <c r="L6239"/>
    </row>
    <row r="6240" spans="1:12" x14ac:dyDescent="0.25">
      <c r="A6240" s="16"/>
      <c r="D6240" s="16"/>
      <c r="F6240" s="16"/>
      <c r="G6240" s="16"/>
      <c r="H6240" s="24"/>
      <c r="I6240" s="24"/>
      <c r="L6240"/>
    </row>
    <row r="6241" spans="1:12" x14ac:dyDescent="0.25">
      <c r="A6241" s="16"/>
      <c r="D6241" s="16"/>
      <c r="F6241" s="16"/>
      <c r="G6241" s="16"/>
      <c r="H6241" s="24"/>
      <c r="I6241" s="24"/>
      <c r="L6241"/>
    </row>
    <row r="6242" spans="1:12" x14ac:dyDescent="0.25">
      <c r="A6242" s="16"/>
      <c r="D6242" s="16"/>
      <c r="F6242" s="16"/>
      <c r="G6242" s="16"/>
      <c r="H6242" s="24"/>
      <c r="I6242" s="24"/>
      <c r="L6242"/>
    </row>
    <row r="6243" spans="1:12" x14ac:dyDescent="0.25">
      <c r="A6243" s="16"/>
      <c r="D6243" s="16"/>
      <c r="F6243" s="16"/>
      <c r="G6243" s="16"/>
      <c r="H6243" s="24"/>
      <c r="I6243" s="24"/>
      <c r="L6243"/>
    </row>
    <row r="6244" spans="1:12" x14ac:dyDescent="0.25">
      <c r="A6244" s="16"/>
      <c r="D6244" s="16"/>
      <c r="F6244" s="16"/>
      <c r="G6244" s="16"/>
      <c r="H6244" s="24"/>
      <c r="I6244" s="24"/>
      <c r="L6244"/>
    </row>
    <row r="6245" spans="1:12" x14ac:dyDescent="0.25">
      <c r="A6245" s="16"/>
      <c r="D6245" s="16"/>
      <c r="F6245" s="16"/>
      <c r="G6245" s="16"/>
      <c r="H6245" s="24"/>
      <c r="I6245" s="24"/>
      <c r="L6245"/>
    </row>
    <row r="6246" spans="1:12" x14ac:dyDescent="0.25">
      <c r="A6246" s="16"/>
      <c r="D6246" s="16"/>
      <c r="F6246" s="16"/>
      <c r="G6246" s="16"/>
      <c r="H6246" s="24"/>
      <c r="I6246" s="24"/>
      <c r="L6246"/>
    </row>
    <row r="6247" spans="1:12" x14ac:dyDescent="0.25">
      <c r="A6247" s="16"/>
      <c r="D6247" s="16"/>
      <c r="F6247" s="16"/>
      <c r="G6247" s="16"/>
      <c r="H6247" s="24"/>
      <c r="I6247" s="24"/>
      <c r="L6247"/>
    </row>
    <row r="6248" spans="1:12" x14ac:dyDescent="0.25">
      <c r="A6248" s="16"/>
      <c r="D6248" s="16"/>
      <c r="F6248" s="16"/>
      <c r="G6248" s="16"/>
      <c r="H6248" s="24"/>
      <c r="I6248" s="24"/>
      <c r="L6248"/>
    </row>
    <row r="6249" spans="1:12" x14ac:dyDescent="0.25">
      <c r="A6249" s="16"/>
      <c r="D6249" s="16"/>
      <c r="F6249" s="16"/>
      <c r="G6249" s="16"/>
      <c r="H6249" s="24"/>
      <c r="I6249" s="24"/>
      <c r="L6249"/>
    </row>
    <row r="6250" spans="1:12" x14ac:dyDescent="0.25">
      <c r="A6250" s="16"/>
      <c r="D6250" s="16"/>
      <c r="F6250" s="16"/>
      <c r="G6250" s="16"/>
      <c r="H6250" s="24"/>
      <c r="I6250" s="24"/>
      <c r="L6250"/>
    </row>
    <row r="6251" spans="1:12" x14ac:dyDescent="0.25">
      <c r="A6251" s="16"/>
      <c r="D6251" s="16"/>
      <c r="F6251" s="16"/>
      <c r="G6251" s="16"/>
      <c r="H6251" s="24"/>
      <c r="I6251" s="24"/>
      <c r="L6251"/>
    </row>
    <row r="6252" spans="1:12" x14ac:dyDescent="0.25">
      <c r="A6252" s="16"/>
      <c r="D6252" s="16"/>
      <c r="F6252" s="16"/>
      <c r="G6252" s="16"/>
      <c r="H6252" s="24"/>
      <c r="I6252" s="24"/>
      <c r="L6252"/>
    </row>
    <row r="6253" spans="1:12" x14ac:dyDescent="0.25">
      <c r="A6253" s="16"/>
      <c r="D6253" s="16"/>
      <c r="F6253" s="16"/>
      <c r="G6253" s="16"/>
      <c r="H6253" s="24"/>
      <c r="I6253" s="24"/>
      <c r="L6253"/>
    </row>
    <row r="6254" spans="1:12" x14ac:dyDescent="0.25">
      <c r="A6254" s="16"/>
      <c r="D6254" s="16"/>
      <c r="F6254" s="16"/>
      <c r="G6254" s="16"/>
      <c r="H6254" s="24"/>
      <c r="I6254" s="24"/>
      <c r="L6254"/>
    </row>
    <row r="6255" spans="1:12" x14ac:dyDescent="0.25">
      <c r="A6255" s="16"/>
      <c r="D6255" s="16"/>
      <c r="F6255" s="16"/>
      <c r="G6255" s="16"/>
      <c r="H6255" s="24"/>
      <c r="I6255" s="24"/>
      <c r="L6255"/>
    </row>
    <row r="6256" spans="1:12" x14ac:dyDescent="0.25">
      <c r="A6256" s="16"/>
      <c r="D6256" s="16"/>
      <c r="F6256" s="16"/>
      <c r="G6256" s="16"/>
      <c r="H6256" s="24"/>
      <c r="I6256" s="24"/>
      <c r="L6256"/>
    </row>
    <row r="6257" spans="1:12" x14ac:dyDescent="0.25">
      <c r="A6257" s="16"/>
      <c r="D6257" s="16"/>
      <c r="F6257" s="16"/>
      <c r="G6257" s="16"/>
      <c r="H6257" s="24"/>
      <c r="I6257" s="24"/>
      <c r="L6257"/>
    </row>
    <row r="6258" spans="1:12" x14ac:dyDescent="0.25">
      <c r="A6258" s="16"/>
      <c r="D6258" s="16"/>
      <c r="F6258" s="16"/>
      <c r="G6258" s="16"/>
      <c r="H6258" s="24"/>
      <c r="I6258" s="24"/>
      <c r="L6258"/>
    </row>
    <row r="6259" spans="1:12" x14ac:dyDescent="0.25">
      <c r="A6259" s="16"/>
      <c r="D6259" s="16"/>
      <c r="F6259" s="16"/>
      <c r="G6259" s="16"/>
      <c r="H6259" s="24"/>
      <c r="I6259" s="24"/>
      <c r="L6259"/>
    </row>
    <row r="6260" spans="1:12" x14ac:dyDescent="0.25">
      <c r="A6260" s="16"/>
      <c r="D6260" s="16"/>
      <c r="F6260" s="16"/>
      <c r="G6260" s="16"/>
      <c r="H6260" s="24"/>
      <c r="I6260" s="24"/>
      <c r="L6260"/>
    </row>
    <row r="6261" spans="1:12" x14ac:dyDescent="0.25">
      <c r="A6261" s="16"/>
      <c r="D6261" s="16"/>
      <c r="F6261" s="16"/>
      <c r="G6261" s="16"/>
      <c r="H6261" s="24"/>
      <c r="I6261" s="24"/>
      <c r="L6261"/>
    </row>
    <row r="6262" spans="1:12" x14ac:dyDescent="0.25">
      <c r="A6262" s="16"/>
      <c r="D6262" s="16"/>
      <c r="F6262" s="16"/>
      <c r="G6262" s="16"/>
      <c r="H6262" s="24"/>
      <c r="I6262" s="24"/>
      <c r="L6262"/>
    </row>
    <row r="6263" spans="1:12" x14ac:dyDescent="0.25">
      <c r="A6263" s="16"/>
      <c r="D6263" s="16"/>
      <c r="F6263" s="16"/>
      <c r="G6263" s="16"/>
      <c r="H6263" s="24"/>
      <c r="I6263" s="24"/>
      <c r="L6263"/>
    </row>
    <row r="6264" spans="1:12" x14ac:dyDescent="0.25">
      <c r="A6264" s="16"/>
      <c r="D6264" s="16"/>
      <c r="F6264" s="16"/>
      <c r="G6264" s="16"/>
      <c r="H6264" s="24"/>
      <c r="I6264" s="24"/>
      <c r="L6264"/>
    </row>
    <row r="6265" spans="1:12" x14ac:dyDescent="0.25">
      <c r="A6265" s="16"/>
      <c r="D6265" s="16"/>
      <c r="F6265" s="16"/>
      <c r="G6265" s="16"/>
      <c r="H6265" s="24"/>
      <c r="I6265" s="24"/>
      <c r="L6265"/>
    </row>
    <row r="6266" spans="1:12" x14ac:dyDescent="0.25">
      <c r="A6266" s="16"/>
      <c r="D6266" s="16"/>
      <c r="F6266" s="16"/>
      <c r="G6266" s="16"/>
      <c r="H6266" s="24"/>
      <c r="I6266" s="24"/>
      <c r="L6266"/>
    </row>
    <row r="6267" spans="1:12" x14ac:dyDescent="0.25">
      <c r="A6267" s="16"/>
      <c r="D6267" s="16"/>
      <c r="F6267" s="16"/>
      <c r="G6267" s="16"/>
      <c r="H6267" s="24"/>
      <c r="I6267" s="24"/>
      <c r="L6267"/>
    </row>
    <row r="6268" spans="1:12" x14ac:dyDescent="0.25">
      <c r="A6268" s="16"/>
      <c r="D6268" s="16"/>
      <c r="F6268" s="16"/>
      <c r="G6268" s="16"/>
      <c r="H6268" s="24"/>
      <c r="I6268" s="24"/>
      <c r="L6268"/>
    </row>
    <row r="6269" spans="1:12" x14ac:dyDescent="0.25">
      <c r="A6269" s="16"/>
      <c r="D6269" s="16"/>
      <c r="F6269" s="16"/>
      <c r="G6269" s="16"/>
      <c r="H6269" s="24"/>
      <c r="I6269" s="24"/>
      <c r="L6269"/>
    </row>
    <row r="6270" spans="1:12" x14ac:dyDescent="0.25">
      <c r="A6270" s="16"/>
      <c r="D6270" s="16"/>
      <c r="F6270" s="16"/>
      <c r="G6270" s="16"/>
      <c r="H6270" s="24"/>
      <c r="I6270" s="24"/>
      <c r="L6270"/>
    </row>
    <row r="6271" spans="1:12" x14ac:dyDescent="0.25">
      <c r="A6271" s="16"/>
      <c r="D6271" s="16"/>
      <c r="F6271" s="16"/>
      <c r="G6271" s="16"/>
      <c r="H6271" s="24"/>
      <c r="I6271" s="24"/>
      <c r="L6271"/>
    </row>
    <row r="6272" spans="1:12" x14ac:dyDescent="0.25">
      <c r="A6272" s="16"/>
      <c r="D6272" s="16"/>
      <c r="F6272" s="16"/>
      <c r="G6272" s="16"/>
      <c r="H6272" s="24"/>
      <c r="I6272" s="24"/>
      <c r="L6272"/>
    </row>
    <row r="6273" spans="1:12" x14ac:dyDescent="0.25">
      <c r="A6273" s="16"/>
      <c r="D6273" s="16"/>
      <c r="F6273" s="16"/>
      <c r="G6273" s="16"/>
      <c r="H6273" s="24"/>
      <c r="I6273" s="24"/>
      <c r="L6273"/>
    </row>
    <row r="6274" spans="1:12" x14ac:dyDescent="0.25">
      <c r="A6274" s="16"/>
      <c r="D6274" s="16"/>
      <c r="F6274" s="16"/>
      <c r="G6274" s="16"/>
      <c r="H6274" s="24"/>
      <c r="I6274" s="24"/>
      <c r="L6274"/>
    </row>
    <row r="6275" spans="1:12" x14ac:dyDescent="0.25">
      <c r="A6275" s="16"/>
      <c r="D6275" s="16"/>
      <c r="F6275" s="16"/>
      <c r="G6275" s="16"/>
      <c r="H6275" s="24"/>
      <c r="I6275" s="24"/>
      <c r="L6275"/>
    </row>
    <row r="6276" spans="1:12" x14ac:dyDescent="0.25">
      <c r="A6276" s="16"/>
      <c r="D6276" s="16"/>
      <c r="F6276" s="16"/>
      <c r="G6276" s="16"/>
      <c r="H6276" s="24"/>
      <c r="I6276" s="24"/>
      <c r="L6276"/>
    </row>
    <row r="6277" spans="1:12" x14ac:dyDescent="0.25">
      <c r="A6277" s="16"/>
      <c r="D6277" s="16"/>
      <c r="F6277" s="16"/>
      <c r="G6277" s="16"/>
      <c r="H6277" s="24"/>
      <c r="I6277" s="24"/>
      <c r="L6277"/>
    </row>
    <row r="6278" spans="1:12" x14ac:dyDescent="0.25">
      <c r="A6278" s="16"/>
      <c r="D6278" s="16"/>
      <c r="F6278" s="16"/>
      <c r="G6278" s="16"/>
      <c r="H6278" s="24"/>
      <c r="I6278" s="24"/>
      <c r="L6278"/>
    </row>
    <row r="6279" spans="1:12" x14ac:dyDescent="0.25">
      <c r="A6279" s="16"/>
      <c r="D6279" s="16"/>
      <c r="F6279" s="16"/>
      <c r="G6279" s="16"/>
      <c r="H6279" s="24"/>
      <c r="I6279" s="24"/>
      <c r="L6279"/>
    </row>
    <row r="6280" spans="1:12" x14ac:dyDescent="0.25">
      <c r="A6280" s="16"/>
      <c r="D6280" s="16"/>
      <c r="F6280" s="16"/>
      <c r="G6280" s="16"/>
      <c r="H6280" s="24"/>
      <c r="I6280" s="24"/>
      <c r="L6280"/>
    </row>
    <row r="6281" spans="1:12" x14ac:dyDescent="0.25">
      <c r="A6281" s="16"/>
      <c r="D6281" s="16"/>
      <c r="F6281" s="16"/>
      <c r="G6281" s="16"/>
      <c r="H6281" s="24"/>
      <c r="I6281" s="24"/>
      <c r="L6281"/>
    </row>
    <row r="6282" spans="1:12" x14ac:dyDescent="0.25">
      <c r="A6282" s="16"/>
      <c r="D6282" s="16"/>
      <c r="F6282" s="16"/>
      <c r="G6282" s="16"/>
      <c r="H6282" s="24"/>
      <c r="I6282" s="24"/>
      <c r="L6282"/>
    </row>
    <row r="6283" spans="1:12" x14ac:dyDescent="0.25">
      <c r="A6283" s="16"/>
      <c r="D6283" s="16"/>
      <c r="F6283" s="16"/>
      <c r="G6283" s="16"/>
      <c r="H6283" s="24"/>
      <c r="I6283" s="24"/>
      <c r="L6283"/>
    </row>
    <row r="6284" spans="1:12" x14ac:dyDescent="0.25">
      <c r="A6284" s="16"/>
      <c r="D6284" s="16"/>
      <c r="F6284" s="16"/>
      <c r="G6284" s="16"/>
      <c r="H6284" s="24"/>
      <c r="I6284" s="24"/>
      <c r="L6284"/>
    </row>
    <row r="6285" spans="1:12" x14ac:dyDescent="0.25">
      <c r="A6285" s="16"/>
      <c r="D6285" s="16"/>
      <c r="F6285" s="16"/>
      <c r="G6285" s="16"/>
      <c r="H6285" s="24"/>
      <c r="I6285" s="24"/>
      <c r="L6285"/>
    </row>
    <row r="6286" spans="1:12" x14ac:dyDescent="0.25">
      <c r="A6286" s="16"/>
      <c r="D6286" s="16"/>
      <c r="F6286" s="16"/>
      <c r="G6286" s="16"/>
      <c r="H6286" s="24"/>
      <c r="I6286" s="24"/>
      <c r="L6286"/>
    </row>
    <row r="6287" spans="1:12" x14ac:dyDescent="0.25">
      <c r="A6287" s="16"/>
      <c r="D6287" s="16"/>
      <c r="F6287" s="16"/>
      <c r="G6287" s="16"/>
      <c r="H6287" s="24"/>
      <c r="I6287" s="24"/>
      <c r="L6287"/>
    </row>
    <row r="6288" spans="1:12" x14ac:dyDescent="0.25">
      <c r="A6288" s="16"/>
      <c r="D6288" s="16"/>
      <c r="F6288" s="16"/>
      <c r="G6288" s="16"/>
      <c r="H6288" s="24"/>
      <c r="I6288" s="24"/>
      <c r="L6288"/>
    </row>
    <row r="6289" spans="1:12" x14ac:dyDescent="0.25">
      <c r="A6289" s="16"/>
      <c r="D6289" s="16"/>
      <c r="F6289" s="16"/>
      <c r="G6289" s="16"/>
      <c r="H6289" s="24"/>
      <c r="I6289" s="24"/>
      <c r="L6289"/>
    </row>
    <row r="6290" spans="1:12" x14ac:dyDescent="0.25">
      <c r="A6290" s="16"/>
      <c r="D6290" s="16"/>
      <c r="F6290" s="16"/>
      <c r="G6290" s="16"/>
      <c r="H6290" s="24"/>
      <c r="I6290" s="24"/>
      <c r="L6290"/>
    </row>
    <row r="6291" spans="1:12" x14ac:dyDescent="0.25">
      <c r="A6291" s="16"/>
      <c r="D6291" s="16"/>
      <c r="F6291" s="16"/>
      <c r="G6291" s="16"/>
      <c r="H6291" s="24"/>
      <c r="I6291" s="24"/>
      <c r="L6291"/>
    </row>
    <row r="6292" spans="1:12" x14ac:dyDescent="0.25">
      <c r="A6292" s="16"/>
      <c r="D6292" s="16"/>
      <c r="F6292" s="16"/>
      <c r="G6292" s="16"/>
      <c r="H6292" s="24"/>
      <c r="I6292" s="24"/>
      <c r="L6292"/>
    </row>
    <row r="6293" spans="1:12" x14ac:dyDescent="0.25">
      <c r="A6293" s="16"/>
      <c r="D6293" s="16"/>
      <c r="F6293" s="16"/>
      <c r="G6293" s="16"/>
      <c r="H6293" s="24"/>
      <c r="I6293" s="24"/>
      <c r="L6293"/>
    </row>
    <row r="6294" spans="1:12" x14ac:dyDescent="0.25">
      <c r="A6294" s="16"/>
      <c r="D6294" s="16"/>
      <c r="F6294" s="16"/>
      <c r="G6294" s="16"/>
      <c r="H6294" s="24"/>
      <c r="I6294" s="24"/>
      <c r="L6294"/>
    </row>
    <row r="6295" spans="1:12" x14ac:dyDescent="0.25">
      <c r="A6295" s="16"/>
      <c r="D6295" s="16"/>
      <c r="F6295" s="16"/>
      <c r="G6295" s="16"/>
      <c r="H6295" s="24"/>
      <c r="I6295" s="24"/>
      <c r="L6295"/>
    </row>
    <row r="6296" spans="1:12" x14ac:dyDescent="0.25">
      <c r="A6296" s="16"/>
      <c r="D6296" s="16"/>
      <c r="F6296" s="16"/>
      <c r="G6296" s="16"/>
      <c r="H6296" s="24"/>
      <c r="I6296" s="24"/>
      <c r="L6296"/>
    </row>
    <row r="6297" spans="1:12" x14ac:dyDescent="0.25">
      <c r="A6297" s="16"/>
      <c r="D6297" s="16"/>
      <c r="F6297" s="16"/>
      <c r="G6297" s="16"/>
      <c r="H6297" s="24"/>
      <c r="I6297" s="24"/>
      <c r="L6297"/>
    </row>
    <row r="6298" spans="1:12" x14ac:dyDescent="0.25">
      <c r="A6298" s="16"/>
      <c r="D6298" s="16"/>
      <c r="F6298" s="16"/>
      <c r="G6298" s="16"/>
      <c r="H6298" s="24"/>
      <c r="I6298" s="24"/>
      <c r="L6298"/>
    </row>
    <row r="6299" spans="1:12" x14ac:dyDescent="0.25">
      <c r="A6299" s="16"/>
      <c r="D6299" s="16"/>
      <c r="F6299" s="16"/>
      <c r="G6299" s="16"/>
      <c r="H6299" s="24"/>
      <c r="I6299" s="24"/>
      <c r="L6299"/>
    </row>
    <row r="6300" spans="1:12" x14ac:dyDescent="0.25">
      <c r="A6300" s="16"/>
      <c r="D6300" s="16"/>
      <c r="F6300" s="16"/>
      <c r="G6300" s="16"/>
      <c r="H6300" s="24"/>
      <c r="I6300" s="24"/>
      <c r="L6300"/>
    </row>
    <row r="6301" spans="1:12" x14ac:dyDescent="0.25">
      <c r="A6301" s="16"/>
      <c r="D6301" s="16"/>
      <c r="F6301" s="16"/>
      <c r="G6301" s="16"/>
      <c r="H6301" s="24"/>
      <c r="I6301" s="24"/>
      <c r="L6301"/>
    </row>
    <row r="6302" spans="1:12" x14ac:dyDescent="0.25">
      <c r="A6302" s="16"/>
      <c r="D6302" s="16"/>
      <c r="F6302" s="16"/>
      <c r="G6302" s="16"/>
      <c r="H6302" s="24"/>
      <c r="I6302" s="24"/>
      <c r="L6302"/>
    </row>
    <row r="6303" spans="1:12" x14ac:dyDescent="0.25">
      <c r="A6303" s="16"/>
      <c r="D6303" s="16"/>
      <c r="F6303" s="16"/>
      <c r="G6303" s="16"/>
      <c r="H6303" s="24"/>
      <c r="I6303" s="24"/>
      <c r="L6303"/>
    </row>
    <row r="6304" spans="1:12" x14ac:dyDescent="0.25">
      <c r="A6304" s="16"/>
      <c r="D6304" s="16"/>
      <c r="F6304" s="16"/>
      <c r="G6304" s="16"/>
      <c r="H6304" s="24"/>
      <c r="I6304" s="24"/>
      <c r="L6304"/>
    </row>
    <row r="6305" spans="1:12" x14ac:dyDescent="0.25">
      <c r="A6305" s="16"/>
      <c r="D6305" s="16"/>
      <c r="F6305" s="16"/>
      <c r="G6305" s="16"/>
      <c r="H6305" s="24"/>
      <c r="I6305" s="24"/>
      <c r="L6305"/>
    </row>
    <row r="6306" spans="1:12" x14ac:dyDescent="0.25">
      <c r="A6306" s="16"/>
      <c r="D6306" s="16"/>
      <c r="F6306" s="16"/>
      <c r="G6306" s="16"/>
      <c r="H6306" s="24"/>
      <c r="I6306" s="24"/>
      <c r="L6306"/>
    </row>
    <row r="6307" spans="1:12" x14ac:dyDescent="0.25">
      <c r="A6307" s="16"/>
      <c r="D6307" s="16"/>
      <c r="F6307" s="16"/>
      <c r="G6307" s="16"/>
      <c r="H6307" s="24"/>
      <c r="I6307" s="24"/>
      <c r="L6307"/>
    </row>
    <row r="6308" spans="1:12" x14ac:dyDescent="0.25">
      <c r="A6308" s="16"/>
      <c r="D6308" s="16"/>
      <c r="F6308" s="16"/>
      <c r="G6308" s="16"/>
      <c r="H6308" s="24"/>
      <c r="I6308" s="24"/>
      <c r="L6308"/>
    </row>
    <row r="6309" spans="1:12" x14ac:dyDescent="0.25">
      <c r="A6309" s="16"/>
      <c r="D6309" s="16"/>
      <c r="F6309" s="16"/>
      <c r="G6309" s="16"/>
      <c r="H6309" s="24"/>
      <c r="I6309" s="24"/>
      <c r="L6309"/>
    </row>
    <row r="6310" spans="1:12" x14ac:dyDescent="0.25">
      <c r="A6310" s="16"/>
      <c r="D6310" s="16"/>
      <c r="F6310" s="16"/>
      <c r="G6310" s="16"/>
      <c r="H6310" s="24"/>
      <c r="I6310" s="24"/>
      <c r="L6310"/>
    </row>
    <row r="6311" spans="1:12" x14ac:dyDescent="0.25">
      <c r="A6311" s="16"/>
      <c r="D6311" s="16"/>
      <c r="F6311" s="16"/>
      <c r="G6311" s="16"/>
      <c r="H6311" s="24"/>
      <c r="I6311" s="24"/>
      <c r="L6311"/>
    </row>
    <row r="6312" spans="1:12" x14ac:dyDescent="0.25">
      <c r="A6312" s="16"/>
      <c r="D6312" s="16"/>
      <c r="F6312" s="16"/>
      <c r="G6312" s="16"/>
      <c r="H6312" s="24"/>
      <c r="I6312" s="24"/>
      <c r="L6312"/>
    </row>
    <row r="6313" spans="1:12" x14ac:dyDescent="0.25">
      <c r="A6313" s="16"/>
      <c r="D6313" s="16"/>
      <c r="F6313" s="16"/>
      <c r="G6313" s="16"/>
      <c r="H6313" s="24"/>
      <c r="I6313" s="24"/>
      <c r="L6313"/>
    </row>
    <row r="6314" spans="1:12" x14ac:dyDescent="0.25">
      <c r="A6314" s="16"/>
      <c r="D6314" s="16"/>
      <c r="F6314" s="16"/>
      <c r="G6314" s="16"/>
      <c r="H6314" s="24"/>
      <c r="I6314" s="24"/>
      <c r="L6314"/>
    </row>
    <row r="6315" spans="1:12" x14ac:dyDescent="0.25">
      <c r="A6315" s="16"/>
      <c r="D6315" s="16"/>
      <c r="F6315" s="16"/>
      <c r="G6315" s="16"/>
      <c r="H6315" s="24"/>
      <c r="I6315" s="24"/>
      <c r="L6315"/>
    </row>
    <row r="6316" spans="1:12" x14ac:dyDescent="0.25">
      <c r="A6316" s="16"/>
      <c r="D6316" s="16"/>
      <c r="F6316" s="16"/>
      <c r="G6316" s="16"/>
      <c r="H6316" s="24"/>
      <c r="I6316" s="24"/>
      <c r="L6316"/>
    </row>
    <row r="6317" spans="1:12" x14ac:dyDescent="0.25">
      <c r="A6317" s="16"/>
      <c r="D6317" s="16"/>
      <c r="F6317" s="16"/>
      <c r="G6317" s="16"/>
      <c r="H6317" s="24"/>
      <c r="I6317" s="24"/>
      <c r="L6317"/>
    </row>
    <row r="6318" spans="1:12" x14ac:dyDescent="0.25">
      <c r="A6318" s="16"/>
      <c r="D6318" s="16"/>
      <c r="F6318" s="16"/>
      <c r="G6318" s="16"/>
      <c r="H6318" s="24"/>
      <c r="I6318" s="24"/>
      <c r="L6318"/>
    </row>
    <row r="6319" spans="1:12" x14ac:dyDescent="0.25">
      <c r="A6319" s="16"/>
      <c r="D6319" s="16"/>
      <c r="F6319" s="16"/>
      <c r="G6319" s="16"/>
      <c r="H6319" s="24"/>
      <c r="I6319" s="24"/>
      <c r="L6319"/>
    </row>
    <row r="6320" spans="1:12" x14ac:dyDescent="0.25">
      <c r="A6320" s="16"/>
      <c r="D6320" s="16"/>
      <c r="F6320" s="16"/>
      <c r="G6320" s="16"/>
      <c r="H6320" s="24"/>
      <c r="I6320" s="24"/>
      <c r="L6320"/>
    </row>
    <row r="6321" spans="1:12" x14ac:dyDescent="0.25">
      <c r="A6321" s="16"/>
      <c r="D6321" s="16"/>
      <c r="F6321" s="16"/>
      <c r="G6321" s="16"/>
      <c r="H6321" s="24"/>
      <c r="I6321" s="24"/>
      <c r="L6321"/>
    </row>
    <row r="6322" spans="1:12" x14ac:dyDescent="0.25">
      <c r="A6322" s="16"/>
      <c r="D6322" s="16"/>
      <c r="F6322" s="16"/>
      <c r="G6322" s="16"/>
      <c r="H6322" s="24"/>
      <c r="I6322" s="24"/>
      <c r="L6322"/>
    </row>
    <row r="6323" spans="1:12" x14ac:dyDescent="0.25">
      <c r="A6323" s="16"/>
      <c r="D6323" s="16"/>
      <c r="F6323" s="16"/>
      <c r="G6323" s="16"/>
      <c r="H6323" s="24"/>
      <c r="I6323" s="24"/>
      <c r="L6323"/>
    </row>
    <row r="6324" spans="1:12" x14ac:dyDescent="0.25">
      <c r="A6324" s="16"/>
      <c r="D6324" s="16"/>
      <c r="F6324" s="16"/>
      <c r="G6324" s="16"/>
      <c r="H6324" s="24"/>
      <c r="I6324" s="24"/>
      <c r="L6324"/>
    </row>
    <row r="6325" spans="1:12" x14ac:dyDescent="0.25">
      <c r="A6325" s="16"/>
      <c r="D6325" s="16"/>
      <c r="F6325" s="16"/>
      <c r="G6325" s="16"/>
      <c r="H6325" s="24"/>
      <c r="I6325" s="24"/>
      <c r="L6325"/>
    </row>
    <row r="6326" spans="1:12" x14ac:dyDescent="0.25">
      <c r="A6326" s="16"/>
      <c r="D6326" s="16"/>
      <c r="F6326" s="16"/>
      <c r="G6326" s="16"/>
      <c r="H6326" s="24"/>
      <c r="I6326" s="24"/>
      <c r="L6326"/>
    </row>
    <row r="6327" spans="1:12" x14ac:dyDescent="0.25">
      <c r="A6327" s="16"/>
      <c r="D6327" s="16"/>
      <c r="F6327" s="16"/>
      <c r="G6327" s="16"/>
      <c r="H6327" s="24"/>
      <c r="I6327" s="24"/>
      <c r="L6327"/>
    </row>
    <row r="6328" spans="1:12" x14ac:dyDescent="0.25">
      <c r="A6328" s="16"/>
      <c r="D6328" s="16"/>
      <c r="F6328" s="16"/>
      <c r="G6328" s="16"/>
      <c r="H6328" s="24"/>
      <c r="I6328" s="24"/>
      <c r="L6328"/>
    </row>
    <row r="6329" spans="1:12" x14ac:dyDescent="0.25">
      <c r="A6329" s="16"/>
      <c r="D6329" s="16"/>
      <c r="F6329" s="16"/>
      <c r="G6329" s="16"/>
      <c r="H6329" s="24"/>
      <c r="I6329" s="24"/>
      <c r="L6329"/>
    </row>
    <row r="6330" spans="1:12" x14ac:dyDescent="0.25">
      <c r="A6330" s="16"/>
      <c r="D6330" s="16"/>
      <c r="F6330" s="16"/>
      <c r="G6330" s="16"/>
      <c r="H6330" s="24"/>
      <c r="I6330" s="24"/>
      <c r="L6330"/>
    </row>
    <row r="6331" spans="1:12" x14ac:dyDescent="0.25">
      <c r="A6331" s="16"/>
      <c r="D6331" s="16"/>
      <c r="F6331" s="16"/>
      <c r="G6331" s="16"/>
      <c r="H6331" s="24"/>
      <c r="I6331" s="24"/>
      <c r="L6331"/>
    </row>
    <row r="6332" spans="1:12" x14ac:dyDescent="0.25">
      <c r="A6332" s="16"/>
      <c r="D6332" s="16"/>
      <c r="F6332" s="16"/>
      <c r="G6332" s="16"/>
      <c r="H6332" s="24"/>
      <c r="I6332" s="24"/>
      <c r="L6332"/>
    </row>
    <row r="6333" spans="1:12" x14ac:dyDescent="0.25">
      <c r="A6333" s="16"/>
      <c r="D6333" s="16"/>
      <c r="F6333" s="16"/>
      <c r="G6333" s="16"/>
      <c r="H6333" s="24"/>
      <c r="I6333" s="24"/>
      <c r="L6333"/>
    </row>
    <row r="6334" spans="1:12" x14ac:dyDescent="0.25">
      <c r="A6334" s="16"/>
      <c r="D6334" s="16"/>
      <c r="F6334" s="16"/>
      <c r="G6334" s="16"/>
      <c r="H6334" s="24"/>
      <c r="I6334" s="24"/>
      <c r="L6334"/>
    </row>
    <row r="6335" spans="1:12" x14ac:dyDescent="0.25">
      <c r="A6335" s="16"/>
      <c r="D6335" s="16"/>
      <c r="F6335" s="16"/>
      <c r="G6335" s="16"/>
      <c r="H6335" s="24"/>
      <c r="I6335" s="24"/>
      <c r="L6335"/>
    </row>
    <row r="6336" spans="1:12" x14ac:dyDescent="0.25">
      <c r="A6336" s="16"/>
      <c r="D6336" s="16"/>
      <c r="F6336" s="16"/>
      <c r="G6336" s="16"/>
      <c r="H6336" s="24"/>
      <c r="I6336" s="24"/>
      <c r="L6336"/>
    </row>
    <row r="6337" spans="1:12" x14ac:dyDescent="0.25">
      <c r="A6337" s="16"/>
      <c r="D6337" s="16"/>
      <c r="F6337" s="16"/>
      <c r="G6337" s="16"/>
      <c r="H6337" s="24"/>
      <c r="I6337" s="24"/>
      <c r="L6337"/>
    </row>
    <row r="6338" spans="1:12" x14ac:dyDescent="0.25">
      <c r="A6338" s="16"/>
      <c r="D6338" s="16"/>
      <c r="F6338" s="16"/>
      <c r="G6338" s="16"/>
      <c r="H6338" s="24"/>
      <c r="I6338" s="24"/>
      <c r="L6338"/>
    </row>
    <row r="6339" spans="1:12" x14ac:dyDescent="0.25">
      <c r="A6339" s="16"/>
      <c r="D6339" s="16"/>
      <c r="F6339" s="16"/>
      <c r="G6339" s="16"/>
      <c r="H6339" s="24"/>
      <c r="I6339" s="24"/>
      <c r="L6339"/>
    </row>
    <row r="6340" spans="1:12" x14ac:dyDescent="0.25">
      <c r="A6340" s="16"/>
      <c r="D6340" s="16"/>
      <c r="F6340" s="16"/>
      <c r="G6340" s="16"/>
      <c r="H6340" s="24"/>
      <c r="I6340" s="24"/>
      <c r="L6340"/>
    </row>
    <row r="6341" spans="1:12" x14ac:dyDescent="0.25">
      <c r="A6341" s="16"/>
      <c r="D6341" s="16"/>
      <c r="F6341" s="16"/>
      <c r="G6341" s="16"/>
      <c r="H6341" s="24"/>
      <c r="I6341" s="24"/>
      <c r="L6341"/>
    </row>
    <row r="6342" spans="1:12" x14ac:dyDescent="0.25">
      <c r="A6342" s="16"/>
      <c r="D6342" s="16"/>
      <c r="F6342" s="16"/>
      <c r="G6342" s="16"/>
      <c r="H6342" s="24"/>
      <c r="I6342" s="24"/>
      <c r="L6342"/>
    </row>
    <row r="6343" spans="1:12" x14ac:dyDescent="0.25">
      <c r="A6343" s="16"/>
      <c r="D6343" s="16"/>
      <c r="F6343" s="16"/>
      <c r="G6343" s="16"/>
      <c r="H6343" s="24"/>
      <c r="I6343" s="24"/>
      <c r="L6343"/>
    </row>
    <row r="6344" spans="1:12" x14ac:dyDescent="0.25">
      <c r="A6344" s="16"/>
      <c r="D6344" s="16"/>
      <c r="F6344" s="16"/>
      <c r="G6344" s="16"/>
      <c r="H6344" s="24"/>
      <c r="I6344" s="24"/>
      <c r="L6344"/>
    </row>
    <row r="6345" spans="1:12" x14ac:dyDescent="0.25">
      <c r="A6345" s="16"/>
      <c r="D6345" s="16"/>
      <c r="F6345" s="16"/>
      <c r="G6345" s="16"/>
      <c r="H6345" s="24"/>
      <c r="I6345" s="24"/>
      <c r="L6345"/>
    </row>
    <row r="6346" spans="1:12" x14ac:dyDescent="0.25">
      <c r="A6346" s="16"/>
      <c r="D6346" s="16"/>
      <c r="F6346" s="16"/>
      <c r="G6346" s="16"/>
      <c r="H6346" s="24"/>
      <c r="I6346" s="24"/>
      <c r="L6346"/>
    </row>
    <row r="6347" spans="1:12" x14ac:dyDescent="0.25">
      <c r="A6347" s="16"/>
      <c r="D6347" s="16"/>
      <c r="F6347" s="16"/>
      <c r="G6347" s="16"/>
      <c r="H6347" s="24"/>
      <c r="I6347" s="24"/>
      <c r="L6347"/>
    </row>
    <row r="6348" spans="1:12" x14ac:dyDescent="0.25">
      <c r="A6348" s="16"/>
      <c r="D6348" s="16"/>
      <c r="F6348" s="16"/>
      <c r="G6348" s="16"/>
      <c r="H6348" s="24"/>
      <c r="I6348" s="24"/>
      <c r="L6348"/>
    </row>
    <row r="6349" spans="1:12" x14ac:dyDescent="0.25">
      <c r="A6349" s="16"/>
      <c r="D6349" s="16"/>
      <c r="F6349" s="16"/>
      <c r="G6349" s="16"/>
      <c r="H6349" s="24"/>
      <c r="I6349" s="24"/>
      <c r="L6349"/>
    </row>
    <row r="6350" spans="1:12" x14ac:dyDescent="0.25">
      <c r="A6350" s="16"/>
      <c r="D6350" s="16"/>
      <c r="F6350" s="16"/>
      <c r="G6350" s="16"/>
      <c r="H6350" s="24"/>
      <c r="I6350" s="24"/>
      <c r="L6350"/>
    </row>
    <row r="6351" spans="1:12" x14ac:dyDescent="0.25">
      <c r="A6351" s="16"/>
      <c r="D6351" s="16"/>
      <c r="F6351" s="16"/>
      <c r="G6351" s="16"/>
      <c r="H6351" s="24"/>
      <c r="I6351" s="24"/>
      <c r="L6351"/>
    </row>
    <row r="6352" spans="1:12" x14ac:dyDescent="0.25">
      <c r="A6352" s="16"/>
      <c r="D6352" s="16"/>
      <c r="F6352" s="16"/>
      <c r="G6352" s="16"/>
      <c r="H6352" s="24"/>
      <c r="I6352" s="24"/>
      <c r="L6352"/>
    </row>
    <row r="6353" spans="1:12" x14ac:dyDescent="0.25">
      <c r="A6353" s="16"/>
      <c r="D6353" s="16"/>
      <c r="F6353" s="16"/>
      <c r="G6353" s="16"/>
      <c r="H6353" s="24"/>
      <c r="I6353" s="24"/>
      <c r="L6353"/>
    </row>
    <row r="6354" spans="1:12" x14ac:dyDescent="0.25">
      <c r="A6354" s="16"/>
      <c r="D6354" s="16"/>
      <c r="F6354" s="16"/>
      <c r="G6354" s="16"/>
      <c r="H6354" s="24"/>
      <c r="I6354" s="24"/>
      <c r="L6354"/>
    </row>
    <row r="6355" spans="1:12" x14ac:dyDescent="0.25">
      <c r="A6355" s="16"/>
      <c r="D6355" s="16"/>
      <c r="F6355" s="16"/>
      <c r="G6355" s="16"/>
      <c r="H6355" s="24"/>
      <c r="I6355" s="24"/>
      <c r="L6355"/>
    </row>
    <row r="6356" spans="1:12" x14ac:dyDescent="0.25">
      <c r="A6356" s="16"/>
      <c r="D6356" s="16"/>
      <c r="F6356" s="16"/>
      <c r="G6356" s="16"/>
      <c r="H6356" s="24"/>
      <c r="I6356" s="24"/>
      <c r="L6356"/>
    </row>
    <row r="6357" spans="1:12" x14ac:dyDescent="0.25">
      <c r="A6357" s="16"/>
      <c r="D6357" s="16"/>
      <c r="F6357" s="16"/>
      <c r="G6357" s="16"/>
      <c r="H6357" s="24"/>
      <c r="I6357" s="24"/>
      <c r="L6357"/>
    </row>
    <row r="6358" spans="1:12" x14ac:dyDescent="0.25">
      <c r="A6358" s="16"/>
      <c r="D6358" s="16"/>
      <c r="F6358" s="16"/>
      <c r="G6358" s="16"/>
      <c r="H6358" s="24"/>
      <c r="I6358" s="24"/>
      <c r="L6358"/>
    </row>
    <row r="6359" spans="1:12" x14ac:dyDescent="0.25">
      <c r="A6359" s="16"/>
      <c r="D6359" s="16"/>
      <c r="F6359" s="16"/>
      <c r="G6359" s="16"/>
      <c r="H6359" s="24"/>
      <c r="I6359" s="24"/>
      <c r="L6359"/>
    </row>
    <row r="6360" spans="1:12" x14ac:dyDescent="0.25">
      <c r="A6360" s="16"/>
      <c r="D6360" s="16"/>
      <c r="F6360" s="16"/>
      <c r="G6360" s="16"/>
      <c r="H6360" s="24"/>
      <c r="I6360" s="24"/>
      <c r="L6360"/>
    </row>
    <row r="6361" spans="1:12" x14ac:dyDescent="0.25">
      <c r="A6361" s="16"/>
      <c r="D6361" s="16"/>
      <c r="F6361" s="16"/>
      <c r="G6361" s="16"/>
      <c r="H6361" s="24"/>
      <c r="I6361" s="24"/>
      <c r="L6361"/>
    </row>
    <row r="6362" spans="1:12" x14ac:dyDescent="0.25">
      <c r="A6362" s="16"/>
      <c r="D6362" s="16"/>
      <c r="F6362" s="16"/>
      <c r="G6362" s="16"/>
      <c r="H6362" s="24"/>
      <c r="I6362" s="24"/>
      <c r="L6362"/>
    </row>
    <row r="6363" spans="1:12" x14ac:dyDescent="0.25">
      <c r="A6363" s="16"/>
      <c r="D6363" s="16"/>
      <c r="F6363" s="16"/>
      <c r="G6363" s="16"/>
      <c r="H6363" s="24"/>
      <c r="I6363" s="24"/>
      <c r="L6363"/>
    </row>
    <row r="6364" spans="1:12" x14ac:dyDescent="0.25">
      <c r="A6364" s="16"/>
      <c r="D6364" s="16"/>
      <c r="F6364" s="16"/>
      <c r="G6364" s="16"/>
      <c r="H6364" s="24"/>
      <c r="I6364" s="24"/>
      <c r="L6364"/>
    </row>
    <row r="6365" spans="1:12" x14ac:dyDescent="0.25">
      <c r="A6365" s="16"/>
      <c r="D6365" s="16"/>
      <c r="F6365" s="16"/>
      <c r="G6365" s="16"/>
      <c r="H6365" s="24"/>
      <c r="I6365" s="24"/>
      <c r="L6365"/>
    </row>
    <row r="6366" spans="1:12" x14ac:dyDescent="0.25">
      <c r="A6366" s="16"/>
      <c r="D6366" s="16"/>
      <c r="F6366" s="16"/>
      <c r="G6366" s="16"/>
      <c r="H6366" s="24"/>
      <c r="I6366" s="24"/>
      <c r="L6366"/>
    </row>
    <row r="6367" spans="1:12" x14ac:dyDescent="0.25">
      <c r="A6367" s="16"/>
      <c r="D6367" s="16"/>
      <c r="F6367" s="16"/>
      <c r="G6367" s="16"/>
      <c r="H6367" s="24"/>
      <c r="I6367" s="24"/>
      <c r="L6367"/>
    </row>
    <row r="6368" spans="1:12" x14ac:dyDescent="0.25">
      <c r="A6368" s="16"/>
      <c r="D6368" s="16"/>
      <c r="F6368" s="16"/>
      <c r="G6368" s="16"/>
      <c r="H6368" s="24"/>
      <c r="I6368" s="24"/>
      <c r="L6368"/>
    </row>
    <row r="6369" spans="1:12" x14ac:dyDescent="0.25">
      <c r="A6369" s="16"/>
      <c r="D6369" s="16"/>
      <c r="F6369" s="16"/>
      <c r="G6369" s="16"/>
      <c r="H6369" s="24"/>
      <c r="I6369" s="24"/>
      <c r="L6369"/>
    </row>
    <row r="6370" spans="1:12" x14ac:dyDescent="0.25">
      <c r="A6370" s="16"/>
      <c r="D6370" s="16"/>
      <c r="F6370" s="16"/>
      <c r="G6370" s="16"/>
      <c r="H6370" s="24"/>
      <c r="I6370" s="24"/>
      <c r="L6370"/>
    </row>
    <row r="6371" spans="1:12" x14ac:dyDescent="0.25">
      <c r="A6371" s="16"/>
      <c r="D6371" s="16"/>
      <c r="F6371" s="16"/>
      <c r="G6371" s="16"/>
      <c r="H6371" s="24"/>
      <c r="I6371" s="24"/>
      <c r="L6371"/>
    </row>
    <row r="6372" spans="1:12" x14ac:dyDescent="0.25">
      <c r="A6372" s="16"/>
      <c r="D6372" s="16"/>
      <c r="F6372" s="16"/>
      <c r="G6372" s="16"/>
      <c r="H6372" s="24"/>
      <c r="I6372" s="24"/>
      <c r="L6372"/>
    </row>
    <row r="6373" spans="1:12" x14ac:dyDescent="0.25">
      <c r="A6373" s="16"/>
      <c r="D6373" s="16"/>
      <c r="F6373" s="16"/>
      <c r="G6373" s="16"/>
      <c r="H6373" s="24"/>
      <c r="I6373" s="24"/>
      <c r="L6373"/>
    </row>
    <row r="6374" spans="1:12" x14ac:dyDescent="0.25">
      <c r="A6374" s="16"/>
      <c r="D6374" s="16"/>
      <c r="F6374" s="16"/>
      <c r="G6374" s="16"/>
      <c r="H6374" s="24"/>
      <c r="I6374" s="24"/>
      <c r="L6374"/>
    </row>
    <row r="6375" spans="1:12" x14ac:dyDescent="0.25">
      <c r="A6375" s="16"/>
      <c r="D6375" s="16"/>
      <c r="F6375" s="16"/>
      <c r="G6375" s="16"/>
      <c r="H6375" s="24"/>
      <c r="I6375" s="24"/>
      <c r="L6375"/>
    </row>
    <row r="6376" spans="1:12" x14ac:dyDescent="0.25">
      <c r="A6376" s="16"/>
      <c r="D6376" s="16"/>
      <c r="F6376" s="16"/>
      <c r="G6376" s="16"/>
      <c r="H6376" s="24"/>
      <c r="I6376" s="24"/>
      <c r="L6376"/>
    </row>
    <row r="6377" spans="1:12" x14ac:dyDescent="0.25">
      <c r="A6377" s="16"/>
      <c r="D6377" s="16"/>
      <c r="F6377" s="16"/>
      <c r="G6377" s="16"/>
      <c r="H6377" s="24"/>
      <c r="I6377" s="24"/>
      <c r="L6377"/>
    </row>
    <row r="6378" spans="1:12" x14ac:dyDescent="0.25">
      <c r="A6378" s="16"/>
      <c r="D6378" s="16"/>
      <c r="F6378" s="16"/>
      <c r="G6378" s="16"/>
      <c r="H6378" s="24"/>
      <c r="I6378" s="24"/>
      <c r="L6378"/>
    </row>
    <row r="6379" spans="1:12" x14ac:dyDescent="0.25">
      <c r="A6379" s="16"/>
      <c r="D6379" s="16"/>
      <c r="F6379" s="16"/>
      <c r="G6379" s="16"/>
      <c r="H6379" s="24"/>
      <c r="I6379" s="24"/>
      <c r="L6379"/>
    </row>
    <row r="6380" spans="1:12" x14ac:dyDescent="0.25">
      <c r="A6380" s="16"/>
      <c r="D6380" s="16"/>
      <c r="F6380" s="16"/>
      <c r="G6380" s="16"/>
      <c r="H6380" s="24"/>
      <c r="I6380" s="24"/>
      <c r="L6380"/>
    </row>
    <row r="6381" spans="1:12" x14ac:dyDescent="0.25">
      <c r="A6381" s="16"/>
      <c r="D6381" s="16"/>
      <c r="F6381" s="16"/>
      <c r="G6381" s="16"/>
      <c r="H6381" s="24"/>
      <c r="I6381" s="24"/>
      <c r="L6381"/>
    </row>
    <row r="6382" spans="1:12" x14ac:dyDescent="0.25">
      <c r="A6382" s="16"/>
      <c r="D6382" s="16"/>
      <c r="F6382" s="16"/>
      <c r="G6382" s="16"/>
      <c r="H6382" s="24"/>
      <c r="I6382" s="24"/>
      <c r="L6382"/>
    </row>
    <row r="6383" spans="1:12" x14ac:dyDescent="0.25">
      <c r="A6383" s="16"/>
      <c r="D6383" s="16"/>
      <c r="F6383" s="16"/>
      <c r="G6383" s="16"/>
      <c r="H6383" s="24"/>
      <c r="I6383" s="24"/>
      <c r="L6383"/>
    </row>
    <row r="6384" spans="1:12" x14ac:dyDescent="0.25">
      <c r="A6384" s="16"/>
      <c r="D6384" s="16"/>
      <c r="F6384" s="16"/>
      <c r="G6384" s="16"/>
      <c r="H6384" s="24"/>
      <c r="I6384" s="24"/>
      <c r="L6384"/>
    </row>
    <row r="6385" spans="1:12" x14ac:dyDescent="0.25">
      <c r="A6385" s="16"/>
      <c r="D6385" s="16"/>
      <c r="F6385" s="16"/>
      <c r="G6385" s="16"/>
      <c r="H6385" s="24"/>
      <c r="I6385" s="24"/>
      <c r="L6385"/>
    </row>
    <row r="6386" spans="1:12" x14ac:dyDescent="0.25">
      <c r="A6386" s="16"/>
      <c r="D6386" s="16"/>
      <c r="F6386" s="16"/>
      <c r="G6386" s="16"/>
      <c r="H6386" s="24"/>
      <c r="I6386" s="24"/>
      <c r="L6386"/>
    </row>
    <row r="6387" spans="1:12" x14ac:dyDescent="0.25">
      <c r="A6387" s="16"/>
      <c r="D6387" s="16"/>
      <c r="F6387" s="16"/>
      <c r="G6387" s="16"/>
      <c r="H6387" s="24"/>
      <c r="I6387" s="24"/>
      <c r="L6387"/>
    </row>
    <row r="6388" spans="1:12" x14ac:dyDescent="0.25">
      <c r="A6388" s="16"/>
      <c r="D6388" s="16"/>
      <c r="F6388" s="16"/>
      <c r="G6388" s="16"/>
      <c r="H6388" s="24"/>
      <c r="I6388" s="24"/>
      <c r="L6388"/>
    </row>
    <row r="6389" spans="1:12" x14ac:dyDescent="0.25">
      <c r="A6389" s="16"/>
      <c r="D6389" s="16"/>
      <c r="F6389" s="16"/>
      <c r="G6389" s="16"/>
      <c r="H6389" s="24"/>
      <c r="I6389" s="24"/>
      <c r="L6389"/>
    </row>
    <row r="6390" spans="1:12" x14ac:dyDescent="0.25">
      <c r="A6390" s="16"/>
      <c r="D6390" s="16"/>
      <c r="F6390" s="16"/>
      <c r="G6390" s="16"/>
      <c r="H6390" s="24"/>
      <c r="I6390" s="24"/>
      <c r="L6390"/>
    </row>
    <row r="6391" spans="1:12" x14ac:dyDescent="0.25">
      <c r="A6391" s="16"/>
      <c r="D6391" s="16"/>
      <c r="F6391" s="16"/>
      <c r="G6391" s="16"/>
      <c r="H6391" s="24"/>
      <c r="I6391" s="24"/>
      <c r="L6391"/>
    </row>
    <row r="6392" spans="1:12" x14ac:dyDescent="0.25">
      <c r="A6392" s="16"/>
      <c r="D6392" s="16"/>
      <c r="F6392" s="16"/>
      <c r="G6392" s="16"/>
      <c r="H6392" s="24"/>
      <c r="I6392" s="24"/>
      <c r="L6392"/>
    </row>
    <row r="6393" spans="1:12" x14ac:dyDescent="0.25">
      <c r="A6393" s="16"/>
      <c r="D6393" s="16"/>
      <c r="F6393" s="16"/>
      <c r="G6393" s="16"/>
      <c r="H6393" s="24"/>
      <c r="I6393" s="24"/>
      <c r="L6393"/>
    </row>
    <row r="6394" spans="1:12" x14ac:dyDescent="0.25">
      <c r="A6394" s="16"/>
      <c r="D6394" s="16"/>
      <c r="F6394" s="16"/>
      <c r="G6394" s="16"/>
      <c r="H6394" s="24"/>
      <c r="I6394" s="24"/>
      <c r="L6394"/>
    </row>
    <row r="6395" spans="1:12" x14ac:dyDescent="0.25">
      <c r="A6395" s="16"/>
      <c r="D6395" s="16"/>
      <c r="F6395" s="16"/>
      <c r="G6395" s="16"/>
      <c r="H6395" s="24"/>
      <c r="I6395" s="24"/>
      <c r="L6395"/>
    </row>
    <row r="6396" spans="1:12" x14ac:dyDescent="0.25">
      <c r="A6396" s="16"/>
      <c r="D6396" s="16"/>
      <c r="F6396" s="16"/>
      <c r="G6396" s="16"/>
      <c r="H6396" s="24"/>
      <c r="I6396" s="24"/>
      <c r="L6396"/>
    </row>
    <row r="6397" spans="1:12" x14ac:dyDescent="0.25">
      <c r="A6397" s="16"/>
      <c r="D6397" s="16"/>
      <c r="F6397" s="16"/>
      <c r="G6397" s="16"/>
      <c r="H6397" s="24"/>
      <c r="I6397" s="24"/>
      <c r="L6397"/>
    </row>
    <row r="6398" spans="1:12" x14ac:dyDescent="0.25">
      <c r="A6398" s="16"/>
      <c r="D6398" s="16"/>
      <c r="F6398" s="16"/>
      <c r="G6398" s="16"/>
      <c r="H6398" s="24"/>
      <c r="I6398" s="24"/>
      <c r="L6398"/>
    </row>
    <row r="6399" spans="1:12" x14ac:dyDescent="0.25">
      <c r="A6399" s="16"/>
      <c r="D6399" s="16"/>
      <c r="F6399" s="16"/>
      <c r="G6399" s="16"/>
      <c r="H6399" s="24"/>
      <c r="I6399" s="24"/>
      <c r="L6399"/>
    </row>
    <row r="6400" spans="1:12" x14ac:dyDescent="0.25">
      <c r="A6400" s="16"/>
      <c r="D6400" s="16"/>
      <c r="F6400" s="16"/>
      <c r="G6400" s="16"/>
      <c r="H6400" s="24"/>
      <c r="I6400" s="24"/>
      <c r="L6400"/>
    </row>
    <row r="6401" spans="1:12" x14ac:dyDescent="0.25">
      <c r="A6401" s="16"/>
      <c r="D6401" s="16"/>
      <c r="F6401" s="16"/>
      <c r="G6401" s="16"/>
      <c r="H6401" s="24"/>
      <c r="I6401" s="24"/>
      <c r="L6401"/>
    </row>
    <row r="6402" spans="1:12" x14ac:dyDescent="0.25">
      <c r="A6402" s="16"/>
      <c r="D6402" s="16"/>
      <c r="F6402" s="16"/>
      <c r="G6402" s="16"/>
      <c r="H6402" s="24"/>
      <c r="I6402" s="24"/>
      <c r="L6402"/>
    </row>
    <row r="6403" spans="1:12" x14ac:dyDescent="0.25">
      <c r="A6403" s="16"/>
      <c r="D6403" s="16"/>
      <c r="F6403" s="16"/>
      <c r="G6403" s="16"/>
      <c r="H6403" s="24"/>
      <c r="I6403" s="24"/>
      <c r="L6403"/>
    </row>
    <row r="6404" spans="1:12" x14ac:dyDescent="0.25">
      <c r="A6404" s="16"/>
      <c r="D6404" s="16"/>
      <c r="F6404" s="16"/>
      <c r="G6404" s="16"/>
      <c r="H6404" s="24"/>
      <c r="I6404" s="24"/>
      <c r="L6404"/>
    </row>
    <row r="6405" spans="1:12" x14ac:dyDescent="0.25">
      <c r="A6405" s="16"/>
      <c r="D6405" s="16"/>
      <c r="F6405" s="16"/>
      <c r="G6405" s="16"/>
      <c r="H6405" s="24"/>
      <c r="I6405" s="24"/>
      <c r="L6405"/>
    </row>
    <row r="6406" spans="1:12" x14ac:dyDescent="0.25">
      <c r="A6406" s="16"/>
      <c r="D6406" s="16"/>
      <c r="F6406" s="16"/>
      <c r="G6406" s="16"/>
      <c r="H6406" s="24"/>
      <c r="I6406" s="24"/>
      <c r="L6406"/>
    </row>
    <row r="6407" spans="1:12" x14ac:dyDescent="0.25">
      <c r="A6407" s="16"/>
      <c r="D6407" s="16"/>
      <c r="F6407" s="16"/>
      <c r="G6407" s="16"/>
      <c r="H6407" s="24"/>
      <c r="I6407" s="24"/>
      <c r="L6407"/>
    </row>
    <row r="6408" spans="1:12" x14ac:dyDescent="0.25">
      <c r="A6408" s="16"/>
      <c r="D6408" s="16"/>
      <c r="F6408" s="16"/>
      <c r="G6408" s="16"/>
      <c r="H6408" s="24"/>
      <c r="I6408" s="24"/>
      <c r="L6408"/>
    </row>
    <row r="6409" spans="1:12" x14ac:dyDescent="0.25">
      <c r="A6409" s="16"/>
      <c r="D6409" s="16"/>
      <c r="F6409" s="16"/>
      <c r="G6409" s="16"/>
      <c r="H6409" s="24"/>
      <c r="I6409" s="24"/>
      <c r="L6409"/>
    </row>
    <row r="6410" spans="1:12" x14ac:dyDescent="0.25">
      <c r="A6410" s="16"/>
      <c r="D6410" s="16"/>
      <c r="F6410" s="16"/>
      <c r="G6410" s="16"/>
      <c r="H6410" s="24"/>
      <c r="I6410" s="24"/>
      <c r="L6410"/>
    </row>
    <row r="6411" spans="1:12" x14ac:dyDescent="0.25">
      <c r="A6411" s="16"/>
      <c r="D6411" s="16"/>
      <c r="F6411" s="16"/>
      <c r="G6411" s="16"/>
      <c r="H6411" s="24"/>
      <c r="I6411" s="24"/>
      <c r="L6411"/>
    </row>
    <row r="6412" spans="1:12" x14ac:dyDescent="0.25">
      <c r="A6412" s="16"/>
      <c r="D6412" s="16"/>
      <c r="F6412" s="16"/>
      <c r="G6412" s="16"/>
      <c r="H6412" s="24"/>
      <c r="I6412" s="24"/>
      <c r="L6412"/>
    </row>
    <row r="6413" spans="1:12" x14ac:dyDescent="0.25">
      <c r="A6413" s="16"/>
      <c r="D6413" s="16"/>
      <c r="F6413" s="16"/>
      <c r="G6413" s="16"/>
      <c r="H6413" s="24"/>
      <c r="I6413" s="24"/>
      <c r="L6413"/>
    </row>
    <row r="6414" spans="1:12" x14ac:dyDescent="0.25">
      <c r="A6414" s="16"/>
      <c r="D6414" s="16"/>
      <c r="F6414" s="16"/>
      <c r="G6414" s="16"/>
      <c r="H6414" s="24"/>
      <c r="I6414" s="24"/>
      <c r="L6414"/>
    </row>
    <row r="6415" spans="1:12" x14ac:dyDescent="0.25">
      <c r="A6415" s="16"/>
      <c r="D6415" s="16"/>
      <c r="F6415" s="16"/>
      <c r="G6415" s="16"/>
      <c r="H6415" s="24"/>
      <c r="I6415" s="24"/>
      <c r="L6415"/>
    </row>
    <row r="6416" spans="1:12" x14ac:dyDescent="0.25">
      <c r="A6416" s="16"/>
      <c r="D6416" s="16"/>
      <c r="F6416" s="16"/>
      <c r="G6416" s="16"/>
      <c r="H6416" s="24"/>
      <c r="I6416" s="24"/>
      <c r="L6416"/>
    </row>
    <row r="6417" spans="1:12" x14ac:dyDescent="0.25">
      <c r="A6417" s="16"/>
      <c r="D6417" s="16"/>
      <c r="F6417" s="16"/>
      <c r="G6417" s="16"/>
      <c r="H6417" s="24"/>
      <c r="I6417" s="24"/>
      <c r="L6417"/>
    </row>
    <row r="6418" spans="1:12" x14ac:dyDescent="0.25">
      <c r="A6418" s="16"/>
      <c r="D6418" s="16"/>
      <c r="F6418" s="16"/>
      <c r="G6418" s="16"/>
      <c r="H6418" s="24"/>
      <c r="I6418" s="24"/>
      <c r="L6418"/>
    </row>
    <row r="6419" spans="1:12" x14ac:dyDescent="0.25">
      <c r="A6419" s="16"/>
      <c r="D6419" s="16"/>
      <c r="F6419" s="16"/>
      <c r="G6419" s="16"/>
      <c r="H6419" s="24"/>
      <c r="I6419" s="24"/>
      <c r="L6419"/>
    </row>
    <row r="6420" spans="1:12" x14ac:dyDescent="0.25">
      <c r="A6420" s="16"/>
      <c r="D6420" s="16"/>
      <c r="F6420" s="16"/>
      <c r="G6420" s="16"/>
      <c r="H6420" s="24"/>
      <c r="I6420" s="24"/>
      <c r="L6420"/>
    </row>
    <row r="6421" spans="1:12" x14ac:dyDescent="0.25">
      <c r="A6421" s="16"/>
      <c r="D6421" s="16"/>
      <c r="F6421" s="16"/>
      <c r="G6421" s="16"/>
      <c r="H6421" s="24"/>
      <c r="I6421" s="24"/>
      <c r="L6421"/>
    </row>
    <row r="6422" spans="1:12" x14ac:dyDescent="0.25">
      <c r="A6422" s="16"/>
      <c r="D6422" s="16"/>
      <c r="F6422" s="16"/>
      <c r="G6422" s="16"/>
      <c r="H6422" s="24"/>
      <c r="I6422" s="24"/>
      <c r="L6422"/>
    </row>
    <row r="6423" spans="1:12" x14ac:dyDescent="0.25">
      <c r="A6423" s="16"/>
      <c r="D6423" s="16"/>
      <c r="F6423" s="16"/>
      <c r="G6423" s="16"/>
      <c r="H6423" s="24"/>
      <c r="I6423" s="24"/>
      <c r="L6423"/>
    </row>
    <row r="6424" spans="1:12" x14ac:dyDescent="0.25">
      <c r="A6424" s="16"/>
      <c r="D6424" s="16"/>
      <c r="F6424" s="16"/>
      <c r="G6424" s="16"/>
      <c r="H6424" s="24"/>
      <c r="I6424" s="24"/>
      <c r="L6424"/>
    </row>
    <row r="6425" spans="1:12" x14ac:dyDescent="0.25">
      <c r="A6425" s="16"/>
      <c r="D6425" s="16"/>
      <c r="F6425" s="16"/>
      <c r="G6425" s="16"/>
      <c r="H6425" s="24"/>
      <c r="I6425" s="24"/>
      <c r="L6425"/>
    </row>
    <row r="6426" spans="1:12" x14ac:dyDescent="0.25">
      <c r="A6426" s="16"/>
      <c r="D6426" s="16"/>
      <c r="F6426" s="16"/>
      <c r="G6426" s="16"/>
      <c r="H6426" s="24"/>
      <c r="I6426" s="24"/>
      <c r="L6426"/>
    </row>
    <row r="6427" spans="1:12" x14ac:dyDescent="0.25">
      <c r="A6427" s="16"/>
      <c r="D6427" s="16"/>
      <c r="F6427" s="16"/>
      <c r="G6427" s="16"/>
      <c r="H6427" s="24"/>
      <c r="I6427" s="24"/>
      <c r="L6427"/>
    </row>
    <row r="6428" spans="1:12" x14ac:dyDescent="0.25">
      <c r="A6428" s="16"/>
      <c r="D6428" s="16"/>
      <c r="F6428" s="16"/>
      <c r="G6428" s="16"/>
      <c r="H6428" s="24"/>
      <c r="I6428" s="24"/>
      <c r="L6428"/>
    </row>
    <row r="6429" spans="1:12" x14ac:dyDescent="0.25">
      <c r="A6429" s="16"/>
      <c r="D6429" s="16"/>
      <c r="F6429" s="16"/>
      <c r="G6429" s="16"/>
      <c r="H6429" s="24"/>
      <c r="I6429" s="24"/>
      <c r="L6429"/>
    </row>
    <row r="6430" spans="1:12" x14ac:dyDescent="0.25">
      <c r="A6430" s="16"/>
      <c r="D6430" s="16"/>
      <c r="F6430" s="16"/>
      <c r="G6430" s="16"/>
      <c r="H6430" s="24"/>
      <c r="I6430" s="24"/>
      <c r="L6430"/>
    </row>
    <row r="6431" spans="1:12" x14ac:dyDescent="0.25">
      <c r="A6431" s="16"/>
      <c r="D6431" s="16"/>
      <c r="F6431" s="16"/>
      <c r="G6431" s="16"/>
      <c r="H6431" s="24"/>
      <c r="I6431" s="24"/>
      <c r="L6431"/>
    </row>
    <row r="6432" spans="1:12" x14ac:dyDescent="0.25">
      <c r="A6432" s="16"/>
      <c r="D6432" s="16"/>
      <c r="F6432" s="16"/>
      <c r="G6432" s="16"/>
      <c r="H6432" s="24"/>
      <c r="I6432" s="24"/>
      <c r="L6432"/>
    </row>
    <row r="6433" spans="1:12" x14ac:dyDescent="0.25">
      <c r="A6433" s="16"/>
      <c r="D6433" s="16"/>
      <c r="F6433" s="16"/>
      <c r="G6433" s="16"/>
      <c r="H6433" s="24"/>
      <c r="I6433" s="24"/>
      <c r="L6433"/>
    </row>
    <row r="6434" spans="1:12" x14ac:dyDescent="0.25">
      <c r="A6434" s="16"/>
      <c r="D6434" s="16"/>
      <c r="F6434" s="16"/>
      <c r="G6434" s="16"/>
      <c r="H6434" s="24"/>
      <c r="I6434" s="24"/>
      <c r="L6434"/>
    </row>
    <row r="6435" spans="1:12" x14ac:dyDescent="0.25">
      <c r="A6435" s="16"/>
      <c r="D6435" s="16"/>
      <c r="F6435" s="16"/>
      <c r="G6435" s="16"/>
      <c r="H6435" s="24"/>
      <c r="I6435" s="24"/>
      <c r="L6435"/>
    </row>
    <row r="6436" spans="1:12" x14ac:dyDescent="0.25">
      <c r="A6436" s="16"/>
      <c r="D6436" s="16"/>
      <c r="F6436" s="16"/>
      <c r="G6436" s="16"/>
      <c r="H6436" s="24"/>
      <c r="I6436" s="24"/>
      <c r="L6436"/>
    </row>
    <row r="6437" spans="1:12" x14ac:dyDescent="0.25">
      <c r="A6437" s="16"/>
      <c r="D6437" s="16"/>
      <c r="F6437" s="16"/>
      <c r="G6437" s="16"/>
      <c r="H6437" s="24"/>
      <c r="I6437" s="24"/>
      <c r="L6437"/>
    </row>
    <row r="6438" spans="1:12" x14ac:dyDescent="0.25">
      <c r="A6438" s="16"/>
      <c r="D6438" s="16"/>
      <c r="F6438" s="16"/>
      <c r="G6438" s="16"/>
      <c r="H6438" s="24"/>
      <c r="I6438" s="24"/>
      <c r="L6438"/>
    </row>
    <row r="6439" spans="1:12" x14ac:dyDescent="0.25">
      <c r="A6439" s="16"/>
      <c r="D6439" s="16"/>
      <c r="F6439" s="16"/>
      <c r="G6439" s="16"/>
      <c r="H6439" s="24"/>
      <c r="I6439" s="24"/>
      <c r="L6439"/>
    </row>
    <row r="6440" spans="1:12" x14ac:dyDescent="0.25">
      <c r="A6440" s="16"/>
      <c r="D6440" s="16"/>
      <c r="F6440" s="16"/>
      <c r="G6440" s="16"/>
      <c r="H6440" s="24"/>
      <c r="I6440" s="24"/>
      <c r="L6440"/>
    </row>
    <row r="6441" spans="1:12" x14ac:dyDescent="0.25">
      <c r="A6441" s="16"/>
      <c r="D6441" s="16"/>
      <c r="F6441" s="16"/>
      <c r="G6441" s="16"/>
      <c r="H6441" s="24"/>
      <c r="I6441" s="24"/>
      <c r="L6441"/>
    </row>
    <row r="6442" spans="1:12" x14ac:dyDescent="0.25">
      <c r="A6442" s="16"/>
      <c r="D6442" s="16"/>
      <c r="F6442" s="16"/>
      <c r="G6442" s="16"/>
      <c r="H6442" s="24"/>
      <c r="I6442" s="24"/>
      <c r="L6442"/>
    </row>
    <row r="6443" spans="1:12" x14ac:dyDescent="0.25">
      <c r="A6443" s="16"/>
      <c r="D6443" s="16"/>
      <c r="F6443" s="16"/>
      <c r="G6443" s="16"/>
      <c r="H6443" s="24"/>
      <c r="I6443" s="24"/>
      <c r="L6443"/>
    </row>
    <row r="6444" spans="1:12" x14ac:dyDescent="0.25">
      <c r="A6444" s="16"/>
      <c r="D6444" s="16"/>
      <c r="F6444" s="16"/>
      <c r="G6444" s="16"/>
      <c r="H6444" s="24"/>
      <c r="I6444" s="24"/>
      <c r="L6444"/>
    </row>
    <row r="6445" spans="1:12" x14ac:dyDescent="0.25">
      <c r="A6445" s="16"/>
      <c r="D6445" s="16"/>
      <c r="F6445" s="16"/>
      <c r="G6445" s="16"/>
      <c r="H6445" s="24"/>
      <c r="I6445" s="24"/>
      <c r="L6445"/>
    </row>
    <row r="6446" spans="1:12" x14ac:dyDescent="0.25">
      <c r="A6446" s="16"/>
      <c r="D6446" s="16"/>
      <c r="F6446" s="16"/>
      <c r="G6446" s="16"/>
      <c r="H6446" s="24"/>
      <c r="I6446" s="24"/>
      <c r="L6446"/>
    </row>
    <row r="6447" spans="1:12" x14ac:dyDescent="0.25">
      <c r="A6447" s="16"/>
      <c r="D6447" s="16"/>
      <c r="F6447" s="16"/>
      <c r="G6447" s="16"/>
      <c r="H6447" s="24"/>
      <c r="I6447" s="24"/>
      <c r="L6447"/>
    </row>
    <row r="6448" spans="1:12" x14ac:dyDescent="0.25">
      <c r="A6448" s="16"/>
      <c r="D6448" s="16"/>
      <c r="F6448" s="16"/>
      <c r="G6448" s="16"/>
      <c r="H6448" s="24"/>
      <c r="I6448" s="24"/>
      <c r="L6448"/>
    </row>
    <row r="6449" spans="1:12" x14ac:dyDescent="0.25">
      <c r="A6449" s="16"/>
      <c r="D6449" s="16"/>
      <c r="F6449" s="16"/>
      <c r="G6449" s="16"/>
      <c r="H6449" s="24"/>
      <c r="I6449" s="24"/>
      <c r="L6449"/>
    </row>
    <row r="6450" spans="1:12" x14ac:dyDescent="0.25">
      <c r="A6450" s="16"/>
      <c r="D6450" s="16"/>
      <c r="F6450" s="16"/>
      <c r="G6450" s="16"/>
      <c r="H6450" s="24"/>
      <c r="I6450" s="24"/>
      <c r="L6450"/>
    </row>
    <row r="6451" spans="1:12" x14ac:dyDescent="0.25">
      <c r="A6451" s="16"/>
      <c r="D6451" s="16"/>
      <c r="F6451" s="16"/>
      <c r="G6451" s="16"/>
      <c r="H6451" s="24"/>
      <c r="I6451" s="24"/>
      <c r="L6451"/>
    </row>
    <row r="6452" spans="1:12" x14ac:dyDescent="0.25">
      <c r="A6452" s="16"/>
      <c r="D6452" s="16"/>
      <c r="F6452" s="16"/>
      <c r="G6452" s="16"/>
      <c r="H6452" s="24"/>
      <c r="I6452" s="24"/>
      <c r="L6452"/>
    </row>
    <row r="6453" spans="1:12" x14ac:dyDescent="0.25">
      <c r="A6453" s="16"/>
      <c r="D6453" s="16"/>
      <c r="F6453" s="16"/>
      <c r="G6453" s="16"/>
      <c r="H6453" s="24"/>
      <c r="I6453" s="24"/>
      <c r="L6453"/>
    </row>
    <row r="6454" spans="1:12" x14ac:dyDescent="0.25">
      <c r="A6454" s="16"/>
      <c r="D6454" s="16"/>
      <c r="F6454" s="16"/>
      <c r="G6454" s="16"/>
      <c r="H6454" s="24"/>
      <c r="I6454" s="24"/>
      <c r="L6454"/>
    </row>
    <row r="6455" spans="1:12" x14ac:dyDescent="0.25">
      <c r="A6455" s="16"/>
      <c r="D6455" s="16"/>
      <c r="F6455" s="16"/>
      <c r="G6455" s="16"/>
      <c r="H6455" s="24"/>
      <c r="I6455" s="24"/>
      <c r="L6455"/>
    </row>
    <row r="6456" spans="1:12" x14ac:dyDescent="0.25">
      <c r="A6456" s="16"/>
      <c r="D6456" s="16"/>
      <c r="F6456" s="16"/>
      <c r="G6456" s="16"/>
      <c r="H6456" s="24"/>
      <c r="I6456" s="24"/>
      <c r="L6456"/>
    </row>
    <row r="6457" spans="1:12" x14ac:dyDescent="0.25">
      <c r="A6457" s="16"/>
      <c r="D6457" s="16"/>
      <c r="F6457" s="16"/>
      <c r="G6457" s="16"/>
      <c r="H6457" s="24"/>
      <c r="I6457" s="24"/>
      <c r="L6457"/>
    </row>
    <row r="6458" spans="1:12" x14ac:dyDescent="0.25">
      <c r="A6458" s="16"/>
      <c r="D6458" s="16"/>
      <c r="F6458" s="16"/>
      <c r="G6458" s="16"/>
      <c r="H6458" s="24"/>
      <c r="I6458" s="24"/>
      <c r="L6458"/>
    </row>
    <row r="6459" spans="1:12" x14ac:dyDescent="0.25">
      <c r="A6459" s="16"/>
      <c r="D6459" s="16"/>
      <c r="F6459" s="16"/>
      <c r="G6459" s="16"/>
      <c r="H6459" s="24"/>
      <c r="I6459" s="24"/>
      <c r="L6459"/>
    </row>
    <row r="6460" spans="1:12" x14ac:dyDescent="0.25">
      <c r="A6460" s="16"/>
      <c r="D6460" s="16"/>
      <c r="F6460" s="16"/>
      <c r="G6460" s="16"/>
      <c r="H6460" s="24"/>
      <c r="I6460" s="24"/>
      <c r="L6460"/>
    </row>
    <row r="6461" spans="1:12" x14ac:dyDescent="0.25">
      <c r="A6461" s="16"/>
      <c r="D6461" s="16"/>
      <c r="F6461" s="16"/>
      <c r="G6461" s="16"/>
      <c r="H6461" s="24"/>
      <c r="I6461" s="24"/>
      <c r="L6461"/>
    </row>
    <row r="6462" spans="1:12" x14ac:dyDescent="0.25">
      <c r="A6462" s="16"/>
      <c r="D6462" s="16"/>
      <c r="F6462" s="16"/>
      <c r="G6462" s="16"/>
      <c r="H6462" s="24"/>
      <c r="I6462" s="24"/>
      <c r="L6462"/>
    </row>
    <row r="6463" spans="1:12" x14ac:dyDescent="0.25">
      <c r="A6463" s="16"/>
      <c r="D6463" s="16"/>
      <c r="F6463" s="16"/>
      <c r="G6463" s="16"/>
      <c r="H6463" s="24"/>
      <c r="I6463" s="24"/>
      <c r="L6463"/>
    </row>
    <row r="6464" spans="1:12" x14ac:dyDescent="0.25">
      <c r="A6464" s="16"/>
      <c r="D6464" s="16"/>
      <c r="F6464" s="16"/>
      <c r="G6464" s="16"/>
      <c r="H6464" s="24"/>
      <c r="I6464" s="24"/>
      <c r="L6464"/>
    </row>
    <row r="6465" spans="1:12" x14ac:dyDescent="0.25">
      <c r="A6465" s="16"/>
      <c r="D6465" s="16"/>
      <c r="F6465" s="16"/>
      <c r="G6465" s="16"/>
      <c r="H6465" s="24"/>
      <c r="I6465" s="24"/>
      <c r="L6465"/>
    </row>
    <row r="6466" spans="1:12" x14ac:dyDescent="0.25">
      <c r="A6466" s="16"/>
      <c r="D6466" s="16"/>
      <c r="F6466" s="16"/>
      <c r="G6466" s="16"/>
      <c r="H6466" s="24"/>
      <c r="I6466" s="24"/>
      <c r="L6466"/>
    </row>
    <row r="6467" spans="1:12" x14ac:dyDescent="0.25">
      <c r="A6467" s="16"/>
      <c r="D6467" s="16"/>
      <c r="F6467" s="16"/>
      <c r="G6467" s="16"/>
      <c r="H6467" s="24"/>
      <c r="I6467" s="24"/>
      <c r="L6467"/>
    </row>
    <row r="6468" spans="1:12" x14ac:dyDescent="0.25">
      <c r="A6468" s="16"/>
      <c r="D6468" s="16"/>
      <c r="F6468" s="16"/>
      <c r="G6468" s="16"/>
      <c r="H6468" s="24"/>
      <c r="I6468" s="24"/>
      <c r="L6468"/>
    </row>
    <row r="6469" spans="1:12" x14ac:dyDescent="0.25">
      <c r="A6469" s="16"/>
      <c r="D6469" s="16"/>
      <c r="F6469" s="16"/>
      <c r="G6469" s="16"/>
      <c r="H6469" s="24"/>
      <c r="I6469" s="24"/>
      <c r="L6469"/>
    </row>
    <row r="6470" spans="1:12" x14ac:dyDescent="0.25">
      <c r="A6470" s="16"/>
      <c r="D6470" s="16"/>
      <c r="F6470" s="16"/>
      <c r="G6470" s="16"/>
      <c r="H6470" s="24"/>
      <c r="I6470" s="24"/>
      <c r="L6470"/>
    </row>
    <row r="6471" spans="1:12" x14ac:dyDescent="0.25">
      <c r="A6471" s="16"/>
      <c r="D6471" s="16"/>
      <c r="F6471" s="16"/>
      <c r="G6471" s="16"/>
      <c r="H6471" s="24"/>
      <c r="I6471" s="24"/>
      <c r="L6471"/>
    </row>
    <row r="6472" spans="1:12" x14ac:dyDescent="0.25">
      <c r="A6472" s="16"/>
      <c r="D6472" s="16"/>
      <c r="F6472" s="16"/>
      <c r="G6472" s="16"/>
      <c r="H6472" s="24"/>
      <c r="I6472" s="24"/>
      <c r="L6472"/>
    </row>
    <row r="6473" spans="1:12" x14ac:dyDescent="0.25">
      <c r="A6473" s="16"/>
      <c r="D6473" s="16"/>
      <c r="F6473" s="16"/>
      <c r="G6473" s="16"/>
      <c r="H6473" s="24"/>
      <c r="I6473" s="24"/>
      <c r="L6473"/>
    </row>
    <row r="6474" spans="1:12" x14ac:dyDescent="0.25">
      <c r="A6474" s="16"/>
      <c r="D6474" s="16"/>
      <c r="F6474" s="16"/>
      <c r="G6474" s="16"/>
      <c r="H6474" s="24"/>
      <c r="I6474" s="24"/>
      <c r="L6474"/>
    </row>
    <row r="6475" spans="1:12" x14ac:dyDescent="0.25">
      <c r="A6475" s="16"/>
      <c r="D6475" s="16"/>
      <c r="F6475" s="16"/>
      <c r="G6475" s="16"/>
      <c r="H6475" s="24"/>
      <c r="I6475" s="24"/>
      <c r="L6475"/>
    </row>
    <row r="6476" spans="1:12" x14ac:dyDescent="0.25">
      <c r="A6476" s="16"/>
      <c r="D6476" s="16"/>
      <c r="F6476" s="16"/>
      <c r="G6476" s="16"/>
      <c r="H6476" s="24"/>
      <c r="I6476" s="24"/>
      <c r="L6476"/>
    </row>
    <row r="6477" spans="1:12" x14ac:dyDescent="0.25">
      <c r="A6477" s="16"/>
      <c r="D6477" s="16"/>
      <c r="F6477" s="16"/>
      <c r="G6477" s="16"/>
      <c r="H6477" s="24"/>
      <c r="I6477" s="24"/>
      <c r="L6477"/>
    </row>
    <row r="6478" spans="1:12" x14ac:dyDescent="0.25">
      <c r="A6478" s="16"/>
      <c r="D6478" s="16"/>
      <c r="F6478" s="16"/>
      <c r="G6478" s="16"/>
      <c r="H6478" s="24"/>
      <c r="I6478" s="24"/>
      <c r="L6478"/>
    </row>
    <row r="6479" spans="1:12" x14ac:dyDescent="0.25">
      <c r="A6479" s="16"/>
      <c r="D6479" s="16"/>
      <c r="F6479" s="16"/>
      <c r="G6479" s="16"/>
      <c r="H6479" s="24"/>
      <c r="I6479" s="24"/>
      <c r="L6479"/>
    </row>
    <row r="6480" spans="1:12" x14ac:dyDescent="0.25">
      <c r="A6480" s="16"/>
      <c r="D6480" s="16"/>
      <c r="F6480" s="16"/>
      <c r="G6480" s="16"/>
      <c r="H6480" s="24"/>
      <c r="I6480" s="24"/>
      <c r="L6480"/>
    </row>
    <row r="6481" spans="1:12" x14ac:dyDescent="0.25">
      <c r="A6481" s="16"/>
      <c r="D6481" s="16"/>
      <c r="F6481" s="16"/>
      <c r="G6481" s="16"/>
      <c r="H6481" s="24"/>
      <c r="I6481" s="24"/>
      <c r="L6481"/>
    </row>
    <row r="6482" spans="1:12" x14ac:dyDescent="0.25">
      <c r="A6482" s="16"/>
      <c r="D6482" s="16"/>
      <c r="F6482" s="16"/>
      <c r="G6482" s="16"/>
      <c r="H6482" s="24"/>
      <c r="I6482" s="24"/>
      <c r="L6482"/>
    </row>
    <row r="6483" spans="1:12" x14ac:dyDescent="0.25">
      <c r="A6483" s="16"/>
      <c r="D6483" s="16"/>
      <c r="F6483" s="16"/>
      <c r="G6483" s="16"/>
      <c r="H6483" s="24"/>
      <c r="I6483" s="24"/>
      <c r="L6483"/>
    </row>
    <row r="6484" spans="1:12" x14ac:dyDescent="0.25">
      <c r="A6484" s="16"/>
      <c r="D6484" s="16"/>
      <c r="F6484" s="16"/>
      <c r="G6484" s="16"/>
      <c r="H6484" s="24"/>
      <c r="I6484" s="24"/>
      <c r="L6484"/>
    </row>
    <row r="6485" spans="1:12" x14ac:dyDescent="0.25">
      <c r="A6485" s="16"/>
      <c r="D6485" s="16"/>
      <c r="F6485" s="16"/>
      <c r="G6485" s="16"/>
      <c r="H6485" s="24"/>
      <c r="I6485" s="24"/>
      <c r="L6485"/>
    </row>
    <row r="6486" spans="1:12" x14ac:dyDescent="0.25">
      <c r="A6486" s="16"/>
      <c r="D6486" s="16"/>
      <c r="F6486" s="16"/>
      <c r="G6486" s="16"/>
      <c r="H6486" s="24"/>
      <c r="I6486" s="24"/>
      <c r="L6486"/>
    </row>
    <row r="6487" spans="1:12" x14ac:dyDescent="0.25">
      <c r="A6487" s="16"/>
      <c r="D6487" s="16"/>
      <c r="F6487" s="16"/>
      <c r="G6487" s="16"/>
      <c r="H6487" s="24"/>
      <c r="I6487" s="24"/>
      <c r="L6487"/>
    </row>
    <row r="6488" spans="1:12" x14ac:dyDescent="0.25">
      <c r="A6488" s="16"/>
      <c r="D6488" s="16"/>
      <c r="F6488" s="16"/>
      <c r="G6488" s="16"/>
      <c r="H6488" s="24"/>
      <c r="I6488" s="24"/>
      <c r="L6488"/>
    </row>
    <row r="6489" spans="1:12" x14ac:dyDescent="0.25">
      <c r="A6489" s="16"/>
      <c r="D6489" s="16"/>
      <c r="F6489" s="16"/>
      <c r="G6489" s="16"/>
      <c r="H6489" s="24"/>
      <c r="I6489" s="24"/>
      <c r="L6489"/>
    </row>
    <row r="6490" spans="1:12" x14ac:dyDescent="0.25">
      <c r="A6490" s="16"/>
      <c r="D6490" s="16"/>
      <c r="F6490" s="16"/>
      <c r="G6490" s="16"/>
      <c r="H6490" s="24"/>
      <c r="I6490" s="24"/>
      <c r="L6490"/>
    </row>
    <row r="6491" spans="1:12" x14ac:dyDescent="0.25">
      <c r="A6491" s="16"/>
      <c r="D6491" s="16"/>
      <c r="F6491" s="16"/>
      <c r="G6491" s="16"/>
      <c r="H6491" s="24"/>
      <c r="I6491" s="24"/>
      <c r="L6491"/>
    </row>
    <row r="6492" spans="1:12" x14ac:dyDescent="0.25">
      <c r="A6492" s="16"/>
      <c r="D6492" s="16"/>
      <c r="F6492" s="16"/>
      <c r="G6492" s="16"/>
      <c r="H6492" s="24"/>
      <c r="I6492" s="24"/>
      <c r="L6492"/>
    </row>
    <row r="6493" spans="1:12" x14ac:dyDescent="0.25">
      <c r="A6493" s="16"/>
      <c r="D6493" s="16"/>
      <c r="F6493" s="16"/>
      <c r="G6493" s="16"/>
      <c r="H6493" s="24"/>
      <c r="I6493" s="24"/>
      <c r="L6493"/>
    </row>
    <row r="6494" spans="1:12" x14ac:dyDescent="0.25">
      <c r="A6494" s="16"/>
      <c r="D6494" s="16"/>
      <c r="F6494" s="16"/>
      <c r="G6494" s="16"/>
      <c r="H6494" s="24"/>
      <c r="I6494" s="24"/>
      <c r="L6494"/>
    </row>
    <row r="6495" spans="1:12" x14ac:dyDescent="0.25">
      <c r="A6495" s="16"/>
      <c r="D6495" s="16"/>
      <c r="F6495" s="16"/>
      <c r="G6495" s="16"/>
      <c r="H6495" s="24"/>
      <c r="I6495" s="24"/>
      <c r="L6495"/>
    </row>
    <row r="6496" spans="1:12" x14ac:dyDescent="0.25">
      <c r="A6496" s="16"/>
      <c r="D6496" s="16"/>
      <c r="F6496" s="16"/>
      <c r="G6496" s="16"/>
      <c r="H6496" s="24"/>
      <c r="I6496" s="24"/>
      <c r="L6496"/>
    </row>
    <row r="6497" spans="1:12" x14ac:dyDescent="0.25">
      <c r="A6497" s="16"/>
      <c r="D6497" s="16"/>
      <c r="F6497" s="16"/>
      <c r="G6497" s="16"/>
      <c r="H6497" s="24"/>
      <c r="I6497" s="24"/>
      <c r="L6497"/>
    </row>
    <row r="6498" spans="1:12" x14ac:dyDescent="0.25">
      <c r="A6498" s="16"/>
      <c r="D6498" s="16"/>
      <c r="F6498" s="16"/>
      <c r="G6498" s="16"/>
      <c r="H6498" s="24"/>
      <c r="I6498" s="24"/>
      <c r="L6498"/>
    </row>
    <row r="6499" spans="1:12" x14ac:dyDescent="0.25">
      <c r="A6499" s="16"/>
      <c r="D6499" s="16"/>
      <c r="F6499" s="16"/>
      <c r="G6499" s="16"/>
      <c r="H6499" s="24"/>
      <c r="I6499" s="24"/>
      <c r="L6499"/>
    </row>
    <row r="6500" spans="1:12" x14ac:dyDescent="0.25">
      <c r="A6500" s="16"/>
      <c r="D6500" s="16"/>
      <c r="F6500" s="16"/>
      <c r="G6500" s="16"/>
      <c r="H6500" s="24"/>
      <c r="I6500" s="24"/>
      <c r="L6500"/>
    </row>
    <row r="6501" spans="1:12" x14ac:dyDescent="0.25">
      <c r="A6501" s="16"/>
      <c r="D6501" s="16"/>
      <c r="F6501" s="16"/>
      <c r="G6501" s="16"/>
      <c r="H6501" s="24"/>
      <c r="I6501" s="24"/>
      <c r="L6501"/>
    </row>
    <row r="6502" spans="1:12" x14ac:dyDescent="0.25">
      <c r="A6502" s="16"/>
      <c r="D6502" s="16"/>
      <c r="F6502" s="16"/>
      <c r="G6502" s="16"/>
      <c r="H6502" s="24"/>
      <c r="I6502" s="24"/>
      <c r="L6502"/>
    </row>
    <row r="6503" spans="1:12" x14ac:dyDescent="0.25">
      <c r="A6503" s="16"/>
      <c r="D6503" s="16"/>
      <c r="F6503" s="16"/>
      <c r="G6503" s="16"/>
      <c r="H6503" s="24"/>
      <c r="I6503" s="24"/>
      <c r="L6503"/>
    </row>
    <row r="6504" spans="1:12" x14ac:dyDescent="0.25">
      <c r="A6504" s="16"/>
      <c r="D6504" s="16"/>
      <c r="F6504" s="16"/>
      <c r="G6504" s="16"/>
      <c r="H6504" s="24"/>
      <c r="I6504" s="24"/>
      <c r="L6504"/>
    </row>
    <row r="6505" spans="1:12" x14ac:dyDescent="0.25">
      <c r="A6505" s="16"/>
      <c r="D6505" s="16"/>
      <c r="F6505" s="16"/>
      <c r="G6505" s="16"/>
      <c r="H6505" s="24"/>
      <c r="I6505" s="24"/>
      <c r="L6505"/>
    </row>
    <row r="6506" spans="1:12" x14ac:dyDescent="0.25">
      <c r="A6506" s="16"/>
      <c r="D6506" s="16"/>
      <c r="F6506" s="16"/>
      <c r="G6506" s="16"/>
      <c r="H6506" s="24"/>
      <c r="I6506" s="24"/>
      <c r="L6506"/>
    </row>
    <row r="6507" spans="1:12" x14ac:dyDescent="0.25">
      <c r="A6507" s="16"/>
      <c r="D6507" s="16"/>
      <c r="F6507" s="16"/>
      <c r="G6507" s="16"/>
      <c r="H6507" s="24"/>
      <c r="I6507" s="24"/>
      <c r="L6507"/>
    </row>
    <row r="6508" spans="1:12" x14ac:dyDescent="0.25">
      <c r="A6508" s="16"/>
      <c r="D6508" s="16"/>
      <c r="F6508" s="16"/>
      <c r="G6508" s="16"/>
      <c r="H6508" s="24"/>
      <c r="I6508" s="24"/>
      <c r="L6508"/>
    </row>
    <row r="6509" spans="1:12" x14ac:dyDescent="0.25">
      <c r="A6509" s="16"/>
      <c r="D6509" s="16"/>
      <c r="F6509" s="16"/>
      <c r="G6509" s="16"/>
      <c r="H6509" s="24"/>
      <c r="I6509" s="24"/>
      <c r="L6509"/>
    </row>
    <row r="6510" spans="1:12" x14ac:dyDescent="0.25">
      <c r="A6510" s="16"/>
      <c r="D6510" s="16"/>
      <c r="F6510" s="16"/>
      <c r="G6510" s="16"/>
      <c r="H6510" s="24"/>
      <c r="I6510" s="24"/>
      <c r="L6510"/>
    </row>
    <row r="6511" spans="1:12" x14ac:dyDescent="0.25">
      <c r="A6511" s="16"/>
      <c r="D6511" s="16"/>
      <c r="F6511" s="16"/>
      <c r="G6511" s="16"/>
      <c r="H6511" s="24"/>
      <c r="I6511" s="24"/>
      <c r="L6511"/>
    </row>
    <row r="6512" spans="1:12" x14ac:dyDescent="0.25">
      <c r="A6512" s="16"/>
      <c r="D6512" s="16"/>
      <c r="F6512" s="16"/>
      <c r="G6512" s="16"/>
      <c r="H6512" s="24"/>
      <c r="I6512" s="24"/>
      <c r="L6512"/>
    </row>
    <row r="6513" spans="1:12" x14ac:dyDescent="0.25">
      <c r="A6513" s="16"/>
      <c r="D6513" s="16"/>
      <c r="F6513" s="16"/>
      <c r="G6513" s="16"/>
      <c r="H6513" s="24"/>
      <c r="I6513" s="24"/>
      <c r="L6513"/>
    </row>
    <row r="6514" spans="1:12" x14ac:dyDescent="0.25">
      <c r="A6514" s="16"/>
      <c r="D6514" s="16"/>
      <c r="F6514" s="16"/>
      <c r="G6514" s="16"/>
      <c r="H6514" s="24"/>
      <c r="I6514" s="24"/>
      <c r="L6514"/>
    </row>
    <row r="6515" spans="1:12" x14ac:dyDescent="0.25">
      <c r="A6515" s="16"/>
      <c r="D6515" s="16"/>
      <c r="F6515" s="16"/>
      <c r="G6515" s="16"/>
      <c r="H6515" s="24"/>
      <c r="I6515" s="24"/>
      <c r="L6515"/>
    </row>
    <row r="6516" spans="1:12" x14ac:dyDescent="0.25">
      <c r="A6516" s="16"/>
      <c r="D6516" s="16"/>
      <c r="F6516" s="16"/>
      <c r="G6516" s="16"/>
      <c r="H6516" s="24"/>
      <c r="I6516" s="24"/>
      <c r="L6516"/>
    </row>
    <row r="6517" spans="1:12" x14ac:dyDescent="0.25">
      <c r="A6517" s="16"/>
      <c r="D6517" s="16"/>
      <c r="F6517" s="16"/>
      <c r="G6517" s="16"/>
      <c r="H6517" s="24"/>
      <c r="I6517" s="24"/>
      <c r="L6517"/>
    </row>
    <row r="6518" spans="1:12" x14ac:dyDescent="0.25">
      <c r="A6518" s="16"/>
      <c r="D6518" s="16"/>
      <c r="F6518" s="16"/>
      <c r="G6518" s="16"/>
      <c r="H6518" s="24"/>
      <c r="I6518" s="24"/>
      <c r="L6518"/>
    </row>
    <row r="6519" spans="1:12" x14ac:dyDescent="0.25">
      <c r="A6519" s="16"/>
      <c r="D6519" s="16"/>
      <c r="F6519" s="16"/>
      <c r="G6519" s="16"/>
      <c r="H6519" s="24"/>
      <c r="I6519" s="24"/>
      <c r="L6519"/>
    </row>
    <row r="6520" spans="1:12" x14ac:dyDescent="0.25">
      <c r="A6520" s="16"/>
      <c r="D6520" s="16"/>
      <c r="F6520" s="16"/>
      <c r="G6520" s="16"/>
      <c r="H6520" s="24"/>
      <c r="I6520" s="24"/>
      <c r="L6520"/>
    </row>
    <row r="6521" spans="1:12" x14ac:dyDescent="0.25">
      <c r="A6521" s="16"/>
      <c r="D6521" s="16"/>
      <c r="F6521" s="16"/>
      <c r="G6521" s="16"/>
      <c r="H6521" s="24"/>
      <c r="I6521" s="24"/>
      <c r="L6521"/>
    </row>
    <row r="6522" spans="1:12" x14ac:dyDescent="0.25">
      <c r="A6522" s="16"/>
      <c r="D6522" s="16"/>
      <c r="F6522" s="16"/>
      <c r="G6522" s="16"/>
      <c r="H6522" s="24"/>
      <c r="I6522" s="24"/>
      <c r="L6522"/>
    </row>
    <row r="6523" spans="1:12" x14ac:dyDescent="0.25">
      <c r="A6523" s="16"/>
      <c r="D6523" s="16"/>
      <c r="F6523" s="16"/>
      <c r="G6523" s="16"/>
      <c r="H6523" s="24"/>
      <c r="I6523" s="24"/>
      <c r="L6523"/>
    </row>
    <row r="6524" spans="1:12" x14ac:dyDescent="0.25">
      <c r="A6524" s="16"/>
      <c r="D6524" s="16"/>
      <c r="F6524" s="16"/>
      <c r="G6524" s="16"/>
      <c r="H6524" s="24"/>
      <c r="I6524" s="24"/>
      <c r="L6524"/>
    </row>
    <row r="6525" spans="1:12" x14ac:dyDescent="0.25">
      <c r="A6525" s="16"/>
      <c r="D6525" s="16"/>
      <c r="F6525" s="16"/>
      <c r="G6525" s="16"/>
      <c r="H6525" s="24"/>
      <c r="I6525" s="24"/>
      <c r="L6525"/>
    </row>
    <row r="6526" spans="1:12" x14ac:dyDescent="0.25">
      <c r="A6526" s="16"/>
      <c r="D6526" s="16"/>
      <c r="F6526" s="16"/>
      <c r="G6526" s="16"/>
      <c r="H6526" s="24"/>
      <c r="I6526" s="24"/>
      <c r="L6526"/>
    </row>
    <row r="6527" spans="1:12" x14ac:dyDescent="0.25">
      <c r="A6527" s="16"/>
      <c r="D6527" s="16"/>
      <c r="F6527" s="16"/>
      <c r="G6527" s="16"/>
      <c r="H6527" s="24"/>
      <c r="I6527" s="24"/>
      <c r="L6527"/>
    </row>
    <row r="6528" spans="1:12" x14ac:dyDescent="0.25">
      <c r="A6528" s="16"/>
      <c r="D6528" s="16"/>
      <c r="F6528" s="16"/>
      <c r="G6528" s="16"/>
      <c r="H6528" s="24"/>
      <c r="I6528" s="24"/>
      <c r="L6528"/>
    </row>
    <row r="6529" spans="1:12" x14ac:dyDescent="0.25">
      <c r="A6529" s="16"/>
      <c r="D6529" s="16"/>
      <c r="F6529" s="16"/>
      <c r="G6529" s="16"/>
      <c r="H6529" s="24"/>
      <c r="I6529" s="24"/>
      <c r="L6529"/>
    </row>
    <row r="6530" spans="1:12" x14ac:dyDescent="0.25">
      <c r="A6530" s="16"/>
      <c r="D6530" s="16"/>
      <c r="F6530" s="16"/>
      <c r="G6530" s="16"/>
      <c r="H6530" s="24"/>
      <c r="I6530" s="24"/>
      <c r="L6530"/>
    </row>
    <row r="6531" spans="1:12" x14ac:dyDescent="0.25">
      <c r="A6531" s="16"/>
      <c r="D6531" s="16"/>
      <c r="F6531" s="16"/>
      <c r="G6531" s="16"/>
      <c r="H6531" s="24"/>
      <c r="I6531" s="24"/>
      <c r="L6531"/>
    </row>
    <row r="6532" spans="1:12" x14ac:dyDescent="0.25">
      <c r="A6532" s="16"/>
      <c r="D6532" s="16"/>
      <c r="F6532" s="16"/>
      <c r="G6532" s="16"/>
      <c r="H6532" s="24"/>
      <c r="I6532" s="24"/>
      <c r="L6532"/>
    </row>
    <row r="6533" spans="1:12" x14ac:dyDescent="0.25">
      <c r="A6533" s="16"/>
      <c r="D6533" s="16"/>
      <c r="F6533" s="16"/>
      <c r="G6533" s="16"/>
      <c r="H6533" s="24"/>
      <c r="I6533" s="24"/>
      <c r="L6533"/>
    </row>
    <row r="6534" spans="1:12" x14ac:dyDescent="0.25">
      <c r="A6534" s="16"/>
      <c r="D6534" s="16"/>
      <c r="F6534" s="16"/>
      <c r="G6534" s="16"/>
      <c r="H6534" s="24"/>
      <c r="I6534" s="24"/>
      <c r="L6534"/>
    </row>
    <row r="6535" spans="1:12" x14ac:dyDescent="0.25">
      <c r="A6535" s="16"/>
      <c r="D6535" s="16"/>
      <c r="F6535" s="16"/>
      <c r="G6535" s="16"/>
      <c r="H6535" s="24"/>
      <c r="I6535" s="24"/>
      <c r="L6535"/>
    </row>
    <row r="6536" spans="1:12" x14ac:dyDescent="0.25">
      <c r="A6536" s="16"/>
      <c r="D6536" s="16"/>
      <c r="F6536" s="16"/>
      <c r="G6536" s="16"/>
      <c r="H6536" s="24"/>
      <c r="I6536" s="24"/>
      <c r="L6536"/>
    </row>
    <row r="6537" spans="1:12" x14ac:dyDescent="0.25">
      <c r="A6537" s="16"/>
      <c r="D6537" s="16"/>
      <c r="F6537" s="16"/>
      <c r="G6537" s="16"/>
      <c r="H6537" s="24"/>
      <c r="I6537" s="24"/>
      <c r="L6537"/>
    </row>
    <row r="6538" spans="1:12" x14ac:dyDescent="0.25">
      <c r="A6538" s="16"/>
      <c r="D6538" s="16"/>
      <c r="F6538" s="16"/>
      <c r="G6538" s="16"/>
      <c r="H6538" s="24"/>
      <c r="I6538" s="24"/>
      <c r="L6538"/>
    </row>
    <row r="6539" spans="1:12" x14ac:dyDescent="0.25">
      <c r="A6539" s="16"/>
      <c r="D6539" s="16"/>
      <c r="F6539" s="16"/>
      <c r="G6539" s="16"/>
      <c r="H6539" s="24"/>
      <c r="I6539" s="24"/>
      <c r="L6539"/>
    </row>
    <row r="6540" spans="1:12" x14ac:dyDescent="0.25">
      <c r="A6540" s="16"/>
      <c r="D6540" s="16"/>
      <c r="F6540" s="16"/>
      <c r="G6540" s="16"/>
      <c r="H6540" s="24"/>
      <c r="I6540" s="24"/>
      <c r="L6540"/>
    </row>
    <row r="6541" spans="1:12" x14ac:dyDescent="0.25">
      <c r="A6541" s="16"/>
      <c r="D6541" s="16"/>
      <c r="F6541" s="16"/>
      <c r="G6541" s="16"/>
      <c r="H6541" s="24"/>
      <c r="I6541" s="24"/>
      <c r="L6541"/>
    </row>
    <row r="6542" spans="1:12" x14ac:dyDescent="0.25">
      <c r="A6542" s="16"/>
      <c r="D6542" s="16"/>
      <c r="F6542" s="16"/>
      <c r="G6542" s="16"/>
      <c r="H6542" s="24"/>
      <c r="I6542" s="24"/>
      <c r="L6542"/>
    </row>
    <row r="6543" spans="1:12" x14ac:dyDescent="0.25">
      <c r="A6543" s="16"/>
      <c r="D6543" s="16"/>
      <c r="F6543" s="16"/>
      <c r="G6543" s="16"/>
      <c r="H6543" s="24"/>
      <c r="I6543" s="24"/>
      <c r="L6543"/>
    </row>
    <row r="6544" spans="1:12" x14ac:dyDescent="0.25">
      <c r="A6544" s="16"/>
      <c r="D6544" s="16"/>
      <c r="F6544" s="16"/>
      <c r="G6544" s="16"/>
      <c r="H6544" s="24"/>
      <c r="I6544" s="24"/>
      <c r="L6544"/>
    </row>
    <row r="6545" spans="1:12" x14ac:dyDescent="0.25">
      <c r="A6545" s="16"/>
      <c r="D6545" s="16"/>
      <c r="F6545" s="16"/>
      <c r="G6545" s="16"/>
      <c r="H6545" s="24"/>
      <c r="I6545" s="24"/>
      <c r="L6545"/>
    </row>
    <row r="6546" spans="1:12" x14ac:dyDescent="0.25">
      <c r="A6546" s="16"/>
      <c r="D6546" s="16"/>
      <c r="F6546" s="16"/>
      <c r="G6546" s="16"/>
      <c r="H6546" s="24"/>
      <c r="I6546" s="24"/>
      <c r="L6546"/>
    </row>
    <row r="6547" spans="1:12" x14ac:dyDescent="0.25">
      <c r="A6547" s="16"/>
      <c r="D6547" s="16"/>
      <c r="F6547" s="16"/>
      <c r="G6547" s="16"/>
      <c r="H6547" s="24"/>
      <c r="I6547" s="24"/>
      <c r="L6547"/>
    </row>
    <row r="6548" spans="1:12" x14ac:dyDescent="0.25">
      <c r="A6548" s="16"/>
      <c r="D6548" s="16"/>
      <c r="F6548" s="16"/>
      <c r="G6548" s="16"/>
      <c r="H6548" s="24"/>
      <c r="I6548" s="24"/>
      <c r="L6548"/>
    </row>
    <row r="6549" spans="1:12" x14ac:dyDescent="0.25">
      <c r="A6549" s="16"/>
      <c r="D6549" s="16"/>
      <c r="F6549" s="16"/>
      <c r="G6549" s="16"/>
      <c r="H6549" s="24"/>
      <c r="I6549" s="24"/>
      <c r="L6549"/>
    </row>
    <row r="6550" spans="1:12" x14ac:dyDescent="0.25">
      <c r="A6550" s="16"/>
      <c r="D6550" s="16"/>
      <c r="F6550" s="16"/>
      <c r="G6550" s="16"/>
      <c r="H6550" s="24"/>
      <c r="I6550" s="24"/>
      <c r="L6550"/>
    </row>
    <row r="6551" spans="1:12" x14ac:dyDescent="0.25">
      <c r="A6551" s="16"/>
      <c r="D6551" s="16"/>
      <c r="F6551" s="16"/>
      <c r="G6551" s="16"/>
      <c r="H6551" s="24"/>
      <c r="I6551" s="24"/>
      <c r="L6551"/>
    </row>
    <row r="6552" spans="1:12" x14ac:dyDescent="0.25">
      <c r="A6552" s="16"/>
      <c r="D6552" s="16"/>
      <c r="F6552" s="16"/>
      <c r="G6552" s="16"/>
      <c r="H6552" s="24"/>
      <c r="I6552" s="24"/>
      <c r="L6552"/>
    </row>
    <row r="6553" spans="1:12" x14ac:dyDescent="0.25">
      <c r="A6553" s="16"/>
      <c r="D6553" s="16"/>
      <c r="F6553" s="16"/>
      <c r="G6553" s="16"/>
      <c r="H6553" s="24"/>
      <c r="I6553" s="24"/>
      <c r="L6553"/>
    </row>
    <row r="6554" spans="1:12" x14ac:dyDescent="0.25">
      <c r="A6554" s="16"/>
      <c r="D6554" s="16"/>
      <c r="F6554" s="16"/>
      <c r="G6554" s="16"/>
      <c r="H6554" s="24"/>
      <c r="I6554" s="24"/>
      <c r="L6554"/>
    </row>
    <row r="6555" spans="1:12" x14ac:dyDescent="0.25">
      <c r="A6555" s="16"/>
      <c r="D6555" s="16"/>
      <c r="F6555" s="16"/>
      <c r="G6555" s="16"/>
      <c r="H6555" s="24"/>
      <c r="I6555" s="24"/>
      <c r="L6555"/>
    </row>
    <row r="6556" spans="1:12" x14ac:dyDescent="0.25">
      <c r="A6556" s="16"/>
      <c r="D6556" s="16"/>
      <c r="F6556" s="16"/>
      <c r="G6556" s="16"/>
      <c r="H6556" s="24"/>
      <c r="I6556" s="24"/>
      <c r="L6556"/>
    </row>
    <row r="6557" spans="1:12" x14ac:dyDescent="0.25">
      <c r="A6557" s="16"/>
      <c r="D6557" s="16"/>
      <c r="F6557" s="16"/>
      <c r="G6557" s="16"/>
      <c r="H6557" s="24"/>
      <c r="I6557" s="24"/>
      <c r="L6557"/>
    </row>
    <row r="6558" spans="1:12" x14ac:dyDescent="0.25">
      <c r="A6558" s="16"/>
      <c r="D6558" s="16"/>
      <c r="F6558" s="16"/>
      <c r="G6558" s="16"/>
      <c r="H6558" s="24"/>
      <c r="I6558" s="24"/>
      <c r="L6558"/>
    </row>
    <row r="6559" spans="1:12" x14ac:dyDescent="0.25">
      <c r="A6559" s="16"/>
      <c r="D6559" s="16"/>
      <c r="F6559" s="16"/>
      <c r="G6559" s="16"/>
      <c r="H6559" s="24"/>
      <c r="I6559" s="24"/>
      <c r="L6559"/>
    </row>
    <row r="6560" spans="1:12" x14ac:dyDescent="0.25">
      <c r="A6560" s="16"/>
      <c r="D6560" s="16"/>
      <c r="F6560" s="16"/>
      <c r="G6560" s="16"/>
      <c r="H6560" s="24"/>
      <c r="I6560" s="24"/>
      <c r="L6560"/>
    </row>
    <row r="6561" spans="1:12" x14ac:dyDescent="0.25">
      <c r="A6561" s="16"/>
      <c r="D6561" s="16"/>
      <c r="F6561" s="16"/>
      <c r="G6561" s="16"/>
      <c r="H6561" s="24"/>
      <c r="I6561" s="24"/>
      <c r="L6561"/>
    </row>
    <row r="6562" spans="1:12" x14ac:dyDescent="0.25">
      <c r="A6562" s="16"/>
      <c r="D6562" s="16"/>
      <c r="F6562" s="16"/>
      <c r="G6562" s="16"/>
      <c r="H6562" s="24"/>
      <c r="I6562" s="24"/>
      <c r="L6562"/>
    </row>
    <row r="6563" spans="1:12" x14ac:dyDescent="0.25">
      <c r="A6563" s="16"/>
      <c r="D6563" s="16"/>
      <c r="F6563" s="16"/>
      <c r="G6563" s="16"/>
      <c r="H6563" s="24"/>
      <c r="I6563" s="24"/>
      <c r="L6563"/>
    </row>
    <row r="6564" spans="1:12" x14ac:dyDescent="0.25">
      <c r="A6564" s="16"/>
      <c r="D6564" s="16"/>
      <c r="F6564" s="16"/>
      <c r="G6564" s="16"/>
      <c r="H6564" s="24"/>
      <c r="I6564" s="24"/>
      <c r="L6564"/>
    </row>
    <row r="6565" spans="1:12" x14ac:dyDescent="0.25">
      <c r="A6565" s="16"/>
      <c r="D6565" s="16"/>
      <c r="F6565" s="16"/>
      <c r="G6565" s="16"/>
      <c r="H6565" s="24"/>
      <c r="I6565" s="24"/>
      <c r="L6565"/>
    </row>
    <row r="6566" spans="1:12" x14ac:dyDescent="0.25">
      <c r="A6566" s="16"/>
      <c r="D6566" s="16"/>
      <c r="F6566" s="16"/>
      <c r="G6566" s="16"/>
      <c r="H6566" s="24"/>
      <c r="I6566" s="24"/>
      <c r="L6566"/>
    </row>
    <row r="6567" spans="1:12" x14ac:dyDescent="0.25">
      <c r="A6567" s="16"/>
      <c r="D6567" s="16"/>
      <c r="F6567" s="16"/>
      <c r="G6567" s="16"/>
      <c r="H6567" s="24"/>
      <c r="I6567" s="24"/>
      <c r="L6567"/>
    </row>
    <row r="6568" spans="1:12" x14ac:dyDescent="0.25">
      <c r="A6568" s="16"/>
      <c r="D6568" s="16"/>
      <c r="F6568" s="16"/>
      <c r="G6568" s="16"/>
      <c r="H6568" s="24"/>
      <c r="I6568" s="24"/>
      <c r="L6568"/>
    </row>
    <row r="6569" spans="1:12" x14ac:dyDescent="0.25">
      <c r="A6569" s="16"/>
      <c r="D6569" s="16"/>
      <c r="F6569" s="16"/>
      <c r="G6569" s="16"/>
      <c r="H6569" s="24"/>
      <c r="I6569" s="24"/>
      <c r="L6569"/>
    </row>
    <row r="6570" spans="1:12" x14ac:dyDescent="0.25">
      <c r="A6570" s="16"/>
      <c r="D6570" s="16"/>
      <c r="F6570" s="16"/>
      <c r="G6570" s="16"/>
      <c r="H6570" s="24"/>
      <c r="I6570" s="24"/>
      <c r="L6570"/>
    </row>
    <row r="6571" spans="1:12" x14ac:dyDescent="0.25">
      <c r="A6571" s="16"/>
      <c r="D6571" s="16"/>
      <c r="F6571" s="16"/>
      <c r="G6571" s="16"/>
      <c r="H6571" s="24"/>
      <c r="I6571" s="24"/>
      <c r="L6571"/>
    </row>
    <row r="6572" spans="1:12" x14ac:dyDescent="0.25">
      <c r="A6572" s="16"/>
      <c r="D6572" s="16"/>
      <c r="F6572" s="16"/>
      <c r="G6572" s="16"/>
      <c r="H6572" s="24"/>
      <c r="I6572" s="24"/>
      <c r="L6572"/>
    </row>
    <row r="6573" spans="1:12" x14ac:dyDescent="0.25">
      <c r="A6573" s="16"/>
      <c r="D6573" s="16"/>
      <c r="F6573" s="16"/>
      <c r="G6573" s="16"/>
      <c r="H6573" s="24"/>
      <c r="I6573" s="24"/>
      <c r="L6573"/>
    </row>
    <row r="6574" spans="1:12" x14ac:dyDescent="0.25">
      <c r="A6574" s="16"/>
      <c r="D6574" s="16"/>
      <c r="F6574" s="16"/>
      <c r="G6574" s="16"/>
      <c r="H6574" s="24"/>
      <c r="I6574" s="24"/>
      <c r="L6574"/>
    </row>
    <row r="6575" spans="1:12" x14ac:dyDescent="0.25">
      <c r="A6575" s="16"/>
      <c r="D6575" s="16"/>
      <c r="F6575" s="16"/>
      <c r="G6575" s="16"/>
      <c r="H6575" s="24"/>
      <c r="I6575" s="24"/>
      <c r="L6575"/>
    </row>
    <row r="6576" spans="1:12" x14ac:dyDescent="0.25">
      <c r="A6576" s="16"/>
      <c r="D6576" s="16"/>
      <c r="F6576" s="16"/>
      <c r="G6576" s="16"/>
      <c r="H6576" s="24"/>
      <c r="I6576" s="24"/>
      <c r="L6576"/>
    </row>
    <row r="6577" spans="1:12" x14ac:dyDescent="0.25">
      <c r="A6577" s="16"/>
      <c r="D6577" s="16"/>
      <c r="F6577" s="16"/>
      <c r="G6577" s="16"/>
      <c r="H6577" s="24"/>
      <c r="I6577" s="24"/>
      <c r="L6577"/>
    </row>
    <row r="6578" spans="1:12" x14ac:dyDescent="0.25">
      <c r="A6578" s="16"/>
      <c r="D6578" s="16"/>
      <c r="F6578" s="16"/>
      <c r="G6578" s="16"/>
      <c r="H6578" s="24"/>
      <c r="I6578" s="24"/>
      <c r="L6578"/>
    </row>
    <row r="6579" spans="1:12" x14ac:dyDescent="0.25">
      <c r="A6579" s="16"/>
      <c r="D6579" s="16"/>
      <c r="F6579" s="16"/>
      <c r="G6579" s="16"/>
      <c r="H6579" s="24"/>
      <c r="I6579" s="24"/>
      <c r="L6579"/>
    </row>
    <row r="6580" spans="1:12" x14ac:dyDescent="0.25">
      <c r="A6580" s="16"/>
      <c r="D6580" s="16"/>
      <c r="F6580" s="16"/>
      <c r="G6580" s="16"/>
      <c r="H6580" s="24"/>
      <c r="I6580" s="24"/>
      <c r="L6580"/>
    </row>
    <row r="6581" spans="1:12" x14ac:dyDescent="0.25">
      <c r="A6581" s="16"/>
      <c r="D6581" s="16"/>
      <c r="F6581" s="16"/>
      <c r="G6581" s="16"/>
      <c r="H6581" s="24"/>
      <c r="I6581" s="24"/>
      <c r="L6581"/>
    </row>
    <row r="6582" spans="1:12" x14ac:dyDescent="0.25">
      <c r="A6582" s="16"/>
      <c r="D6582" s="16"/>
      <c r="F6582" s="16"/>
      <c r="G6582" s="16"/>
      <c r="H6582" s="24"/>
      <c r="I6582" s="24"/>
      <c r="L6582"/>
    </row>
    <row r="6583" spans="1:12" x14ac:dyDescent="0.25">
      <c r="A6583" s="16"/>
      <c r="D6583" s="16"/>
      <c r="F6583" s="16"/>
      <c r="G6583" s="16"/>
      <c r="H6583" s="24"/>
      <c r="I6583" s="24"/>
      <c r="L6583"/>
    </row>
    <row r="6584" spans="1:12" x14ac:dyDescent="0.25">
      <c r="A6584" s="16"/>
      <c r="D6584" s="16"/>
      <c r="F6584" s="16"/>
      <c r="G6584" s="16"/>
      <c r="H6584" s="24"/>
      <c r="I6584" s="24"/>
      <c r="L6584"/>
    </row>
    <row r="6585" spans="1:12" x14ac:dyDescent="0.25">
      <c r="A6585" s="16"/>
      <c r="D6585" s="16"/>
      <c r="F6585" s="16"/>
      <c r="G6585" s="16"/>
      <c r="H6585" s="24"/>
      <c r="I6585" s="24"/>
      <c r="L6585"/>
    </row>
    <row r="6586" spans="1:12" x14ac:dyDescent="0.25">
      <c r="A6586" s="16"/>
      <c r="D6586" s="16"/>
      <c r="F6586" s="16"/>
      <c r="G6586" s="16"/>
      <c r="H6586" s="24"/>
      <c r="I6586" s="24"/>
      <c r="L6586"/>
    </row>
    <row r="6587" spans="1:12" x14ac:dyDescent="0.25">
      <c r="A6587" s="16"/>
      <c r="D6587" s="16"/>
      <c r="F6587" s="16"/>
      <c r="G6587" s="16"/>
      <c r="H6587" s="24"/>
      <c r="I6587" s="24"/>
      <c r="L6587"/>
    </row>
    <row r="6588" spans="1:12" x14ac:dyDescent="0.25">
      <c r="A6588" s="16"/>
      <c r="D6588" s="16"/>
      <c r="F6588" s="16"/>
      <c r="G6588" s="16"/>
      <c r="H6588" s="24"/>
      <c r="I6588" s="24"/>
      <c r="L6588"/>
    </row>
    <row r="6589" spans="1:12" x14ac:dyDescent="0.25">
      <c r="A6589" s="16"/>
      <c r="D6589" s="16"/>
      <c r="F6589" s="16"/>
      <c r="G6589" s="16"/>
      <c r="H6589" s="24"/>
      <c r="I6589" s="24"/>
      <c r="L6589"/>
    </row>
    <row r="6590" spans="1:12" x14ac:dyDescent="0.25">
      <c r="A6590" s="16"/>
      <c r="D6590" s="16"/>
      <c r="F6590" s="16"/>
      <c r="G6590" s="16"/>
      <c r="H6590" s="24"/>
      <c r="I6590" s="24"/>
      <c r="L6590"/>
    </row>
    <row r="6591" spans="1:12" x14ac:dyDescent="0.25">
      <c r="A6591" s="16"/>
      <c r="D6591" s="16"/>
      <c r="F6591" s="16"/>
      <c r="G6591" s="16"/>
      <c r="H6591" s="24"/>
      <c r="I6591" s="24"/>
      <c r="L6591"/>
    </row>
    <row r="6592" spans="1:12" x14ac:dyDescent="0.25">
      <c r="A6592" s="16"/>
      <c r="D6592" s="16"/>
      <c r="F6592" s="16"/>
      <c r="G6592" s="16"/>
      <c r="H6592" s="24"/>
      <c r="I6592" s="24"/>
      <c r="L6592"/>
    </row>
    <row r="6593" spans="1:12" x14ac:dyDescent="0.25">
      <c r="A6593" s="16"/>
      <c r="D6593" s="16"/>
      <c r="F6593" s="16"/>
      <c r="G6593" s="16"/>
      <c r="H6593" s="24"/>
      <c r="I6593" s="24"/>
      <c r="L6593"/>
    </row>
    <row r="6594" spans="1:12" x14ac:dyDescent="0.25">
      <c r="A6594" s="16"/>
      <c r="D6594" s="16"/>
      <c r="F6594" s="16"/>
      <c r="G6594" s="16"/>
      <c r="H6594" s="24"/>
      <c r="I6594" s="24"/>
      <c r="L6594"/>
    </row>
    <row r="6595" spans="1:12" x14ac:dyDescent="0.25">
      <c r="A6595" s="16"/>
      <c r="D6595" s="16"/>
      <c r="F6595" s="16"/>
      <c r="G6595" s="16"/>
      <c r="H6595" s="24"/>
      <c r="I6595" s="24"/>
      <c r="L6595"/>
    </row>
    <row r="6596" spans="1:12" x14ac:dyDescent="0.25">
      <c r="A6596" s="16"/>
      <c r="D6596" s="16"/>
      <c r="F6596" s="16"/>
      <c r="G6596" s="16"/>
      <c r="H6596" s="24"/>
      <c r="I6596" s="24"/>
      <c r="L6596"/>
    </row>
    <row r="6597" spans="1:12" x14ac:dyDescent="0.25">
      <c r="A6597" s="16"/>
      <c r="D6597" s="16"/>
      <c r="F6597" s="16"/>
      <c r="G6597" s="16"/>
      <c r="H6597" s="24"/>
      <c r="I6597" s="24"/>
      <c r="L6597"/>
    </row>
    <row r="6598" spans="1:12" x14ac:dyDescent="0.25">
      <c r="A6598" s="16"/>
      <c r="D6598" s="16"/>
      <c r="F6598" s="16"/>
      <c r="G6598" s="16"/>
      <c r="H6598" s="24"/>
      <c r="I6598" s="24"/>
      <c r="L6598"/>
    </row>
    <row r="6599" spans="1:12" x14ac:dyDescent="0.25">
      <c r="A6599" s="16"/>
      <c r="D6599" s="16"/>
      <c r="F6599" s="16"/>
      <c r="G6599" s="16"/>
      <c r="H6599" s="24"/>
      <c r="I6599" s="24"/>
      <c r="L6599"/>
    </row>
    <row r="6600" spans="1:12" x14ac:dyDescent="0.25">
      <c r="A6600" s="16"/>
      <c r="D6600" s="16"/>
      <c r="F6600" s="16"/>
      <c r="G6600" s="16"/>
      <c r="H6600" s="24"/>
      <c r="I6600" s="24"/>
      <c r="L6600"/>
    </row>
    <row r="6601" spans="1:12" x14ac:dyDescent="0.25">
      <c r="A6601" s="16"/>
      <c r="D6601" s="16"/>
      <c r="F6601" s="16"/>
      <c r="G6601" s="16"/>
      <c r="H6601" s="24"/>
      <c r="I6601" s="24"/>
      <c r="L6601"/>
    </row>
    <row r="6602" spans="1:12" x14ac:dyDescent="0.25">
      <c r="A6602" s="16"/>
      <c r="D6602" s="16"/>
      <c r="F6602" s="16"/>
      <c r="G6602" s="16"/>
      <c r="H6602" s="24"/>
      <c r="I6602" s="24"/>
      <c r="L6602"/>
    </row>
    <row r="6603" spans="1:12" x14ac:dyDescent="0.25">
      <c r="A6603" s="16"/>
      <c r="D6603" s="16"/>
      <c r="F6603" s="16"/>
      <c r="G6603" s="16"/>
      <c r="H6603" s="24"/>
      <c r="I6603" s="24"/>
      <c r="L6603"/>
    </row>
    <row r="6604" spans="1:12" x14ac:dyDescent="0.25">
      <c r="A6604" s="16"/>
      <c r="D6604" s="16"/>
      <c r="F6604" s="16"/>
      <c r="G6604" s="16"/>
      <c r="H6604" s="24"/>
      <c r="I6604" s="24"/>
      <c r="L6604"/>
    </row>
    <row r="6605" spans="1:12" x14ac:dyDescent="0.25">
      <c r="A6605" s="16"/>
      <c r="D6605" s="16"/>
      <c r="F6605" s="16"/>
      <c r="G6605" s="16"/>
      <c r="H6605" s="24"/>
      <c r="I6605" s="24"/>
      <c r="L6605"/>
    </row>
    <row r="6606" spans="1:12" x14ac:dyDescent="0.25">
      <c r="A6606" s="16"/>
      <c r="D6606" s="16"/>
      <c r="F6606" s="16"/>
      <c r="G6606" s="16"/>
      <c r="H6606" s="24"/>
      <c r="I6606" s="24"/>
      <c r="L6606"/>
    </row>
    <row r="6607" spans="1:12" x14ac:dyDescent="0.25">
      <c r="A6607" s="16"/>
      <c r="D6607" s="16"/>
      <c r="F6607" s="16"/>
      <c r="G6607" s="16"/>
      <c r="H6607" s="24"/>
      <c r="I6607" s="24"/>
      <c r="L6607"/>
    </row>
    <row r="6608" spans="1:12" x14ac:dyDescent="0.25">
      <c r="A6608" s="16"/>
      <c r="D6608" s="16"/>
      <c r="F6608" s="16"/>
      <c r="G6608" s="16"/>
      <c r="H6608" s="24"/>
      <c r="I6608" s="24"/>
      <c r="L6608"/>
    </row>
    <row r="6609" spans="1:12" x14ac:dyDescent="0.25">
      <c r="A6609" s="16"/>
      <c r="D6609" s="16"/>
      <c r="F6609" s="16"/>
      <c r="G6609" s="16"/>
      <c r="H6609" s="24"/>
      <c r="I6609" s="24"/>
      <c r="L6609"/>
    </row>
    <row r="6610" spans="1:12" x14ac:dyDescent="0.25">
      <c r="A6610" s="16"/>
      <c r="D6610" s="16"/>
      <c r="F6610" s="16"/>
      <c r="G6610" s="16"/>
      <c r="H6610" s="24"/>
      <c r="I6610" s="24"/>
      <c r="L6610"/>
    </row>
    <row r="6611" spans="1:12" x14ac:dyDescent="0.25">
      <c r="A6611" s="16"/>
      <c r="D6611" s="16"/>
      <c r="F6611" s="16"/>
      <c r="G6611" s="16"/>
      <c r="H6611" s="24"/>
      <c r="I6611" s="24"/>
      <c r="L6611"/>
    </row>
    <row r="6612" spans="1:12" x14ac:dyDescent="0.25">
      <c r="A6612" s="16"/>
      <c r="D6612" s="16"/>
      <c r="F6612" s="16"/>
      <c r="G6612" s="16"/>
      <c r="H6612" s="24"/>
      <c r="I6612" s="24"/>
      <c r="L6612"/>
    </row>
    <row r="6613" spans="1:12" x14ac:dyDescent="0.25">
      <c r="A6613" s="16"/>
      <c r="D6613" s="16"/>
      <c r="F6613" s="16"/>
      <c r="G6613" s="16"/>
      <c r="H6613" s="24"/>
      <c r="I6613" s="24"/>
      <c r="L6613"/>
    </row>
    <row r="6614" spans="1:12" x14ac:dyDescent="0.25">
      <c r="A6614" s="16"/>
      <c r="D6614" s="16"/>
      <c r="F6614" s="16"/>
      <c r="G6614" s="16"/>
      <c r="H6614" s="24"/>
      <c r="I6614" s="24"/>
      <c r="L6614"/>
    </row>
    <row r="6615" spans="1:12" x14ac:dyDescent="0.25">
      <c r="A6615" s="16"/>
      <c r="D6615" s="16"/>
      <c r="F6615" s="16"/>
      <c r="G6615" s="16"/>
      <c r="H6615" s="24"/>
      <c r="I6615" s="24"/>
      <c r="L6615"/>
    </row>
    <row r="6616" spans="1:12" x14ac:dyDescent="0.25">
      <c r="A6616" s="16"/>
      <c r="D6616" s="16"/>
      <c r="F6616" s="16"/>
      <c r="G6616" s="16"/>
      <c r="H6616" s="24"/>
      <c r="I6616" s="24"/>
      <c r="L6616"/>
    </row>
    <row r="6617" spans="1:12" x14ac:dyDescent="0.25">
      <c r="A6617" s="16"/>
      <c r="D6617" s="16"/>
      <c r="F6617" s="16"/>
      <c r="G6617" s="16"/>
      <c r="H6617" s="24"/>
      <c r="I6617" s="24"/>
      <c r="L6617"/>
    </row>
    <row r="6618" spans="1:12" x14ac:dyDescent="0.25">
      <c r="A6618" s="16"/>
      <c r="D6618" s="16"/>
      <c r="F6618" s="16"/>
      <c r="G6618" s="16"/>
      <c r="H6618" s="24"/>
      <c r="I6618" s="24"/>
      <c r="L6618"/>
    </row>
    <row r="6619" spans="1:12" x14ac:dyDescent="0.25">
      <c r="A6619" s="16"/>
      <c r="D6619" s="16"/>
      <c r="F6619" s="16"/>
      <c r="G6619" s="16"/>
      <c r="H6619" s="24"/>
      <c r="I6619" s="24"/>
      <c r="L6619"/>
    </row>
    <row r="6620" spans="1:12" x14ac:dyDescent="0.25">
      <c r="A6620" s="16"/>
      <c r="D6620" s="16"/>
      <c r="F6620" s="16"/>
      <c r="G6620" s="16"/>
      <c r="H6620" s="24"/>
      <c r="I6620" s="24"/>
      <c r="L6620"/>
    </row>
    <row r="6621" spans="1:12" x14ac:dyDescent="0.25">
      <c r="A6621" s="16"/>
      <c r="D6621" s="16"/>
      <c r="F6621" s="16"/>
      <c r="G6621" s="16"/>
      <c r="H6621" s="24"/>
      <c r="I6621" s="24"/>
      <c r="L6621"/>
    </row>
    <row r="6622" spans="1:12" x14ac:dyDescent="0.25">
      <c r="A6622" s="16"/>
      <c r="D6622" s="16"/>
      <c r="F6622" s="16"/>
      <c r="G6622" s="16"/>
      <c r="H6622" s="24"/>
      <c r="I6622" s="24"/>
      <c r="L6622"/>
    </row>
    <row r="6623" spans="1:12" x14ac:dyDescent="0.25">
      <c r="A6623" s="16"/>
      <c r="D6623" s="16"/>
      <c r="F6623" s="16"/>
      <c r="G6623" s="16"/>
      <c r="H6623" s="24"/>
      <c r="I6623" s="24"/>
      <c r="L6623"/>
    </row>
    <row r="6624" spans="1:12" x14ac:dyDescent="0.25">
      <c r="A6624" s="16"/>
      <c r="D6624" s="16"/>
      <c r="F6624" s="16"/>
      <c r="G6624" s="16"/>
      <c r="H6624" s="24"/>
      <c r="I6624" s="24"/>
      <c r="L6624"/>
    </row>
    <row r="6625" spans="1:12" x14ac:dyDescent="0.25">
      <c r="A6625" s="16"/>
      <c r="D6625" s="16"/>
      <c r="F6625" s="16"/>
      <c r="G6625" s="16"/>
      <c r="H6625" s="24"/>
      <c r="I6625" s="24"/>
      <c r="L6625"/>
    </row>
    <row r="6626" spans="1:12" x14ac:dyDescent="0.25">
      <c r="A6626" s="16"/>
      <c r="D6626" s="16"/>
      <c r="F6626" s="16"/>
      <c r="G6626" s="16"/>
      <c r="H6626" s="24"/>
      <c r="I6626" s="24"/>
      <c r="L6626"/>
    </row>
    <row r="6627" spans="1:12" x14ac:dyDescent="0.25">
      <c r="A6627" s="16"/>
      <c r="D6627" s="16"/>
      <c r="F6627" s="16"/>
      <c r="G6627" s="16"/>
      <c r="H6627" s="24"/>
      <c r="I6627" s="24"/>
      <c r="L6627"/>
    </row>
    <row r="6628" spans="1:12" x14ac:dyDescent="0.25">
      <c r="A6628" s="16"/>
      <c r="D6628" s="16"/>
      <c r="F6628" s="16"/>
      <c r="G6628" s="16"/>
      <c r="H6628" s="24"/>
      <c r="I6628" s="24"/>
      <c r="L6628"/>
    </row>
    <row r="6629" spans="1:12" x14ac:dyDescent="0.25">
      <c r="A6629" s="16"/>
      <c r="D6629" s="16"/>
      <c r="F6629" s="16"/>
      <c r="G6629" s="16"/>
      <c r="H6629" s="24"/>
      <c r="I6629" s="24"/>
      <c r="L6629"/>
    </row>
    <row r="6630" spans="1:12" x14ac:dyDescent="0.25">
      <c r="A6630" s="16"/>
      <c r="D6630" s="16"/>
      <c r="F6630" s="16"/>
      <c r="G6630" s="16"/>
      <c r="H6630" s="24"/>
      <c r="I6630" s="24"/>
      <c r="L6630"/>
    </row>
    <row r="6631" spans="1:12" x14ac:dyDescent="0.25">
      <c r="A6631" s="16"/>
      <c r="D6631" s="16"/>
      <c r="F6631" s="16"/>
      <c r="G6631" s="16"/>
      <c r="H6631" s="24"/>
      <c r="I6631" s="24"/>
      <c r="L6631"/>
    </row>
    <row r="6632" spans="1:12" x14ac:dyDescent="0.25">
      <c r="A6632" s="16"/>
      <c r="D6632" s="16"/>
      <c r="F6632" s="16"/>
      <c r="G6632" s="16"/>
      <c r="H6632" s="24"/>
      <c r="I6632" s="24"/>
      <c r="L6632"/>
    </row>
    <row r="6633" spans="1:12" x14ac:dyDescent="0.25">
      <c r="A6633" s="16"/>
      <c r="D6633" s="16"/>
      <c r="F6633" s="16"/>
      <c r="G6633" s="16"/>
      <c r="H6633" s="24"/>
      <c r="I6633" s="24"/>
      <c r="L6633"/>
    </row>
    <row r="6634" spans="1:12" x14ac:dyDescent="0.25">
      <c r="A6634" s="16"/>
      <c r="D6634" s="16"/>
      <c r="F6634" s="16"/>
      <c r="G6634" s="16"/>
      <c r="H6634" s="24"/>
      <c r="I6634" s="24"/>
      <c r="L6634"/>
    </row>
    <row r="6635" spans="1:12" x14ac:dyDescent="0.25">
      <c r="A6635" s="16"/>
      <c r="D6635" s="16"/>
      <c r="F6635" s="16"/>
      <c r="G6635" s="16"/>
      <c r="H6635" s="24"/>
      <c r="I6635" s="24"/>
      <c r="L6635"/>
    </row>
    <row r="6636" spans="1:12" x14ac:dyDescent="0.25">
      <c r="A6636" s="16"/>
      <c r="D6636" s="16"/>
      <c r="F6636" s="16"/>
      <c r="G6636" s="16"/>
      <c r="H6636" s="24"/>
      <c r="I6636" s="24"/>
      <c r="L6636"/>
    </row>
    <row r="6637" spans="1:12" x14ac:dyDescent="0.25">
      <c r="A6637" s="16"/>
      <c r="D6637" s="16"/>
      <c r="F6637" s="16"/>
      <c r="G6637" s="16"/>
      <c r="H6637" s="24"/>
      <c r="I6637" s="24"/>
      <c r="L6637"/>
    </row>
    <row r="6638" spans="1:12" x14ac:dyDescent="0.25">
      <c r="A6638" s="16"/>
      <c r="D6638" s="16"/>
      <c r="F6638" s="16"/>
      <c r="G6638" s="16"/>
      <c r="H6638" s="24"/>
      <c r="I6638" s="24"/>
      <c r="L6638"/>
    </row>
    <row r="6639" spans="1:12" x14ac:dyDescent="0.25">
      <c r="A6639" s="16"/>
      <c r="D6639" s="16"/>
      <c r="F6639" s="16"/>
      <c r="G6639" s="16"/>
      <c r="H6639" s="24"/>
      <c r="I6639" s="24"/>
      <c r="L6639"/>
    </row>
    <row r="6640" spans="1:12" x14ac:dyDescent="0.25">
      <c r="A6640" s="16"/>
      <c r="D6640" s="16"/>
      <c r="F6640" s="16"/>
      <c r="G6640" s="16"/>
      <c r="H6640" s="24"/>
      <c r="I6640" s="24"/>
      <c r="L6640"/>
    </row>
    <row r="6641" spans="1:12" x14ac:dyDescent="0.25">
      <c r="A6641" s="16"/>
      <c r="D6641" s="16"/>
      <c r="F6641" s="16"/>
      <c r="G6641" s="16"/>
      <c r="H6641" s="24"/>
      <c r="I6641" s="24"/>
      <c r="L6641"/>
    </row>
    <row r="6642" spans="1:12" x14ac:dyDescent="0.25">
      <c r="A6642" s="16"/>
      <c r="D6642" s="16"/>
      <c r="F6642" s="16"/>
      <c r="G6642" s="16"/>
      <c r="H6642" s="24"/>
      <c r="I6642" s="24"/>
      <c r="L6642"/>
    </row>
    <row r="6643" spans="1:12" x14ac:dyDescent="0.25">
      <c r="A6643" s="16"/>
      <c r="D6643" s="16"/>
      <c r="F6643" s="16"/>
      <c r="G6643" s="16"/>
      <c r="H6643" s="24"/>
      <c r="I6643" s="24"/>
      <c r="L6643"/>
    </row>
    <row r="6644" spans="1:12" x14ac:dyDescent="0.25">
      <c r="A6644" s="16"/>
      <c r="D6644" s="16"/>
      <c r="F6644" s="16"/>
      <c r="G6644" s="16"/>
      <c r="H6644" s="24"/>
      <c r="I6644" s="24"/>
      <c r="L6644"/>
    </row>
    <row r="6645" spans="1:12" x14ac:dyDescent="0.25">
      <c r="A6645" s="16"/>
      <c r="D6645" s="16"/>
      <c r="F6645" s="16"/>
      <c r="G6645" s="16"/>
      <c r="H6645" s="24"/>
      <c r="I6645" s="24"/>
      <c r="L6645"/>
    </row>
    <row r="6646" spans="1:12" x14ac:dyDescent="0.25">
      <c r="A6646" s="16"/>
      <c r="D6646" s="16"/>
      <c r="F6646" s="16"/>
      <c r="G6646" s="16"/>
      <c r="H6646" s="24"/>
      <c r="I6646" s="24"/>
      <c r="L6646"/>
    </row>
    <row r="6647" spans="1:12" x14ac:dyDescent="0.25">
      <c r="A6647" s="16"/>
      <c r="D6647" s="16"/>
      <c r="F6647" s="16"/>
      <c r="G6647" s="16"/>
      <c r="H6647" s="24"/>
      <c r="I6647" s="24"/>
      <c r="L6647"/>
    </row>
    <row r="6648" spans="1:12" x14ac:dyDescent="0.25">
      <c r="A6648" s="16"/>
      <c r="D6648" s="16"/>
      <c r="F6648" s="16"/>
      <c r="G6648" s="16"/>
      <c r="H6648" s="24"/>
      <c r="I6648" s="24"/>
      <c r="L6648"/>
    </row>
    <row r="6649" spans="1:12" x14ac:dyDescent="0.25">
      <c r="A6649" s="16"/>
      <c r="D6649" s="16"/>
      <c r="F6649" s="16"/>
      <c r="G6649" s="16"/>
      <c r="H6649" s="24"/>
      <c r="I6649" s="24"/>
      <c r="L6649"/>
    </row>
    <row r="6650" spans="1:12" x14ac:dyDescent="0.25">
      <c r="A6650" s="16"/>
      <c r="D6650" s="16"/>
      <c r="F6650" s="16"/>
      <c r="G6650" s="16"/>
      <c r="H6650" s="24"/>
      <c r="I6650" s="24"/>
      <c r="L6650"/>
    </row>
    <row r="6651" spans="1:12" x14ac:dyDescent="0.25">
      <c r="A6651" s="16"/>
      <c r="D6651" s="16"/>
      <c r="F6651" s="16"/>
      <c r="G6651" s="16"/>
      <c r="H6651" s="24"/>
      <c r="I6651" s="24"/>
      <c r="L6651"/>
    </row>
    <row r="6652" spans="1:12" x14ac:dyDescent="0.25">
      <c r="A6652" s="16"/>
      <c r="D6652" s="16"/>
      <c r="F6652" s="16"/>
      <c r="G6652" s="16"/>
      <c r="H6652" s="24"/>
      <c r="I6652" s="24"/>
      <c r="L6652"/>
    </row>
    <row r="6653" spans="1:12" x14ac:dyDescent="0.25">
      <c r="A6653" s="16"/>
      <c r="D6653" s="16"/>
      <c r="F6653" s="16"/>
      <c r="G6653" s="16"/>
      <c r="H6653" s="24"/>
      <c r="I6653" s="24"/>
      <c r="L6653"/>
    </row>
    <row r="6654" spans="1:12" x14ac:dyDescent="0.25">
      <c r="A6654" s="16"/>
      <c r="D6654" s="16"/>
      <c r="F6654" s="16"/>
      <c r="G6654" s="16"/>
      <c r="H6654" s="24"/>
      <c r="I6654" s="24"/>
      <c r="L6654"/>
    </row>
    <row r="6655" spans="1:12" x14ac:dyDescent="0.25">
      <c r="A6655" s="16"/>
      <c r="D6655" s="16"/>
      <c r="F6655" s="16"/>
      <c r="G6655" s="16"/>
      <c r="H6655" s="24"/>
      <c r="I6655" s="24"/>
      <c r="L6655"/>
    </row>
    <row r="6656" spans="1:12" x14ac:dyDescent="0.25">
      <c r="A6656" s="16"/>
      <c r="D6656" s="16"/>
      <c r="F6656" s="16"/>
      <c r="G6656" s="16"/>
      <c r="H6656" s="24"/>
      <c r="I6656" s="24"/>
      <c r="L6656"/>
    </row>
    <row r="6657" spans="1:12" x14ac:dyDescent="0.25">
      <c r="A6657" s="16"/>
      <c r="D6657" s="16"/>
      <c r="F6657" s="16"/>
      <c r="G6657" s="16"/>
      <c r="H6657" s="24"/>
      <c r="I6657" s="24"/>
      <c r="L6657"/>
    </row>
    <row r="6658" spans="1:12" x14ac:dyDescent="0.25">
      <c r="A6658" s="16"/>
      <c r="D6658" s="16"/>
      <c r="F6658" s="16"/>
      <c r="G6658" s="16"/>
      <c r="H6658" s="24"/>
      <c r="I6658" s="24"/>
      <c r="L6658"/>
    </row>
    <row r="6659" spans="1:12" x14ac:dyDescent="0.25">
      <c r="A6659" s="16"/>
      <c r="D6659" s="16"/>
      <c r="F6659" s="16"/>
      <c r="G6659" s="16"/>
      <c r="H6659" s="24"/>
      <c r="I6659" s="24"/>
      <c r="L6659"/>
    </row>
    <row r="6660" spans="1:12" x14ac:dyDescent="0.25">
      <c r="A6660" s="16"/>
      <c r="D6660" s="16"/>
      <c r="F6660" s="16"/>
      <c r="G6660" s="16"/>
      <c r="H6660" s="24"/>
      <c r="I6660" s="24"/>
      <c r="L6660"/>
    </row>
    <row r="6661" spans="1:12" x14ac:dyDescent="0.25">
      <c r="A6661" s="16"/>
      <c r="D6661" s="16"/>
      <c r="F6661" s="16"/>
      <c r="G6661" s="16"/>
      <c r="H6661" s="24"/>
      <c r="I6661" s="24"/>
      <c r="L6661"/>
    </row>
    <row r="6662" spans="1:12" x14ac:dyDescent="0.25">
      <c r="A6662" s="16"/>
      <c r="D6662" s="16"/>
      <c r="F6662" s="16"/>
      <c r="G6662" s="16"/>
      <c r="H6662" s="24"/>
      <c r="I6662" s="24"/>
      <c r="L6662"/>
    </row>
    <row r="6663" spans="1:12" x14ac:dyDescent="0.25">
      <c r="A6663" s="16"/>
      <c r="D6663" s="16"/>
      <c r="F6663" s="16"/>
      <c r="G6663" s="16"/>
      <c r="H6663" s="24"/>
      <c r="I6663" s="24"/>
      <c r="L6663"/>
    </row>
    <row r="6664" spans="1:12" x14ac:dyDescent="0.25">
      <c r="A6664" s="16"/>
      <c r="D6664" s="16"/>
      <c r="F6664" s="16"/>
      <c r="G6664" s="16"/>
      <c r="H6664" s="24"/>
      <c r="I6664" s="24"/>
      <c r="L6664"/>
    </row>
    <row r="6665" spans="1:12" x14ac:dyDescent="0.25">
      <c r="A6665" s="16"/>
      <c r="D6665" s="16"/>
      <c r="F6665" s="16"/>
      <c r="G6665" s="16"/>
      <c r="H6665" s="24"/>
      <c r="I6665" s="24"/>
      <c r="L6665"/>
    </row>
    <row r="6666" spans="1:12" x14ac:dyDescent="0.25">
      <c r="A6666" s="16"/>
      <c r="D6666" s="16"/>
      <c r="F6666" s="16"/>
      <c r="G6666" s="16"/>
      <c r="H6666" s="24"/>
      <c r="I6666" s="24"/>
      <c r="L6666"/>
    </row>
    <row r="6667" spans="1:12" x14ac:dyDescent="0.25">
      <c r="A6667" s="16"/>
      <c r="D6667" s="16"/>
      <c r="F6667" s="16"/>
      <c r="G6667" s="16"/>
      <c r="H6667" s="24"/>
      <c r="I6667" s="24"/>
      <c r="L6667"/>
    </row>
    <row r="6668" spans="1:12" x14ac:dyDescent="0.25">
      <c r="A6668" s="16"/>
      <c r="D6668" s="16"/>
      <c r="F6668" s="16"/>
      <c r="G6668" s="16"/>
      <c r="H6668" s="24"/>
      <c r="I6668" s="24"/>
      <c r="L6668"/>
    </row>
    <row r="6669" spans="1:12" x14ac:dyDescent="0.25">
      <c r="A6669" s="16"/>
      <c r="D6669" s="16"/>
      <c r="F6669" s="16"/>
      <c r="G6669" s="16"/>
      <c r="H6669" s="24"/>
      <c r="I6669" s="24"/>
      <c r="L6669"/>
    </row>
    <row r="6670" spans="1:12" x14ac:dyDescent="0.25">
      <c r="A6670" s="16"/>
      <c r="D6670" s="16"/>
      <c r="F6670" s="16"/>
      <c r="G6670" s="16"/>
      <c r="H6670" s="24"/>
      <c r="I6670" s="24"/>
      <c r="L6670"/>
    </row>
    <row r="6671" spans="1:12" x14ac:dyDescent="0.25">
      <c r="A6671" s="16"/>
      <c r="D6671" s="16"/>
      <c r="F6671" s="16"/>
      <c r="G6671" s="16"/>
      <c r="H6671" s="24"/>
      <c r="I6671" s="24"/>
      <c r="L6671"/>
    </row>
    <row r="6672" spans="1:12" x14ac:dyDescent="0.25">
      <c r="A6672" s="16"/>
      <c r="D6672" s="16"/>
      <c r="F6672" s="16"/>
      <c r="G6672" s="16"/>
      <c r="H6672" s="24"/>
      <c r="I6672" s="24"/>
      <c r="L6672"/>
    </row>
    <row r="6673" spans="1:12" x14ac:dyDescent="0.25">
      <c r="A6673" s="16"/>
      <c r="D6673" s="16"/>
      <c r="F6673" s="16"/>
      <c r="G6673" s="16"/>
      <c r="H6673" s="24"/>
      <c r="I6673" s="24"/>
      <c r="L6673"/>
    </row>
    <row r="6674" spans="1:12" x14ac:dyDescent="0.25">
      <c r="A6674" s="16"/>
      <c r="D6674" s="16"/>
      <c r="F6674" s="16"/>
      <c r="G6674" s="16"/>
      <c r="H6674" s="24"/>
      <c r="I6674" s="24"/>
      <c r="L6674"/>
    </row>
    <row r="6675" spans="1:12" x14ac:dyDescent="0.25">
      <c r="A6675" s="16"/>
      <c r="D6675" s="16"/>
      <c r="F6675" s="16"/>
      <c r="G6675" s="16"/>
      <c r="H6675" s="24"/>
      <c r="I6675" s="24"/>
      <c r="L6675"/>
    </row>
    <row r="6676" spans="1:12" x14ac:dyDescent="0.25">
      <c r="A6676" s="16"/>
      <c r="D6676" s="16"/>
      <c r="F6676" s="16"/>
      <c r="G6676" s="16"/>
      <c r="H6676" s="24"/>
      <c r="I6676" s="24"/>
      <c r="L6676"/>
    </row>
    <row r="6677" spans="1:12" x14ac:dyDescent="0.25">
      <c r="A6677" s="16"/>
      <c r="D6677" s="16"/>
      <c r="F6677" s="16"/>
      <c r="G6677" s="16"/>
      <c r="H6677" s="24"/>
      <c r="I6677" s="24"/>
      <c r="L6677"/>
    </row>
    <row r="6678" spans="1:12" x14ac:dyDescent="0.25">
      <c r="A6678" s="16"/>
      <c r="D6678" s="16"/>
      <c r="F6678" s="16"/>
      <c r="G6678" s="16"/>
      <c r="H6678" s="24"/>
      <c r="I6678" s="24"/>
      <c r="L6678"/>
    </row>
    <row r="6679" spans="1:12" x14ac:dyDescent="0.25">
      <c r="A6679" s="16"/>
      <c r="D6679" s="16"/>
      <c r="F6679" s="16"/>
      <c r="G6679" s="16"/>
      <c r="H6679" s="24"/>
      <c r="I6679" s="24"/>
      <c r="L6679"/>
    </row>
    <row r="6680" spans="1:12" x14ac:dyDescent="0.25">
      <c r="A6680" s="16"/>
      <c r="D6680" s="16"/>
      <c r="F6680" s="16"/>
      <c r="G6680" s="16"/>
      <c r="H6680" s="24"/>
      <c r="I6680" s="24"/>
      <c r="L6680"/>
    </row>
    <row r="6681" spans="1:12" x14ac:dyDescent="0.25">
      <c r="A6681" s="16"/>
      <c r="D6681" s="16"/>
      <c r="F6681" s="16"/>
      <c r="G6681" s="16"/>
      <c r="H6681" s="24"/>
      <c r="I6681" s="24"/>
      <c r="L6681"/>
    </row>
    <row r="6682" spans="1:12" x14ac:dyDescent="0.25">
      <c r="A6682" s="16"/>
      <c r="D6682" s="16"/>
      <c r="F6682" s="16"/>
      <c r="G6682" s="16"/>
      <c r="H6682" s="24"/>
      <c r="I6682" s="24"/>
      <c r="L6682"/>
    </row>
    <row r="6683" spans="1:12" x14ac:dyDescent="0.25">
      <c r="A6683" s="16"/>
      <c r="D6683" s="16"/>
      <c r="F6683" s="16"/>
      <c r="G6683" s="16"/>
      <c r="H6683" s="24"/>
      <c r="I6683" s="24"/>
      <c r="L6683"/>
    </row>
    <row r="6684" spans="1:12" x14ac:dyDescent="0.25">
      <c r="A6684" s="16"/>
      <c r="D6684" s="16"/>
      <c r="F6684" s="16"/>
      <c r="G6684" s="16"/>
      <c r="H6684" s="24"/>
      <c r="I6684" s="24"/>
      <c r="L6684"/>
    </row>
    <row r="6685" spans="1:12" x14ac:dyDescent="0.25">
      <c r="A6685" s="16"/>
      <c r="D6685" s="16"/>
      <c r="F6685" s="16"/>
      <c r="G6685" s="16"/>
      <c r="H6685" s="24"/>
      <c r="I6685" s="24"/>
      <c r="L6685"/>
    </row>
    <row r="6686" spans="1:12" x14ac:dyDescent="0.25">
      <c r="A6686" s="16"/>
      <c r="D6686" s="16"/>
      <c r="F6686" s="16"/>
      <c r="G6686" s="16"/>
      <c r="H6686" s="24"/>
      <c r="I6686" s="24"/>
      <c r="L6686"/>
    </row>
    <row r="6687" spans="1:12" x14ac:dyDescent="0.25">
      <c r="A6687" s="16"/>
      <c r="D6687" s="16"/>
      <c r="F6687" s="16"/>
      <c r="G6687" s="16"/>
      <c r="H6687" s="24"/>
      <c r="I6687" s="24"/>
      <c r="L6687"/>
    </row>
    <row r="6688" spans="1:12" x14ac:dyDescent="0.25">
      <c r="A6688" s="16"/>
      <c r="D6688" s="16"/>
      <c r="F6688" s="16"/>
      <c r="G6688" s="16"/>
      <c r="H6688" s="24"/>
      <c r="I6688" s="24"/>
      <c r="L6688"/>
    </row>
    <row r="6689" spans="1:12" x14ac:dyDescent="0.25">
      <c r="A6689" s="16"/>
      <c r="D6689" s="16"/>
      <c r="F6689" s="16"/>
      <c r="G6689" s="16"/>
      <c r="H6689" s="24"/>
      <c r="I6689" s="24"/>
      <c r="L6689"/>
    </row>
    <row r="6690" spans="1:12" x14ac:dyDescent="0.25">
      <c r="A6690" s="16"/>
      <c r="D6690" s="16"/>
      <c r="F6690" s="16"/>
      <c r="G6690" s="16"/>
      <c r="H6690" s="24"/>
      <c r="I6690" s="24"/>
      <c r="L6690"/>
    </row>
    <row r="6691" spans="1:12" x14ac:dyDescent="0.25">
      <c r="A6691" s="16"/>
      <c r="D6691" s="16"/>
      <c r="F6691" s="16"/>
      <c r="G6691" s="16"/>
      <c r="H6691" s="24"/>
      <c r="I6691" s="24"/>
      <c r="L6691"/>
    </row>
    <row r="6692" spans="1:12" x14ac:dyDescent="0.25">
      <c r="A6692" s="16"/>
      <c r="D6692" s="16"/>
      <c r="F6692" s="16"/>
      <c r="G6692" s="16"/>
      <c r="H6692" s="24"/>
      <c r="I6692" s="24"/>
      <c r="L6692"/>
    </row>
    <row r="6693" spans="1:12" x14ac:dyDescent="0.25">
      <c r="A6693" s="16"/>
      <c r="D6693" s="16"/>
      <c r="F6693" s="16"/>
      <c r="G6693" s="16"/>
      <c r="H6693" s="24"/>
      <c r="I6693" s="24"/>
      <c r="L6693"/>
    </row>
    <row r="6694" spans="1:12" x14ac:dyDescent="0.25">
      <c r="A6694" s="16"/>
      <c r="D6694" s="16"/>
      <c r="F6694" s="16"/>
      <c r="G6694" s="16"/>
      <c r="H6694" s="24"/>
      <c r="I6694" s="24"/>
      <c r="L6694"/>
    </row>
    <row r="6695" spans="1:12" x14ac:dyDescent="0.25">
      <c r="A6695" s="16"/>
      <c r="D6695" s="16"/>
      <c r="F6695" s="16"/>
      <c r="G6695" s="16"/>
      <c r="H6695" s="24"/>
      <c r="I6695" s="24"/>
      <c r="L6695"/>
    </row>
    <row r="6696" spans="1:12" x14ac:dyDescent="0.25">
      <c r="A6696" s="16"/>
      <c r="D6696" s="16"/>
      <c r="F6696" s="16"/>
      <c r="G6696" s="16"/>
      <c r="H6696" s="24"/>
      <c r="I6696" s="24"/>
      <c r="L6696"/>
    </row>
    <row r="6697" spans="1:12" x14ac:dyDescent="0.25">
      <c r="A6697" s="16"/>
      <c r="D6697" s="16"/>
      <c r="F6697" s="16"/>
      <c r="G6697" s="16"/>
      <c r="H6697" s="24"/>
      <c r="I6697" s="24"/>
      <c r="L6697"/>
    </row>
    <row r="6698" spans="1:12" x14ac:dyDescent="0.25">
      <c r="A6698" s="16"/>
      <c r="D6698" s="16"/>
      <c r="F6698" s="16"/>
      <c r="G6698" s="16"/>
      <c r="H6698" s="24"/>
      <c r="I6698" s="24"/>
      <c r="L6698"/>
    </row>
    <row r="6699" spans="1:12" x14ac:dyDescent="0.25">
      <c r="A6699" s="16"/>
      <c r="D6699" s="16"/>
      <c r="F6699" s="16"/>
      <c r="G6699" s="16"/>
      <c r="H6699" s="24"/>
      <c r="I6699" s="24"/>
      <c r="L6699"/>
    </row>
    <row r="6700" spans="1:12" x14ac:dyDescent="0.25">
      <c r="A6700" s="16"/>
      <c r="D6700" s="16"/>
      <c r="F6700" s="16"/>
      <c r="G6700" s="16"/>
      <c r="H6700" s="24"/>
      <c r="I6700" s="24"/>
      <c r="L6700"/>
    </row>
    <row r="6701" spans="1:12" x14ac:dyDescent="0.25">
      <c r="A6701" s="16"/>
      <c r="D6701" s="16"/>
      <c r="F6701" s="16"/>
      <c r="G6701" s="16"/>
      <c r="H6701" s="24"/>
      <c r="I6701" s="24"/>
      <c r="L6701"/>
    </row>
    <row r="6702" spans="1:12" x14ac:dyDescent="0.25">
      <c r="A6702" s="16"/>
      <c r="D6702" s="16"/>
      <c r="F6702" s="16"/>
      <c r="G6702" s="16"/>
      <c r="H6702" s="24"/>
      <c r="I6702" s="24"/>
      <c r="L6702"/>
    </row>
    <row r="6703" spans="1:12" x14ac:dyDescent="0.25">
      <c r="A6703" s="16"/>
      <c r="D6703" s="16"/>
      <c r="F6703" s="16"/>
      <c r="G6703" s="16"/>
      <c r="H6703" s="24"/>
      <c r="I6703" s="24"/>
      <c r="L6703"/>
    </row>
    <row r="6704" spans="1:12" x14ac:dyDescent="0.25">
      <c r="A6704" s="16"/>
      <c r="D6704" s="16"/>
      <c r="F6704" s="16"/>
      <c r="G6704" s="16"/>
      <c r="H6704" s="24"/>
      <c r="I6704" s="24"/>
      <c r="L6704"/>
    </row>
    <row r="6705" spans="1:12" x14ac:dyDescent="0.25">
      <c r="A6705" s="16"/>
      <c r="D6705" s="16"/>
      <c r="F6705" s="16"/>
      <c r="G6705" s="16"/>
      <c r="H6705" s="24"/>
      <c r="I6705" s="24"/>
      <c r="L6705"/>
    </row>
    <row r="6706" spans="1:12" x14ac:dyDescent="0.25">
      <c r="A6706" s="16"/>
      <c r="D6706" s="16"/>
      <c r="F6706" s="16"/>
      <c r="G6706" s="16"/>
      <c r="H6706" s="24"/>
      <c r="I6706" s="24"/>
      <c r="L6706"/>
    </row>
    <row r="6707" spans="1:12" x14ac:dyDescent="0.25">
      <c r="A6707" s="16"/>
      <c r="D6707" s="16"/>
      <c r="F6707" s="16"/>
      <c r="G6707" s="16"/>
      <c r="H6707" s="24"/>
      <c r="I6707" s="24"/>
      <c r="L6707"/>
    </row>
    <row r="6708" spans="1:12" x14ac:dyDescent="0.25">
      <c r="A6708" s="16"/>
      <c r="D6708" s="16"/>
      <c r="F6708" s="16"/>
      <c r="G6708" s="16"/>
      <c r="H6708" s="24"/>
      <c r="I6708" s="24"/>
      <c r="L6708"/>
    </row>
    <row r="6709" spans="1:12" x14ac:dyDescent="0.25">
      <c r="A6709" s="16"/>
      <c r="D6709" s="16"/>
      <c r="F6709" s="16"/>
      <c r="G6709" s="16"/>
      <c r="H6709" s="24"/>
      <c r="I6709" s="24"/>
      <c r="L6709"/>
    </row>
    <row r="6710" spans="1:12" x14ac:dyDescent="0.25">
      <c r="A6710" s="16"/>
      <c r="D6710" s="16"/>
      <c r="F6710" s="16"/>
      <c r="G6710" s="16"/>
      <c r="H6710" s="24"/>
      <c r="I6710" s="24"/>
      <c r="L6710"/>
    </row>
    <row r="6711" spans="1:12" x14ac:dyDescent="0.25">
      <c r="A6711" s="16"/>
      <c r="D6711" s="16"/>
      <c r="F6711" s="16"/>
      <c r="G6711" s="16"/>
      <c r="H6711" s="24"/>
      <c r="I6711" s="24"/>
      <c r="L6711"/>
    </row>
    <row r="6712" spans="1:12" x14ac:dyDescent="0.25">
      <c r="A6712" s="16"/>
      <c r="D6712" s="16"/>
      <c r="F6712" s="16"/>
      <c r="G6712" s="16"/>
      <c r="H6712" s="24"/>
      <c r="I6712" s="24"/>
      <c r="L6712"/>
    </row>
    <row r="6713" spans="1:12" x14ac:dyDescent="0.25">
      <c r="A6713" s="16"/>
      <c r="D6713" s="16"/>
      <c r="F6713" s="16"/>
      <c r="G6713" s="16"/>
      <c r="H6713" s="24"/>
      <c r="I6713" s="24"/>
      <c r="L6713"/>
    </row>
    <row r="6714" spans="1:12" x14ac:dyDescent="0.25">
      <c r="A6714" s="16"/>
      <c r="D6714" s="16"/>
      <c r="F6714" s="16"/>
      <c r="G6714" s="16"/>
      <c r="H6714" s="24"/>
      <c r="I6714" s="24"/>
      <c r="L6714"/>
    </row>
    <row r="6715" spans="1:12" x14ac:dyDescent="0.25">
      <c r="A6715" s="16"/>
      <c r="D6715" s="16"/>
      <c r="F6715" s="16"/>
      <c r="G6715" s="16"/>
      <c r="H6715" s="24"/>
      <c r="I6715" s="24"/>
      <c r="L6715"/>
    </row>
    <row r="6716" spans="1:12" x14ac:dyDescent="0.25">
      <c r="A6716" s="16"/>
      <c r="D6716" s="16"/>
      <c r="F6716" s="16"/>
      <c r="G6716" s="16"/>
      <c r="H6716" s="24"/>
      <c r="I6716" s="24"/>
      <c r="L6716"/>
    </row>
    <row r="6717" spans="1:12" x14ac:dyDescent="0.25">
      <c r="A6717" s="16"/>
      <c r="D6717" s="16"/>
      <c r="F6717" s="16"/>
      <c r="G6717" s="16"/>
      <c r="H6717" s="24"/>
      <c r="I6717" s="24"/>
      <c r="L6717"/>
    </row>
    <row r="6718" spans="1:12" x14ac:dyDescent="0.25">
      <c r="A6718" s="16"/>
      <c r="D6718" s="16"/>
      <c r="F6718" s="16"/>
      <c r="G6718" s="16"/>
      <c r="H6718" s="24"/>
      <c r="I6718" s="24"/>
      <c r="L6718"/>
    </row>
    <row r="6719" spans="1:12" x14ac:dyDescent="0.25">
      <c r="A6719" s="16"/>
      <c r="D6719" s="16"/>
      <c r="F6719" s="16"/>
      <c r="G6719" s="16"/>
      <c r="H6719" s="24"/>
      <c r="I6719" s="24"/>
      <c r="L6719"/>
    </row>
    <row r="6720" spans="1:12" x14ac:dyDescent="0.25">
      <c r="A6720" s="16"/>
      <c r="D6720" s="16"/>
      <c r="F6720" s="16"/>
      <c r="G6720" s="16"/>
      <c r="H6720" s="24"/>
      <c r="I6720" s="24"/>
      <c r="L6720"/>
    </row>
    <row r="6721" spans="1:12" x14ac:dyDescent="0.25">
      <c r="A6721" s="16"/>
      <c r="D6721" s="16"/>
      <c r="F6721" s="16"/>
      <c r="G6721" s="16"/>
      <c r="H6721" s="24"/>
      <c r="I6721" s="24"/>
      <c r="L6721"/>
    </row>
    <row r="6722" spans="1:12" x14ac:dyDescent="0.25">
      <c r="A6722" s="16"/>
      <c r="D6722" s="16"/>
      <c r="F6722" s="16"/>
      <c r="G6722" s="16"/>
      <c r="H6722" s="24"/>
      <c r="I6722" s="24"/>
      <c r="L6722"/>
    </row>
    <row r="6723" spans="1:12" x14ac:dyDescent="0.25">
      <c r="A6723" s="16"/>
      <c r="D6723" s="16"/>
      <c r="F6723" s="16"/>
      <c r="G6723" s="16"/>
      <c r="H6723" s="24"/>
      <c r="I6723" s="24"/>
      <c r="L6723"/>
    </row>
    <row r="6724" spans="1:12" x14ac:dyDescent="0.25">
      <c r="A6724" s="16"/>
      <c r="D6724" s="16"/>
      <c r="F6724" s="16"/>
      <c r="G6724" s="16"/>
      <c r="H6724" s="24"/>
      <c r="I6724" s="24"/>
      <c r="L6724"/>
    </row>
    <row r="6725" spans="1:12" x14ac:dyDescent="0.25">
      <c r="A6725" s="16"/>
      <c r="D6725" s="16"/>
      <c r="F6725" s="16"/>
      <c r="G6725" s="16"/>
      <c r="H6725" s="24"/>
      <c r="I6725" s="24"/>
      <c r="L6725"/>
    </row>
    <row r="6726" spans="1:12" x14ac:dyDescent="0.25">
      <c r="A6726" s="16"/>
      <c r="D6726" s="16"/>
      <c r="F6726" s="16"/>
      <c r="G6726" s="16"/>
      <c r="H6726" s="24"/>
      <c r="I6726" s="24"/>
      <c r="L6726"/>
    </row>
    <row r="6727" spans="1:12" x14ac:dyDescent="0.25">
      <c r="A6727" s="16"/>
      <c r="D6727" s="16"/>
      <c r="F6727" s="16"/>
      <c r="G6727" s="16"/>
      <c r="H6727" s="24"/>
      <c r="I6727" s="24"/>
      <c r="L6727"/>
    </row>
    <row r="6728" spans="1:12" x14ac:dyDescent="0.25">
      <c r="A6728" s="16"/>
      <c r="D6728" s="16"/>
      <c r="F6728" s="16"/>
      <c r="G6728" s="16"/>
      <c r="H6728" s="24"/>
      <c r="I6728" s="24"/>
      <c r="L6728"/>
    </row>
    <row r="6729" spans="1:12" x14ac:dyDescent="0.25">
      <c r="A6729" s="16"/>
      <c r="D6729" s="16"/>
      <c r="F6729" s="16"/>
      <c r="G6729" s="16"/>
      <c r="H6729" s="24"/>
      <c r="I6729" s="24"/>
      <c r="L6729"/>
    </row>
    <row r="6730" spans="1:12" x14ac:dyDescent="0.25">
      <c r="A6730" s="16"/>
      <c r="D6730" s="16"/>
      <c r="F6730" s="16"/>
      <c r="G6730" s="16"/>
      <c r="H6730" s="24"/>
      <c r="I6730" s="24"/>
      <c r="L6730"/>
    </row>
    <row r="6731" spans="1:12" x14ac:dyDescent="0.25">
      <c r="A6731" s="16"/>
      <c r="D6731" s="16"/>
      <c r="F6731" s="16"/>
      <c r="G6731" s="16"/>
      <c r="H6731" s="24"/>
      <c r="I6731" s="24"/>
      <c r="L6731"/>
    </row>
    <row r="6732" spans="1:12" x14ac:dyDescent="0.25">
      <c r="A6732" s="16"/>
      <c r="D6732" s="16"/>
      <c r="F6732" s="16"/>
      <c r="G6732" s="16"/>
      <c r="H6732" s="24"/>
      <c r="I6732" s="24"/>
      <c r="L6732"/>
    </row>
    <row r="6733" spans="1:12" x14ac:dyDescent="0.25">
      <c r="A6733" s="16"/>
      <c r="D6733" s="16"/>
      <c r="F6733" s="16"/>
      <c r="G6733" s="16"/>
      <c r="H6733" s="24"/>
      <c r="I6733" s="24"/>
      <c r="L6733"/>
    </row>
    <row r="6734" spans="1:12" x14ac:dyDescent="0.25">
      <c r="A6734" s="16"/>
      <c r="D6734" s="16"/>
      <c r="F6734" s="16"/>
      <c r="G6734" s="16"/>
      <c r="H6734" s="24"/>
      <c r="I6734" s="24"/>
      <c r="L6734"/>
    </row>
    <row r="6735" spans="1:12" x14ac:dyDescent="0.25">
      <c r="A6735" s="16"/>
      <c r="D6735" s="16"/>
      <c r="F6735" s="16"/>
      <c r="G6735" s="16"/>
      <c r="H6735" s="24"/>
      <c r="I6735" s="24"/>
      <c r="L6735"/>
    </row>
    <row r="6736" spans="1:12" x14ac:dyDescent="0.25">
      <c r="A6736" s="16"/>
      <c r="D6736" s="16"/>
      <c r="F6736" s="16"/>
      <c r="G6736" s="16"/>
      <c r="H6736" s="24"/>
      <c r="I6736" s="24"/>
      <c r="L6736"/>
    </row>
    <row r="6737" spans="1:12" x14ac:dyDescent="0.25">
      <c r="A6737" s="16"/>
      <c r="D6737" s="16"/>
      <c r="F6737" s="16"/>
      <c r="G6737" s="16"/>
      <c r="H6737" s="24"/>
      <c r="I6737" s="24"/>
      <c r="L6737"/>
    </row>
    <row r="6738" spans="1:12" x14ac:dyDescent="0.25">
      <c r="A6738" s="16"/>
      <c r="D6738" s="16"/>
      <c r="F6738" s="16"/>
      <c r="G6738" s="16"/>
      <c r="H6738" s="24"/>
      <c r="I6738" s="24"/>
      <c r="L6738"/>
    </row>
    <row r="6739" spans="1:12" x14ac:dyDescent="0.25">
      <c r="A6739" s="16"/>
      <c r="D6739" s="16"/>
      <c r="F6739" s="16"/>
      <c r="G6739" s="16"/>
      <c r="H6739" s="24"/>
      <c r="I6739" s="24"/>
      <c r="L6739"/>
    </row>
    <row r="6740" spans="1:12" x14ac:dyDescent="0.25">
      <c r="A6740" s="16"/>
      <c r="D6740" s="16"/>
      <c r="F6740" s="16"/>
      <c r="G6740" s="16"/>
      <c r="H6740" s="24"/>
      <c r="I6740" s="24"/>
      <c r="L6740"/>
    </row>
    <row r="6741" spans="1:12" x14ac:dyDescent="0.25">
      <c r="A6741" s="16"/>
      <c r="D6741" s="16"/>
      <c r="F6741" s="16"/>
      <c r="G6741" s="16"/>
      <c r="H6741" s="24"/>
      <c r="I6741" s="24"/>
      <c r="L6741"/>
    </row>
    <row r="6742" spans="1:12" x14ac:dyDescent="0.25">
      <c r="A6742" s="16"/>
      <c r="D6742" s="16"/>
      <c r="F6742" s="16"/>
      <c r="G6742" s="16"/>
      <c r="H6742" s="24"/>
      <c r="I6742" s="24"/>
      <c r="L6742"/>
    </row>
    <row r="6743" spans="1:12" x14ac:dyDescent="0.25">
      <c r="A6743" s="16"/>
      <c r="D6743" s="16"/>
      <c r="F6743" s="16"/>
      <c r="G6743" s="16"/>
      <c r="H6743" s="24"/>
      <c r="I6743" s="24"/>
      <c r="L6743"/>
    </row>
    <row r="6744" spans="1:12" x14ac:dyDescent="0.25">
      <c r="A6744" s="16"/>
      <c r="D6744" s="16"/>
      <c r="F6744" s="16"/>
      <c r="G6744" s="16"/>
      <c r="H6744" s="24"/>
      <c r="I6744" s="24"/>
      <c r="L6744"/>
    </row>
    <row r="6745" spans="1:12" x14ac:dyDescent="0.25">
      <c r="A6745" s="16"/>
      <c r="D6745" s="16"/>
      <c r="F6745" s="16"/>
      <c r="G6745" s="16"/>
      <c r="H6745" s="24"/>
      <c r="I6745" s="24"/>
      <c r="L6745"/>
    </row>
    <row r="6746" spans="1:12" x14ac:dyDescent="0.25">
      <c r="A6746" s="16"/>
      <c r="D6746" s="16"/>
      <c r="F6746" s="16"/>
      <c r="G6746" s="16"/>
      <c r="H6746" s="24"/>
      <c r="I6746" s="24"/>
      <c r="L6746"/>
    </row>
    <row r="6747" spans="1:12" x14ac:dyDescent="0.25">
      <c r="A6747" s="16"/>
      <c r="D6747" s="16"/>
      <c r="F6747" s="16"/>
      <c r="G6747" s="16"/>
      <c r="H6747" s="24"/>
      <c r="I6747" s="24"/>
      <c r="L6747"/>
    </row>
    <row r="6748" spans="1:12" x14ac:dyDescent="0.25">
      <c r="A6748" s="16"/>
      <c r="D6748" s="16"/>
      <c r="F6748" s="16"/>
      <c r="G6748" s="16"/>
      <c r="H6748" s="24"/>
      <c r="I6748" s="24"/>
      <c r="L6748"/>
    </row>
    <row r="6749" spans="1:12" x14ac:dyDescent="0.25">
      <c r="A6749" s="16"/>
      <c r="D6749" s="16"/>
      <c r="F6749" s="16"/>
      <c r="G6749" s="16"/>
      <c r="H6749" s="24"/>
      <c r="I6749" s="24"/>
      <c r="L6749"/>
    </row>
    <row r="6750" spans="1:12" x14ac:dyDescent="0.25">
      <c r="A6750" s="16"/>
      <c r="D6750" s="16"/>
      <c r="F6750" s="16"/>
      <c r="G6750" s="16"/>
      <c r="H6750" s="24"/>
      <c r="I6750" s="24"/>
      <c r="L6750"/>
    </row>
    <row r="6751" spans="1:12" x14ac:dyDescent="0.25">
      <c r="A6751" s="16"/>
      <c r="D6751" s="16"/>
      <c r="F6751" s="16"/>
      <c r="G6751" s="16"/>
      <c r="H6751" s="24"/>
      <c r="I6751" s="24"/>
      <c r="L6751"/>
    </row>
    <row r="6752" spans="1:12" x14ac:dyDescent="0.25">
      <c r="A6752" s="16"/>
      <c r="D6752" s="16"/>
      <c r="F6752" s="16"/>
      <c r="G6752" s="16"/>
      <c r="H6752" s="24"/>
      <c r="I6752" s="24"/>
      <c r="L6752"/>
    </row>
    <row r="6753" spans="1:12" x14ac:dyDescent="0.25">
      <c r="A6753" s="16"/>
      <c r="D6753" s="16"/>
      <c r="F6753" s="16"/>
      <c r="G6753" s="16"/>
      <c r="H6753" s="24"/>
      <c r="I6753" s="24"/>
      <c r="L6753"/>
    </row>
    <row r="6754" spans="1:12" x14ac:dyDescent="0.25">
      <c r="A6754" s="16"/>
      <c r="D6754" s="16"/>
      <c r="F6754" s="16"/>
      <c r="G6754" s="16"/>
      <c r="H6754" s="24"/>
      <c r="I6754" s="24"/>
      <c r="L6754"/>
    </row>
    <row r="6755" spans="1:12" x14ac:dyDescent="0.25">
      <c r="A6755" s="16"/>
      <c r="D6755" s="16"/>
      <c r="F6755" s="16"/>
      <c r="G6755" s="16"/>
      <c r="H6755" s="24"/>
      <c r="I6755" s="24"/>
      <c r="L6755"/>
    </row>
    <row r="6756" spans="1:12" x14ac:dyDescent="0.25">
      <c r="A6756" s="16"/>
      <c r="D6756" s="16"/>
      <c r="F6756" s="16"/>
      <c r="G6756" s="16"/>
      <c r="H6756" s="24"/>
      <c r="I6756" s="24"/>
      <c r="L6756"/>
    </row>
    <row r="6757" spans="1:12" x14ac:dyDescent="0.25">
      <c r="A6757" s="16"/>
      <c r="D6757" s="16"/>
      <c r="F6757" s="16"/>
      <c r="G6757" s="16"/>
      <c r="H6757" s="24"/>
      <c r="I6757" s="24"/>
      <c r="L6757"/>
    </row>
    <row r="6758" spans="1:12" x14ac:dyDescent="0.25">
      <c r="A6758" s="16"/>
      <c r="D6758" s="16"/>
      <c r="F6758" s="16"/>
      <c r="G6758" s="16"/>
      <c r="H6758" s="24"/>
      <c r="I6758" s="24"/>
      <c r="L6758"/>
    </row>
    <row r="6759" spans="1:12" x14ac:dyDescent="0.25">
      <c r="A6759" s="16"/>
      <c r="D6759" s="16"/>
      <c r="F6759" s="16"/>
      <c r="G6759" s="16"/>
      <c r="H6759" s="24"/>
      <c r="I6759" s="24"/>
      <c r="L6759"/>
    </row>
    <row r="6760" spans="1:12" x14ac:dyDescent="0.25">
      <c r="A6760" s="16"/>
      <c r="D6760" s="16"/>
      <c r="F6760" s="16"/>
      <c r="G6760" s="16"/>
      <c r="H6760" s="24"/>
      <c r="I6760" s="24"/>
      <c r="L6760"/>
    </row>
    <row r="6761" spans="1:12" x14ac:dyDescent="0.25">
      <c r="A6761" s="16"/>
      <c r="D6761" s="16"/>
      <c r="F6761" s="16"/>
      <c r="G6761" s="16"/>
      <c r="H6761" s="24"/>
      <c r="I6761" s="24"/>
      <c r="L6761"/>
    </row>
    <row r="6762" spans="1:12" x14ac:dyDescent="0.25">
      <c r="A6762" s="16"/>
      <c r="D6762" s="16"/>
      <c r="F6762" s="16"/>
      <c r="G6762" s="16"/>
      <c r="H6762" s="24"/>
      <c r="I6762" s="24"/>
      <c r="L6762"/>
    </row>
    <row r="6763" spans="1:12" x14ac:dyDescent="0.25">
      <c r="A6763" s="16"/>
      <c r="D6763" s="16"/>
      <c r="F6763" s="16"/>
      <c r="G6763" s="16"/>
      <c r="H6763" s="24"/>
      <c r="I6763" s="24"/>
      <c r="L6763"/>
    </row>
    <row r="6764" spans="1:12" x14ac:dyDescent="0.25">
      <c r="A6764" s="16"/>
      <c r="D6764" s="16"/>
      <c r="F6764" s="16"/>
      <c r="G6764" s="16"/>
      <c r="H6764" s="24"/>
      <c r="I6764" s="24"/>
      <c r="L6764"/>
    </row>
    <row r="6765" spans="1:12" x14ac:dyDescent="0.25">
      <c r="A6765" s="16"/>
      <c r="D6765" s="16"/>
      <c r="F6765" s="16"/>
      <c r="G6765" s="16"/>
      <c r="H6765" s="24"/>
      <c r="I6765" s="24"/>
      <c r="L6765"/>
    </row>
    <row r="6766" spans="1:12" x14ac:dyDescent="0.25">
      <c r="A6766" s="16"/>
      <c r="D6766" s="16"/>
      <c r="F6766" s="16"/>
      <c r="G6766" s="16"/>
      <c r="H6766" s="24"/>
      <c r="I6766" s="24"/>
      <c r="L6766"/>
    </row>
    <row r="6767" spans="1:12" x14ac:dyDescent="0.25">
      <c r="A6767" s="16"/>
      <c r="D6767" s="16"/>
      <c r="F6767" s="16"/>
      <c r="G6767" s="16"/>
      <c r="H6767" s="24"/>
      <c r="I6767" s="24"/>
      <c r="L6767"/>
    </row>
    <row r="6768" spans="1:12" x14ac:dyDescent="0.25">
      <c r="A6768" s="16"/>
      <c r="D6768" s="16"/>
      <c r="F6768" s="16"/>
      <c r="G6768" s="16"/>
      <c r="H6768" s="24"/>
      <c r="I6768" s="24"/>
      <c r="L6768"/>
    </row>
    <row r="6769" spans="1:12" x14ac:dyDescent="0.25">
      <c r="A6769" s="16"/>
      <c r="D6769" s="16"/>
      <c r="F6769" s="16"/>
      <c r="G6769" s="16"/>
      <c r="H6769" s="24"/>
      <c r="I6769" s="24"/>
      <c r="L6769"/>
    </row>
    <row r="6770" spans="1:12" x14ac:dyDescent="0.25">
      <c r="A6770" s="16"/>
      <c r="D6770" s="16"/>
      <c r="F6770" s="16"/>
      <c r="G6770" s="16"/>
      <c r="H6770" s="24"/>
      <c r="I6770" s="24"/>
      <c r="L6770"/>
    </row>
    <row r="6771" spans="1:12" x14ac:dyDescent="0.25">
      <c r="A6771" s="16"/>
      <c r="D6771" s="16"/>
      <c r="F6771" s="16"/>
      <c r="G6771" s="16"/>
      <c r="H6771" s="24"/>
      <c r="I6771" s="24"/>
      <c r="L6771"/>
    </row>
    <row r="6772" spans="1:12" x14ac:dyDescent="0.25">
      <c r="A6772" s="16"/>
      <c r="D6772" s="16"/>
      <c r="F6772" s="16"/>
      <c r="G6772" s="16"/>
      <c r="H6772" s="24"/>
      <c r="I6772" s="24"/>
      <c r="L6772"/>
    </row>
    <row r="6773" spans="1:12" x14ac:dyDescent="0.25">
      <c r="A6773" s="16"/>
      <c r="D6773" s="16"/>
      <c r="F6773" s="16"/>
      <c r="G6773" s="16"/>
      <c r="H6773" s="24"/>
      <c r="I6773" s="24"/>
      <c r="L6773"/>
    </row>
    <row r="6774" spans="1:12" x14ac:dyDescent="0.25">
      <c r="A6774" s="16"/>
      <c r="D6774" s="16"/>
      <c r="F6774" s="16"/>
      <c r="G6774" s="16"/>
      <c r="H6774" s="24"/>
      <c r="I6774" s="24"/>
      <c r="L6774"/>
    </row>
    <row r="6775" spans="1:12" x14ac:dyDescent="0.25">
      <c r="A6775" s="16"/>
      <c r="D6775" s="16"/>
      <c r="F6775" s="16"/>
      <c r="G6775" s="16"/>
      <c r="H6775" s="24"/>
      <c r="I6775" s="24"/>
      <c r="L6775"/>
    </row>
    <row r="6776" spans="1:12" x14ac:dyDescent="0.25">
      <c r="A6776" s="16"/>
      <c r="D6776" s="16"/>
      <c r="F6776" s="16"/>
      <c r="G6776" s="16"/>
      <c r="H6776" s="24"/>
      <c r="I6776" s="24"/>
      <c r="L6776"/>
    </row>
    <row r="6777" spans="1:12" x14ac:dyDescent="0.25">
      <c r="A6777" s="16"/>
      <c r="D6777" s="16"/>
      <c r="F6777" s="16"/>
      <c r="G6777" s="16"/>
      <c r="H6777" s="24"/>
      <c r="I6777" s="24"/>
      <c r="L6777"/>
    </row>
    <row r="6778" spans="1:12" x14ac:dyDescent="0.25">
      <c r="A6778" s="16"/>
      <c r="D6778" s="16"/>
      <c r="F6778" s="16"/>
      <c r="G6778" s="16"/>
      <c r="H6778" s="24"/>
      <c r="I6778" s="24"/>
      <c r="L6778"/>
    </row>
    <row r="6779" spans="1:12" x14ac:dyDescent="0.25">
      <c r="A6779" s="16"/>
      <c r="D6779" s="16"/>
      <c r="F6779" s="16"/>
      <c r="G6779" s="16"/>
      <c r="H6779" s="24"/>
      <c r="I6779" s="24"/>
      <c r="L6779"/>
    </row>
    <row r="6780" spans="1:12" x14ac:dyDescent="0.25">
      <c r="A6780" s="16"/>
      <c r="D6780" s="16"/>
      <c r="F6780" s="16"/>
      <c r="G6780" s="16"/>
      <c r="H6780" s="24"/>
      <c r="I6780" s="24"/>
      <c r="L6780"/>
    </row>
    <row r="6781" spans="1:12" x14ac:dyDescent="0.25">
      <c r="A6781" s="16"/>
      <c r="D6781" s="16"/>
      <c r="F6781" s="16"/>
      <c r="G6781" s="16"/>
      <c r="H6781" s="24"/>
      <c r="I6781" s="24"/>
      <c r="L6781"/>
    </row>
    <row r="6782" spans="1:12" x14ac:dyDescent="0.25">
      <c r="A6782" s="16"/>
      <c r="D6782" s="16"/>
      <c r="F6782" s="16"/>
      <c r="G6782" s="16"/>
      <c r="H6782" s="24"/>
      <c r="I6782" s="24"/>
      <c r="L6782"/>
    </row>
    <row r="6783" spans="1:12" x14ac:dyDescent="0.25">
      <c r="A6783" s="16"/>
      <c r="D6783" s="16"/>
      <c r="F6783" s="16"/>
      <c r="G6783" s="16"/>
      <c r="H6783" s="24"/>
      <c r="I6783" s="24"/>
      <c r="L6783"/>
    </row>
    <row r="6784" spans="1:12" x14ac:dyDescent="0.25">
      <c r="A6784" s="16"/>
      <c r="D6784" s="16"/>
      <c r="F6784" s="16"/>
      <c r="G6784" s="16"/>
      <c r="H6784" s="24"/>
      <c r="I6784" s="24"/>
      <c r="L6784"/>
    </row>
    <row r="6785" spans="1:12" x14ac:dyDescent="0.25">
      <c r="A6785" s="16"/>
      <c r="D6785" s="16"/>
      <c r="F6785" s="16"/>
      <c r="G6785" s="16"/>
      <c r="H6785" s="24"/>
      <c r="I6785" s="24"/>
      <c r="L6785"/>
    </row>
    <row r="6786" spans="1:12" x14ac:dyDescent="0.25">
      <c r="A6786" s="16"/>
      <c r="D6786" s="16"/>
      <c r="F6786" s="16"/>
      <c r="G6786" s="16"/>
      <c r="H6786" s="24"/>
      <c r="I6786" s="24"/>
      <c r="L6786"/>
    </row>
    <row r="6787" spans="1:12" x14ac:dyDescent="0.25">
      <c r="A6787" s="16"/>
      <c r="D6787" s="16"/>
      <c r="F6787" s="16"/>
      <c r="G6787" s="16"/>
      <c r="H6787" s="24"/>
      <c r="I6787" s="24"/>
      <c r="L6787"/>
    </row>
    <row r="6788" spans="1:12" x14ac:dyDescent="0.25">
      <c r="A6788" s="16"/>
      <c r="D6788" s="16"/>
      <c r="F6788" s="16"/>
      <c r="G6788" s="16"/>
      <c r="H6788" s="24"/>
      <c r="I6788" s="24"/>
      <c r="L6788"/>
    </row>
    <row r="6789" spans="1:12" x14ac:dyDescent="0.25">
      <c r="A6789" s="16"/>
      <c r="D6789" s="16"/>
      <c r="F6789" s="16"/>
      <c r="G6789" s="16"/>
      <c r="H6789" s="24"/>
      <c r="I6789" s="24"/>
      <c r="L6789"/>
    </row>
    <row r="6790" spans="1:12" x14ac:dyDescent="0.25">
      <c r="A6790" s="16"/>
      <c r="D6790" s="16"/>
      <c r="F6790" s="16"/>
      <c r="G6790" s="16"/>
      <c r="H6790" s="24"/>
      <c r="I6790" s="24"/>
      <c r="L6790"/>
    </row>
    <row r="6791" spans="1:12" x14ac:dyDescent="0.25">
      <c r="A6791" s="16"/>
      <c r="D6791" s="16"/>
      <c r="F6791" s="16"/>
      <c r="G6791" s="16"/>
      <c r="H6791" s="24"/>
      <c r="I6791" s="24"/>
      <c r="L6791"/>
    </row>
    <row r="6792" spans="1:12" x14ac:dyDescent="0.25">
      <c r="A6792" s="16"/>
      <c r="D6792" s="16"/>
      <c r="F6792" s="16"/>
      <c r="G6792" s="16"/>
      <c r="H6792" s="24"/>
      <c r="I6792" s="24"/>
      <c r="L6792"/>
    </row>
    <row r="6793" spans="1:12" x14ac:dyDescent="0.25">
      <c r="A6793" s="16"/>
      <c r="D6793" s="16"/>
      <c r="F6793" s="16"/>
      <c r="G6793" s="16"/>
      <c r="H6793" s="24"/>
      <c r="I6793" s="24"/>
      <c r="L6793"/>
    </row>
    <row r="6794" spans="1:12" x14ac:dyDescent="0.25">
      <c r="A6794" s="16"/>
      <c r="D6794" s="16"/>
      <c r="F6794" s="16"/>
      <c r="G6794" s="16"/>
      <c r="H6794" s="24"/>
      <c r="I6794" s="24"/>
      <c r="L6794"/>
    </row>
    <row r="6795" spans="1:12" x14ac:dyDescent="0.25">
      <c r="A6795" s="16"/>
      <c r="D6795" s="16"/>
      <c r="F6795" s="16"/>
      <c r="G6795" s="16"/>
      <c r="H6795" s="24"/>
      <c r="I6795" s="24"/>
      <c r="L6795"/>
    </row>
    <row r="6796" spans="1:12" x14ac:dyDescent="0.25">
      <c r="A6796" s="16"/>
      <c r="D6796" s="16"/>
      <c r="F6796" s="16"/>
      <c r="G6796" s="16"/>
      <c r="H6796" s="24"/>
      <c r="I6796" s="24"/>
      <c r="L6796"/>
    </row>
    <row r="6797" spans="1:12" x14ac:dyDescent="0.25">
      <c r="A6797" s="16"/>
      <c r="D6797" s="16"/>
      <c r="F6797" s="16"/>
      <c r="G6797" s="16"/>
      <c r="H6797" s="24"/>
      <c r="I6797" s="24"/>
      <c r="L6797"/>
    </row>
    <row r="6798" spans="1:12" x14ac:dyDescent="0.25">
      <c r="A6798" s="16"/>
      <c r="D6798" s="16"/>
      <c r="F6798" s="16"/>
      <c r="G6798" s="16"/>
      <c r="H6798" s="24"/>
      <c r="I6798" s="24"/>
      <c r="L6798"/>
    </row>
    <row r="6799" spans="1:12" x14ac:dyDescent="0.25">
      <c r="A6799" s="16"/>
      <c r="D6799" s="16"/>
      <c r="F6799" s="16"/>
      <c r="G6799" s="16"/>
      <c r="H6799" s="24"/>
      <c r="I6799" s="24"/>
      <c r="L6799"/>
    </row>
    <row r="6800" spans="1:12" x14ac:dyDescent="0.25">
      <c r="A6800" s="16"/>
      <c r="D6800" s="16"/>
      <c r="F6800" s="16"/>
      <c r="G6800" s="16"/>
      <c r="H6800" s="24"/>
      <c r="I6800" s="24"/>
      <c r="L6800"/>
    </row>
    <row r="6801" spans="1:12" x14ac:dyDescent="0.25">
      <c r="A6801" s="16"/>
      <c r="D6801" s="16"/>
      <c r="F6801" s="16"/>
      <c r="G6801" s="16"/>
      <c r="H6801" s="24"/>
      <c r="I6801" s="24"/>
      <c r="L6801"/>
    </row>
    <row r="6802" spans="1:12" x14ac:dyDescent="0.25">
      <c r="A6802" s="16"/>
      <c r="D6802" s="16"/>
      <c r="F6802" s="16"/>
      <c r="G6802" s="16"/>
      <c r="H6802" s="24"/>
      <c r="I6802" s="24"/>
      <c r="L6802"/>
    </row>
    <row r="6803" spans="1:12" x14ac:dyDescent="0.25">
      <c r="A6803" s="16"/>
      <c r="D6803" s="16"/>
      <c r="F6803" s="16"/>
      <c r="G6803" s="16"/>
      <c r="H6803" s="24"/>
      <c r="I6803" s="24"/>
      <c r="L6803"/>
    </row>
    <row r="6804" spans="1:12" x14ac:dyDescent="0.25">
      <c r="A6804" s="16"/>
      <c r="D6804" s="16"/>
      <c r="F6804" s="16"/>
      <c r="G6804" s="16"/>
      <c r="H6804" s="24"/>
      <c r="I6804" s="24"/>
      <c r="L6804"/>
    </row>
    <row r="6805" spans="1:12" x14ac:dyDescent="0.25">
      <c r="A6805" s="16"/>
      <c r="D6805" s="16"/>
      <c r="F6805" s="16"/>
      <c r="G6805" s="16"/>
      <c r="H6805" s="24"/>
      <c r="I6805" s="24"/>
      <c r="L6805"/>
    </row>
    <row r="6806" spans="1:12" x14ac:dyDescent="0.25">
      <c r="A6806" s="16"/>
      <c r="D6806" s="16"/>
      <c r="F6806" s="16"/>
      <c r="G6806" s="16"/>
      <c r="H6806" s="24"/>
      <c r="I6806" s="24"/>
      <c r="L6806"/>
    </row>
    <row r="6807" spans="1:12" x14ac:dyDescent="0.25">
      <c r="A6807" s="16"/>
      <c r="D6807" s="16"/>
      <c r="F6807" s="16"/>
      <c r="G6807" s="16"/>
      <c r="H6807" s="24"/>
      <c r="I6807" s="24"/>
      <c r="L6807"/>
    </row>
    <row r="6808" spans="1:12" x14ac:dyDescent="0.25">
      <c r="A6808" s="16"/>
      <c r="D6808" s="16"/>
      <c r="F6808" s="16"/>
      <c r="G6808" s="16"/>
      <c r="H6808" s="24"/>
      <c r="I6808" s="24"/>
      <c r="L6808"/>
    </row>
    <row r="6809" spans="1:12" x14ac:dyDescent="0.25">
      <c r="A6809" s="16"/>
      <c r="D6809" s="16"/>
      <c r="F6809" s="16"/>
      <c r="G6809" s="16"/>
      <c r="H6809" s="24"/>
      <c r="I6809" s="24"/>
      <c r="L6809"/>
    </row>
    <row r="6810" spans="1:12" x14ac:dyDescent="0.25">
      <c r="A6810" s="16"/>
      <c r="D6810" s="16"/>
      <c r="F6810" s="16"/>
      <c r="G6810" s="16"/>
      <c r="H6810" s="24"/>
      <c r="I6810" s="24"/>
      <c r="L6810"/>
    </row>
    <row r="6811" spans="1:12" x14ac:dyDescent="0.25">
      <c r="A6811" s="16"/>
      <c r="D6811" s="16"/>
      <c r="F6811" s="16"/>
      <c r="G6811" s="16"/>
      <c r="H6811" s="24"/>
      <c r="I6811" s="24"/>
      <c r="L6811"/>
    </row>
    <row r="6812" spans="1:12" x14ac:dyDescent="0.25">
      <c r="A6812" s="16"/>
      <c r="D6812" s="16"/>
      <c r="F6812" s="16"/>
      <c r="G6812" s="16"/>
      <c r="H6812" s="24"/>
      <c r="I6812" s="24"/>
      <c r="L6812"/>
    </row>
    <row r="6813" spans="1:12" x14ac:dyDescent="0.25">
      <c r="A6813" s="16"/>
      <c r="D6813" s="16"/>
      <c r="F6813" s="16"/>
      <c r="G6813" s="16"/>
      <c r="H6813" s="24"/>
      <c r="I6813" s="24"/>
      <c r="L6813"/>
    </row>
    <row r="6814" spans="1:12" x14ac:dyDescent="0.25">
      <c r="A6814" s="16"/>
      <c r="D6814" s="16"/>
      <c r="F6814" s="16"/>
      <c r="G6814" s="16"/>
      <c r="H6814" s="24"/>
      <c r="I6814" s="24"/>
      <c r="L6814"/>
    </row>
    <row r="6815" spans="1:12" x14ac:dyDescent="0.25">
      <c r="A6815" s="16"/>
      <c r="D6815" s="16"/>
      <c r="F6815" s="16"/>
      <c r="G6815" s="16"/>
      <c r="H6815" s="24"/>
      <c r="I6815" s="24"/>
      <c r="L6815"/>
    </row>
    <row r="6816" spans="1:12" x14ac:dyDescent="0.25">
      <c r="A6816" s="16"/>
      <c r="D6816" s="16"/>
      <c r="F6816" s="16"/>
      <c r="G6816" s="16"/>
      <c r="H6816" s="24"/>
      <c r="I6816" s="24"/>
      <c r="L6816"/>
    </row>
    <row r="6817" spans="1:12" x14ac:dyDescent="0.25">
      <c r="A6817" s="16"/>
      <c r="D6817" s="16"/>
      <c r="F6817" s="16"/>
      <c r="G6817" s="16"/>
      <c r="H6817" s="24"/>
      <c r="I6817" s="24"/>
      <c r="L6817"/>
    </row>
    <row r="6818" spans="1:12" x14ac:dyDescent="0.25">
      <c r="A6818" s="16"/>
      <c r="D6818" s="16"/>
      <c r="F6818" s="16"/>
      <c r="G6818" s="16"/>
      <c r="H6818" s="24"/>
      <c r="I6818" s="24"/>
      <c r="L6818"/>
    </row>
    <row r="6819" spans="1:12" x14ac:dyDescent="0.25">
      <c r="A6819" s="16"/>
      <c r="D6819" s="16"/>
      <c r="F6819" s="16"/>
      <c r="G6819" s="16"/>
      <c r="H6819" s="24"/>
      <c r="I6819" s="24"/>
      <c r="L6819"/>
    </row>
    <row r="6820" spans="1:12" x14ac:dyDescent="0.25">
      <c r="A6820" s="16"/>
      <c r="D6820" s="16"/>
      <c r="F6820" s="16"/>
      <c r="G6820" s="16"/>
      <c r="H6820" s="24"/>
      <c r="I6820" s="24"/>
      <c r="L6820"/>
    </row>
    <row r="6821" spans="1:12" x14ac:dyDescent="0.25">
      <c r="A6821" s="16"/>
      <c r="D6821" s="16"/>
      <c r="F6821" s="16"/>
      <c r="G6821" s="16"/>
      <c r="H6821" s="24"/>
      <c r="I6821" s="24"/>
      <c r="L6821"/>
    </row>
    <row r="6822" spans="1:12" x14ac:dyDescent="0.25">
      <c r="A6822" s="16"/>
      <c r="D6822" s="16"/>
      <c r="F6822" s="16"/>
      <c r="G6822" s="16"/>
      <c r="H6822" s="24"/>
      <c r="I6822" s="24"/>
      <c r="L6822"/>
    </row>
    <row r="6823" spans="1:12" x14ac:dyDescent="0.25">
      <c r="A6823" s="16"/>
      <c r="D6823" s="16"/>
      <c r="F6823" s="16"/>
      <c r="G6823" s="16"/>
      <c r="H6823" s="24"/>
      <c r="I6823" s="24"/>
      <c r="L6823"/>
    </row>
    <row r="6824" spans="1:12" x14ac:dyDescent="0.25">
      <c r="A6824" s="16"/>
      <c r="D6824" s="16"/>
      <c r="F6824" s="16"/>
      <c r="G6824" s="16"/>
      <c r="H6824" s="24"/>
      <c r="I6824" s="24"/>
      <c r="L6824"/>
    </row>
    <row r="6825" spans="1:12" x14ac:dyDescent="0.25">
      <c r="A6825" s="16"/>
      <c r="D6825" s="16"/>
      <c r="F6825" s="16"/>
      <c r="G6825" s="16"/>
      <c r="H6825" s="24"/>
      <c r="I6825" s="24"/>
      <c r="L6825"/>
    </row>
    <row r="6826" spans="1:12" x14ac:dyDescent="0.25">
      <c r="A6826" s="16"/>
      <c r="D6826" s="16"/>
      <c r="F6826" s="16"/>
      <c r="G6826" s="16"/>
      <c r="H6826" s="24"/>
      <c r="I6826" s="24"/>
      <c r="L6826"/>
    </row>
    <row r="6827" spans="1:12" x14ac:dyDescent="0.25">
      <c r="A6827" s="16"/>
      <c r="D6827" s="16"/>
      <c r="F6827" s="16"/>
      <c r="G6827" s="16"/>
      <c r="H6827" s="24"/>
      <c r="I6827" s="24"/>
      <c r="L6827"/>
    </row>
    <row r="6828" spans="1:12" x14ac:dyDescent="0.25">
      <c r="A6828" s="16"/>
      <c r="D6828" s="16"/>
      <c r="F6828" s="16"/>
      <c r="G6828" s="16"/>
      <c r="H6828" s="24"/>
      <c r="I6828" s="24"/>
      <c r="L6828"/>
    </row>
    <row r="6829" spans="1:12" x14ac:dyDescent="0.25">
      <c r="A6829" s="16"/>
      <c r="D6829" s="16"/>
      <c r="F6829" s="16"/>
      <c r="G6829" s="16"/>
      <c r="H6829" s="24"/>
      <c r="I6829" s="24"/>
      <c r="L6829"/>
    </row>
    <row r="6830" spans="1:12" x14ac:dyDescent="0.25">
      <c r="A6830" s="16"/>
      <c r="D6830" s="16"/>
      <c r="F6830" s="16"/>
      <c r="G6830" s="16"/>
      <c r="H6830" s="24"/>
      <c r="I6830" s="24"/>
      <c r="L6830"/>
    </row>
    <row r="6831" spans="1:12" x14ac:dyDescent="0.25">
      <c r="A6831" s="16"/>
      <c r="D6831" s="16"/>
      <c r="F6831" s="16"/>
      <c r="G6831" s="16"/>
      <c r="H6831" s="24"/>
      <c r="I6831" s="24"/>
      <c r="L6831"/>
    </row>
    <row r="6832" spans="1:12" x14ac:dyDescent="0.25">
      <c r="A6832" s="16"/>
      <c r="D6832" s="16"/>
      <c r="F6832" s="16"/>
      <c r="G6832" s="16"/>
      <c r="H6832" s="24"/>
      <c r="I6832" s="24"/>
      <c r="L6832"/>
    </row>
    <row r="6833" spans="1:12" x14ac:dyDescent="0.25">
      <c r="A6833" s="16"/>
      <c r="D6833" s="16"/>
      <c r="F6833" s="16"/>
      <c r="G6833" s="16"/>
      <c r="H6833" s="24"/>
      <c r="I6833" s="24"/>
      <c r="L6833"/>
    </row>
    <row r="6834" spans="1:12" x14ac:dyDescent="0.25">
      <c r="A6834" s="16"/>
      <c r="D6834" s="16"/>
      <c r="F6834" s="16"/>
      <c r="G6834" s="16"/>
      <c r="H6834" s="24"/>
      <c r="I6834" s="24"/>
      <c r="L6834"/>
    </row>
    <row r="6835" spans="1:12" x14ac:dyDescent="0.25">
      <c r="A6835" s="16"/>
      <c r="D6835" s="16"/>
      <c r="F6835" s="16"/>
      <c r="G6835" s="16"/>
      <c r="H6835" s="24"/>
      <c r="I6835" s="24"/>
      <c r="L6835"/>
    </row>
    <row r="6836" spans="1:12" x14ac:dyDescent="0.25">
      <c r="A6836" s="16"/>
      <c r="D6836" s="16"/>
      <c r="F6836" s="16"/>
      <c r="G6836" s="16"/>
      <c r="H6836" s="24"/>
      <c r="I6836" s="24"/>
      <c r="L6836"/>
    </row>
    <row r="6837" spans="1:12" x14ac:dyDescent="0.25">
      <c r="A6837" s="16"/>
      <c r="D6837" s="16"/>
      <c r="F6837" s="16"/>
      <c r="G6837" s="16"/>
      <c r="H6837" s="24"/>
      <c r="I6837" s="24"/>
      <c r="L6837"/>
    </row>
    <row r="6838" spans="1:12" x14ac:dyDescent="0.25">
      <c r="A6838" s="16"/>
      <c r="D6838" s="16"/>
      <c r="F6838" s="16"/>
      <c r="G6838" s="16"/>
      <c r="H6838" s="24"/>
      <c r="I6838" s="24"/>
      <c r="L6838"/>
    </row>
    <row r="6839" spans="1:12" x14ac:dyDescent="0.25">
      <c r="A6839" s="16"/>
      <c r="D6839" s="16"/>
      <c r="F6839" s="16"/>
      <c r="G6839" s="16"/>
      <c r="H6839" s="24"/>
      <c r="I6839" s="24"/>
      <c r="L6839"/>
    </row>
    <row r="6840" spans="1:12" x14ac:dyDescent="0.25">
      <c r="A6840" s="16"/>
      <c r="D6840" s="16"/>
      <c r="F6840" s="16"/>
      <c r="G6840" s="16"/>
      <c r="H6840" s="24"/>
      <c r="I6840" s="24"/>
      <c r="L6840"/>
    </row>
    <row r="6841" spans="1:12" x14ac:dyDescent="0.25">
      <c r="A6841" s="16"/>
      <c r="D6841" s="16"/>
      <c r="F6841" s="16"/>
      <c r="G6841" s="16"/>
      <c r="H6841" s="24"/>
      <c r="I6841" s="24"/>
      <c r="L6841"/>
    </row>
    <row r="6842" spans="1:12" x14ac:dyDescent="0.25">
      <c r="A6842" s="16"/>
      <c r="D6842" s="16"/>
      <c r="F6842" s="16"/>
      <c r="G6842" s="16"/>
      <c r="H6842" s="24"/>
      <c r="I6842" s="24"/>
      <c r="L6842"/>
    </row>
    <row r="6843" spans="1:12" x14ac:dyDescent="0.25">
      <c r="A6843" s="16"/>
      <c r="D6843" s="16"/>
      <c r="F6843" s="16"/>
      <c r="G6843" s="16"/>
      <c r="H6843" s="24"/>
      <c r="I6843" s="24"/>
      <c r="L6843"/>
    </row>
    <row r="6844" spans="1:12" x14ac:dyDescent="0.25">
      <c r="A6844" s="16"/>
      <c r="D6844" s="16"/>
      <c r="F6844" s="16"/>
      <c r="G6844" s="16"/>
      <c r="H6844" s="24"/>
      <c r="I6844" s="24"/>
      <c r="L6844"/>
    </row>
    <row r="6845" spans="1:12" x14ac:dyDescent="0.25">
      <c r="A6845" s="16"/>
      <c r="D6845" s="16"/>
      <c r="F6845" s="16"/>
      <c r="G6845" s="16"/>
      <c r="H6845" s="24"/>
      <c r="I6845" s="24"/>
      <c r="L6845"/>
    </row>
    <row r="6846" spans="1:12" x14ac:dyDescent="0.25">
      <c r="A6846" s="16"/>
      <c r="D6846" s="16"/>
      <c r="F6846" s="16"/>
      <c r="G6846" s="16"/>
      <c r="H6846" s="24"/>
      <c r="I6846" s="24"/>
      <c r="L6846"/>
    </row>
    <row r="6847" spans="1:12" x14ac:dyDescent="0.25">
      <c r="A6847" s="16"/>
      <c r="D6847" s="16"/>
      <c r="F6847" s="16"/>
      <c r="G6847" s="16"/>
      <c r="H6847" s="24"/>
      <c r="I6847" s="24"/>
      <c r="L6847"/>
    </row>
    <row r="6848" spans="1:12" x14ac:dyDescent="0.25">
      <c r="A6848" s="16"/>
      <c r="D6848" s="16"/>
      <c r="F6848" s="16"/>
      <c r="G6848" s="16"/>
      <c r="H6848" s="24"/>
      <c r="I6848" s="24"/>
      <c r="L6848"/>
    </row>
    <row r="6849" spans="1:12" x14ac:dyDescent="0.25">
      <c r="A6849" s="16"/>
      <c r="D6849" s="16"/>
      <c r="F6849" s="16"/>
      <c r="G6849" s="16"/>
      <c r="H6849" s="24"/>
      <c r="I6849" s="24"/>
      <c r="L6849"/>
    </row>
    <row r="6850" spans="1:12" x14ac:dyDescent="0.25">
      <c r="A6850" s="16"/>
      <c r="D6850" s="16"/>
      <c r="F6850" s="16"/>
      <c r="G6850" s="16"/>
      <c r="H6850" s="24"/>
      <c r="I6850" s="24"/>
      <c r="L6850"/>
    </row>
    <row r="6851" spans="1:12" x14ac:dyDescent="0.25">
      <c r="A6851" s="16"/>
      <c r="D6851" s="16"/>
      <c r="F6851" s="16"/>
      <c r="G6851" s="16"/>
      <c r="H6851" s="24"/>
      <c r="I6851" s="24"/>
      <c r="L6851"/>
    </row>
    <row r="6852" spans="1:12" x14ac:dyDescent="0.25">
      <c r="A6852" s="16"/>
      <c r="D6852" s="16"/>
      <c r="F6852" s="16"/>
      <c r="G6852" s="16"/>
      <c r="H6852" s="24"/>
      <c r="I6852" s="24"/>
      <c r="L6852"/>
    </row>
    <row r="6853" spans="1:12" x14ac:dyDescent="0.25">
      <c r="A6853" s="16"/>
      <c r="D6853" s="16"/>
      <c r="F6853" s="16"/>
      <c r="G6853" s="16"/>
      <c r="H6853" s="24"/>
      <c r="I6853" s="24"/>
      <c r="L6853"/>
    </row>
    <row r="6854" spans="1:12" x14ac:dyDescent="0.25">
      <c r="A6854" s="16"/>
      <c r="D6854" s="16"/>
      <c r="F6854" s="16"/>
      <c r="G6854" s="16"/>
      <c r="H6854" s="24"/>
      <c r="I6854" s="24"/>
      <c r="L6854"/>
    </row>
    <row r="6855" spans="1:12" x14ac:dyDescent="0.25">
      <c r="A6855" s="16"/>
      <c r="D6855" s="16"/>
      <c r="F6855" s="16"/>
      <c r="G6855" s="16"/>
      <c r="H6855" s="24"/>
      <c r="I6855" s="24"/>
      <c r="L6855"/>
    </row>
    <row r="6856" spans="1:12" x14ac:dyDescent="0.25">
      <c r="A6856" s="16"/>
      <c r="D6856" s="16"/>
      <c r="F6856" s="16"/>
      <c r="G6856" s="16"/>
      <c r="H6856" s="24"/>
      <c r="I6856" s="24"/>
      <c r="L6856"/>
    </row>
    <row r="6857" spans="1:12" x14ac:dyDescent="0.25">
      <c r="A6857" s="16"/>
      <c r="D6857" s="16"/>
      <c r="F6857" s="16"/>
      <c r="G6857" s="16"/>
      <c r="H6857" s="24"/>
      <c r="I6857" s="24"/>
      <c r="L6857"/>
    </row>
    <row r="6858" spans="1:12" x14ac:dyDescent="0.25">
      <c r="A6858" s="16"/>
      <c r="D6858" s="16"/>
      <c r="F6858" s="16"/>
      <c r="G6858" s="16"/>
      <c r="H6858" s="24"/>
      <c r="I6858" s="24"/>
      <c r="L6858"/>
    </row>
    <row r="6859" spans="1:12" x14ac:dyDescent="0.25">
      <c r="A6859" s="16"/>
      <c r="D6859" s="16"/>
      <c r="F6859" s="16"/>
      <c r="G6859" s="16"/>
      <c r="H6859" s="24"/>
      <c r="I6859" s="24"/>
      <c r="L6859"/>
    </row>
    <row r="6860" spans="1:12" x14ac:dyDescent="0.25">
      <c r="A6860" s="16"/>
      <c r="D6860" s="16"/>
      <c r="F6860" s="16"/>
      <c r="G6860" s="16"/>
      <c r="H6860" s="24"/>
      <c r="I6860" s="24"/>
      <c r="L6860"/>
    </row>
    <row r="6861" spans="1:12" x14ac:dyDescent="0.25">
      <c r="A6861" s="16"/>
      <c r="D6861" s="16"/>
      <c r="F6861" s="16"/>
      <c r="G6861" s="16"/>
      <c r="H6861" s="24"/>
      <c r="I6861" s="24"/>
      <c r="L6861"/>
    </row>
    <row r="6862" spans="1:12" x14ac:dyDescent="0.25">
      <c r="A6862" s="16"/>
      <c r="D6862" s="16"/>
      <c r="F6862" s="16"/>
      <c r="G6862" s="16"/>
      <c r="H6862" s="24"/>
      <c r="I6862" s="24"/>
      <c r="L6862"/>
    </row>
    <row r="6863" spans="1:12" x14ac:dyDescent="0.25">
      <c r="A6863" s="16"/>
      <c r="D6863" s="16"/>
      <c r="F6863" s="16"/>
      <c r="G6863" s="16"/>
      <c r="H6863" s="24"/>
      <c r="I6863" s="24"/>
      <c r="L6863"/>
    </row>
    <row r="6864" spans="1:12" x14ac:dyDescent="0.25">
      <c r="A6864" s="16"/>
      <c r="D6864" s="16"/>
      <c r="F6864" s="16"/>
      <c r="G6864" s="16"/>
      <c r="H6864" s="24"/>
      <c r="I6864" s="24"/>
      <c r="L6864"/>
    </row>
    <row r="6865" spans="1:12" x14ac:dyDescent="0.25">
      <c r="A6865" s="16"/>
      <c r="D6865" s="16"/>
      <c r="F6865" s="16"/>
      <c r="G6865" s="16"/>
      <c r="H6865" s="24"/>
      <c r="I6865" s="24"/>
      <c r="L6865"/>
    </row>
    <row r="6866" spans="1:12" x14ac:dyDescent="0.25">
      <c r="A6866" s="16"/>
      <c r="D6866" s="16"/>
      <c r="F6866" s="16"/>
      <c r="G6866" s="16"/>
      <c r="H6866" s="24"/>
      <c r="I6866" s="24"/>
      <c r="L6866"/>
    </row>
    <row r="6867" spans="1:12" x14ac:dyDescent="0.25">
      <c r="A6867" s="16"/>
      <c r="D6867" s="16"/>
      <c r="F6867" s="16"/>
      <c r="G6867" s="16"/>
      <c r="H6867" s="24"/>
      <c r="I6867" s="24"/>
      <c r="L6867"/>
    </row>
    <row r="6868" spans="1:12" x14ac:dyDescent="0.25">
      <c r="A6868" s="16"/>
      <c r="D6868" s="16"/>
      <c r="F6868" s="16"/>
      <c r="G6868" s="16"/>
      <c r="H6868" s="24"/>
      <c r="I6868" s="24"/>
      <c r="L6868"/>
    </row>
    <row r="6869" spans="1:12" x14ac:dyDescent="0.25">
      <c r="A6869" s="16"/>
      <c r="D6869" s="16"/>
      <c r="F6869" s="16"/>
      <c r="G6869" s="16"/>
      <c r="H6869" s="24"/>
      <c r="I6869" s="24"/>
      <c r="L6869"/>
    </row>
    <row r="6870" spans="1:12" x14ac:dyDescent="0.25">
      <c r="A6870" s="16"/>
      <c r="D6870" s="16"/>
      <c r="F6870" s="16"/>
      <c r="G6870" s="16"/>
      <c r="H6870" s="24"/>
      <c r="I6870" s="24"/>
      <c r="L6870"/>
    </row>
    <row r="6871" spans="1:12" x14ac:dyDescent="0.25">
      <c r="A6871" s="16"/>
      <c r="D6871" s="16"/>
      <c r="F6871" s="16"/>
      <c r="G6871" s="16"/>
      <c r="H6871" s="24"/>
      <c r="I6871" s="24"/>
      <c r="L6871"/>
    </row>
    <row r="6872" spans="1:12" x14ac:dyDescent="0.25">
      <c r="A6872" s="16"/>
      <c r="D6872" s="16"/>
      <c r="F6872" s="16"/>
      <c r="G6872" s="16"/>
      <c r="H6872" s="24"/>
      <c r="I6872" s="24"/>
      <c r="L6872"/>
    </row>
    <row r="6873" spans="1:12" x14ac:dyDescent="0.25">
      <c r="A6873" s="16"/>
      <c r="D6873" s="16"/>
      <c r="F6873" s="16"/>
      <c r="G6873" s="16"/>
      <c r="H6873" s="24"/>
      <c r="I6873" s="24"/>
      <c r="L6873"/>
    </row>
    <row r="6874" spans="1:12" x14ac:dyDescent="0.25">
      <c r="A6874" s="16"/>
      <c r="D6874" s="16"/>
      <c r="F6874" s="16"/>
      <c r="G6874" s="16"/>
      <c r="H6874" s="24"/>
      <c r="I6874" s="24"/>
      <c r="L6874"/>
    </row>
    <row r="6875" spans="1:12" x14ac:dyDescent="0.25">
      <c r="A6875" s="16"/>
      <c r="D6875" s="16"/>
      <c r="F6875" s="16"/>
      <c r="G6875" s="16"/>
      <c r="H6875" s="24"/>
      <c r="I6875" s="24"/>
      <c r="L6875"/>
    </row>
    <row r="6876" spans="1:12" x14ac:dyDescent="0.25">
      <c r="A6876" s="16"/>
      <c r="D6876" s="16"/>
      <c r="F6876" s="16"/>
      <c r="G6876" s="16"/>
      <c r="H6876" s="24"/>
      <c r="I6876" s="24"/>
      <c r="L6876"/>
    </row>
    <row r="6877" spans="1:12" x14ac:dyDescent="0.25">
      <c r="A6877" s="16"/>
      <c r="D6877" s="16"/>
      <c r="F6877" s="16"/>
      <c r="G6877" s="16"/>
      <c r="H6877" s="24"/>
      <c r="I6877" s="24"/>
      <c r="L6877"/>
    </row>
    <row r="6878" spans="1:12" x14ac:dyDescent="0.25">
      <c r="A6878" s="16"/>
      <c r="D6878" s="16"/>
      <c r="F6878" s="16"/>
      <c r="G6878" s="16"/>
      <c r="H6878" s="24"/>
      <c r="I6878" s="24"/>
      <c r="L6878"/>
    </row>
    <row r="6879" spans="1:12" x14ac:dyDescent="0.25">
      <c r="A6879" s="16"/>
      <c r="D6879" s="16"/>
      <c r="F6879" s="16"/>
      <c r="G6879" s="16"/>
      <c r="H6879" s="24"/>
      <c r="I6879" s="24"/>
      <c r="L6879"/>
    </row>
    <row r="6880" spans="1:12" x14ac:dyDescent="0.25">
      <c r="A6880" s="16"/>
      <c r="D6880" s="16"/>
      <c r="F6880" s="16"/>
      <c r="G6880" s="16"/>
      <c r="H6880" s="24"/>
      <c r="I6880" s="24"/>
      <c r="L6880"/>
    </row>
    <row r="6881" spans="1:12" x14ac:dyDescent="0.25">
      <c r="A6881" s="16"/>
      <c r="D6881" s="16"/>
      <c r="F6881" s="16"/>
      <c r="G6881" s="16"/>
      <c r="H6881" s="24"/>
      <c r="I6881" s="24"/>
      <c r="L6881"/>
    </row>
    <row r="6882" spans="1:12" x14ac:dyDescent="0.25">
      <c r="A6882" s="16"/>
      <c r="D6882" s="16"/>
      <c r="F6882" s="16"/>
      <c r="G6882" s="16"/>
      <c r="H6882" s="24"/>
      <c r="I6882" s="24"/>
      <c r="L6882"/>
    </row>
    <row r="6883" spans="1:12" x14ac:dyDescent="0.25">
      <c r="A6883" s="16"/>
      <c r="D6883" s="16"/>
      <c r="F6883" s="16"/>
      <c r="G6883" s="16"/>
      <c r="H6883" s="24"/>
      <c r="I6883" s="24"/>
      <c r="L6883"/>
    </row>
    <row r="6884" spans="1:12" x14ac:dyDescent="0.25">
      <c r="A6884" s="16"/>
      <c r="D6884" s="16"/>
      <c r="F6884" s="16"/>
      <c r="G6884" s="16"/>
      <c r="H6884" s="24"/>
      <c r="I6884" s="24"/>
      <c r="L6884"/>
    </row>
    <row r="6885" spans="1:12" x14ac:dyDescent="0.25">
      <c r="A6885" s="16"/>
      <c r="D6885" s="16"/>
      <c r="F6885" s="16"/>
      <c r="G6885" s="16"/>
      <c r="H6885" s="24"/>
      <c r="I6885" s="24"/>
      <c r="L6885"/>
    </row>
    <row r="6886" spans="1:12" x14ac:dyDescent="0.25">
      <c r="A6886" s="16"/>
      <c r="D6886" s="16"/>
      <c r="F6886" s="16"/>
      <c r="G6886" s="16"/>
      <c r="H6886" s="24"/>
      <c r="I6886" s="24"/>
      <c r="L6886"/>
    </row>
    <row r="6887" spans="1:12" x14ac:dyDescent="0.25">
      <c r="A6887" s="16"/>
      <c r="D6887" s="16"/>
      <c r="F6887" s="16"/>
      <c r="G6887" s="16"/>
      <c r="H6887" s="24"/>
      <c r="I6887" s="24"/>
      <c r="L6887"/>
    </row>
    <row r="6888" spans="1:12" x14ac:dyDescent="0.25">
      <c r="A6888" s="16"/>
      <c r="D6888" s="16"/>
      <c r="F6888" s="16"/>
      <c r="G6888" s="16"/>
      <c r="H6888" s="24"/>
      <c r="I6888" s="24"/>
      <c r="L6888"/>
    </row>
    <row r="6889" spans="1:12" x14ac:dyDescent="0.25">
      <c r="A6889" s="16"/>
      <c r="D6889" s="16"/>
      <c r="F6889" s="16"/>
      <c r="G6889" s="16"/>
      <c r="H6889" s="24"/>
      <c r="I6889" s="24"/>
      <c r="L6889"/>
    </row>
    <row r="6890" spans="1:12" x14ac:dyDescent="0.25">
      <c r="A6890" s="16"/>
      <c r="D6890" s="16"/>
      <c r="F6890" s="16"/>
      <c r="G6890" s="16"/>
      <c r="H6890" s="24"/>
      <c r="I6890" s="24"/>
      <c r="L6890"/>
    </row>
    <row r="6891" spans="1:12" x14ac:dyDescent="0.25">
      <c r="A6891" s="16"/>
      <c r="D6891" s="16"/>
      <c r="F6891" s="16"/>
      <c r="G6891" s="16"/>
      <c r="H6891" s="24"/>
      <c r="I6891" s="24"/>
      <c r="L6891"/>
    </row>
    <row r="6892" spans="1:12" x14ac:dyDescent="0.25">
      <c r="A6892" s="16"/>
      <c r="D6892" s="16"/>
      <c r="F6892" s="16"/>
      <c r="G6892" s="16"/>
      <c r="H6892" s="24"/>
      <c r="I6892" s="24"/>
      <c r="L6892"/>
    </row>
    <row r="6893" spans="1:12" x14ac:dyDescent="0.25">
      <c r="A6893" s="16"/>
      <c r="D6893" s="16"/>
      <c r="F6893" s="16"/>
      <c r="G6893" s="16"/>
      <c r="H6893" s="24"/>
      <c r="I6893" s="24"/>
      <c r="L6893"/>
    </row>
    <row r="6894" spans="1:12" x14ac:dyDescent="0.25">
      <c r="A6894" s="16"/>
      <c r="D6894" s="16"/>
      <c r="F6894" s="16"/>
      <c r="G6894" s="16"/>
      <c r="H6894" s="24"/>
      <c r="I6894" s="24"/>
      <c r="L6894"/>
    </row>
    <row r="6895" spans="1:12" x14ac:dyDescent="0.25">
      <c r="A6895" s="16"/>
      <c r="D6895" s="16"/>
      <c r="F6895" s="16"/>
      <c r="G6895" s="16"/>
      <c r="H6895" s="24"/>
      <c r="I6895" s="24"/>
      <c r="L6895"/>
    </row>
    <row r="6896" spans="1:12" x14ac:dyDescent="0.25">
      <c r="A6896" s="16"/>
      <c r="D6896" s="16"/>
      <c r="F6896" s="16"/>
      <c r="G6896" s="16"/>
      <c r="H6896" s="24"/>
      <c r="I6896" s="24"/>
      <c r="L6896"/>
    </row>
    <row r="6897" spans="1:12" x14ac:dyDescent="0.25">
      <c r="A6897" s="16"/>
      <c r="D6897" s="16"/>
      <c r="F6897" s="16"/>
      <c r="G6897" s="16"/>
      <c r="H6897" s="24"/>
      <c r="I6897" s="24"/>
      <c r="L6897"/>
    </row>
    <row r="6898" spans="1:12" x14ac:dyDescent="0.25">
      <c r="A6898" s="16"/>
      <c r="D6898" s="16"/>
      <c r="F6898" s="16"/>
      <c r="G6898" s="16"/>
      <c r="H6898" s="24"/>
      <c r="I6898" s="24"/>
      <c r="L6898"/>
    </row>
    <row r="6899" spans="1:12" x14ac:dyDescent="0.25">
      <c r="A6899" s="16"/>
      <c r="D6899" s="16"/>
      <c r="F6899" s="16"/>
      <c r="G6899" s="16"/>
      <c r="H6899" s="24"/>
      <c r="I6899" s="24"/>
      <c r="L6899"/>
    </row>
    <row r="6900" spans="1:12" x14ac:dyDescent="0.25">
      <c r="A6900" s="16"/>
      <c r="D6900" s="16"/>
      <c r="F6900" s="16"/>
      <c r="G6900" s="16"/>
      <c r="H6900" s="24"/>
      <c r="I6900" s="24"/>
      <c r="L6900"/>
    </row>
    <row r="6901" spans="1:12" x14ac:dyDescent="0.25">
      <c r="A6901" s="16"/>
      <c r="D6901" s="16"/>
      <c r="F6901" s="16"/>
      <c r="G6901" s="16"/>
      <c r="H6901" s="24"/>
      <c r="I6901" s="24"/>
      <c r="L6901"/>
    </row>
    <row r="6902" spans="1:12" x14ac:dyDescent="0.25">
      <c r="A6902" s="16"/>
      <c r="D6902" s="16"/>
      <c r="F6902" s="16"/>
      <c r="G6902" s="16"/>
      <c r="H6902" s="24"/>
      <c r="I6902" s="24"/>
      <c r="L6902"/>
    </row>
    <row r="6903" spans="1:12" x14ac:dyDescent="0.25">
      <c r="A6903" s="16"/>
      <c r="D6903" s="16"/>
      <c r="F6903" s="16"/>
      <c r="G6903" s="16"/>
      <c r="H6903" s="24"/>
      <c r="I6903" s="24"/>
      <c r="L6903"/>
    </row>
    <row r="6904" spans="1:12" x14ac:dyDescent="0.25">
      <c r="A6904" s="16"/>
      <c r="D6904" s="16"/>
      <c r="F6904" s="16"/>
      <c r="G6904" s="16"/>
      <c r="H6904" s="24"/>
      <c r="I6904" s="24"/>
      <c r="L6904"/>
    </row>
    <row r="6905" spans="1:12" x14ac:dyDescent="0.25">
      <c r="A6905" s="16"/>
      <c r="D6905" s="16"/>
      <c r="F6905" s="16"/>
      <c r="G6905" s="16"/>
      <c r="H6905" s="24"/>
      <c r="I6905" s="24"/>
      <c r="L6905"/>
    </row>
    <row r="6906" spans="1:12" x14ac:dyDescent="0.25">
      <c r="A6906" s="16"/>
      <c r="D6906" s="16"/>
      <c r="F6906" s="16"/>
      <c r="G6906" s="16"/>
      <c r="H6906" s="24"/>
      <c r="I6906" s="24"/>
      <c r="L6906"/>
    </row>
    <row r="6907" spans="1:12" x14ac:dyDescent="0.25">
      <c r="A6907" s="16"/>
      <c r="D6907" s="16"/>
      <c r="F6907" s="16"/>
      <c r="G6907" s="16"/>
      <c r="H6907" s="24"/>
      <c r="I6907" s="24"/>
      <c r="L6907"/>
    </row>
    <row r="6908" spans="1:12" x14ac:dyDescent="0.25">
      <c r="A6908" s="16"/>
      <c r="D6908" s="16"/>
      <c r="F6908" s="16"/>
      <c r="G6908" s="16"/>
      <c r="H6908" s="24"/>
      <c r="I6908" s="24"/>
      <c r="L6908"/>
    </row>
    <row r="6909" spans="1:12" x14ac:dyDescent="0.25">
      <c r="A6909" s="16"/>
      <c r="D6909" s="16"/>
      <c r="F6909" s="16"/>
      <c r="G6909" s="16"/>
      <c r="H6909" s="24"/>
      <c r="I6909" s="24"/>
      <c r="L6909"/>
    </row>
    <row r="6910" spans="1:12" x14ac:dyDescent="0.25">
      <c r="A6910" s="16"/>
      <c r="D6910" s="16"/>
      <c r="F6910" s="16"/>
      <c r="G6910" s="16"/>
      <c r="H6910" s="24"/>
      <c r="I6910" s="24"/>
      <c r="L6910"/>
    </row>
    <row r="6911" spans="1:12" x14ac:dyDescent="0.25">
      <c r="A6911" s="16"/>
      <c r="D6911" s="16"/>
      <c r="F6911" s="16"/>
      <c r="G6911" s="16"/>
      <c r="H6911" s="24"/>
      <c r="I6911" s="24"/>
      <c r="L6911"/>
    </row>
    <row r="6912" spans="1:12" x14ac:dyDescent="0.25">
      <c r="A6912" s="16"/>
      <c r="D6912" s="16"/>
      <c r="F6912" s="16"/>
      <c r="G6912" s="16"/>
      <c r="H6912" s="24"/>
      <c r="I6912" s="24"/>
      <c r="L6912"/>
    </row>
    <row r="6913" spans="1:12" x14ac:dyDescent="0.25">
      <c r="A6913" s="16"/>
      <c r="D6913" s="16"/>
      <c r="F6913" s="16"/>
      <c r="G6913" s="16"/>
      <c r="H6913" s="24"/>
      <c r="I6913" s="24"/>
      <c r="L6913"/>
    </row>
    <row r="6914" spans="1:12" x14ac:dyDescent="0.25">
      <c r="A6914" s="16"/>
      <c r="D6914" s="16"/>
      <c r="F6914" s="16"/>
      <c r="G6914" s="16"/>
      <c r="H6914" s="24"/>
      <c r="I6914" s="24"/>
      <c r="L6914"/>
    </row>
    <row r="6915" spans="1:12" x14ac:dyDescent="0.25">
      <c r="A6915" s="16"/>
      <c r="D6915" s="16"/>
      <c r="F6915" s="16"/>
      <c r="G6915" s="16"/>
      <c r="H6915" s="24"/>
      <c r="I6915" s="24"/>
      <c r="L6915"/>
    </row>
    <row r="6916" spans="1:12" x14ac:dyDescent="0.25">
      <c r="A6916" s="16"/>
      <c r="D6916" s="16"/>
      <c r="F6916" s="16"/>
      <c r="G6916" s="16"/>
      <c r="H6916" s="24"/>
      <c r="I6916" s="24"/>
      <c r="L6916"/>
    </row>
    <row r="6917" spans="1:12" x14ac:dyDescent="0.25">
      <c r="A6917" s="16"/>
      <c r="D6917" s="16"/>
      <c r="F6917" s="16"/>
      <c r="G6917" s="16"/>
      <c r="H6917" s="24"/>
      <c r="I6917" s="24"/>
      <c r="L6917"/>
    </row>
    <row r="6918" spans="1:12" x14ac:dyDescent="0.25">
      <c r="A6918" s="16"/>
      <c r="D6918" s="16"/>
      <c r="F6918" s="16"/>
      <c r="G6918" s="16"/>
      <c r="H6918" s="24"/>
      <c r="I6918" s="24"/>
      <c r="L6918"/>
    </row>
    <row r="6919" spans="1:12" x14ac:dyDescent="0.25">
      <c r="A6919" s="16"/>
      <c r="D6919" s="16"/>
      <c r="F6919" s="16"/>
      <c r="G6919" s="16"/>
      <c r="H6919" s="24"/>
      <c r="I6919" s="24"/>
      <c r="L6919"/>
    </row>
    <row r="6920" spans="1:12" x14ac:dyDescent="0.25">
      <c r="A6920" s="16"/>
      <c r="D6920" s="16"/>
      <c r="F6920" s="16"/>
      <c r="G6920" s="16"/>
      <c r="H6920" s="24"/>
      <c r="I6920" s="24"/>
      <c r="L6920"/>
    </row>
    <row r="6921" spans="1:12" x14ac:dyDescent="0.25">
      <c r="A6921" s="16"/>
      <c r="D6921" s="16"/>
      <c r="F6921" s="16"/>
      <c r="G6921" s="16"/>
      <c r="H6921" s="24"/>
      <c r="I6921" s="24"/>
      <c r="L6921"/>
    </row>
    <row r="6922" spans="1:12" x14ac:dyDescent="0.25">
      <c r="A6922" s="16"/>
      <c r="D6922" s="16"/>
      <c r="F6922" s="16"/>
      <c r="G6922" s="16"/>
      <c r="H6922" s="24"/>
      <c r="I6922" s="24"/>
      <c r="L6922"/>
    </row>
    <row r="6923" spans="1:12" x14ac:dyDescent="0.25">
      <c r="A6923" s="16"/>
      <c r="D6923" s="16"/>
      <c r="F6923" s="16"/>
      <c r="G6923" s="16"/>
      <c r="H6923" s="24"/>
      <c r="I6923" s="24"/>
      <c r="L6923"/>
    </row>
    <row r="6924" spans="1:12" x14ac:dyDescent="0.25">
      <c r="A6924" s="16"/>
      <c r="D6924" s="16"/>
      <c r="F6924" s="16"/>
      <c r="G6924" s="16"/>
      <c r="H6924" s="24"/>
      <c r="I6924" s="24"/>
      <c r="L6924"/>
    </row>
    <row r="6925" spans="1:12" x14ac:dyDescent="0.25">
      <c r="A6925" s="16"/>
      <c r="D6925" s="16"/>
      <c r="F6925" s="16"/>
      <c r="G6925" s="16"/>
      <c r="H6925" s="24"/>
      <c r="I6925" s="24"/>
      <c r="L6925"/>
    </row>
    <row r="6926" spans="1:12" x14ac:dyDescent="0.25">
      <c r="A6926" s="16"/>
      <c r="D6926" s="16"/>
      <c r="F6926" s="16"/>
      <c r="G6926" s="16"/>
      <c r="H6926" s="24"/>
      <c r="I6926" s="24"/>
      <c r="L6926"/>
    </row>
    <row r="6927" spans="1:12" x14ac:dyDescent="0.25">
      <c r="A6927" s="16"/>
      <c r="D6927" s="16"/>
      <c r="F6927" s="16"/>
      <c r="G6927" s="16"/>
      <c r="H6927" s="24"/>
      <c r="I6927" s="24"/>
      <c r="L6927"/>
    </row>
    <row r="6928" spans="1:12" x14ac:dyDescent="0.25">
      <c r="A6928" s="16"/>
      <c r="D6928" s="16"/>
      <c r="F6928" s="16"/>
      <c r="G6928" s="16"/>
      <c r="H6928" s="24"/>
      <c r="I6928" s="24"/>
      <c r="L6928"/>
    </row>
    <row r="6929" spans="1:12" x14ac:dyDescent="0.25">
      <c r="A6929" s="16"/>
      <c r="D6929" s="16"/>
      <c r="F6929" s="16"/>
      <c r="G6929" s="16"/>
      <c r="H6929" s="24"/>
      <c r="I6929" s="24"/>
      <c r="L6929"/>
    </row>
    <row r="6930" spans="1:12" x14ac:dyDescent="0.25">
      <c r="A6930" s="16"/>
      <c r="D6930" s="16"/>
      <c r="F6930" s="16"/>
      <c r="G6930" s="16"/>
      <c r="H6930" s="24"/>
      <c r="I6930" s="24"/>
      <c r="L6930"/>
    </row>
    <row r="6931" spans="1:12" x14ac:dyDescent="0.25">
      <c r="A6931" s="16"/>
      <c r="D6931" s="16"/>
      <c r="F6931" s="16"/>
      <c r="G6931" s="16"/>
      <c r="H6931" s="24"/>
      <c r="I6931" s="24"/>
      <c r="L6931"/>
    </row>
    <row r="6932" spans="1:12" x14ac:dyDescent="0.25">
      <c r="A6932" s="16"/>
      <c r="D6932" s="16"/>
      <c r="F6932" s="16"/>
      <c r="G6932" s="16"/>
      <c r="H6932" s="24"/>
      <c r="I6932" s="24"/>
      <c r="L6932"/>
    </row>
    <row r="6933" spans="1:12" x14ac:dyDescent="0.25">
      <c r="A6933" s="16"/>
      <c r="D6933" s="16"/>
      <c r="F6933" s="16"/>
      <c r="G6933" s="16"/>
      <c r="H6933" s="24"/>
      <c r="I6933" s="24"/>
      <c r="L6933"/>
    </row>
    <row r="6934" spans="1:12" x14ac:dyDescent="0.25">
      <c r="A6934" s="16"/>
      <c r="D6934" s="16"/>
      <c r="F6934" s="16"/>
      <c r="G6934" s="16"/>
      <c r="H6934" s="24"/>
      <c r="I6934" s="24"/>
      <c r="L6934"/>
    </row>
    <row r="6935" spans="1:12" x14ac:dyDescent="0.25">
      <c r="A6935" s="16"/>
      <c r="D6935" s="16"/>
      <c r="F6935" s="16"/>
      <c r="G6935" s="16"/>
      <c r="H6935" s="24"/>
      <c r="I6935" s="24"/>
      <c r="L6935"/>
    </row>
    <row r="6936" spans="1:12" x14ac:dyDescent="0.25">
      <c r="A6936" s="16"/>
      <c r="D6936" s="16"/>
      <c r="F6936" s="16"/>
      <c r="G6936" s="16"/>
      <c r="H6936" s="24"/>
      <c r="I6936" s="24"/>
      <c r="L6936"/>
    </row>
    <row r="6937" spans="1:12" x14ac:dyDescent="0.25">
      <c r="A6937" s="16"/>
      <c r="D6937" s="16"/>
      <c r="F6937" s="16"/>
      <c r="G6937" s="16"/>
      <c r="H6937" s="24"/>
      <c r="I6937" s="24"/>
      <c r="L6937"/>
    </row>
    <row r="6938" spans="1:12" x14ac:dyDescent="0.25">
      <c r="A6938" s="16"/>
      <c r="D6938" s="16"/>
      <c r="F6938" s="16"/>
      <c r="G6938" s="16"/>
      <c r="H6938" s="24"/>
      <c r="I6938" s="24"/>
      <c r="L6938"/>
    </row>
    <row r="6939" spans="1:12" x14ac:dyDescent="0.25">
      <c r="A6939" s="16"/>
      <c r="D6939" s="16"/>
      <c r="F6939" s="16"/>
      <c r="G6939" s="16"/>
      <c r="H6939" s="24"/>
      <c r="I6939" s="24"/>
      <c r="L6939"/>
    </row>
    <row r="6940" spans="1:12" x14ac:dyDescent="0.25">
      <c r="A6940" s="16"/>
      <c r="D6940" s="16"/>
      <c r="F6940" s="16"/>
      <c r="G6940" s="16"/>
      <c r="H6940" s="24"/>
      <c r="I6940" s="24"/>
      <c r="L6940"/>
    </row>
    <row r="6941" spans="1:12" x14ac:dyDescent="0.25">
      <c r="A6941" s="16"/>
      <c r="D6941" s="16"/>
      <c r="F6941" s="16"/>
      <c r="G6941" s="16"/>
      <c r="H6941" s="24"/>
      <c r="I6941" s="24"/>
      <c r="L6941"/>
    </row>
    <row r="6942" spans="1:12" x14ac:dyDescent="0.25">
      <c r="A6942" s="16"/>
      <c r="D6942" s="16"/>
      <c r="F6942" s="16"/>
      <c r="G6942" s="16"/>
      <c r="H6942" s="24"/>
      <c r="I6942" s="24"/>
      <c r="L6942"/>
    </row>
    <row r="6943" spans="1:12" x14ac:dyDescent="0.25">
      <c r="A6943" s="16"/>
      <c r="D6943" s="16"/>
      <c r="F6943" s="16"/>
      <c r="G6943" s="16"/>
      <c r="H6943" s="24"/>
      <c r="I6943" s="24"/>
      <c r="L6943"/>
    </row>
    <row r="6944" spans="1:12" x14ac:dyDescent="0.25">
      <c r="A6944" s="16"/>
      <c r="D6944" s="16"/>
      <c r="F6944" s="16"/>
      <c r="G6944" s="16"/>
      <c r="H6944" s="24"/>
      <c r="I6944" s="24"/>
      <c r="L6944"/>
    </row>
    <row r="6945" spans="1:12" x14ac:dyDescent="0.25">
      <c r="A6945" s="16"/>
      <c r="D6945" s="16"/>
      <c r="F6945" s="16"/>
      <c r="G6945" s="16"/>
      <c r="H6945" s="24"/>
      <c r="I6945" s="24"/>
      <c r="L6945"/>
    </row>
    <row r="6946" spans="1:12" x14ac:dyDescent="0.25">
      <c r="A6946" s="16"/>
      <c r="D6946" s="16"/>
      <c r="F6946" s="16"/>
      <c r="G6946" s="16"/>
      <c r="H6946" s="24"/>
      <c r="I6946" s="24"/>
      <c r="L6946"/>
    </row>
    <row r="6947" spans="1:12" x14ac:dyDescent="0.25">
      <c r="A6947" s="16"/>
      <c r="D6947" s="16"/>
      <c r="F6947" s="16"/>
      <c r="G6947" s="16"/>
      <c r="H6947" s="24"/>
      <c r="I6947" s="24"/>
      <c r="L6947"/>
    </row>
    <row r="6948" spans="1:12" x14ac:dyDescent="0.25">
      <c r="A6948" s="16"/>
      <c r="D6948" s="16"/>
      <c r="F6948" s="16"/>
      <c r="G6948" s="16"/>
      <c r="H6948" s="24"/>
      <c r="I6948" s="24"/>
      <c r="L6948"/>
    </row>
    <row r="6949" spans="1:12" x14ac:dyDescent="0.25">
      <c r="A6949" s="16"/>
      <c r="D6949" s="16"/>
      <c r="F6949" s="16"/>
      <c r="G6949" s="16"/>
      <c r="H6949" s="24"/>
      <c r="I6949" s="24"/>
      <c r="L6949"/>
    </row>
    <row r="6950" spans="1:12" x14ac:dyDescent="0.25">
      <c r="A6950" s="16"/>
      <c r="D6950" s="16"/>
      <c r="F6950" s="16"/>
      <c r="G6950" s="16"/>
      <c r="H6950" s="24"/>
      <c r="I6950" s="24"/>
      <c r="L6950"/>
    </row>
    <row r="6951" spans="1:12" x14ac:dyDescent="0.25">
      <c r="A6951" s="16"/>
      <c r="D6951" s="16"/>
      <c r="F6951" s="16"/>
      <c r="G6951" s="16"/>
      <c r="H6951" s="24"/>
      <c r="I6951" s="24"/>
      <c r="L6951"/>
    </row>
    <row r="6952" spans="1:12" x14ac:dyDescent="0.25">
      <c r="A6952" s="16"/>
      <c r="D6952" s="16"/>
      <c r="F6952" s="16"/>
      <c r="G6952" s="16"/>
      <c r="H6952" s="24"/>
      <c r="I6952" s="24"/>
      <c r="L6952"/>
    </row>
    <row r="6953" spans="1:12" x14ac:dyDescent="0.25">
      <c r="A6953" s="16"/>
      <c r="D6953" s="16"/>
      <c r="F6953" s="16"/>
      <c r="G6953" s="16"/>
      <c r="H6953" s="24"/>
      <c r="I6953" s="24"/>
      <c r="L6953"/>
    </row>
    <row r="6954" spans="1:12" x14ac:dyDescent="0.25">
      <c r="A6954" s="16"/>
      <c r="D6954" s="16"/>
      <c r="F6954" s="16"/>
      <c r="G6954" s="16"/>
      <c r="H6954" s="24"/>
      <c r="I6954" s="24"/>
      <c r="L6954"/>
    </row>
    <row r="6955" spans="1:12" x14ac:dyDescent="0.25">
      <c r="A6955" s="16"/>
      <c r="D6955" s="16"/>
      <c r="F6955" s="16"/>
      <c r="G6955" s="16"/>
      <c r="H6955" s="24"/>
      <c r="I6955" s="24"/>
      <c r="L6955"/>
    </row>
    <row r="6956" spans="1:12" x14ac:dyDescent="0.25">
      <c r="A6956" s="16"/>
      <c r="D6956" s="16"/>
      <c r="F6956" s="16"/>
      <c r="G6956" s="16"/>
      <c r="H6956" s="24"/>
      <c r="I6956" s="24"/>
      <c r="L6956"/>
    </row>
    <row r="6957" spans="1:12" x14ac:dyDescent="0.25">
      <c r="A6957" s="16"/>
      <c r="D6957" s="16"/>
      <c r="F6957" s="16"/>
      <c r="G6957" s="16"/>
      <c r="H6957" s="24"/>
      <c r="I6957" s="24"/>
      <c r="L6957"/>
    </row>
    <row r="6958" spans="1:12" x14ac:dyDescent="0.25">
      <c r="A6958" s="16"/>
      <c r="D6958" s="16"/>
      <c r="F6958" s="16"/>
      <c r="G6958" s="16"/>
      <c r="H6958" s="24"/>
      <c r="I6958" s="24"/>
      <c r="L6958"/>
    </row>
    <row r="6959" spans="1:12" x14ac:dyDescent="0.25">
      <c r="A6959" s="16"/>
      <c r="D6959" s="16"/>
      <c r="F6959" s="16"/>
      <c r="G6959" s="16"/>
      <c r="H6959" s="24"/>
      <c r="I6959" s="24"/>
      <c r="L6959"/>
    </row>
    <row r="6960" spans="1:12" x14ac:dyDescent="0.25">
      <c r="A6960" s="16"/>
      <c r="D6960" s="16"/>
      <c r="F6960" s="16"/>
      <c r="G6960" s="16"/>
      <c r="H6960" s="24"/>
      <c r="I6960" s="24"/>
      <c r="L6960"/>
    </row>
    <row r="6961" spans="1:12" x14ac:dyDescent="0.25">
      <c r="A6961" s="16"/>
      <c r="D6961" s="16"/>
      <c r="F6961" s="16"/>
      <c r="G6961" s="16"/>
      <c r="H6961" s="24"/>
      <c r="I6961" s="24"/>
      <c r="L6961"/>
    </row>
    <row r="6962" spans="1:12" x14ac:dyDescent="0.25">
      <c r="A6962" s="16"/>
      <c r="D6962" s="16"/>
      <c r="F6962" s="16"/>
      <c r="G6962" s="16"/>
      <c r="H6962" s="24"/>
      <c r="I6962" s="24"/>
      <c r="L6962"/>
    </row>
    <row r="6963" spans="1:12" x14ac:dyDescent="0.25">
      <c r="A6963" s="16"/>
      <c r="D6963" s="16"/>
      <c r="F6963" s="16"/>
      <c r="G6963" s="16"/>
      <c r="H6963" s="24"/>
      <c r="I6963" s="24"/>
      <c r="L6963"/>
    </row>
    <row r="6964" spans="1:12" x14ac:dyDescent="0.25">
      <c r="A6964" s="16"/>
      <c r="D6964" s="16"/>
      <c r="F6964" s="16"/>
      <c r="G6964" s="16"/>
      <c r="H6964" s="24"/>
      <c r="I6964" s="24"/>
      <c r="L6964"/>
    </row>
    <row r="6965" spans="1:12" x14ac:dyDescent="0.25">
      <c r="A6965" s="16"/>
      <c r="D6965" s="16"/>
      <c r="F6965" s="16"/>
      <c r="G6965" s="16"/>
      <c r="H6965" s="24"/>
      <c r="I6965" s="24"/>
      <c r="L6965"/>
    </row>
    <row r="6966" spans="1:12" x14ac:dyDescent="0.25">
      <c r="A6966" s="16"/>
      <c r="D6966" s="16"/>
      <c r="F6966" s="16"/>
      <c r="G6966" s="16"/>
      <c r="H6966" s="24"/>
      <c r="I6966" s="24"/>
      <c r="L6966"/>
    </row>
    <row r="6967" spans="1:12" x14ac:dyDescent="0.25">
      <c r="A6967" s="16"/>
      <c r="D6967" s="16"/>
      <c r="F6967" s="16"/>
      <c r="G6967" s="16"/>
      <c r="H6967" s="24"/>
      <c r="I6967" s="24"/>
      <c r="L6967"/>
    </row>
    <row r="6968" spans="1:12" x14ac:dyDescent="0.25">
      <c r="A6968" s="16"/>
      <c r="D6968" s="16"/>
      <c r="F6968" s="16"/>
      <c r="G6968" s="16"/>
      <c r="H6968" s="24"/>
      <c r="I6968" s="24"/>
      <c r="L6968"/>
    </row>
    <row r="6969" spans="1:12" x14ac:dyDescent="0.25">
      <c r="A6969" s="16"/>
      <c r="D6969" s="16"/>
      <c r="F6969" s="16"/>
      <c r="G6969" s="16"/>
      <c r="H6969" s="24"/>
      <c r="I6969" s="24"/>
      <c r="L6969"/>
    </row>
    <row r="6970" spans="1:12" x14ac:dyDescent="0.25">
      <c r="A6970" s="16"/>
      <c r="D6970" s="16"/>
      <c r="F6970" s="16"/>
      <c r="G6970" s="16"/>
      <c r="H6970" s="24"/>
      <c r="I6970" s="24"/>
      <c r="L6970"/>
    </row>
    <row r="6971" spans="1:12" x14ac:dyDescent="0.25">
      <c r="A6971" s="16"/>
      <c r="D6971" s="16"/>
      <c r="F6971" s="16"/>
      <c r="G6971" s="16"/>
      <c r="H6971" s="24"/>
      <c r="I6971" s="24"/>
      <c r="L6971"/>
    </row>
    <row r="6972" spans="1:12" x14ac:dyDescent="0.25">
      <c r="A6972" s="16"/>
      <c r="D6972" s="16"/>
      <c r="F6972" s="16"/>
      <c r="G6972" s="16"/>
      <c r="H6972" s="24"/>
      <c r="I6972" s="24"/>
      <c r="L6972"/>
    </row>
    <row r="6973" spans="1:12" x14ac:dyDescent="0.25">
      <c r="A6973" s="16"/>
      <c r="D6973" s="16"/>
      <c r="F6973" s="16"/>
      <c r="G6973" s="16"/>
      <c r="H6973" s="24"/>
      <c r="I6973" s="24"/>
      <c r="L6973"/>
    </row>
    <row r="6974" spans="1:12" x14ac:dyDescent="0.25">
      <c r="A6974" s="16"/>
      <c r="D6974" s="16"/>
      <c r="F6974" s="16"/>
      <c r="G6974" s="16"/>
      <c r="H6974" s="24"/>
      <c r="I6974" s="24"/>
      <c r="L6974"/>
    </row>
    <row r="6975" spans="1:12" x14ac:dyDescent="0.25">
      <c r="A6975" s="16"/>
      <c r="D6975" s="16"/>
      <c r="F6975" s="16"/>
      <c r="G6975" s="16"/>
      <c r="H6975" s="24"/>
      <c r="I6975" s="24"/>
      <c r="L6975"/>
    </row>
    <row r="6976" spans="1:12" x14ac:dyDescent="0.25">
      <c r="A6976" s="16"/>
      <c r="D6976" s="16"/>
      <c r="F6976" s="16"/>
      <c r="G6976" s="16"/>
      <c r="H6976" s="24"/>
      <c r="I6976" s="24"/>
      <c r="L6976"/>
    </row>
    <row r="6977" spans="1:12" x14ac:dyDescent="0.25">
      <c r="A6977" s="16"/>
      <c r="D6977" s="16"/>
      <c r="F6977" s="16"/>
      <c r="G6977" s="16"/>
      <c r="H6977" s="24"/>
      <c r="I6977" s="24"/>
      <c r="L6977"/>
    </row>
    <row r="6978" spans="1:12" x14ac:dyDescent="0.25">
      <c r="A6978" s="16"/>
      <c r="D6978" s="16"/>
      <c r="F6978" s="16"/>
      <c r="G6978" s="16"/>
      <c r="H6978" s="24"/>
      <c r="I6978" s="24"/>
      <c r="L6978"/>
    </row>
    <row r="6979" spans="1:12" x14ac:dyDescent="0.25">
      <c r="A6979" s="16"/>
      <c r="D6979" s="16"/>
      <c r="F6979" s="16"/>
      <c r="G6979" s="16"/>
      <c r="H6979" s="24"/>
      <c r="I6979" s="24"/>
      <c r="L6979"/>
    </row>
    <row r="6980" spans="1:12" x14ac:dyDescent="0.25">
      <c r="A6980" s="16"/>
      <c r="D6980" s="16"/>
      <c r="F6980" s="16"/>
      <c r="G6980" s="16"/>
      <c r="H6980" s="24"/>
      <c r="I6980" s="24"/>
      <c r="L6980"/>
    </row>
    <row r="6981" spans="1:12" x14ac:dyDescent="0.25">
      <c r="A6981" s="16"/>
      <c r="D6981" s="16"/>
      <c r="F6981" s="16"/>
      <c r="G6981" s="16"/>
      <c r="H6981" s="24"/>
      <c r="I6981" s="24"/>
      <c r="L6981"/>
    </row>
    <row r="6982" spans="1:12" x14ac:dyDescent="0.25">
      <c r="A6982" s="16"/>
      <c r="D6982" s="16"/>
      <c r="F6982" s="16"/>
      <c r="G6982" s="16"/>
      <c r="H6982" s="24"/>
      <c r="I6982" s="24"/>
      <c r="L6982"/>
    </row>
    <row r="6983" spans="1:12" x14ac:dyDescent="0.25">
      <c r="A6983" s="16"/>
      <c r="D6983" s="16"/>
      <c r="F6983" s="16"/>
      <c r="G6983" s="16"/>
      <c r="H6983" s="24"/>
      <c r="I6983" s="24"/>
      <c r="L6983"/>
    </row>
    <row r="6984" spans="1:12" x14ac:dyDescent="0.25">
      <c r="A6984" s="16"/>
      <c r="D6984" s="16"/>
      <c r="F6984" s="16"/>
      <c r="G6984" s="16"/>
      <c r="H6984" s="24"/>
      <c r="I6984" s="24"/>
      <c r="L6984"/>
    </row>
    <row r="6985" spans="1:12" x14ac:dyDescent="0.25">
      <c r="A6985" s="16"/>
      <c r="D6985" s="16"/>
      <c r="F6985" s="16"/>
      <c r="G6985" s="16"/>
      <c r="H6985" s="24"/>
      <c r="I6985" s="24"/>
      <c r="L6985"/>
    </row>
    <row r="6986" spans="1:12" x14ac:dyDescent="0.25">
      <c r="A6986" s="16"/>
      <c r="D6986" s="16"/>
      <c r="F6986" s="16"/>
      <c r="G6986" s="16"/>
      <c r="H6986" s="24"/>
      <c r="I6986" s="24"/>
      <c r="L6986"/>
    </row>
    <row r="6987" spans="1:12" x14ac:dyDescent="0.25">
      <c r="A6987" s="16"/>
      <c r="D6987" s="16"/>
      <c r="F6987" s="16"/>
      <c r="G6987" s="16"/>
      <c r="H6987" s="24"/>
      <c r="I6987" s="24"/>
      <c r="L6987"/>
    </row>
    <row r="6988" spans="1:12" x14ac:dyDescent="0.25">
      <c r="A6988" s="16"/>
      <c r="D6988" s="16"/>
      <c r="F6988" s="16"/>
      <c r="G6988" s="16"/>
      <c r="H6988" s="24"/>
      <c r="I6988" s="24"/>
      <c r="L6988"/>
    </row>
    <row r="6989" spans="1:12" x14ac:dyDescent="0.25">
      <c r="A6989" s="16"/>
      <c r="D6989" s="16"/>
      <c r="F6989" s="16"/>
      <c r="G6989" s="16"/>
      <c r="H6989" s="24"/>
      <c r="I6989" s="24"/>
      <c r="L6989"/>
    </row>
    <row r="6990" spans="1:12" x14ac:dyDescent="0.25">
      <c r="A6990" s="16"/>
      <c r="D6990" s="16"/>
      <c r="F6990" s="16"/>
      <c r="G6990" s="16"/>
      <c r="H6990" s="24"/>
      <c r="I6990" s="24"/>
      <c r="L6990"/>
    </row>
    <row r="6991" spans="1:12" x14ac:dyDescent="0.25">
      <c r="A6991" s="16"/>
      <c r="D6991" s="16"/>
      <c r="F6991" s="16"/>
      <c r="G6991" s="16"/>
      <c r="H6991" s="24"/>
      <c r="I6991" s="24"/>
      <c r="L6991"/>
    </row>
    <row r="6992" spans="1:12" x14ac:dyDescent="0.25">
      <c r="A6992" s="16"/>
      <c r="D6992" s="16"/>
      <c r="F6992" s="16"/>
      <c r="G6992" s="16"/>
      <c r="H6992" s="24"/>
      <c r="I6992" s="24"/>
      <c r="L6992"/>
    </row>
    <row r="6993" spans="1:12" x14ac:dyDescent="0.25">
      <c r="A6993" s="16"/>
      <c r="D6993" s="16"/>
      <c r="F6993" s="16"/>
      <c r="G6993" s="16"/>
      <c r="H6993" s="24"/>
      <c r="I6993" s="24"/>
      <c r="L6993"/>
    </row>
    <row r="6994" spans="1:12" x14ac:dyDescent="0.25">
      <c r="A6994" s="16"/>
      <c r="D6994" s="16"/>
      <c r="F6994" s="16"/>
      <c r="G6994" s="16"/>
      <c r="H6994" s="24"/>
      <c r="I6994" s="24"/>
      <c r="L6994"/>
    </row>
    <row r="6995" spans="1:12" x14ac:dyDescent="0.25">
      <c r="A6995" s="16"/>
      <c r="D6995" s="16"/>
      <c r="F6995" s="16"/>
      <c r="G6995" s="16"/>
      <c r="H6995" s="24"/>
      <c r="I6995" s="24"/>
      <c r="L6995"/>
    </row>
    <row r="6996" spans="1:12" x14ac:dyDescent="0.25">
      <c r="A6996" s="16"/>
      <c r="D6996" s="16"/>
      <c r="F6996" s="16"/>
      <c r="G6996" s="16"/>
      <c r="H6996" s="24"/>
      <c r="I6996" s="24"/>
      <c r="L6996"/>
    </row>
    <row r="6997" spans="1:12" x14ac:dyDescent="0.25">
      <c r="A6997" s="16"/>
      <c r="D6997" s="16"/>
      <c r="F6997" s="16"/>
      <c r="G6997" s="16"/>
      <c r="H6997" s="24"/>
      <c r="I6997" s="24"/>
      <c r="L6997"/>
    </row>
    <row r="6998" spans="1:12" x14ac:dyDescent="0.25">
      <c r="A6998" s="16"/>
      <c r="D6998" s="16"/>
      <c r="F6998" s="16"/>
      <c r="G6998" s="16"/>
      <c r="H6998" s="24"/>
      <c r="I6998" s="24"/>
      <c r="L6998"/>
    </row>
    <row r="6999" spans="1:12" x14ac:dyDescent="0.25">
      <c r="A6999" s="16"/>
      <c r="D6999" s="16"/>
      <c r="F6999" s="16"/>
      <c r="G6999" s="16"/>
      <c r="H6999" s="24"/>
      <c r="I6999" s="24"/>
      <c r="L6999"/>
    </row>
    <row r="7000" spans="1:12" x14ac:dyDescent="0.25">
      <c r="A7000" s="16"/>
      <c r="D7000" s="16"/>
      <c r="F7000" s="16"/>
      <c r="G7000" s="16"/>
      <c r="H7000" s="24"/>
      <c r="I7000" s="24"/>
      <c r="L7000"/>
    </row>
    <row r="7001" spans="1:12" x14ac:dyDescent="0.25">
      <c r="A7001" s="16"/>
      <c r="D7001" s="16"/>
      <c r="F7001" s="16"/>
      <c r="G7001" s="16"/>
      <c r="H7001" s="24"/>
      <c r="I7001" s="24"/>
      <c r="L7001"/>
    </row>
    <row r="7002" spans="1:12" x14ac:dyDescent="0.25">
      <c r="A7002" s="16"/>
      <c r="D7002" s="16"/>
      <c r="F7002" s="16"/>
      <c r="G7002" s="16"/>
      <c r="H7002" s="24"/>
      <c r="I7002" s="24"/>
      <c r="L7002"/>
    </row>
    <row r="7003" spans="1:12" x14ac:dyDescent="0.25">
      <c r="A7003" s="16"/>
      <c r="D7003" s="16"/>
      <c r="F7003" s="16"/>
      <c r="G7003" s="16"/>
      <c r="H7003" s="24"/>
      <c r="I7003" s="24"/>
      <c r="L7003"/>
    </row>
    <row r="7004" spans="1:12" x14ac:dyDescent="0.25">
      <c r="A7004" s="16"/>
      <c r="D7004" s="16"/>
      <c r="F7004" s="16"/>
      <c r="G7004" s="16"/>
      <c r="H7004" s="24"/>
      <c r="I7004" s="24"/>
      <c r="L7004"/>
    </row>
    <row r="7005" spans="1:12" x14ac:dyDescent="0.25">
      <c r="A7005" s="16"/>
      <c r="D7005" s="16"/>
      <c r="F7005" s="16"/>
      <c r="G7005" s="16"/>
      <c r="H7005" s="24"/>
      <c r="I7005" s="24"/>
      <c r="L7005"/>
    </row>
    <row r="7006" spans="1:12" x14ac:dyDescent="0.25">
      <c r="A7006" s="16"/>
      <c r="D7006" s="16"/>
      <c r="F7006" s="16"/>
      <c r="G7006" s="16"/>
      <c r="H7006" s="24"/>
      <c r="I7006" s="24"/>
      <c r="L7006"/>
    </row>
    <row r="7007" spans="1:12" x14ac:dyDescent="0.25">
      <c r="A7007" s="16"/>
      <c r="D7007" s="16"/>
      <c r="F7007" s="16"/>
      <c r="G7007" s="16"/>
      <c r="H7007" s="24"/>
      <c r="I7007" s="24"/>
      <c r="L7007"/>
    </row>
    <row r="7008" spans="1:12" x14ac:dyDescent="0.25">
      <c r="A7008" s="16"/>
      <c r="D7008" s="16"/>
      <c r="F7008" s="16"/>
      <c r="G7008" s="16"/>
      <c r="H7008" s="24"/>
      <c r="I7008" s="24"/>
      <c r="L7008"/>
    </row>
    <row r="7009" spans="1:12" x14ac:dyDescent="0.25">
      <c r="A7009" s="16"/>
      <c r="D7009" s="16"/>
      <c r="F7009" s="16"/>
      <c r="G7009" s="16"/>
      <c r="H7009" s="24"/>
      <c r="I7009" s="24"/>
      <c r="L7009"/>
    </row>
    <row r="7010" spans="1:12" x14ac:dyDescent="0.25">
      <c r="A7010" s="16"/>
      <c r="D7010" s="16"/>
      <c r="F7010" s="16"/>
      <c r="G7010" s="16"/>
      <c r="H7010" s="24"/>
      <c r="I7010" s="24"/>
      <c r="L7010"/>
    </row>
    <row r="7011" spans="1:12" x14ac:dyDescent="0.25">
      <c r="A7011" s="16"/>
      <c r="D7011" s="16"/>
      <c r="F7011" s="16"/>
      <c r="G7011" s="16"/>
      <c r="H7011" s="24"/>
      <c r="I7011" s="24"/>
      <c r="L7011"/>
    </row>
    <row r="7012" spans="1:12" x14ac:dyDescent="0.25">
      <c r="A7012" s="16"/>
      <c r="D7012" s="16"/>
      <c r="F7012" s="16"/>
      <c r="G7012" s="16"/>
      <c r="H7012" s="24"/>
      <c r="I7012" s="24"/>
      <c r="L7012"/>
    </row>
    <row r="7013" spans="1:12" x14ac:dyDescent="0.25">
      <c r="A7013" s="16"/>
      <c r="D7013" s="16"/>
      <c r="F7013" s="16"/>
      <c r="G7013" s="16"/>
      <c r="H7013" s="24"/>
      <c r="I7013" s="24"/>
      <c r="L7013"/>
    </row>
    <row r="7014" spans="1:12" x14ac:dyDescent="0.25">
      <c r="A7014" s="16"/>
      <c r="D7014" s="16"/>
      <c r="F7014" s="16"/>
      <c r="G7014" s="16"/>
      <c r="H7014" s="24"/>
      <c r="I7014" s="24"/>
      <c r="L7014"/>
    </row>
    <row r="7015" spans="1:12" x14ac:dyDescent="0.25">
      <c r="A7015" s="16"/>
      <c r="D7015" s="16"/>
      <c r="F7015" s="16"/>
      <c r="G7015" s="16"/>
      <c r="H7015" s="24"/>
      <c r="I7015" s="24"/>
      <c r="L7015"/>
    </row>
    <row r="7016" spans="1:12" x14ac:dyDescent="0.25">
      <c r="A7016" s="16"/>
      <c r="D7016" s="16"/>
      <c r="F7016" s="16"/>
      <c r="G7016" s="16"/>
      <c r="H7016" s="24"/>
      <c r="I7016" s="24"/>
      <c r="L7016"/>
    </row>
    <row r="7017" spans="1:12" x14ac:dyDescent="0.25">
      <c r="A7017" s="16"/>
      <c r="D7017" s="16"/>
      <c r="F7017" s="16"/>
      <c r="G7017" s="16"/>
      <c r="H7017" s="24"/>
      <c r="I7017" s="24"/>
      <c r="L7017"/>
    </row>
    <row r="7018" spans="1:12" x14ac:dyDescent="0.25">
      <c r="A7018" s="16"/>
      <c r="D7018" s="16"/>
      <c r="F7018" s="16"/>
      <c r="G7018" s="16"/>
      <c r="H7018" s="24"/>
      <c r="I7018" s="24"/>
      <c r="L7018"/>
    </row>
    <row r="7019" spans="1:12" x14ac:dyDescent="0.25">
      <c r="A7019" s="16"/>
      <c r="D7019" s="16"/>
      <c r="F7019" s="16"/>
      <c r="G7019" s="16"/>
      <c r="H7019" s="24"/>
      <c r="I7019" s="24"/>
      <c r="L7019"/>
    </row>
    <row r="7020" spans="1:12" x14ac:dyDescent="0.25">
      <c r="A7020" s="16"/>
      <c r="D7020" s="16"/>
      <c r="F7020" s="16"/>
      <c r="G7020" s="16"/>
      <c r="H7020" s="24"/>
      <c r="I7020" s="24"/>
      <c r="L7020"/>
    </row>
    <row r="7021" spans="1:12" x14ac:dyDescent="0.25">
      <c r="A7021" s="16"/>
      <c r="D7021" s="16"/>
      <c r="F7021" s="16"/>
      <c r="G7021" s="16"/>
      <c r="H7021" s="24"/>
      <c r="I7021" s="24"/>
      <c r="L7021"/>
    </row>
    <row r="7022" spans="1:12" x14ac:dyDescent="0.25">
      <c r="A7022" s="16"/>
      <c r="D7022" s="16"/>
      <c r="F7022" s="16"/>
      <c r="G7022" s="16"/>
      <c r="H7022" s="24"/>
      <c r="I7022" s="24"/>
      <c r="L7022"/>
    </row>
    <row r="7023" spans="1:12" x14ac:dyDescent="0.25">
      <c r="A7023" s="16"/>
      <c r="D7023" s="16"/>
      <c r="F7023" s="16"/>
      <c r="G7023" s="16"/>
      <c r="H7023" s="24"/>
      <c r="I7023" s="24"/>
      <c r="L7023"/>
    </row>
    <row r="7024" spans="1:12" x14ac:dyDescent="0.25">
      <c r="A7024" s="16"/>
      <c r="D7024" s="16"/>
      <c r="F7024" s="16"/>
      <c r="G7024" s="16"/>
      <c r="H7024" s="24"/>
      <c r="I7024" s="24"/>
      <c r="L7024"/>
    </row>
    <row r="7025" spans="1:12" x14ac:dyDescent="0.25">
      <c r="A7025" s="16"/>
      <c r="D7025" s="16"/>
      <c r="F7025" s="16"/>
      <c r="G7025" s="16"/>
      <c r="H7025" s="24"/>
      <c r="I7025" s="24"/>
      <c r="L7025"/>
    </row>
    <row r="7026" spans="1:12" x14ac:dyDescent="0.25">
      <c r="A7026" s="16"/>
      <c r="D7026" s="16"/>
      <c r="F7026" s="16"/>
      <c r="G7026" s="16"/>
      <c r="H7026" s="24"/>
      <c r="I7026" s="24"/>
      <c r="L7026"/>
    </row>
    <row r="7027" spans="1:12" x14ac:dyDescent="0.25">
      <c r="A7027" s="16"/>
      <c r="D7027" s="16"/>
      <c r="F7027" s="16"/>
      <c r="G7027" s="16"/>
      <c r="H7027" s="24"/>
      <c r="I7027" s="24"/>
      <c r="L7027"/>
    </row>
    <row r="7028" spans="1:12" x14ac:dyDescent="0.25">
      <c r="A7028" s="16"/>
      <c r="D7028" s="16"/>
      <c r="F7028" s="16"/>
      <c r="G7028" s="16"/>
      <c r="H7028" s="24"/>
      <c r="I7028" s="24"/>
      <c r="L7028"/>
    </row>
    <row r="7029" spans="1:12" x14ac:dyDescent="0.25">
      <c r="A7029" s="16"/>
      <c r="D7029" s="16"/>
      <c r="F7029" s="16"/>
      <c r="G7029" s="16"/>
      <c r="H7029" s="24"/>
      <c r="I7029" s="24"/>
      <c r="L7029"/>
    </row>
    <row r="7030" spans="1:12" x14ac:dyDescent="0.25">
      <c r="A7030" s="16"/>
      <c r="D7030" s="16"/>
      <c r="F7030" s="16"/>
      <c r="G7030" s="16"/>
      <c r="H7030" s="24"/>
      <c r="I7030" s="24"/>
      <c r="L7030"/>
    </row>
    <row r="7031" spans="1:12" x14ac:dyDescent="0.25">
      <c r="A7031" s="16"/>
      <c r="D7031" s="16"/>
      <c r="F7031" s="16"/>
      <c r="G7031" s="16"/>
      <c r="H7031" s="24"/>
      <c r="I7031" s="24"/>
      <c r="L7031"/>
    </row>
    <row r="7032" spans="1:12" x14ac:dyDescent="0.25">
      <c r="A7032" s="16"/>
      <c r="D7032" s="16"/>
      <c r="F7032" s="16"/>
      <c r="G7032" s="16"/>
      <c r="H7032" s="24"/>
      <c r="I7032" s="24"/>
      <c r="L7032"/>
    </row>
    <row r="7033" spans="1:12" x14ac:dyDescent="0.25">
      <c r="A7033" s="16"/>
      <c r="D7033" s="16"/>
      <c r="F7033" s="16"/>
      <c r="G7033" s="16"/>
      <c r="H7033" s="24"/>
      <c r="I7033" s="24"/>
      <c r="L7033"/>
    </row>
    <row r="7034" spans="1:12" x14ac:dyDescent="0.25">
      <c r="A7034" s="16"/>
      <c r="D7034" s="16"/>
      <c r="F7034" s="16"/>
      <c r="G7034" s="16"/>
      <c r="H7034" s="24"/>
      <c r="I7034" s="24"/>
      <c r="L7034"/>
    </row>
    <row r="7035" spans="1:12" x14ac:dyDescent="0.25">
      <c r="A7035" s="16"/>
      <c r="D7035" s="16"/>
      <c r="F7035" s="16"/>
      <c r="G7035" s="16"/>
      <c r="H7035" s="24"/>
      <c r="I7035" s="24"/>
      <c r="L7035"/>
    </row>
    <row r="7036" spans="1:12" x14ac:dyDescent="0.25">
      <c r="A7036" s="16"/>
      <c r="D7036" s="16"/>
      <c r="F7036" s="16"/>
      <c r="G7036" s="16"/>
      <c r="H7036" s="24"/>
      <c r="I7036" s="24"/>
      <c r="L7036"/>
    </row>
    <row r="7037" spans="1:12" x14ac:dyDescent="0.25">
      <c r="A7037" s="16"/>
      <c r="D7037" s="16"/>
      <c r="F7037" s="16"/>
      <c r="G7037" s="16"/>
      <c r="H7037" s="24"/>
      <c r="I7037" s="24"/>
      <c r="L7037"/>
    </row>
    <row r="7038" spans="1:12" x14ac:dyDescent="0.25">
      <c r="A7038" s="16"/>
      <c r="D7038" s="16"/>
      <c r="F7038" s="16"/>
      <c r="G7038" s="16"/>
      <c r="H7038" s="24"/>
      <c r="I7038" s="24"/>
      <c r="L7038"/>
    </row>
    <row r="7039" spans="1:12" x14ac:dyDescent="0.25">
      <c r="A7039" s="16"/>
      <c r="D7039" s="16"/>
      <c r="F7039" s="16"/>
      <c r="G7039" s="16"/>
      <c r="H7039" s="24"/>
      <c r="I7039" s="24"/>
      <c r="L7039"/>
    </row>
    <row r="7040" spans="1:12" x14ac:dyDescent="0.25">
      <c r="A7040" s="16"/>
      <c r="D7040" s="16"/>
      <c r="F7040" s="16"/>
      <c r="G7040" s="16"/>
      <c r="H7040" s="24"/>
      <c r="I7040" s="24"/>
      <c r="L7040"/>
    </row>
    <row r="7041" spans="1:12" x14ac:dyDescent="0.25">
      <c r="A7041" s="16"/>
      <c r="D7041" s="16"/>
      <c r="F7041" s="16"/>
      <c r="G7041" s="16"/>
      <c r="H7041" s="24"/>
      <c r="I7041" s="24"/>
      <c r="L7041"/>
    </row>
    <row r="7042" spans="1:12" x14ac:dyDescent="0.25">
      <c r="A7042" s="16"/>
      <c r="D7042" s="16"/>
      <c r="F7042" s="16"/>
      <c r="G7042" s="16"/>
      <c r="H7042" s="24"/>
      <c r="I7042" s="24"/>
      <c r="L7042"/>
    </row>
    <row r="7043" spans="1:12" x14ac:dyDescent="0.25">
      <c r="A7043" s="16"/>
      <c r="D7043" s="16"/>
      <c r="F7043" s="16"/>
      <c r="G7043" s="16"/>
      <c r="H7043" s="24"/>
      <c r="I7043" s="24"/>
      <c r="L7043"/>
    </row>
    <row r="7044" spans="1:12" x14ac:dyDescent="0.25">
      <c r="A7044" s="16"/>
      <c r="D7044" s="16"/>
      <c r="F7044" s="16"/>
      <c r="G7044" s="16"/>
      <c r="H7044" s="24"/>
      <c r="I7044" s="24"/>
      <c r="L7044"/>
    </row>
    <row r="7045" spans="1:12" x14ac:dyDescent="0.25">
      <c r="A7045" s="16"/>
      <c r="D7045" s="16"/>
      <c r="F7045" s="16"/>
      <c r="G7045" s="16"/>
      <c r="H7045" s="24"/>
      <c r="I7045" s="24"/>
      <c r="L7045"/>
    </row>
    <row r="7046" spans="1:12" x14ac:dyDescent="0.25">
      <c r="A7046" s="16"/>
      <c r="D7046" s="16"/>
      <c r="F7046" s="16"/>
      <c r="G7046" s="16"/>
      <c r="H7046" s="24"/>
      <c r="I7046" s="24"/>
      <c r="L7046"/>
    </row>
    <row r="7047" spans="1:12" x14ac:dyDescent="0.25">
      <c r="A7047" s="16"/>
      <c r="D7047" s="16"/>
      <c r="F7047" s="16"/>
      <c r="G7047" s="16"/>
      <c r="H7047" s="24"/>
      <c r="I7047" s="24"/>
      <c r="L7047"/>
    </row>
    <row r="7048" spans="1:12" x14ac:dyDescent="0.25">
      <c r="A7048" s="16"/>
      <c r="D7048" s="16"/>
      <c r="F7048" s="16"/>
      <c r="G7048" s="16"/>
      <c r="H7048" s="24"/>
      <c r="I7048" s="24"/>
      <c r="L7048"/>
    </row>
    <row r="7049" spans="1:12" x14ac:dyDescent="0.25">
      <c r="A7049" s="16"/>
      <c r="D7049" s="16"/>
      <c r="F7049" s="16"/>
      <c r="G7049" s="16"/>
      <c r="H7049" s="24"/>
      <c r="I7049" s="24"/>
      <c r="L7049"/>
    </row>
    <row r="7050" spans="1:12" x14ac:dyDescent="0.25">
      <c r="A7050" s="16"/>
      <c r="D7050" s="16"/>
      <c r="F7050" s="16"/>
      <c r="G7050" s="16"/>
      <c r="H7050" s="24"/>
      <c r="I7050" s="24"/>
      <c r="L7050"/>
    </row>
    <row r="7051" spans="1:12" x14ac:dyDescent="0.25">
      <c r="A7051" s="16"/>
      <c r="D7051" s="16"/>
      <c r="F7051" s="16"/>
      <c r="G7051" s="16"/>
      <c r="H7051" s="24"/>
      <c r="I7051" s="24"/>
      <c r="L7051"/>
    </row>
    <row r="7052" spans="1:12" x14ac:dyDescent="0.25">
      <c r="A7052" s="16"/>
      <c r="D7052" s="16"/>
      <c r="F7052" s="16"/>
      <c r="G7052" s="16"/>
      <c r="H7052" s="24"/>
      <c r="I7052" s="24"/>
      <c r="L7052"/>
    </row>
    <row r="7053" spans="1:12" x14ac:dyDescent="0.25">
      <c r="A7053" s="16"/>
      <c r="D7053" s="16"/>
      <c r="F7053" s="16"/>
      <c r="G7053" s="16"/>
      <c r="H7053" s="24"/>
      <c r="I7053" s="24"/>
      <c r="L7053"/>
    </row>
    <row r="7054" spans="1:12" x14ac:dyDescent="0.25">
      <c r="A7054" s="16"/>
      <c r="D7054" s="16"/>
      <c r="F7054" s="16"/>
      <c r="G7054" s="16"/>
      <c r="H7054" s="24"/>
      <c r="I7054" s="24"/>
      <c r="L7054"/>
    </row>
    <row r="7055" spans="1:12" x14ac:dyDescent="0.25">
      <c r="A7055" s="16"/>
      <c r="D7055" s="16"/>
      <c r="F7055" s="16"/>
      <c r="G7055" s="16"/>
      <c r="H7055" s="24"/>
      <c r="I7055" s="24"/>
      <c r="L7055"/>
    </row>
    <row r="7056" spans="1:12" x14ac:dyDescent="0.25">
      <c r="A7056" s="16"/>
      <c r="D7056" s="16"/>
      <c r="F7056" s="16"/>
      <c r="G7056" s="16"/>
      <c r="H7056" s="24"/>
      <c r="I7056" s="24"/>
      <c r="L7056"/>
    </row>
    <row r="7057" spans="1:12" x14ac:dyDescent="0.25">
      <c r="A7057" s="16"/>
      <c r="D7057" s="16"/>
      <c r="F7057" s="16"/>
      <c r="G7057" s="16"/>
      <c r="H7057" s="24"/>
      <c r="I7057" s="24"/>
      <c r="L7057"/>
    </row>
    <row r="7058" spans="1:12" x14ac:dyDescent="0.25">
      <c r="A7058" s="16"/>
      <c r="D7058" s="16"/>
      <c r="F7058" s="16"/>
      <c r="G7058" s="16"/>
      <c r="H7058" s="24"/>
      <c r="I7058" s="24"/>
      <c r="L7058"/>
    </row>
    <row r="7059" spans="1:12" x14ac:dyDescent="0.25">
      <c r="A7059" s="16"/>
      <c r="D7059" s="16"/>
      <c r="F7059" s="16"/>
      <c r="G7059" s="16"/>
      <c r="H7059" s="24"/>
      <c r="I7059" s="24"/>
      <c r="L7059"/>
    </row>
    <row r="7060" spans="1:12" x14ac:dyDescent="0.25">
      <c r="A7060" s="16"/>
      <c r="D7060" s="16"/>
      <c r="F7060" s="16"/>
      <c r="G7060" s="16"/>
      <c r="H7060" s="24"/>
      <c r="I7060" s="24"/>
      <c r="L7060"/>
    </row>
    <row r="7061" spans="1:12" x14ac:dyDescent="0.25">
      <c r="A7061" s="16"/>
      <c r="D7061" s="16"/>
      <c r="F7061" s="16"/>
      <c r="G7061" s="16"/>
      <c r="H7061" s="24"/>
      <c r="I7061" s="24"/>
      <c r="L7061"/>
    </row>
    <row r="7062" spans="1:12" x14ac:dyDescent="0.25">
      <c r="A7062" s="16"/>
      <c r="D7062" s="16"/>
      <c r="F7062" s="16"/>
      <c r="G7062" s="16"/>
      <c r="H7062" s="24"/>
      <c r="I7062" s="24"/>
      <c r="L7062"/>
    </row>
    <row r="7063" spans="1:12" x14ac:dyDescent="0.25">
      <c r="A7063" s="16"/>
      <c r="D7063" s="16"/>
      <c r="F7063" s="16"/>
      <c r="G7063" s="16"/>
      <c r="H7063" s="24"/>
      <c r="I7063" s="24"/>
      <c r="L7063"/>
    </row>
    <row r="7064" spans="1:12" x14ac:dyDescent="0.25">
      <c r="A7064" s="16"/>
      <c r="D7064" s="16"/>
      <c r="F7064" s="16"/>
      <c r="G7064" s="16"/>
      <c r="H7064" s="24"/>
      <c r="I7064" s="24"/>
      <c r="L7064"/>
    </row>
    <row r="7065" spans="1:12" x14ac:dyDescent="0.25">
      <c r="A7065" s="16"/>
      <c r="D7065" s="16"/>
      <c r="F7065" s="16"/>
      <c r="G7065" s="16"/>
      <c r="H7065" s="24"/>
      <c r="I7065" s="24"/>
      <c r="L7065"/>
    </row>
    <row r="7066" spans="1:12" x14ac:dyDescent="0.25">
      <c r="A7066" s="16"/>
      <c r="D7066" s="16"/>
      <c r="F7066" s="16"/>
      <c r="G7066" s="16"/>
      <c r="H7066" s="24"/>
      <c r="I7066" s="24"/>
      <c r="L7066"/>
    </row>
    <row r="7067" spans="1:12" x14ac:dyDescent="0.25">
      <c r="A7067" s="16"/>
      <c r="D7067" s="16"/>
      <c r="F7067" s="16"/>
      <c r="G7067" s="16"/>
      <c r="H7067" s="24"/>
      <c r="I7067" s="24"/>
      <c r="L7067"/>
    </row>
    <row r="7068" spans="1:12" x14ac:dyDescent="0.25">
      <c r="A7068" s="16"/>
      <c r="D7068" s="16"/>
      <c r="F7068" s="16"/>
      <c r="G7068" s="16"/>
      <c r="H7068" s="24"/>
      <c r="I7068" s="24"/>
      <c r="L7068"/>
    </row>
    <row r="7069" spans="1:12" x14ac:dyDescent="0.25">
      <c r="A7069" s="16"/>
      <c r="D7069" s="16"/>
      <c r="F7069" s="16"/>
      <c r="G7069" s="16"/>
      <c r="H7069" s="24"/>
      <c r="I7069" s="24"/>
      <c r="L7069"/>
    </row>
    <row r="7070" spans="1:12" x14ac:dyDescent="0.25">
      <c r="A7070" s="16"/>
      <c r="D7070" s="16"/>
      <c r="F7070" s="16"/>
      <c r="G7070" s="16"/>
      <c r="H7070" s="24"/>
      <c r="I7070" s="24"/>
      <c r="L7070"/>
    </row>
    <row r="7071" spans="1:12" x14ac:dyDescent="0.25">
      <c r="A7071" s="16"/>
      <c r="D7071" s="16"/>
      <c r="F7071" s="16"/>
      <c r="G7071" s="16"/>
      <c r="H7071" s="24"/>
      <c r="I7071" s="24"/>
      <c r="L7071"/>
    </row>
    <row r="7072" spans="1:12" x14ac:dyDescent="0.25">
      <c r="A7072" s="16"/>
      <c r="D7072" s="16"/>
      <c r="F7072" s="16"/>
      <c r="G7072" s="16"/>
      <c r="H7072" s="24"/>
      <c r="I7072" s="24"/>
      <c r="L7072"/>
    </row>
    <row r="7073" spans="1:12" x14ac:dyDescent="0.25">
      <c r="A7073" s="16"/>
      <c r="D7073" s="16"/>
      <c r="F7073" s="16"/>
      <c r="G7073" s="16"/>
      <c r="H7073" s="24"/>
      <c r="I7073" s="24"/>
      <c r="L7073"/>
    </row>
    <row r="7074" spans="1:12" x14ac:dyDescent="0.25">
      <c r="A7074" s="16"/>
      <c r="D7074" s="16"/>
      <c r="F7074" s="16"/>
      <c r="G7074" s="16"/>
      <c r="H7074" s="24"/>
      <c r="I7074" s="24"/>
      <c r="L7074"/>
    </row>
    <row r="7075" spans="1:12" x14ac:dyDescent="0.25">
      <c r="A7075" s="16"/>
      <c r="D7075" s="16"/>
      <c r="F7075" s="16"/>
      <c r="G7075" s="16"/>
      <c r="H7075" s="24"/>
      <c r="I7075" s="24"/>
      <c r="L7075"/>
    </row>
    <row r="7076" spans="1:12" x14ac:dyDescent="0.25">
      <c r="A7076" s="16"/>
      <c r="D7076" s="16"/>
      <c r="F7076" s="16"/>
      <c r="G7076" s="16"/>
      <c r="H7076" s="24"/>
      <c r="I7076" s="24"/>
      <c r="L7076"/>
    </row>
    <row r="7077" spans="1:12" x14ac:dyDescent="0.25">
      <c r="A7077" s="16"/>
      <c r="D7077" s="16"/>
      <c r="F7077" s="16"/>
      <c r="G7077" s="16"/>
      <c r="H7077" s="24"/>
      <c r="I7077" s="24"/>
      <c r="L7077"/>
    </row>
    <row r="7078" spans="1:12" x14ac:dyDescent="0.25">
      <c r="A7078" s="16"/>
      <c r="D7078" s="16"/>
      <c r="F7078" s="16"/>
      <c r="G7078" s="16"/>
      <c r="H7078" s="24"/>
      <c r="I7078" s="24"/>
      <c r="L7078"/>
    </row>
    <row r="7079" spans="1:12" x14ac:dyDescent="0.25">
      <c r="A7079" s="16"/>
      <c r="D7079" s="16"/>
      <c r="F7079" s="16"/>
      <c r="G7079" s="16"/>
      <c r="H7079" s="24"/>
      <c r="I7079" s="24"/>
      <c r="L7079"/>
    </row>
    <row r="7080" spans="1:12" x14ac:dyDescent="0.25">
      <c r="A7080" s="16"/>
      <c r="D7080" s="16"/>
      <c r="F7080" s="16"/>
      <c r="G7080" s="16"/>
      <c r="H7080" s="24"/>
      <c r="I7080" s="24"/>
      <c r="L7080"/>
    </row>
    <row r="7081" spans="1:12" x14ac:dyDescent="0.25">
      <c r="A7081" s="16"/>
      <c r="D7081" s="16"/>
      <c r="F7081" s="16"/>
      <c r="G7081" s="16"/>
      <c r="H7081" s="24"/>
      <c r="I7081" s="24"/>
      <c r="L7081"/>
    </row>
    <row r="7082" spans="1:12" x14ac:dyDescent="0.25">
      <c r="A7082" s="16"/>
      <c r="D7082" s="16"/>
      <c r="F7082" s="16"/>
      <c r="G7082" s="16"/>
      <c r="H7082" s="24"/>
      <c r="I7082" s="24"/>
      <c r="L7082"/>
    </row>
    <row r="7083" spans="1:12" x14ac:dyDescent="0.25">
      <c r="A7083" s="16"/>
      <c r="D7083" s="16"/>
      <c r="F7083" s="16"/>
      <c r="G7083" s="16"/>
      <c r="H7083" s="24"/>
      <c r="I7083" s="24"/>
      <c r="L7083"/>
    </row>
    <row r="7084" spans="1:12" x14ac:dyDescent="0.25">
      <c r="A7084" s="16"/>
      <c r="D7084" s="16"/>
      <c r="F7084" s="16"/>
      <c r="G7084" s="16"/>
      <c r="H7084" s="24"/>
      <c r="I7084" s="24"/>
      <c r="L7084"/>
    </row>
    <row r="7085" spans="1:12" x14ac:dyDescent="0.25">
      <c r="A7085" s="16"/>
      <c r="D7085" s="16"/>
      <c r="F7085" s="16"/>
      <c r="G7085" s="16"/>
      <c r="H7085" s="24"/>
      <c r="I7085" s="24"/>
      <c r="L7085"/>
    </row>
    <row r="7086" spans="1:12" x14ac:dyDescent="0.25">
      <c r="A7086" s="16"/>
      <c r="D7086" s="16"/>
      <c r="F7086" s="16"/>
      <c r="G7086" s="16"/>
      <c r="H7086" s="24"/>
      <c r="I7086" s="24"/>
      <c r="L7086"/>
    </row>
    <row r="7087" spans="1:12" x14ac:dyDescent="0.25">
      <c r="A7087" s="16"/>
      <c r="D7087" s="16"/>
      <c r="F7087" s="16"/>
      <c r="G7087" s="16"/>
      <c r="H7087" s="24"/>
      <c r="I7087" s="24"/>
      <c r="L7087"/>
    </row>
    <row r="7088" spans="1:12" x14ac:dyDescent="0.25">
      <c r="A7088" s="16"/>
      <c r="D7088" s="16"/>
      <c r="F7088" s="16"/>
      <c r="G7088" s="16"/>
      <c r="H7088" s="24"/>
      <c r="I7088" s="24"/>
      <c r="L7088"/>
    </row>
    <row r="7089" spans="1:12" x14ac:dyDescent="0.25">
      <c r="A7089" s="16"/>
      <c r="D7089" s="16"/>
      <c r="F7089" s="16"/>
      <c r="G7089" s="16"/>
      <c r="H7089" s="24"/>
      <c r="I7089" s="24"/>
      <c r="L7089"/>
    </row>
    <row r="7090" spans="1:12" x14ac:dyDescent="0.25">
      <c r="A7090" s="16"/>
      <c r="D7090" s="16"/>
      <c r="F7090" s="16"/>
      <c r="G7090" s="16"/>
      <c r="H7090" s="24"/>
      <c r="I7090" s="24"/>
      <c r="L7090"/>
    </row>
    <row r="7091" spans="1:12" x14ac:dyDescent="0.25">
      <c r="A7091" s="16"/>
      <c r="D7091" s="16"/>
      <c r="F7091" s="16"/>
      <c r="G7091" s="16"/>
      <c r="H7091" s="24"/>
      <c r="I7091" s="24"/>
      <c r="L7091"/>
    </row>
    <row r="7092" spans="1:12" x14ac:dyDescent="0.25">
      <c r="A7092" s="16"/>
      <c r="D7092" s="16"/>
      <c r="F7092" s="16"/>
      <c r="G7092" s="16"/>
      <c r="H7092" s="24"/>
      <c r="I7092" s="24"/>
      <c r="L7092"/>
    </row>
    <row r="7093" spans="1:12" x14ac:dyDescent="0.25">
      <c r="A7093" s="16"/>
      <c r="D7093" s="16"/>
      <c r="F7093" s="16"/>
      <c r="G7093" s="16"/>
      <c r="H7093" s="24"/>
      <c r="I7093" s="24"/>
      <c r="L7093"/>
    </row>
    <row r="7094" spans="1:12" x14ac:dyDescent="0.25">
      <c r="A7094" s="16"/>
      <c r="D7094" s="16"/>
      <c r="F7094" s="16"/>
      <c r="G7094" s="16"/>
      <c r="H7094" s="24"/>
      <c r="I7094" s="24"/>
      <c r="L7094"/>
    </row>
    <row r="7095" spans="1:12" x14ac:dyDescent="0.25">
      <c r="A7095" s="16"/>
      <c r="D7095" s="16"/>
      <c r="F7095" s="16"/>
      <c r="G7095" s="16"/>
      <c r="H7095" s="24"/>
      <c r="I7095" s="24"/>
      <c r="L7095"/>
    </row>
    <row r="7096" spans="1:12" x14ac:dyDescent="0.25">
      <c r="A7096" s="16"/>
      <c r="D7096" s="16"/>
      <c r="F7096" s="16"/>
      <c r="G7096" s="16"/>
      <c r="H7096" s="24"/>
      <c r="I7096" s="24"/>
      <c r="L7096"/>
    </row>
    <row r="7097" spans="1:12" x14ac:dyDescent="0.25">
      <c r="A7097" s="16"/>
      <c r="D7097" s="16"/>
      <c r="F7097" s="16"/>
      <c r="G7097" s="16"/>
      <c r="H7097" s="24"/>
      <c r="I7097" s="24"/>
      <c r="L7097"/>
    </row>
    <row r="7098" spans="1:12" x14ac:dyDescent="0.25">
      <c r="A7098" s="16"/>
      <c r="D7098" s="16"/>
      <c r="F7098" s="16"/>
      <c r="G7098" s="16"/>
      <c r="H7098" s="24"/>
      <c r="I7098" s="24"/>
      <c r="L7098"/>
    </row>
    <row r="7099" spans="1:12" x14ac:dyDescent="0.25">
      <c r="A7099" s="16"/>
      <c r="D7099" s="16"/>
      <c r="F7099" s="16"/>
      <c r="G7099" s="16"/>
      <c r="H7099" s="24"/>
      <c r="I7099" s="24"/>
      <c r="L7099"/>
    </row>
    <row r="7100" spans="1:12" x14ac:dyDescent="0.25">
      <c r="A7100" s="16"/>
      <c r="D7100" s="16"/>
      <c r="F7100" s="16"/>
      <c r="G7100" s="16"/>
      <c r="H7100" s="24"/>
      <c r="I7100" s="24"/>
      <c r="L7100"/>
    </row>
    <row r="7101" spans="1:12" x14ac:dyDescent="0.25">
      <c r="A7101" s="16"/>
      <c r="D7101" s="16"/>
      <c r="F7101" s="16"/>
      <c r="G7101" s="16"/>
      <c r="H7101" s="24"/>
      <c r="I7101" s="24"/>
      <c r="L7101"/>
    </row>
    <row r="7102" spans="1:12" x14ac:dyDescent="0.25">
      <c r="A7102" s="16"/>
      <c r="D7102" s="16"/>
      <c r="F7102" s="16"/>
      <c r="G7102" s="16"/>
      <c r="H7102" s="24"/>
      <c r="I7102" s="24"/>
      <c r="L7102"/>
    </row>
    <row r="7103" spans="1:12" x14ac:dyDescent="0.25">
      <c r="A7103" s="16"/>
      <c r="D7103" s="16"/>
      <c r="F7103" s="16"/>
      <c r="G7103" s="16"/>
      <c r="H7103" s="24"/>
      <c r="I7103" s="24"/>
      <c r="L7103"/>
    </row>
    <row r="7104" spans="1:12" x14ac:dyDescent="0.25">
      <c r="A7104" s="16"/>
      <c r="D7104" s="16"/>
      <c r="F7104" s="16"/>
      <c r="G7104" s="16"/>
      <c r="H7104" s="24"/>
      <c r="I7104" s="24"/>
      <c r="L7104"/>
    </row>
    <row r="7105" spans="1:12" x14ac:dyDescent="0.25">
      <c r="A7105" s="16"/>
      <c r="D7105" s="16"/>
      <c r="F7105" s="16"/>
      <c r="G7105" s="16"/>
      <c r="H7105" s="24"/>
      <c r="I7105" s="24"/>
      <c r="L7105"/>
    </row>
    <row r="7106" spans="1:12" x14ac:dyDescent="0.25">
      <c r="A7106" s="16"/>
      <c r="D7106" s="16"/>
      <c r="F7106" s="16"/>
      <c r="G7106" s="16"/>
      <c r="H7106" s="24"/>
      <c r="I7106" s="24"/>
      <c r="L7106"/>
    </row>
    <row r="7107" spans="1:12" x14ac:dyDescent="0.25">
      <c r="A7107" s="16"/>
      <c r="D7107" s="16"/>
      <c r="F7107" s="16"/>
      <c r="G7107" s="16"/>
      <c r="H7107" s="24"/>
      <c r="I7107" s="24"/>
      <c r="L7107"/>
    </row>
    <row r="7108" spans="1:12" x14ac:dyDescent="0.25">
      <c r="A7108" s="16"/>
      <c r="D7108" s="16"/>
      <c r="F7108" s="16"/>
      <c r="G7108" s="16"/>
      <c r="H7108" s="24"/>
      <c r="I7108" s="24"/>
      <c r="L7108"/>
    </row>
    <row r="7109" spans="1:12" x14ac:dyDescent="0.25">
      <c r="A7109" s="16"/>
      <c r="D7109" s="16"/>
      <c r="F7109" s="16"/>
      <c r="G7109" s="16"/>
      <c r="H7109" s="24"/>
      <c r="I7109" s="24"/>
      <c r="L7109"/>
    </row>
    <row r="7110" spans="1:12" x14ac:dyDescent="0.25">
      <c r="A7110" s="16"/>
      <c r="D7110" s="16"/>
      <c r="F7110" s="16"/>
      <c r="G7110" s="16"/>
      <c r="H7110" s="24"/>
      <c r="I7110" s="24"/>
      <c r="L7110"/>
    </row>
    <row r="7111" spans="1:12" x14ac:dyDescent="0.25">
      <c r="A7111" s="16"/>
      <c r="D7111" s="16"/>
      <c r="F7111" s="16"/>
      <c r="G7111" s="16"/>
      <c r="H7111" s="24"/>
      <c r="I7111" s="24"/>
      <c r="L7111"/>
    </row>
    <row r="7112" spans="1:12" x14ac:dyDescent="0.25">
      <c r="A7112" s="16"/>
      <c r="D7112" s="16"/>
      <c r="F7112" s="16"/>
      <c r="G7112" s="16"/>
      <c r="H7112" s="24"/>
      <c r="I7112" s="24"/>
      <c r="L7112"/>
    </row>
    <row r="7113" spans="1:12" x14ac:dyDescent="0.25">
      <c r="A7113" s="16"/>
      <c r="D7113" s="16"/>
      <c r="F7113" s="16"/>
      <c r="G7113" s="16"/>
      <c r="H7113" s="24"/>
      <c r="I7113" s="24"/>
      <c r="L7113"/>
    </row>
    <row r="7114" spans="1:12" x14ac:dyDescent="0.25">
      <c r="A7114" s="16"/>
      <c r="D7114" s="16"/>
      <c r="F7114" s="16"/>
      <c r="G7114" s="16"/>
      <c r="H7114" s="24"/>
      <c r="I7114" s="24"/>
      <c r="L7114"/>
    </row>
    <row r="7115" spans="1:12" x14ac:dyDescent="0.25">
      <c r="A7115" s="16"/>
      <c r="D7115" s="16"/>
      <c r="F7115" s="16"/>
      <c r="G7115" s="16"/>
      <c r="H7115" s="24"/>
      <c r="I7115" s="24"/>
      <c r="L7115"/>
    </row>
    <row r="7116" spans="1:12" x14ac:dyDescent="0.25">
      <c r="A7116" s="16"/>
      <c r="D7116" s="16"/>
      <c r="F7116" s="16"/>
      <c r="G7116" s="16"/>
      <c r="H7116" s="24"/>
      <c r="I7116" s="24"/>
      <c r="L7116"/>
    </row>
    <row r="7117" spans="1:12" x14ac:dyDescent="0.25">
      <c r="A7117" s="16"/>
      <c r="D7117" s="16"/>
      <c r="F7117" s="16"/>
      <c r="G7117" s="16"/>
      <c r="H7117" s="24"/>
      <c r="I7117" s="24"/>
      <c r="L7117"/>
    </row>
    <row r="7118" spans="1:12" x14ac:dyDescent="0.25">
      <c r="A7118" s="16"/>
      <c r="D7118" s="16"/>
      <c r="F7118" s="16"/>
      <c r="G7118" s="16"/>
      <c r="H7118" s="24"/>
      <c r="I7118" s="24"/>
      <c r="L7118"/>
    </row>
    <row r="7119" spans="1:12" x14ac:dyDescent="0.25">
      <c r="A7119" s="16"/>
      <c r="D7119" s="16"/>
      <c r="F7119" s="16"/>
      <c r="G7119" s="16"/>
      <c r="H7119" s="24"/>
      <c r="I7119" s="24"/>
      <c r="L7119"/>
    </row>
    <row r="7120" spans="1:12" x14ac:dyDescent="0.25">
      <c r="A7120" s="16"/>
      <c r="D7120" s="16"/>
      <c r="F7120" s="16"/>
      <c r="G7120" s="16"/>
      <c r="H7120" s="24"/>
      <c r="I7120" s="24"/>
      <c r="L7120"/>
    </row>
    <row r="7121" spans="1:12" x14ac:dyDescent="0.25">
      <c r="A7121" s="16"/>
      <c r="D7121" s="16"/>
      <c r="F7121" s="16"/>
      <c r="G7121" s="16"/>
      <c r="H7121" s="24"/>
      <c r="I7121" s="24"/>
      <c r="L7121"/>
    </row>
    <row r="7122" spans="1:12" x14ac:dyDescent="0.25">
      <c r="A7122" s="16"/>
      <c r="D7122" s="16"/>
      <c r="F7122" s="16"/>
      <c r="G7122" s="16"/>
      <c r="H7122" s="24"/>
      <c r="I7122" s="24"/>
      <c r="L7122"/>
    </row>
    <row r="7123" spans="1:12" x14ac:dyDescent="0.25">
      <c r="A7123" s="16"/>
      <c r="D7123" s="16"/>
      <c r="F7123" s="16"/>
      <c r="G7123" s="16"/>
      <c r="H7123" s="24"/>
      <c r="I7123" s="24"/>
      <c r="L7123"/>
    </row>
    <row r="7124" spans="1:12" x14ac:dyDescent="0.25">
      <c r="A7124" s="16"/>
      <c r="D7124" s="16"/>
      <c r="F7124" s="16"/>
      <c r="G7124" s="16"/>
      <c r="H7124" s="24"/>
      <c r="I7124" s="24"/>
      <c r="L7124"/>
    </row>
    <row r="7125" spans="1:12" x14ac:dyDescent="0.25">
      <c r="A7125" s="16"/>
      <c r="D7125" s="16"/>
      <c r="F7125" s="16"/>
      <c r="G7125" s="16"/>
      <c r="H7125" s="24"/>
      <c r="I7125" s="24"/>
      <c r="L7125"/>
    </row>
    <row r="7126" spans="1:12" x14ac:dyDescent="0.25">
      <c r="A7126" s="16"/>
      <c r="D7126" s="16"/>
      <c r="F7126" s="16"/>
      <c r="G7126" s="16"/>
      <c r="H7126" s="24"/>
      <c r="I7126" s="24"/>
      <c r="L7126"/>
    </row>
    <row r="7127" spans="1:12" x14ac:dyDescent="0.25">
      <c r="A7127" s="16"/>
      <c r="D7127" s="16"/>
      <c r="F7127" s="16"/>
      <c r="G7127" s="16"/>
      <c r="H7127" s="24"/>
      <c r="I7127" s="24"/>
      <c r="L7127"/>
    </row>
    <row r="7128" spans="1:12" x14ac:dyDescent="0.25">
      <c r="A7128" s="16"/>
      <c r="D7128" s="16"/>
      <c r="F7128" s="16"/>
      <c r="G7128" s="16"/>
      <c r="H7128" s="24"/>
      <c r="I7128" s="24"/>
      <c r="L7128"/>
    </row>
    <row r="7129" spans="1:12" x14ac:dyDescent="0.25">
      <c r="A7129" s="16"/>
      <c r="D7129" s="16"/>
      <c r="F7129" s="16"/>
      <c r="G7129" s="16"/>
      <c r="H7129" s="24"/>
      <c r="I7129" s="24"/>
      <c r="L7129"/>
    </row>
    <row r="7130" spans="1:12" x14ac:dyDescent="0.25">
      <c r="A7130" s="16"/>
      <c r="D7130" s="16"/>
      <c r="F7130" s="16"/>
      <c r="G7130" s="16"/>
      <c r="H7130" s="24"/>
      <c r="I7130" s="24"/>
      <c r="L7130"/>
    </row>
    <row r="7131" spans="1:12" x14ac:dyDescent="0.25">
      <c r="A7131" s="16"/>
      <c r="D7131" s="16"/>
      <c r="F7131" s="16"/>
      <c r="G7131" s="16"/>
      <c r="H7131" s="24"/>
      <c r="I7131" s="24"/>
      <c r="L7131"/>
    </row>
    <row r="7132" spans="1:12" x14ac:dyDescent="0.25">
      <c r="A7132" s="16"/>
      <c r="D7132" s="16"/>
      <c r="F7132" s="16"/>
      <c r="G7132" s="16"/>
      <c r="H7132" s="24"/>
      <c r="I7132" s="24"/>
      <c r="L7132"/>
    </row>
    <row r="7133" spans="1:12" x14ac:dyDescent="0.25">
      <c r="A7133" s="16"/>
      <c r="D7133" s="16"/>
      <c r="F7133" s="16"/>
      <c r="G7133" s="16"/>
      <c r="H7133" s="24"/>
      <c r="I7133" s="24"/>
      <c r="L7133"/>
    </row>
    <row r="7134" spans="1:12" x14ac:dyDescent="0.25">
      <c r="A7134" s="16"/>
      <c r="D7134" s="16"/>
      <c r="F7134" s="16"/>
      <c r="G7134" s="16"/>
      <c r="H7134" s="24"/>
      <c r="I7134" s="24"/>
      <c r="L7134"/>
    </row>
    <row r="7135" spans="1:12" x14ac:dyDescent="0.25">
      <c r="A7135" s="16"/>
      <c r="D7135" s="16"/>
      <c r="F7135" s="16"/>
      <c r="G7135" s="16"/>
      <c r="H7135" s="24"/>
      <c r="I7135" s="24"/>
      <c r="L7135"/>
    </row>
    <row r="7136" spans="1:12" x14ac:dyDescent="0.25">
      <c r="A7136" s="16"/>
      <c r="D7136" s="16"/>
      <c r="F7136" s="16"/>
      <c r="G7136" s="16"/>
      <c r="H7136" s="24"/>
      <c r="I7136" s="24"/>
      <c r="L7136"/>
    </row>
    <row r="7137" spans="1:12" x14ac:dyDescent="0.25">
      <c r="A7137" s="16"/>
      <c r="D7137" s="16"/>
      <c r="F7137" s="16"/>
      <c r="G7137" s="16"/>
      <c r="H7137" s="24"/>
      <c r="I7137" s="24"/>
      <c r="L7137"/>
    </row>
    <row r="7138" spans="1:12" x14ac:dyDescent="0.25">
      <c r="A7138" s="16"/>
      <c r="D7138" s="16"/>
      <c r="F7138" s="16"/>
      <c r="G7138" s="16"/>
      <c r="H7138" s="24"/>
      <c r="I7138" s="24"/>
      <c r="L7138"/>
    </row>
    <row r="7139" spans="1:12" x14ac:dyDescent="0.25">
      <c r="A7139" s="16"/>
      <c r="D7139" s="16"/>
      <c r="F7139" s="16"/>
      <c r="G7139" s="16"/>
      <c r="H7139" s="24"/>
      <c r="I7139" s="24"/>
      <c r="L7139"/>
    </row>
    <row r="7140" spans="1:12" x14ac:dyDescent="0.25">
      <c r="A7140" s="16"/>
      <c r="D7140" s="16"/>
      <c r="F7140" s="16"/>
      <c r="G7140" s="16"/>
      <c r="H7140" s="24"/>
      <c r="I7140" s="24"/>
      <c r="L7140"/>
    </row>
    <row r="7141" spans="1:12" x14ac:dyDescent="0.25">
      <c r="A7141" s="16"/>
      <c r="D7141" s="16"/>
      <c r="F7141" s="16"/>
      <c r="G7141" s="16"/>
      <c r="H7141" s="24"/>
      <c r="I7141" s="24"/>
      <c r="L7141"/>
    </row>
    <row r="7142" spans="1:12" x14ac:dyDescent="0.25">
      <c r="A7142" s="16"/>
      <c r="D7142" s="16"/>
      <c r="F7142" s="16"/>
      <c r="G7142" s="16"/>
      <c r="H7142" s="24"/>
      <c r="I7142" s="24"/>
      <c r="L7142"/>
    </row>
    <row r="7143" spans="1:12" x14ac:dyDescent="0.25">
      <c r="A7143" s="16"/>
      <c r="D7143" s="16"/>
      <c r="F7143" s="16"/>
      <c r="G7143" s="16"/>
      <c r="H7143" s="24"/>
      <c r="I7143" s="24"/>
      <c r="L7143"/>
    </row>
    <row r="7144" spans="1:12" x14ac:dyDescent="0.25">
      <c r="A7144" s="16"/>
      <c r="D7144" s="16"/>
      <c r="F7144" s="16"/>
      <c r="G7144" s="16"/>
      <c r="H7144" s="24"/>
      <c r="I7144" s="24"/>
      <c r="L7144"/>
    </row>
    <row r="7145" spans="1:12" x14ac:dyDescent="0.25">
      <c r="A7145" s="16"/>
      <c r="D7145" s="16"/>
      <c r="F7145" s="16"/>
      <c r="G7145" s="16"/>
      <c r="H7145" s="24"/>
      <c r="I7145" s="24"/>
      <c r="L7145"/>
    </row>
    <row r="7146" spans="1:12" x14ac:dyDescent="0.25">
      <c r="A7146" s="16"/>
      <c r="D7146" s="16"/>
      <c r="F7146" s="16"/>
      <c r="G7146" s="16"/>
      <c r="H7146" s="24"/>
      <c r="I7146" s="24"/>
      <c r="L7146"/>
    </row>
    <row r="7147" spans="1:12" x14ac:dyDescent="0.25">
      <c r="A7147" s="16"/>
      <c r="D7147" s="16"/>
      <c r="F7147" s="16"/>
      <c r="G7147" s="16"/>
      <c r="H7147" s="24"/>
      <c r="I7147" s="24"/>
      <c r="L7147"/>
    </row>
    <row r="7148" spans="1:12" x14ac:dyDescent="0.25">
      <c r="A7148" s="16"/>
      <c r="D7148" s="16"/>
      <c r="F7148" s="16"/>
      <c r="G7148" s="16"/>
      <c r="H7148" s="24"/>
      <c r="I7148" s="24"/>
      <c r="L7148"/>
    </row>
    <row r="7149" spans="1:12" x14ac:dyDescent="0.25">
      <c r="A7149" s="16"/>
      <c r="D7149" s="16"/>
      <c r="F7149" s="16"/>
      <c r="G7149" s="16"/>
      <c r="H7149" s="24"/>
      <c r="I7149" s="24"/>
      <c r="L7149"/>
    </row>
    <row r="7150" spans="1:12" x14ac:dyDescent="0.25">
      <c r="A7150" s="16"/>
      <c r="D7150" s="16"/>
      <c r="F7150" s="16"/>
      <c r="G7150" s="16"/>
      <c r="H7150" s="24"/>
      <c r="I7150" s="24"/>
      <c r="L7150"/>
    </row>
    <row r="7151" spans="1:12" x14ac:dyDescent="0.25">
      <c r="A7151" s="16"/>
      <c r="D7151" s="16"/>
      <c r="F7151" s="16"/>
      <c r="G7151" s="16"/>
      <c r="H7151" s="24"/>
      <c r="I7151" s="24"/>
      <c r="L7151"/>
    </row>
    <row r="7152" spans="1:12" x14ac:dyDescent="0.25">
      <c r="A7152" s="16"/>
      <c r="D7152" s="16"/>
      <c r="F7152" s="16"/>
      <c r="G7152" s="16"/>
      <c r="H7152" s="24"/>
      <c r="I7152" s="24"/>
      <c r="L7152"/>
    </row>
    <row r="7153" spans="1:12" x14ac:dyDescent="0.25">
      <c r="A7153" s="16"/>
      <c r="D7153" s="16"/>
      <c r="F7153" s="16"/>
      <c r="G7153" s="16"/>
      <c r="H7153" s="24"/>
      <c r="I7153" s="24"/>
      <c r="L7153"/>
    </row>
    <row r="7154" spans="1:12" x14ac:dyDescent="0.25">
      <c r="A7154" s="16"/>
      <c r="D7154" s="16"/>
      <c r="F7154" s="16"/>
      <c r="G7154" s="16"/>
      <c r="H7154" s="24"/>
      <c r="I7154" s="24"/>
      <c r="L7154"/>
    </row>
    <row r="7155" spans="1:12" x14ac:dyDescent="0.25">
      <c r="A7155" s="16"/>
      <c r="D7155" s="16"/>
      <c r="F7155" s="16"/>
      <c r="G7155" s="16"/>
      <c r="H7155" s="24"/>
      <c r="I7155" s="24"/>
      <c r="L7155"/>
    </row>
    <row r="7156" spans="1:12" x14ac:dyDescent="0.25">
      <c r="A7156" s="16"/>
      <c r="D7156" s="16"/>
      <c r="F7156" s="16"/>
      <c r="G7156" s="16"/>
      <c r="H7156" s="24"/>
      <c r="I7156" s="24"/>
      <c r="L7156"/>
    </row>
    <row r="7157" spans="1:12" x14ac:dyDescent="0.25">
      <c r="A7157" s="16"/>
      <c r="D7157" s="16"/>
      <c r="F7157" s="16"/>
      <c r="G7157" s="16"/>
      <c r="H7157" s="24"/>
      <c r="I7157" s="24"/>
      <c r="L7157"/>
    </row>
    <row r="7158" spans="1:12" x14ac:dyDescent="0.25">
      <c r="A7158" s="16"/>
      <c r="D7158" s="16"/>
      <c r="F7158" s="16"/>
      <c r="G7158" s="16"/>
      <c r="H7158" s="24"/>
      <c r="I7158" s="24"/>
      <c r="L7158"/>
    </row>
    <row r="7159" spans="1:12" x14ac:dyDescent="0.25">
      <c r="A7159" s="16"/>
      <c r="D7159" s="16"/>
      <c r="F7159" s="16"/>
      <c r="G7159" s="16"/>
      <c r="H7159" s="24"/>
      <c r="I7159" s="24"/>
      <c r="L7159"/>
    </row>
    <row r="7160" spans="1:12" x14ac:dyDescent="0.25">
      <c r="A7160" s="16"/>
      <c r="D7160" s="16"/>
      <c r="F7160" s="16"/>
      <c r="G7160" s="16"/>
      <c r="H7160" s="24"/>
      <c r="I7160" s="24"/>
      <c r="L7160"/>
    </row>
    <row r="7161" spans="1:12" x14ac:dyDescent="0.25">
      <c r="A7161" s="16"/>
      <c r="D7161" s="16"/>
      <c r="F7161" s="16"/>
      <c r="G7161" s="16"/>
      <c r="H7161" s="24"/>
      <c r="I7161" s="24"/>
      <c r="L7161"/>
    </row>
    <row r="7162" spans="1:12" x14ac:dyDescent="0.25">
      <c r="A7162" s="16"/>
      <c r="D7162" s="16"/>
      <c r="F7162" s="16"/>
      <c r="G7162" s="16"/>
      <c r="H7162" s="24"/>
      <c r="I7162" s="24"/>
      <c r="L7162"/>
    </row>
    <row r="7163" spans="1:12" x14ac:dyDescent="0.25">
      <c r="A7163" s="16"/>
      <c r="D7163" s="16"/>
      <c r="F7163" s="16"/>
      <c r="G7163" s="16"/>
      <c r="H7163" s="24"/>
      <c r="I7163" s="24"/>
      <c r="L7163"/>
    </row>
    <row r="7164" spans="1:12" x14ac:dyDescent="0.25">
      <c r="A7164" s="16"/>
      <c r="D7164" s="16"/>
      <c r="F7164" s="16"/>
      <c r="G7164" s="16"/>
      <c r="H7164" s="24"/>
      <c r="I7164" s="24"/>
      <c r="L7164"/>
    </row>
    <row r="7165" spans="1:12" x14ac:dyDescent="0.25">
      <c r="A7165" s="16"/>
      <c r="D7165" s="16"/>
      <c r="F7165" s="16"/>
      <c r="G7165" s="16"/>
      <c r="H7165" s="24"/>
      <c r="I7165" s="24"/>
      <c r="L7165"/>
    </row>
    <row r="7166" spans="1:12" x14ac:dyDescent="0.25">
      <c r="A7166" s="16"/>
      <c r="D7166" s="16"/>
      <c r="F7166" s="16"/>
      <c r="G7166" s="16"/>
      <c r="H7166" s="24"/>
      <c r="I7166" s="24"/>
      <c r="L7166"/>
    </row>
    <row r="7167" spans="1:12" x14ac:dyDescent="0.25">
      <c r="A7167" s="16"/>
      <c r="D7167" s="16"/>
      <c r="F7167" s="16"/>
      <c r="G7167" s="16"/>
      <c r="H7167" s="24"/>
      <c r="I7167" s="24"/>
      <c r="L7167"/>
    </row>
    <row r="7168" spans="1:12" x14ac:dyDescent="0.25">
      <c r="A7168" s="16"/>
      <c r="D7168" s="16"/>
      <c r="F7168" s="16"/>
      <c r="G7168" s="16"/>
      <c r="H7168" s="24"/>
      <c r="I7168" s="24"/>
      <c r="L7168"/>
    </row>
    <row r="7169" spans="1:12" x14ac:dyDescent="0.25">
      <c r="A7169" s="16"/>
      <c r="D7169" s="16"/>
      <c r="F7169" s="16"/>
      <c r="G7169" s="16"/>
      <c r="H7169" s="24"/>
      <c r="I7169" s="24"/>
      <c r="L7169"/>
    </row>
    <row r="7170" spans="1:12" x14ac:dyDescent="0.25">
      <c r="A7170" s="16"/>
      <c r="D7170" s="16"/>
      <c r="F7170" s="16"/>
      <c r="G7170" s="16"/>
      <c r="H7170" s="24"/>
      <c r="I7170" s="24"/>
      <c r="L7170"/>
    </row>
    <row r="7171" spans="1:12" x14ac:dyDescent="0.25">
      <c r="A7171" s="16"/>
      <c r="D7171" s="16"/>
      <c r="F7171" s="16"/>
      <c r="G7171" s="16"/>
      <c r="H7171" s="24"/>
      <c r="I7171" s="24"/>
      <c r="L7171"/>
    </row>
    <row r="7172" spans="1:12" x14ac:dyDescent="0.25">
      <c r="A7172" s="16"/>
      <c r="D7172" s="16"/>
      <c r="F7172" s="16"/>
      <c r="G7172" s="16"/>
      <c r="H7172" s="24"/>
      <c r="I7172" s="24"/>
      <c r="L7172"/>
    </row>
    <row r="7173" spans="1:12" x14ac:dyDescent="0.25">
      <c r="A7173" s="16"/>
      <c r="D7173" s="16"/>
      <c r="F7173" s="16"/>
      <c r="G7173" s="16"/>
      <c r="H7173" s="24"/>
      <c r="I7173" s="24"/>
      <c r="L7173"/>
    </row>
    <row r="7174" spans="1:12" x14ac:dyDescent="0.25">
      <c r="A7174" s="16"/>
      <c r="D7174" s="16"/>
      <c r="F7174" s="16"/>
      <c r="G7174" s="16"/>
      <c r="H7174" s="24"/>
      <c r="I7174" s="24"/>
      <c r="L7174"/>
    </row>
    <row r="7175" spans="1:12" x14ac:dyDescent="0.25">
      <c r="A7175" s="16"/>
      <c r="D7175" s="16"/>
      <c r="F7175" s="16"/>
      <c r="G7175" s="16"/>
      <c r="H7175" s="24"/>
      <c r="I7175" s="24"/>
      <c r="L7175"/>
    </row>
    <row r="7176" spans="1:12" x14ac:dyDescent="0.25">
      <c r="A7176" s="16"/>
      <c r="D7176" s="16"/>
      <c r="F7176" s="16"/>
      <c r="G7176" s="16"/>
      <c r="H7176" s="24"/>
      <c r="I7176" s="24"/>
      <c r="L7176"/>
    </row>
    <row r="7177" spans="1:12" x14ac:dyDescent="0.25">
      <c r="A7177" s="16"/>
      <c r="D7177" s="16"/>
      <c r="F7177" s="16"/>
      <c r="G7177" s="16"/>
      <c r="H7177" s="24"/>
      <c r="I7177" s="24"/>
      <c r="L7177"/>
    </row>
    <row r="7178" spans="1:12" x14ac:dyDescent="0.25">
      <c r="A7178" s="16"/>
      <c r="D7178" s="16"/>
      <c r="F7178" s="16"/>
      <c r="G7178" s="16"/>
      <c r="H7178" s="24"/>
      <c r="I7178" s="24"/>
      <c r="L7178"/>
    </row>
    <row r="7179" spans="1:12" x14ac:dyDescent="0.25">
      <c r="A7179" s="16"/>
      <c r="D7179" s="16"/>
      <c r="F7179" s="16"/>
      <c r="G7179" s="16"/>
      <c r="H7179" s="24"/>
      <c r="I7179" s="24"/>
      <c r="L7179"/>
    </row>
    <row r="7180" spans="1:12" x14ac:dyDescent="0.25">
      <c r="A7180" s="16"/>
      <c r="D7180" s="16"/>
      <c r="F7180" s="16"/>
      <c r="G7180" s="16"/>
      <c r="H7180" s="24"/>
      <c r="I7180" s="24"/>
      <c r="L7180"/>
    </row>
    <row r="7181" spans="1:12" x14ac:dyDescent="0.25">
      <c r="A7181" s="16"/>
      <c r="D7181" s="16"/>
      <c r="F7181" s="16"/>
      <c r="G7181" s="16"/>
      <c r="H7181" s="24"/>
      <c r="I7181" s="24"/>
      <c r="L7181"/>
    </row>
    <row r="7182" spans="1:12" x14ac:dyDescent="0.25">
      <c r="A7182" s="16"/>
      <c r="D7182" s="16"/>
      <c r="F7182" s="16"/>
      <c r="G7182" s="16"/>
      <c r="H7182" s="24"/>
      <c r="I7182" s="24"/>
      <c r="L7182"/>
    </row>
    <row r="7183" spans="1:12" x14ac:dyDescent="0.25">
      <c r="A7183" s="16"/>
      <c r="D7183" s="16"/>
      <c r="F7183" s="16"/>
      <c r="G7183" s="16"/>
      <c r="H7183" s="24"/>
      <c r="I7183" s="24"/>
      <c r="L7183"/>
    </row>
    <row r="7184" spans="1:12" x14ac:dyDescent="0.25">
      <c r="A7184" s="16"/>
      <c r="D7184" s="16"/>
      <c r="F7184" s="16"/>
      <c r="G7184" s="16"/>
      <c r="H7184" s="24"/>
      <c r="I7184" s="24"/>
      <c r="L7184"/>
    </row>
    <row r="7185" spans="1:12" x14ac:dyDescent="0.25">
      <c r="A7185" s="16"/>
      <c r="D7185" s="16"/>
      <c r="F7185" s="16"/>
      <c r="G7185" s="16"/>
      <c r="H7185" s="24"/>
      <c r="I7185" s="24"/>
      <c r="L7185"/>
    </row>
    <row r="7186" spans="1:12" x14ac:dyDescent="0.25">
      <c r="A7186" s="16"/>
      <c r="D7186" s="16"/>
      <c r="F7186" s="16"/>
      <c r="G7186" s="16"/>
      <c r="H7186" s="24"/>
      <c r="I7186" s="24"/>
      <c r="L7186"/>
    </row>
    <row r="7187" spans="1:12" x14ac:dyDescent="0.25">
      <c r="A7187" s="16"/>
      <c r="D7187" s="16"/>
      <c r="F7187" s="16"/>
      <c r="G7187" s="16"/>
      <c r="H7187" s="24"/>
      <c r="I7187" s="24"/>
      <c r="L7187"/>
    </row>
    <row r="7188" spans="1:12" x14ac:dyDescent="0.25">
      <c r="A7188" s="16"/>
      <c r="D7188" s="16"/>
      <c r="F7188" s="16"/>
      <c r="G7188" s="16"/>
      <c r="H7188" s="24"/>
      <c r="I7188" s="24"/>
      <c r="L7188"/>
    </row>
    <row r="7189" spans="1:12" x14ac:dyDescent="0.25">
      <c r="A7189" s="16"/>
      <c r="D7189" s="16"/>
      <c r="F7189" s="16"/>
      <c r="G7189" s="16"/>
      <c r="H7189" s="24"/>
      <c r="I7189" s="24"/>
      <c r="L7189"/>
    </row>
    <row r="7190" spans="1:12" x14ac:dyDescent="0.25">
      <c r="A7190" s="16"/>
      <c r="D7190" s="16"/>
      <c r="F7190" s="16"/>
      <c r="G7190" s="16"/>
      <c r="H7190" s="24"/>
      <c r="I7190" s="24"/>
      <c r="L7190"/>
    </row>
    <row r="7191" spans="1:12" x14ac:dyDescent="0.25">
      <c r="A7191" s="16"/>
      <c r="D7191" s="16"/>
      <c r="F7191" s="16"/>
      <c r="G7191" s="16"/>
      <c r="H7191" s="24"/>
      <c r="I7191" s="24"/>
      <c r="L7191"/>
    </row>
    <row r="7192" spans="1:12" x14ac:dyDescent="0.25">
      <c r="A7192" s="16"/>
      <c r="D7192" s="16"/>
      <c r="F7192" s="16"/>
      <c r="G7192" s="16"/>
      <c r="H7192" s="24"/>
      <c r="I7192" s="24"/>
      <c r="L7192"/>
    </row>
    <row r="7193" spans="1:12" x14ac:dyDescent="0.25">
      <c r="A7193" s="16"/>
      <c r="D7193" s="16"/>
      <c r="F7193" s="16"/>
      <c r="G7193" s="16"/>
      <c r="H7193" s="24"/>
      <c r="I7193" s="24"/>
      <c r="L7193"/>
    </row>
    <row r="7194" spans="1:12" x14ac:dyDescent="0.25">
      <c r="A7194" s="16"/>
      <c r="D7194" s="16"/>
      <c r="F7194" s="16"/>
      <c r="G7194" s="16"/>
      <c r="H7194" s="24"/>
      <c r="I7194" s="24"/>
      <c r="L7194"/>
    </row>
    <row r="7195" spans="1:12" x14ac:dyDescent="0.25">
      <c r="A7195" s="16"/>
      <c r="D7195" s="16"/>
      <c r="F7195" s="16"/>
      <c r="G7195" s="16"/>
      <c r="H7195" s="24"/>
      <c r="I7195" s="24"/>
      <c r="L7195"/>
    </row>
    <row r="7196" spans="1:12" x14ac:dyDescent="0.25">
      <c r="A7196" s="16"/>
      <c r="D7196" s="16"/>
      <c r="F7196" s="16"/>
      <c r="G7196" s="16"/>
      <c r="H7196" s="24"/>
      <c r="I7196" s="24"/>
      <c r="L7196"/>
    </row>
    <row r="7197" spans="1:12" x14ac:dyDescent="0.25">
      <c r="A7197" s="16"/>
      <c r="D7197" s="16"/>
      <c r="F7197" s="16"/>
      <c r="G7197" s="16"/>
      <c r="H7197" s="24"/>
      <c r="I7197" s="24"/>
      <c r="L7197"/>
    </row>
    <row r="7198" spans="1:12" x14ac:dyDescent="0.25">
      <c r="A7198" s="16"/>
      <c r="D7198" s="16"/>
      <c r="F7198" s="16"/>
      <c r="G7198" s="16"/>
      <c r="H7198" s="24"/>
      <c r="I7198" s="24"/>
      <c r="L7198"/>
    </row>
    <row r="7199" spans="1:12" x14ac:dyDescent="0.25">
      <c r="A7199" s="16"/>
      <c r="D7199" s="16"/>
      <c r="F7199" s="16"/>
      <c r="G7199" s="16"/>
      <c r="H7199" s="24"/>
      <c r="I7199" s="24"/>
      <c r="L7199"/>
    </row>
    <row r="7200" spans="1:12" x14ac:dyDescent="0.25">
      <c r="A7200" s="16"/>
      <c r="D7200" s="16"/>
      <c r="F7200" s="16"/>
      <c r="G7200" s="16"/>
      <c r="H7200" s="24"/>
      <c r="I7200" s="24"/>
      <c r="L7200"/>
    </row>
    <row r="7201" spans="1:12" x14ac:dyDescent="0.25">
      <c r="A7201" s="16"/>
      <c r="D7201" s="16"/>
      <c r="F7201" s="16"/>
      <c r="G7201" s="16"/>
      <c r="H7201" s="24"/>
      <c r="I7201" s="24"/>
      <c r="L7201"/>
    </row>
    <row r="7202" spans="1:12" x14ac:dyDescent="0.25">
      <c r="A7202" s="16"/>
      <c r="D7202" s="16"/>
      <c r="F7202" s="16"/>
      <c r="G7202" s="16"/>
      <c r="H7202" s="24"/>
      <c r="I7202" s="24"/>
      <c r="L7202"/>
    </row>
    <row r="7203" spans="1:12" x14ac:dyDescent="0.25">
      <c r="A7203" s="16"/>
      <c r="D7203" s="16"/>
      <c r="F7203" s="16"/>
      <c r="G7203" s="16"/>
      <c r="H7203" s="24"/>
      <c r="I7203" s="24"/>
      <c r="L7203"/>
    </row>
    <row r="7204" spans="1:12" x14ac:dyDescent="0.25">
      <c r="A7204" s="16"/>
      <c r="D7204" s="16"/>
      <c r="F7204" s="16"/>
      <c r="G7204" s="16"/>
      <c r="H7204" s="24"/>
      <c r="I7204" s="24"/>
      <c r="L7204"/>
    </row>
    <row r="7205" spans="1:12" x14ac:dyDescent="0.25">
      <c r="A7205" s="16"/>
      <c r="D7205" s="16"/>
      <c r="F7205" s="16"/>
      <c r="G7205" s="16"/>
      <c r="H7205" s="24"/>
      <c r="I7205" s="24"/>
      <c r="L7205"/>
    </row>
    <row r="7206" spans="1:12" x14ac:dyDescent="0.25">
      <c r="A7206" s="16"/>
      <c r="D7206" s="16"/>
      <c r="F7206" s="16"/>
      <c r="G7206" s="16"/>
      <c r="H7206" s="24"/>
      <c r="I7206" s="24"/>
      <c r="L7206"/>
    </row>
    <row r="7207" spans="1:12" x14ac:dyDescent="0.25">
      <c r="A7207" s="16"/>
      <c r="D7207" s="16"/>
      <c r="F7207" s="16"/>
      <c r="G7207" s="16"/>
      <c r="H7207" s="24"/>
      <c r="I7207" s="24"/>
      <c r="L7207"/>
    </row>
    <row r="7208" spans="1:12" x14ac:dyDescent="0.25">
      <c r="A7208" s="16"/>
      <c r="D7208" s="16"/>
      <c r="F7208" s="16"/>
      <c r="G7208" s="16"/>
      <c r="H7208" s="24"/>
      <c r="I7208" s="24"/>
      <c r="L7208"/>
    </row>
    <row r="7209" spans="1:12" x14ac:dyDescent="0.25">
      <c r="A7209" s="16"/>
      <c r="D7209" s="16"/>
      <c r="F7209" s="16"/>
      <c r="G7209" s="16"/>
      <c r="H7209" s="24"/>
      <c r="I7209" s="24"/>
      <c r="L7209"/>
    </row>
    <row r="7210" spans="1:12" x14ac:dyDescent="0.25">
      <c r="A7210" s="16"/>
      <c r="D7210" s="16"/>
      <c r="F7210" s="16"/>
      <c r="G7210" s="16"/>
      <c r="H7210" s="24"/>
      <c r="I7210" s="24"/>
      <c r="L7210"/>
    </row>
    <row r="7211" spans="1:12" x14ac:dyDescent="0.25">
      <c r="A7211" s="16"/>
      <c r="D7211" s="16"/>
      <c r="F7211" s="16"/>
      <c r="G7211" s="16"/>
      <c r="H7211" s="24"/>
      <c r="I7211" s="24"/>
      <c r="L7211"/>
    </row>
    <row r="7212" spans="1:12" x14ac:dyDescent="0.25">
      <c r="A7212" s="16"/>
      <c r="D7212" s="16"/>
      <c r="F7212" s="16"/>
      <c r="G7212" s="16"/>
      <c r="H7212" s="24"/>
      <c r="I7212" s="24"/>
      <c r="L7212"/>
    </row>
    <row r="7213" spans="1:12" x14ac:dyDescent="0.25">
      <c r="A7213" s="16"/>
      <c r="D7213" s="16"/>
      <c r="F7213" s="16"/>
      <c r="G7213" s="16"/>
      <c r="H7213" s="24"/>
      <c r="I7213" s="24"/>
      <c r="L7213"/>
    </row>
    <row r="7214" spans="1:12" x14ac:dyDescent="0.25">
      <c r="A7214" s="16"/>
      <c r="D7214" s="16"/>
      <c r="F7214" s="16"/>
      <c r="G7214" s="16"/>
      <c r="H7214" s="24"/>
      <c r="I7214" s="24"/>
      <c r="L7214"/>
    </row>
    <row r="7215" spans="1:12" x14ac:dyDescent="0.25">
      <c r="A7215" s="16"/>
      <c r="D7215" s="16"/>
      <c r="F7215" s="16"/>
      <c r="G7215" s="16"/>
      <c r="H7215" s="24"/>
      <c r="I7215" s="24"/>
      <c r="L7215"/>
    </row>
    <row r="7216" spans="1:12" x14ac:dyDescent="0.25">
      <c r="A7216" s="16"/>
      <c r="D7216" s="16"/>
      <c r="F7216" s="16"/>
      <c r="G7216" s="16"/>
      <c r="H7216" s="24"/>
      <c r="I7216" s="24"/>
      <c r="L7216"/>
    </row>
    <row r="7217" spans="1:12" x14ac:dyDescent="0.25">
      <c r="A7217" s="16"/>
      <c r="D7217" s="16"/>
      <c r="F7217" s="16"/>
      <c r="G7217" s="16"/>
      <c r="H7217" s="24"/>
      <c r="I7217" s="24"/>
      <c r="L7217"/>
    </row>
    <row r="7218" spans="1:12" x14ac:dyDescent="0.25">
      <c r="A7218" s="16"/>
      <c r="D7218" s="16"/>
      <c r="F7218" s="16"/>
      <c r="G7218" s="16"/>
      <c r="H7218" s="24"/>
      <c r="I7218" s="24"/>
      <c r="L7218"/>
    </row>
    <row r="7219" spans="1:12" x14ac:dyDescent="0.25">
      <c r="A7219" s="16"/>
      <c r="D7219" s="16"/>
      <c r="F7219" s="16"/>
      <c r="G7219" s="16"/>
      <c r="H7219" s="24"/>
      <c r="I7219" s="24"/>
      <c r="L7219"/>
    </row>
    <row r="7220" spans="1:12" x14ac:dyDescent="0.25">
      <c r="A7220" s="16"/>
      <c r="D7220" s="16"/>
      <c r="F7220" s="16"/>
      <c r="G7220" s="16"/>
      <c r="H7220" s="24"/>
      <c r="I7220" s="24"/>
      <c r="L7220"/>
    </row>
    <row r="7221" spans="1:12" x14ac:dyDescent="0.25">
      <c r="A7221" s="16"/>
      <c r="D7221" s="16"/>
      <c r="F7221" s="16"/>
      <c r="G7221" s="16"/>
      <c r="H7221" s="24"/>
      <c r="I7221" s="24"/>
      <c r="L7221"/>
    </row>
    <row r="7222" spans="1:12" x14ac:dyDescent="0.25">
      <c r="A7222" s="16"/>
      <c r="D7222" s="16"/>
      <c r="F7222" s="16"/>
      <c r="G7222" s="16"/>
      <c r="H7222" s="24"/>
      <c r="I7222" s="24"/>
      <c r="L7222"/>
    </row>
    <row r="7223" spans="1:12" x14ac:dyDescent="0.25">
      <c r="A7223" s="16"/>
      <c r="D7223" s="16"/>
      <c r="F7223" s="16"/>
      <c r="G7223" s="16"/>
      <c r="H7223" s="24"/>
      <c r="I7223" s="24"/>
      <c r="L7223"/>
    </row>
    <row r="7224" spans="1:12" x14ac:dyDescent="0.25">
      <c r="A7224" s="16"/>
      <c r="D7224" s="16"/>
      <c r="F7224" s="16"/>
      <c r="G7224" s="16"/>
      <c r="H7224" s="24"/>
      <c r="I7224" s="24"/>
      <c r="L7224"/>
    </row>
    <row r="7225" spans="1:12" x14ac:dyDescent="0.25">
      <c r="A7225" s="16"/>
      <c r="D7225" s="16"/>
      <c r="F7225" s="16"/>
      <c r="G7225" s="16"/>
      <c r="H7225" s="24"/>
      <c r="I7225" s="24"/>
      <c r="L7225"/>
    </row>
    <row r="7226" spans="1:12" x14ac:dyDescent="0.25">
      <c r="A7226" s="16"/>
      <c r="D7226" s="16"/>
      <c r="F7226" s="16"/>
      <c r="G7226" s="16"/>
      <c r="H7226" s="24"/>
      <c r="I7226" s="24"/>
      <c r="L7226"/>
    </row>
    <row r="7227" spans="1:12" x14ac:dyDescent="0.25">
      <c r="A7227" s="16"/>
      <c r="D7227" s="16"/>
      <c r="F7227" s="16"/>
      <c r="G7227" s="16"/>
      <c r="H7227" s="24"/>
      <c r="I7227" s="24"/>
      <c r="L7227"/>
    </row>
    <row r="7228" spans="1:12" x14ac:dyDescent="0.25">
      <c r="A7228" s="16"/>
      <c r="D7228" s="16"/>
      <c r="F7228" s="16"/>
      <c r="G7228" s="16"/>
      <c r="H7228" s="24"/>
      <c r="I7228" s="24"/>
      <c r="L7228"/>
    </row>
    <row r="7229" spans="1:12" x14ac:dyDescent="0.25">
      <c r="A7229" s="16"/>
      <c r="D7229" s="16"/>
      <c r="F7229" s="16"/>
      <c r="G7229" s="16"/>
      <c r="H7229" s="24"/>
      <c r="I7229" s="24"/>
      <c r="L7229"/>
    </row>
    <row r="7230" spans="1:12" x14ac:dyDescent="0.25">
      <c r="A7230" s="16"/>
      <c r="D7230" s="16"/>
      <c r="F7230" s="16"/>
      <c r="G7230" s="16"/>
      <c r="H7230" s="24"/>
      <c r="I7230" s="24"/>
      <c r="L7230"/>
    </row>
    <row r="7231" spans="1:12" x14ac:dyDescent="0.25">
      <c r="A7231" s="16"/>
      <c r="D7231" s="16"/>
      <c r="F7231" s="16"/>
      <c r="G7231" s="16"/>
      <c r="H7231" s="24"/>
      <c r="I7231" s="24"/>
      <c r="L7231"/>
    </row>
    <row r="7232" spans="1:12" x14ac:dyDescent="0.25">
      <c r="A7232" s="16"/>
      <c r="D7232" s="16"/>
      <c r="F7232" s="16"/>
      <c r="G7232" s="16"/>
      <c r="H7232" s="24"/>
      <c r="I7232" s="24"/>
      <c r="L7232"/>
    </row>
    <row r="7233" spans="1:12" x14ac:dyDescent="0.25">
      <c r="A7233" s="16"/>
      <c r="D7233" s="16"/>
      <c r="F7233" s="16"/>
      <c r="G7233" s="16"/>
      <c r="H7233" s="24"/>
      <c r="I7233" s="24"/>
      <c r="L7233"/>
    </row>
    <row r="7234" spans="1:12" x14ac:dyDescent="0.25">
      <c r="A7234" s="16"/>
      <c r="D7234" s="16"/>
      <c r="F7234" s="16"/>
      <c r="G7234" s="16"/>
      <c r="H7234" s="24"/>
      <c r="I7234" s="24"/>
      <c r="L7234"/>
    </row>
    <row r="7235" spans="1:12" x14ac:dyDescent="0.25">
      <c r="A7235" s="16"/>
      <c r="D7235" s="16"/>
      <c r="F7235" s="16"/>
      <c r="G7235" s="16"/>
      <c r="H7235" s="24"/>
      <c r="I7235" s="24"/>
      <c r="L7235"/>
    </row>
    <row r="7236" spans="1:12" x14ac:dyDescent="0.25">
      <c r="A7236" s="16"/>
      <c r="D7236" s="16"/>
      <c r="F7236" s="16"/>
      <c r="G7236" s="16"/>
      <c r="H7236" s="24"/>
      <c r="I7236" s="24"/>
      <c r="L7236"/>
    </row>
    <row r="7237" spans="1:12" x14ac:dyDescent="0.25">
      <c r="A7237" s="16"/>
      <c r="D7237" s="16"/>
      <c r="F7237" s="16"/>
      <c r="G7237" s="16"/>
      <c r="H7237" s="24"/>
      <c r="I7237" s="24"/>
      <c r="L7237"/>
    </row>
    <row r="7238" spans="1:12" x14ac:dyDescent="0.25">
      <c r="A7238" s="16"/>
      <c r="D7238" s="16"/>
      <c r="F7238" s="16"/>
      <c r="G7238" s="16"/>
      <c r="H7238" s="24"/>
      <c r="I7238" s="24"/>
      <c r="L7238"/>
    </row>
    <row r="7239" spans="1:12" x14ac:dyDescent="0.25">
      <c r="A7239" s="16"/>
      <c r="D7239" s="16"/>
      <c r="F7239" s="16"/>
      <c r="G7239" s="16"/>
      <c r="H7239" s="24"/>
      <c r="I7239" s="24"/>
      <c r="L7239"/>
    </row>
    <row r="7240" spans="1:12" x14ac:dyDescent="0.25">
      <c r="A7240" s="16"/>
      <c r="D7240" s="16"/>
      <c r="F7240" s="16"/>
      <c r="G7240" s="16"/>
      <c r="H7240" s="24"/>
      <c r="I7240" s="24"/>
      <c r="L7240"/>
    </row>
    <row r="7241" spans="1:12" x14ac:dyDescent="0.25">
      <c r="A7241" s="16"/>
      <c r="D7241" s="16"/>
      <c r="F7241" s="16"/>
      <c r="G7241" s="16"/>
      <c r="H7241" s="24"/>
      <c r="I7241" s="24"/>
      <c r="L7241"/>
    </row>
    <row r="7242" spans="1:12" x14ac:dyDescent="0.25">
      <c r="A7242" s="16"/>
      <c r="D7242" s="16"/>
      <c r="F7242" s="16"/>
      <c r="G7242" s="16"/>
      <c r="H7242" s="24"/>
      <c r="I7242" s="24"/>
      <c r="L7242"/>
    </row>
    <row r="7243" spans="1:12" x14ac:dyDescent="0.25">
      <c r="A7243" s="16"/>
      <c r="D7243" s="16"/>
      <c r="F7243" s="16"/>
      <c r="G7243" s="16"/>
      <c r="H7243" s="24"/>
      <c r="I7243" s="24"/>
      <c r="L7243"/>
    </row>
    <row r="7244" spans="1:12" x14ac:dyDescent="0.25">
      <c r="A7244" s="16"/>
      <c r="D7244" s="16"/>
      <c r="F7244" s="16"/>
      <c r="G7244" s="16"/>
      <c r="H7244" s="24"/>
      <c r="I7244" s="24"/>
      <c r="L7244"/>
    </row>
    <row r="7245" spans="1:12" x14ac:dyDescent="0.25">
      <c r="A7245" s="16"/>
      <c r="D7245" s="16"/>
      <c r="F7245" s="16"/>
      <c r="G7245" s="16"/>
      <c r="H7245" s="24"/>
      <c r="I7245" s="24"/>
      <c r="L7245"/>
    </row>
    <row r="7246" spans="1:12" x14ac:dyDescent="0.25">
      <c r="A7246" s="16"/>
      <c r="D7246" s="16"/>
      <c r="F7246" s="16"/>
      <c r="G7246" s="16"/>
      <c r="H7246" s="24"/>
      <c r="I7246" s="24"/>
      <c r="L7246"/>
    </row>
    <row r="7247" spans="1:12" x14ac:dyDescent="0.25">
      <c r="A7247" s="16"/>
      <c r="D7247" s="16"/>
      <c r="F7247" s="16"/>
      <c r="G7247" s="16"/>
      <c r="H7247" s="24"/>
      <c r="I7247" s="24"/>
      <c r="L7247"/>
    </row>
    <row r="7248" spans="1:12" x14ac:dyDescent="0.25">
      <c r="A7248" s="16"/>
      <c r="D7248" s="16"/>
      <c r="F7248" s="16"/>
      <c r="G7248" s="16"/>
      <c r="H7248" s="24"/>
      <c r="I7248" s="24"/>
      <c r="L7248"/>
    </row>
    <row r="7249" spans="1:12" x14ac:dyDescent="0.25">
      <c r="A7249" s="16"/>
      <c r="D7249" s="16"/>
      <c r="F7249" s="16"/>
      <c r="G7249" s="16"/>
      <c r="H7249" s="24"/>
      <c r="I7249" s="24"/>
      <c r="L7249"/>
    </row>
    <row r="7250" spans="1:12" x14ac:dyDescent="0.25">
      <c r="A7250" s="16"/>
      <c r="D7250" s="16"/>
      <c r="F7250" s="16"/>
      <c r="G7250" s="16"/>
      <c r="H7250" s="24"/>
      <c r="I7250" s="24"/>
      <c r="L7250"/>
    </row>
    <row r="7251" spans="1:12" x14ac:dyDescent="0.25">
      <c r="A7251" s="16"/>
      <c r="D7251" s="16"/>
      <c r="F7251" s="16"/>
      <c r="G7251" s="16"/>
      <c r="H7251" s="24"/>
      <c r="I7251" s="24"/>
      <c r="L7251"/>
    </row>
    <row r="7252" spans="1:12" x14ac:dyDescent="0.25">
      <c r="A7252" s="16"/>
      <c r="D7252" s="16"/>
      <c r="F7252" s="16"/>
      <c r="G7252" s="16"/>
      <c r="H7252" s="24"/>
      <c r="I7252" s="24"/>
      <c r="L7252"/>
    </row>
    <row r="7253" spans="1:12" x14ac:dyDescent="0.25">
      <c r="A7253" s="16"/>
      <c r="D7253" s="16"/>
      <c r="F7253" s="16"/>
      <c r="G7253" s="16"/>
      <c r="H7253" s="24"/>
      <c r="I7253" s="24"/>
      <c r="L7253"/>
    </row>
    <row r="7254" spans="1:12" x14ac:dyDescent="0.25">
      <c r="A7254" s="16"/>
      <c r="D7254" s="16"/>
      <c r="F7254" s="16"/>
      <c r="G7254" s="16"/>
      <c r="H7254" s="24"/>
      <c r="I7254" s="24"/>
      <c r="L7254"/>
    </row>
    <row r="7255" spans="1:12" x14ac:dyDescent="0.25">
      <c r="A7255" s="16"/>
      <c r="D7255" s="16"/>
      <c r="F7255" s="16"/>
      <c r="G7255" s="16"/>
      <c r="H7255" s="24"/>
      <c r="I7255" s="24"/>
      <c r="L7255"/>
    </row>
    <row r="7256" spans="1:12" x14ac:dyDescent="0.25">
      <c r="A7256" s="16"/>
      <c r="D7256" s="16"/>
      <c r="F7256" s="16"/>
      <c r="G7256" s="16"/>
      <c r="H7256" s="24"/>
      <c r="I7256" s="24"/>
      <c r="L7256"/>
    </row>
    <row r="7257" spans="1:12" x14ac:dyDescent="0.25">
      <c r="A7257" s="16"/>
      <c r="D7257" s="16"/>
      <c r="F7257" s="16"/>
      <c r="G7257" s="16"/>
      <c r="H7257" s="24"/>
      <c r="I7257" s="24"/>
      <c r="L7257"/>
    </row>
    <row r="7258" spans="1:12" x14ac:dyDescent="0.25">
      <c r="A7258" s="16"/>
      <c r="D7258" s="16"/>
      <c r="F7258" s="16"/>
      <c r="G7258" s="16"/>
      <c r="H7258" s="24"/>
      <c r="I7258" s="24"/>
      <c r="L7258"/>
    </row>
    <row r="7259" spans="1:12" x14ac:dyDescent="0.25">
      <c r="A7259" s="16"/>
      <c r="D7259" s="16"/>
      <c r="F7259" s="16"/>
      <c r="G7259" s="16"/>
      <c r="H7259" s="24"/>
      <c r="I7259" s="24"/>
      <c r="L7259"/>
    </row>
    <row r="7260" spans="1:12" x14ac:dyDescent="0.25">
      <c r="A7260" s="16"/>
      <c r="D7260" s="16"/>
      <c r="F7260" s="16"/>
      <c r="G7260" s="16"/>
      <c r="H7260" s="24"/>
      <c r="I7260" s="24"/>
      <c r="L7260"/>
    </row>
    <row r="7261" spans="1:12" x14ac:dyDescent="0.25">
      <c r="A7261" s="16"/>
      <c r="D7261" s="16"/>
      <c r="F7261" s="16"/>
      <c r="G7261" s="16"/>
      <c r="H7261" s="24"/>
      <c r="I7261" s="24"/>
      <c r="L7261"/>
    </row>
    <row r="7262" spans="1:12" x14ac:dyDescent="0.25">
      <c r="A7262" s="16"/>
      <c r="D7262" s="16"/>
      <c r="F7262" s="16"/>
      <c r="G7262" s="16"/>
      <c r="H7262" s="24"/>
      <c r="I7262" s="24"/>
      <c r="L7262"/>
    </row>
    <row r="7263" spans="1:12" x14ac:dyDescent="0.25">
      <c r="A7263" s="16"/>
      <c r="D7263" s="16"/>
      <c r="F7263" s="16"/>
      <c r="G7263" s="16"/>
      <c r="H7263" s="24"/>
      <c r="I7263" s="24"/>
      <c r="L7263"/>
    </row>
    <row r="7264" spans="1:12" x14ac:dyDescent="0.25">
      <c r="A7264" s="16"/>
      <c r="D7264" s="16"/>
      <c r="F7264" s="16"/>
      <c r="G7264" s="16"/>
      <c r="H7264" s="24"/>
      <c r="I7264" s="24"/>
      <c r="L7264"/>
    </row>
    <row r="7265" spans="1:12" x14ac:dyDescent="0.25">
      <c r="A7265" s="16"/>
      <c r="D7265" s="16"/>
      <c r="F7265" s="16"/>
      <c r="G7265" s="16"/>
      <c r="H7265" s="24"/>
      <c r="I7265" s="24"/>
      <c r="L7265"/>
    </row>
    <row r="7266" spans="1:12" x14ac:dyDescent="0.25">
      <c r="A7266" s="16"/>
      <c r="D7266" s="16"/>
      <c r="F7266" s="16"/>
      <c r="G7266" s="16"/>
      <c r="H7266" s="24"/>
      <c r="I7266" s="24"/>
      <c r="L7266"/>
    </row>
    <row r="7267" spans="1:12" x14ac:dyDescent="0.25">
      <c r="A7267" s="16"/>
      <c r="D7267" s="16"/>
      <c r="F7267" s="16"/>
      <c r="G7267" s="16"/>
      <c r="H7267" s="24"/>
      <c r="I7267" s="24"/>
      <c r="L7267"/>
    </row>
    <row r="7268" spans="1:12" x14ac:dyDescent="0.25">
      <c r="A7268" s="16"/>
      <c r="D7268" s="16"/>
      <c r="F7268" s="16"/>
      <c r="G7268" s="16"/>
      <c r="H7268" s="24"/>
      <c r="I7268" s="24"/>
      <c r="L7268"/>
    </row>
    <row r="7269" spans="1:12" x14ac:dyDescent="0.25">
      <c r="A7269" s="16"/>
      <c r="D7269" s="16"/>
      <c r="F7269" s="16"/>
      <c r="G7269" s="16"/>
      <c r="H7269" s="24"/>
      <c r="I7269" s="24"/>
      <c r="L7269"/>
    </row>
    <row r="7270" spans="1:12" x14ac:dyDescent="0.25">
      <c r="A7270" s="16"/>
      <c r="D7270" s="16"/>
      <c r="F7270" s="16"/>
      <c r="G7270" s="16"/>
      <c r="H7270" s="24"/>
      <c r="I7270" s="24"/>
      <c r="L7270"/>
    </row>
    <row r="7271" spans="1:12" x14ac:dyDescent="0.25">
      <c r="A7271" s="16"/>
      <c r="D7271" s="16"/>
      <c r="F7271" s="16"/>
      <c r="G7271" s="16"/>
      <c r="H7271" s="24"/>
      <c r="I7271" s="24"/>
      <c r="L7271"/>
    </row>
    <row r="7272" spans="1:12" x14ac:dyDescent="0.25">
      <c r="A7272" s="16"/>
      <c r="D7272" s="16"/>
      <c r="F7272" s="16"/>
      <c r="G7272" s="16"/>
      <c r="H7272" s="24"/>
      <c r="I7272" s="24"/>
      <c r="L7272"/>
    </row>
    <row r="7273" spans="1:12" x14ac:dyDescent="0.25">
      <c r="A7273" s="16"/>
      <c r="D7273" s="16"/>
      <c r="F7273" s="16"/>
      <c r="G7273" s="16"/>
      <c r="H7273" s="24"/>
      <c r="I7273" s="24"/>
      <c r="L7273"/>
    </row>
    <row r="7274" spans="1:12" x14ac:dyDescent="0.25">
      <c r="A7274" s="16"/>
      <c r="D7274" s="16"/>
      <c r="F7274" s="16"/>
      <c r="G7274" s="16"/>
      <c r="H7274" s="24"/>
      <c r="I7274" s="24"/>
      <c r="L7274"/>
    </row>
    <row r="7275" spans="1:12" x14ac:dyDescent="0.25">
      <c r="A7275" s="16"/>
      <c r="D7275" s="16"/>
      <c r="F7275" s="16"/>
      <c r="G7275" s="16"/>
      <c r="H7275" s="24"/>
      <c r="I7275" s="24"/>
      <c r="L7275"/>
    </row>
    <row r="7276" spans="1:12" x14ac:dyDescent="0.25">
      <c r="A7276" s="16"/>
      <c r="D7276" s="16"/>
      <c r="F7276" s="16"/>
      <c r="G7276" s="16"/>
      <c r="H7276" s="24"/>
      <c r="I7276" s="24"/>
      <c r="L7276"/>
    </row>
    <row r="7277" spans="1:12" x14ac:dyDescent="0.25">
      <c r="A7277" s="16"/>
      <c r="D7277" s="16"/>
      <c r="F7277" s="16"/>
      <c r="G7277" s="16"/>
      <c r="H7277" s="24"/>
      <c r="I7277" s="24"/>
      <c r="L7277"/>
    </row>
    <row r="7278" spans="1:12" x14ac:dyDescent="0.25">
      <c r="A7278" s="16"/>
      <c r="D7278" s="16"/>
      <c r="F7278" s="16"/>
      <c r="G7278" s="16"/>
      <c r="H7278" s="24"/>
      <c r="I7278" s="24"/>
      <c r="L7278"/>
    </row>
    <row r="7279" spans="1:12" x14ac:dyDescent="0.25">
      <c r="A7279" s="16"/>
      <c r="D7279" s="16"/>
      <c r="F7279" s="16"/>
      <c r="G7279" s="16"/>
      <c r="H7279" s="24"/>
      <c r="I7279" s="24"/>
      <c r="L7279"/>
    </row>
    <row r="7280" spans="1:12" x14ac:dyDescent="0.25">
      <c r="A7280" s="16"/>
      <c r="D7280" s="16"/>
      <c r="F7280" s="16"/>
      <c r="G7280" s="16"/>
      <c r="H7280" s="24"/>
      <c r="I7280" s="24"/>
      <c r="L7280"/>
    </row>
    <row r="7281" spans="1:12" x14ac:dyDescent="0.25">
      <c r="A7281" s="16"/>
      <c r="D7281" s="16"/>
      <c r="F7281" s="16"/>
      <c r="G7281" s="16"/>
      <c r="H7281" s="24"/>
      <c r="I7281" s="24"/>
      <c r="L7281"/>
    </row>
    <row r="7282" spans="1:12" x14ac:dyDescent="0.25">
      <c r="A7282" s="16"/>
      <c r="D7282" s="16"/>
      <c r="F7282" s="16"/>
      <c r="G7282" s="16"/>
      <c r="H7282" s="24"/>
      <c r="I7282" s="24"/>
      <c r="L7282"/>
    </row>
    <row r="7283" spans="1:12" x14ac:dyDescent="0.25">
      <c r="A7283" s="16"/>
      <c r="D7283" s="16"/>
      <c r="F7283" s="16"/>
      <c r="G7283" s="16"/>
      <c r="H7283" s="24"/>
      <c r="I7283" s="24"/>
      <c r="L7283"/>
    </row>
    <row r="7284" spans="1:12" x14ac:dyDescent="0.25">
      <c r="A7284" s="16"/>
      <c r="D7284" s="16"/>
      <c r="F7284" s="16"/>
      <c r="G7284" s="16"/>
      <c r="H7284" s="24"/>
      <c r="I7284" s="24"/>
      <c r="L7284"/>
    </row>
    <row r="7285" spans="1:12" x14ac:dyDescent="0.25">
      <c r="A7285" s="16"/>
      <c r="D7285" s="16"/>
      <c r="F7285" s="16"/>
      <c r="G7285" s="16"/>
      <c r="H7285" s="24"/>
      <c r="I7285" s="24"/>
      <c r="L7285"/>
    </row>
    <row r="7286" spans="1:12" x14ac:dyDescent="0.25">
      <c r="A7286" s="16"/>
      <c r="D7286" s="16"/>
      <c r="F7286" s="16"/>
      <c r="G7286" s="16"/>
      <c r="H7286" s="24"/>
      <c r="I7286" s="24"/>
      <c r="L7286"/>
    </row>
    <row r="7287" spans="1:12" x14ac:dyDescent="0.25">
      <c r="A7287" s="16"/>
      <c r="D7287" s="16"/>
      <c r="F7287" s="16"/>
      <c r="G7287" s="16"/>
      <c r="H7287" s="24"/>
      <c r="I7287" s="24"/>
      <c r="L7287"/>
    </row>
    <row r="7288" spans="1:12" x14ac:dyDescent="0.25">
      <c r="A7288" s="16"/>
      <c r="D7288" s="16"/>
      <c r="F7288" s="16"/>
      <c r="G7288" s="16"/>
      <c r="H7288" s="24"/>
      <c r="I7288" s="24"/>
      <c r="L7288"/>
    </row>
    <row r="7289" spans="1:12" x14ac:dyDescent="0.25">
      <c r="A7289" s="16"/>
      <c r="D7289" s="16"/>
      <c r="F7289" s="16"/>
      <c r="G7289" s="16"/>
      <c r="H7289" s="24"/>
      <c r="I7289" s="24"/>
      <c r="L7289"/>
    </row>
    <row r="7290" spans="1:12" x14ac:dyDescent="0.25">
      <c r="A7290" s="16"/>
      <c r="D7290" s="16"/>
      <c r="F7290" s="16"/>
      <c r="G7290" s="16"/>
      <c r="H7290" s="24"/>
      <c r="I7290" s="24"/>
      <c r="L7290"/>
    </row>
    <row r="7291" spans="1:12" x14ac:dyDescent="0.25">
      <c r="A7291" s="16"/>
      <c r="D7291" s="16"/>
      <c r="F7291" s="16"/>
      <c r="G7291" s="16"/>
      <c r="H7291" s="24"/>
      <c r="I7291" s="24"/>
      <c r="L7291"/>
    </row>
    <row r="7292" spans="1:12" x14ac:dyDescent="0.25">
      <c r="A7292" s="16"/>
      <c r="D7292" s="16"/>
      <c r="F7292" s="16"/>
      <c r="G7292" s="16"/>
      <c r="H7292" s="24"/>
      <c r="I7292" s="24"/>
      <c r="L7292"/>
    </row>
    <row r="7293" spans="1:12" x14ac:dyDescent="0.25">
      <c r="A7293" s="16"/>
      <c r="D7293" s="16"/>
      <c r="F7293" s="16"/>
      <c r="G7293" s="16"/>
      <c r="H7293" s="24"/>
      <c r="I7293" s="24"/>
      <c r="L7293"/>
    </row>
    <row r="7294" spans="1:12" x14ac:dyDescent="0.25">
      <c r="A7294" s="16"/>
      <c r="D7294" s="16"/>
      <c r="F7294" s="16"/>
      <c r="G7294" s="16"/>
      <c r="H7294" s="24"/>
      <c r="I7294" s="24"/>
      <c r="L7294"/>
    </row>
    <row r="7295" spans="1:12" x14ac:dyDescent="0.25">
      <c r="A7295" s="16"/>
      <c r="D7295" s="16"/>
      <c r="F7295" s="16"/>
      <c r="G7295" s="16"/>
      <c r="H7295" s="24"/>
      <c r="I7295" s="24"/>
      <c r="L7295"/>
    </row>
    <row r="7296" spans="1:12" x14ac:dyDescent="0.25">
      <c r="A7296" s="16"/>
      <c r="D7296" s="16"/>
      <c r="F7296" s="16"/>
      <c r="G7296" s="16"/>
      <c r="H7296" s="24"/>
      <c r="I7296" s="24"/>
      <c r="L7296"/>
    </row>
    <row r="7297" spans="1:12" x14ac:dyDescent="0.25">
      <c r="A7297" s="16"/>
      <c r="D7297" s="16"/>
      <c r="F7297" s="16"/>
      <c r="G7297" s="16"/>
      <c r="H7297" s="24"/>
      <c r="I7297" s="24"/>
      <c r="L7297"/>
    </row>
    <row r="7298" spans="1:12" x14ac:dyDescent="0.25">
      <c r="A7298" s="16"/>
      <c r="D7298" s="16"/>
      <c r="F7298" s="16"/>
      <c r="G7298" s="16"/>
      <c r="H7298" s="24"/>
      <c r="I7298" s="24"/>
      <c r="L7298"/>
    </row>
    <row r="7299" spans="1:12" x14ac:dyDescent="0.25">
      <c r="A7299" s="16"/>
      <c r="D7299" s="16"/>
      <c r="F7299" s="16"/>
      <c r="G7299" s="16"/>
      <c r="H7299" s="24"/>
      <c r="I7299" s="24"/>
      <c r="L7299"/>
    </row>
    <row r="7300" spans="1:12" x14ac:dyDescent="0.25">
      <c r="A7300" s="16"/>
      <c r="D7300" s="16"/>
      <c r="F7300" s="16"/>
      <c r="G7300" s="16"/>
      <c r="H7300" s="24"/>
      <c r="I7300" s="24"/>
      <c r="L7300"/>
    </row>
    <row r="7301" spans="1:12" x14ac:dyDescent="0.25">
      <c r="A7301" s="16"/>
      <c r="D7301" s="16"/>
      <c r="F7301" s="16"/>
      <c r="G7301" s="16"/>
      <c r="H7301" s="24"/>
      <c r="I7301" s="24"/>
      <c r="L7301"/>
    </row>
    <row r="7302" spans="1:12" x14ac:dyDescent="0.25">
      <c r="A7302" s="16"/>
      <c r="D7302" s="16"/>
      <c r="F7302" s="16"/>
      <c r="G7302" s="16"/>
      <c r="H7302" s="24"/>
      <c r="I7302" s="24"/>
      <c r="L7302"/>
    </row>
    <row r="7303" spans="1:12" x14ac:dyDescent="0.25">
      <c r="A7303" s="16"/>
      <c r="D7303" s="16"/>
      <c r="F7303" s="16"/>
      <c r="G7303" s="16"/>
      <c r="H7303" s="24"/>
      <c r="I7303" s="24"/>
      <c r="L7303"/>
    </row>
    <row r="7304" spans="1:12" x14ac:dyDescent="0.25">
      <c r="A7304" s="16"/>
      <c r="D7304" s="16"/>
      <c r="F7304" s="16"/>
      <c r="G7304" s="16"/>
      <c r="H7304" s="24"/>
      <c r="I7304" s="24"/>
      <c r="L7304"/>
    </row>
    <row r="7305" spans="1:12" x14ac:dyDescent="0.25">
      <c r="A7305" s="16"/>
      <c r="D7305" s="16"/>
      <c r="F7305" s="16"/>
      <c r="G7305" s="16"/>
      <c r="H7305" s="24"/>
      <c r="I7305" s="24"/>
      <c r="L7305"/>
    </row>
    <row r="7306" spans="1:12" x14ac:dyDescent="0.25">
      <c r="A7306" s="16"/>
      <c r="D7306" s="16"/>
      <c r="F7306" s="16"/>
      <c r="G7306" s="16"/>
      <c r="H7306" s="24"/>
      <c r="I7306" s="24"/>
      <c r="L7306"/>
    </row>
    <row r="7307" spans="1:12" x14ac:dyDescent="0.25">
      <c r="A7307" s="16"/>
      <c r="D7307" s="16"/>
      <c r="F7307" s="16"/>
      <c r="G7307" s="16"/>
      <c r="H7307" s="24"/>
      <c r="I7307" s="24"/>
      <c r="L7307"/>
    </row>
    <row r="7308" spans="1:12" x14ac:dyDescent="0.25">
      <c r="A7308" s="16"/>
      <c r="D7308" s="16"/>
      <c r="F7308" s="16"/>
      <c r="G7308" s="16"/>
      <c r="H7308" s="24"/>
      <c r="I7308" s="24"/>
      <c r="L7308"/>
    </row>
    <row r="7309" spans="1:12" x14ac:dyDescent="0.25">
      <c r="A7309" s="16"/>
      <c r="D7309" s="16"/>
      <c r="F7309" s="16"/>
      <c r="G7309" s="16"/>
      <c r="H7309" s="24"/>
      <c r="I7309" s="24"/>
      <c r="L7309"/>
    </row>
    <row r="7310" spans="1:12" x14ac:dyDescent="0.25">
      <c r="A7310" s="16"/>
      <c r="D7310" s="16"/>
      <c r="F7310" s="16"/>
      <c r="G7310" s="16"/>
      <c r="H7310" s="24"/>
      <c r="I7310" s="24"/>
      <c r="L7310"/>
    </row>
    <row r="7311" spans="1:12" x14ac:dyDescent="0.25">
      <c r="A7311" s="16"/>
      <c r="D7311" s="16"/>
      <c r="F7311" s="16"/>
      <c r="G7311" s="16"/>
      <c r="H7311" s="24"/>
      <c r="I7311" s="24"/>
      <c r="L7311"/>
    </row>
    <row r="7312" spans="1:12" x14ac:dyDescent="0.25">
      <c r="A7312" s="16"/>
      <c r="D7312" s="16"/>
      <c r="F7312" s="16"/>
      <c r="G7312" s="16"/>
      <c r="H7312" s="24"/>
      <c r="I7312" s="24"/>
      <c r="L7312"/>
    </row>
    <row r="7313" spans="1:12" x14ac:dyDescent="0.25">
      <c r="A7313" s="16"/>
      <c r="D7313" s="16"/>
      <c r="F7313" s="16"/>
      <c r="G7313" s="16"/>
      <c r="H7313" s="24"/>
      <c r="I7313" s="24"/>
      <c r="L7313"/>
    </row>
    <row r="7314" spans="1:12" x14ac:dyDescent="0.25">
      <c r="A7314" s="16"/>
      <c r="D7314" s="16"/>
      <c r="F7314" s="16"/>
      <c r="G7314" s="16"/>
      <c r="H7314" s="24"/>
      <c r="I7314" s="24"/>
      <c r="L7314"/>
    </row>
    <row r="7315" spans="1:12" x14ac:dyDescent="0.25">
      <c r="A7315" s="16"/>
      <c r="D7315" s="16"/>
      <c r="F7315" s="16"/>
      <c r="G7315" s="16"/>
      <c r="H7315" s="24"/>
      <c r="I7315" s="24"/>
      <c r="L7315"/>
    </row>
    <row r="7316" spans="1:12" x14ac:dyDescent="0.25">
      <c r="A7316" s="16"/>
      <c r="D7316" s="16"/>
      <c r="F7316" s="16"/>
      <c r="G7316" s="16"/>
      <c r="H7316" s="24"/>
      <c r="I7316" s="24"/>
      <c r="L7316"/>
    </row>
    <row r="7317" spans="1:12" x14ac:dyDescent="0.25">
      <c r="A7317" s="16"/>
      <c r="D7317" s="16"/>
      <c r="F7317" s="16"/>
      <c r="G7317" s="16"/>
      <c r="H7317" s="24"/>
      <c r="I7317" s="24"/>
      <c r="L7317"/>
    </row>
    <row r="7318" spans="1:12" x14ac:dyDescent="0.25">
      <c r="A7318" s="16"/>
      <c r="D7318" s="16"/>
      <c r="F7318" s="16"/>
      <c r="G7318" s="16"/>
      <c r="H7318" s="24"/>
      <c r="I7318" s="24"/>
      <c r="L7318"/>
    </row>
    <row r="7319" spans="1:12" x14ac:dyDescent="0.25">
      <c r="A7319" s="16"/>
      <c r="D7319" s="16"/>
      <c r="F7319" s="16"/>
      <c r="G7319" s="16"/>
      <c r="H7319" s="24"/>
      <c r="I7319" s="24"/>
      <c r="L7319"/>
    </row>
    <row r="7320" spans="1:12" x14ac:dyDescent="0.25">
      <c r="A7320" s="16"/>
      <c r="D7320" s="16"/>
      <c r="F7320" s="16"/>
      <c r="G7320" s="16"/>
      <c r="H7320" s="24"/>
      <c r="I7320" s="24"/>
      <c r="L7320"/>
    </row>
    <row r="7321" spans="1:12" x14ac:dyDescent="0.25">
      <c r="A7321" s="16"/>
      <c r="D7321" s="16"/>
      <c r="F7321" s="16"/>
      <c r="G7321" s="16"/>
      <c r="H7321" s="24"/>
      <c r="I7321" s="24"/>
      <c r="L7321"/>
    </row>
    <row r="7322" spans="1:12" x14ac:dyDescent="0.25">
      <c r="A7322" s="16"/>
      <c r="D7322" s="16"/>
      <c r="F7322" s="16"/>
      <c r="G7322" s="16"/>
      <c r="H7322" s="24"/>
      <c r="I7322" s="24"/>
      <c r="L7322"/>
    </row>
    <row r="7323" spans="1:12" x14ac:dyDescent="0.25">
      <c r="A7323" s="16"/>
      <c r="D7323" s="16"/>
      <c r="F7323" s="16"/>
      <c r="G7323" s="16"/>
      <c r="H7323" s="24"/>
      <c r="I7323" s="24"/>
      <c r="L7323"/>
    </row>
    <row r="7324" spans="1:12" x14ac:dyDescent="0.25">
      <c r="A7324" s="16"/>
      <c r="D7324" s="16"/>
      <c r="F7324" s="16"/>
      <c r="G7324" s="16"/>
      <c r="H7324" s="24"/>
      <c r="I7324" s="24"/>
      <c r="L7324"/>
    </row>
    <row r="7325" spans="1:12" x14ac:dyDescent="0.25">
      <c r="A7325" s="16"/>
      <c r="D7325" s="16"/>
      <c r="F7325" s="16"/>
      <c r="G7325" s="16"/>
      <c r="H7325" s="24"/>
      <c r="I7325" s="24"/>
      <c r="L7325"/>
    </row>
    <row r="7326" spans="1:12" x14ac:dyDescent="0.25">
      <c r="A7326" s="16"/>
      <c r="D7326" s="16"/>
      <c r="F7326" s="16"/>
      <c r="G7326" s="16"/>
      <c r="H7326" s="24"/>
      <c r="I7326" s="24"/>
      <c r="L7326"/>
    </row>
    <row r="7327" spans="1:12" x14ac:dyDescent="0.25">
      <c r="A7327" s="16"/>
      <c r="D7327" s="16"/>
      <c r="F7327" s="16"/>
      <c r="G7327" s="16"/>
      <c r="H7327" s="24"/>
      <c r="I7327" s="24"/>
      <c r="L7327"/>
    </row>
    <row r="7328" spans="1:12" x14ac:dyDescent="0.25">
      <c r="A7328" s="16"/>
      <c r="D7328" s="16"/>
      <c r="F7328" s="16"/>
      <c r="G7328" s="16"/>
      <c r="H7328" s="24"/>
      <c r="I7328" s="24"/>
      <c r="L7328"/>
    </row>
    <row r="7329" spans="1:12" x14ac:dyDescent="0.25">
      <c r="A7329" s="16"/>
      <c r="D7329" s="16"/>
      <c r="F7329" s="16"/>
      <c r="G7329" s="16"/>
      <c r="H7329" s="24"/>
      <c r="I7329" s="24"/>
      <c r="L7329"/>
    </row>
    <row r="7330" spans="1:12" x14ac:dyDescent="0.25">
      <c r="A7330" s="16"/>
      <c r="D7330" s="16"/>
      <c r="F7330" s="16"/>
      <c r="G7330" s="16"/>
      <c r="H7330" s="24"/>
      <c r="I7330" s="24"/>
      <c r="L7330"/>
    </row>
    <row r="7331" spans="1:12" x14ac:dyDescent="0.25">
      <c r="A7331" s="16"/>
      <c r="D7331" s="16"/>
      <c r="F7331" s="16"/>
      <c r="G7331" s="16"/>
      <c r="H7331" s="24"/>
      <c r="I7331" s="24"/>
      <c r="L7331"/>
    </row>
    <row r="7332" spans="1:12" x14ac:dyDescent="0.25">
      <c r="A7332" s="16"/>
      <c r="D7332" s="16"/>
      <c r="F7332" s="16"/>
      <c r="G7332" s="16"/>
      <c r="H7332" s="24"/>
      <c r="I7332" s="24"/>
      <c r="L7332"/>
    </row>
    <row r="7333" spans="1:12" x14ac:dyDescent="0.25">
      <c r="A7333" s="16"/>
      <c r="D7333" s="16"/>
      <c r="F7333" s="16"/>
      <c r="G7333" s="16"/>
      <c r="H7333" s="24"/>
      <c r="I7333" s="24"/>
      <c r="L7333"/>
    </row>
    <row r="7334" spans="1:12" x14ac:dyDescent="0.25">
      <c r="A7334" s="16"/>
      <c r="D7334" s="16"/>
      <c r="F7334" s="16"/>
      <c r="G7334" s="16"/>
      <c r="H7334" s="24"/>
      <c r="I7334" s="24"/>
      <c r="L7334"/>
    </row>
    <row r="7335" spans="1:12" x14ac:dyDescent="0.25">
      <c r="A7335" s="16"/>
      <c r="D7335" s="16"/>
      <c r="F7335" s="16"/>
      <c r="G7335" s="16"/>
      <c r="H7335" s="24"/>
      <c r="I7335" s="24"/>
      <c r="L7335"/>
    </row>
    <row r="7336" spans="1:12" x14ac:dyDescent="0.25">
      <c r="A7336" s="16"/>
      <c r="D7336" s="16"/>
      <c r="F7336" s="16"/>
      <c r="G7336" s="16"/>
      <c r="H7336" s="24"/>
      <c r="I7336" s="24"/>
      <c r="L7336"/>
    </row>
    <row r="7337" spans="1:12" x14ac:dyDescent="0.25">
      <c r="A7337" s="16"/>
      <c r="D7337" s="16"/>
      <c r="F7337" s="16"/>
      <c r="G7337" s="16"/>
      <c r="H7337" s="24"/>
      <c r="I7337" s="24"/>
      <c r="L7337"/>
    </row>
    <row r="7338" spans="1:12" x14ac:dyDescent="0.25">
      <c r="A7338" s="16"/>
      <c r="D7338" s="16"/>
      <c r="F7338" s="16"/>
      <c r="G7338" s="16"/>
      <c r="H7338" s="24"/>
      <c r="I7338" s="24"/>
      <c r="L7338"/>
    </row>
    <row r="7339" spans="1:12" x14ac:dyDescent="0.25">
      <c r="A7339" s="16"/>
      <c r="D7339" s="16"/>
      <c r="F7339" s="16"/>
      <c r="G7339" s="16"/>
      <c r="H7339" s="24"/>
      <c r="I7339" s="24"/>
      <c r="L7339"/>
    </row>
    <row r="7340" spans="1:12" x14ac:dyDescent="0.25">
      <c r="A7340" s="16"/>
      <c r="D7340" s="16"/>
      <c r="F7340" s="16"/>
      <c r="G7340" s="16"/>
      <c r="H7340" s="24"/>
      <c r="I7340" s="24"/>
      <c r="L7340"/>
    </row>
    <row r="7341" spans="1:12" x14ac:dyDescent="0.25">
      <c r="A7341" s="16"/>
      <c r="D7341" s="16"/>
      <c r="F7341" s="16"/>
      <c r="G7341" s="16"/>
      <c r="H7341" s="24"/>
      <c r="I7341" s="24"/>
      <c r="L7341"/>
    </row>
    <row r="7342" spans="1:12" x14ac:dyDescent="0.25">
      <c r="A7342" s="16"/>
      <c r="D7342" s="16"/>
      <c r="F7342" s="16"/>
      <c r="G7342" s="16"/>
      <c r="H7342" s="24"/>
      <c r="I7342" s="24"/>
      <c r="L7342"/>
    </row>
    <row r="7343" spans="1:12" x14ac:dyDescent="0.25">
      <c r="A7343" s="16"/>
      <c r="D7343" s="16"/>
      <c r="F7343" s="16"/>
      <c r="G7343" s="16"/>
      <c r="H7343" s="24"/>
      <c r="I7343" s="24"/>
      <c r="L7343"/>
    </row>
    <row r="7344" spans="1:12" x14ac:dyDescent="0.25">
      <c r="A7344" s="16"/>
      <c r="D7344" s="16"/>
      <c r="F7344" s="16"/>
      <c r="G7344" s="16"/>
      <c r="H7344" s="24"/>
      <c r="I7344" s="24"/>
      <c r="L7344"/>
    </row>
    <row r="7345" spans="1:12" x14ac:dyDescent="0.25">
      <c r="A7345" s="16"/>
      <c r="D7345" s="16"/>
      <c r="F7345" s="16"/>
      <c r="G7345" s="16"/>
      <c r="H7345" s="24"/>
      <c r="I7345" s="24"/>
      <c r="L7345"/>
    </row>
    <row r="7346" spans="1:12" x14ac:dyDescent="0.25">
      <c r="A7346" s="16"/>
      <c r="D7346" s="16"/>
      <c r="F7346" s="16"/>
      <c r="G7346" s="16"/>
      <c r="H7346" s="24"/>
      <c r="I7346" s="24"/>
      <c r="L7346"/>
    </row>
    <row r="7347" spans="1:12" x14ac:dyDescent="0.25">
      <c r="A7347" s="16"/>
      <c r="D7347" s="16"/>
      <c r="F7347" s="16"/>
      <c r="G7347" s="16"/>
      <c r="H7347" s="24"/>
      <c r="I7347" s="24"/>
      <c r="L7347"/>
    </row>
    <row r="7348" spans="1:12" x14ac:dyDescent="0.25">
      <c r="A7348" s="16"/>
      <c r="D7348" s="16"/>
      <c r="F7348" s="16"/>
      <c r="G7348" s="16"/>
      <c r="H7348" s="24"/>
      <c r="I7348" s="24"/>
      <c r="L7348"/>
    </row>
    <row r="7349" spans="1:12" x14ac:dyDescent="0.25">
      <c r="A7349" s="16"/>
      <c r="D7349" s="16"/>
      <c r="F7349" s="16"/>
      <c r="G7349" s="16"/>
      <c r="H7349" s="24"/>
      <c r="I7349" s="24"/>
      <c r="L7349"/>
    </row>
    <row r="7350" spans="1:12" x14ac:dyDescent="0.25">
      <c r="A7350" s="16"/>
      <c r="D7350" s="16"/>
      <c r="F7350" s="16"/>
      <c r="G7350" s="16"/>
      <c r="H7350" s="24"/>
      <c r="I7350" s="24"/>
      <c r="L7350"/>
    </row>
    <row r="7351" spans="1:12" x14ac:dyDescent="0.25">
      <c r="A7351" s="16"/>
      <c r="D7351" s="16"/>
      <c r="F7351" s="16"/>
      <c r="G7351" s="16"/>
      <c r="H7351" s="24"/>
      <c r="I7351" s="24"/>
      <c r="L7351"/>
    </row>
    <row r="7352" spans="1:12" x14ac:dyDescent="0.25">
      <c r="A7352" s="16"/>
      <c r="D7352" s="16"/>
      <c r="F7352" s="16"/>
      <c r="G7352" s="16"/>
      <c r="H7352" s="24"/>
      <c r="I7352" s="24"/>
      <c r="L7352"/>
    </row>
    <row r="7353" spans="1:12" x14ac:dyDescent="0.25">
      <c r="A7353" s="16"/>
      <c r="D7353" s="16"/>
      <c r="F7353" s="16"/>
      <c r="G7353" s="16"/>
      <c r="H7353" s="24"/>
      <c r="I7353" s="24"/>
      <c r="L7353"/>
    </row>
    <row r="7354" spans="1:12" x14ac:dyDescent="0.25">
      <c r="A7354" s="16"/>
      <c r="D7354" s="16"/>
      <c r="F7354" s="16"/>
      <c r="G7354" s="16"/>
      <c r="H7354" s="24"/>
      <c r="I7354" s="24"/>
      <c r="L7354"/>
    </row>
    <row r="7355" spans="1:12" x14ac:dyDescent="0.25">
      <c r="A7355" s="16"/>
      <c r="D7355" s="16"/>
      <c r="F7355" s="16"/>
      <c r="G7355" s="16"/>
      <c r="H7355" s="24"/>
      <c r="I7355" s="24"/>
      <c r="L7355"/>
    </row>
    <row r="7356" spans="1:12" x14ac:dyDescent="0.25">
      <c r="A7356" s="16"/>
      <c r="D7356" s="16"/>
      <c r="F7356" s="16"/>
      <c r="G7356" s="16"/>
      <c r="H7356" s="24"/>
      <c r="I7356" s="24"/>
      <c r="L7356"/>
    </row>
    <row r="7357" spans="1:12" x14ac:dyDescent="0.25">
      <c r="A7357" s="16"/>
      <c r="D7357" s="16"/>
      <c r="F7357" s="16"/>
      <c r="G7357" s="16"/>
      <c r="H7357" s="24"/>
      <c r="I7357" s="24"/>
      <c r="L7357"/>
    </row>
    <row r="7358" spans="1:12" x14ac:dyDescent="0.25">
      <c r="A7358" s="16"/>
      <c r="D7358" s="16"/>
      <c r="F7358" s="16"/>
      <c r="G7358" s="16"/>
      <c r="H7358" s="24"/>
      <c r="I7358" s="24"/>
      <c r="L7358"/>
    </row>
    <row r="7359" spans="1:12" x14ac:dyDescent="0.25">
      <c r="A7359" s="16"/>
      <c r="D7359" s="16"/>
      <c r="F7359" s="16"/>
      <c r="G7359" s="16"/>
      <c r="H7359" s="24"/>
      <c r="I7359" s="24"/>
      <c r="L7359"/>
    </row>
    <row r="7360" spans="1:12" x14ac:dyDescent="0.25">
      <c r="A7360" s="16"/>
      <c r="D7360" s="16"/>
      <c r="F7360" s="16"/>
      <c r="G7360" s="16"/>
      <c r="H7360" s="24"/>
      <c r="I7360" s="24"/>
      <c r="L7360"/>
    </row>
    <row r="7361" spans="1:12" x14ac:dyDescent="0.25">
      <c r="A7361" s="16"/>
      <c r="D7361" s="16"/>
      <c r="F7361" s="16"/>
      <c r="G7361" s="16"/>
      <c r="H7361" s="24"/>
      <c r="I7361" s="24"/>
      <c r="L7361"/>
    </row>
    <row r="7362" spans="1:12" x14ac:dyDescent="0.25">
      <c r="A7362" s="16"/>
      <c r="D7362" s="16"/>
      <c r="F7362" s="16"/>
      <c r="G7362" s="16"/>
      <c r="H7362" s="24"/>
      <c r="I7362" s="24"/>
      <c r="L7362"/>
    </row>
    <row r="7363" spans="1:12" x14ac:dyDescent="0.25">
      <c r="A7363" s="16"/>
      <c r="D7363" s="16"/>
      <c r="F7363" s="16"/>
      <c r="G7363" s="16"/>
      <c r="H7363" s="24"/>
      <c r="I7363" s="24"/>
      <c r="L7363"/>
    </row>
    <row r="7364" spans="1:12" x14ac:dyDescent="0.25">
      <c r="A7364" s="16"/>
      <c r="D7364" s="16"/>
      <c r="F7364" s="16"/>
      <c r="G7364" s="16"/>
      <c r="H7364" s="24"/>
      <c r="I7364" s="24"/>
      <c r="L7364"/>
    </row>
    <row r="7365" spans="1:12" x14ac:dyDescent="0.25">
      <c r="A7365" s="16"/>
      <c r="D7365" s="16"/>
      <c r="F7365" s="16"/>
      <c r="G7365" s="16"/>
      <c r="H7365" s="24"/>
      <c r="I7365" s="24"/>
      <c r="L7365"/>
    </row>
    <row r="7366" spans="1:12" x14ac:dyDescent="0.25">
      <c r="A7366" s="16"/>
      <c r="D7366" s="16"/>
      <c r="F7366" s="16"/>
      <c r="G7366" s="16"/>
      <c r="H7366" s="24"/>
      <c r="I7366" s="24"/>
      <c r="L7366"/>
    </row>
    <row r="7367" spans="1:12" x14ac:dyDescent="0.25">
      <c r="A7367" s="16"/>
      <c r="D7367" s="16"/>
      <c r="F7367" s="16"/>
      <c r="G7367" s="16"/>
      <c r="H7367" s="24"/>
      <c r="I7367" s="24"/>
      <c r="L7367"/>
    </row>
    <row r="7368" spans="1:12" x14ac:dyDescent="0.25">
      <c r="A7368" s="16"/>
      <c r="D7368" s="16"/>
      <c r="F7368" s="16"/>
      <c r="G7368" s="16"/>
      <c r="H7368" s="24"/>
      <c r="I7368" s="24"/>
      <c r="L7368"/>
    </row>
    <row r="7369" spans="1:12" x14ac:dyDescent="0.25">
      <c r="A7369" s="16"/>
      <c r="D7369" s="16"/>
      <c r="F7369" s="16"/>
      <c r="G7369" s="16"/>
      <c r="H7369" s="24"/>
      <c r="I7369" s="24"/>
      <c r="L7369"/>
    </row>
    <row r="7370" spans="1:12" x14ac:dyDescent="0.25">
      <c r="A7370" s="16"/>
      <c r="D7370" s="16"/>
      <c r="F7370" s="16"/>
      <c r="G7370" s="16"/>
      <c r="H7370" s="24"/>
      <c r="I7370" s="24"/>
      <c r="L7370"/>
    </row>
    <row r="7371" spans="1:12" x14ac:dyDescent="0.25">
      <c r="A7371" s="16"/>
      <c r="D7371" s="16"/>
      <c r="F7371" s="16"/>
      <c r="G7371" s="16"/>
      <c r="H7371" s="24"/>
      <c r="I7371" s="24"/>
      <c r="L7371"/>
    </row>
    <row r="7372" spans="1:12" x14ac:dyDescent="0.25">
      <c r="A7372" s="16"/>
      <c r="D7372" s="16"/>
      <c r="F7372" s="16"/>
      <c r="G7372" s="16"/>
      <c r="H7372" s="24"/>
      <c r="I7372" s="24"/>
      <c r="L7372"/>
    </row>
    <row r="7373" spans="1:12" x14ac:dyDescent="0.25">
      <c r="A7373" s="16"/>
      <c r="D7373" s="16"/>
      <c r="F7373" s="16"/>
      <c r="G7373" s="16"/>
      <c r="H7373" s="24"/>
      <c r="I7373" s="24"/>
      <c r="L7373"/>
    </row>
    <row r="7374" spans="1:12" x14ac:dyDescent="0.25">
      <c r="A7374" s="16"/>
      <c r="D7374" s="16"/>
      <c r="F7374" s="16"/>
      <c r="G7374" s="16"/>
      <c r="H7374" s="24"/>
      <c r="I7374" s="24"/>
      <c r="L7374"/>
    </row>
    <row r="7375" spans="1:12" x14ac:dyDescent="0.25">
      <c r="A7375" s="16"/>
      <c r="D7375" s="16"/>
      <c r="F7375" s="16"/>
      <c r="G7375" s="16"/>
      <c r="H7375" s="24"/>
      <c r="I7375" s="24"/>
      <c r="L7375"/>
    </row>
    <row r="7376" spans="1:12" x14ac:dyDescent="0.25">
      <c r="A7376" s="16"/>
      <c r="D7376" s="16"/>
      <c r="F7376" s="16"/>
      <c r="G7376" s="16"/>
      <c r="H7376" s="24"/>
      <c r="I7376" s="24"/>
      <c r="L7376"/>
    </row>
    <row r="7377" spans="1:12" x14ac:dyDescent="0.25">
      <c r="A7377" s="16"/>
      <c r="D7377" s="16"/>
      <c r="F7377" s="16"/>
      <c r="G7377" s="16"/>
      <c r="H7377" s="24"/>
      <c r="I7377" s="24"/>
      <c r="L7377"/>
    </row>
    <row r="7378" spans="1:12" x14ac:dyDescent="0.25">
      <c r="A7378" s="16"/>
      <c r="D7378" s="16"/>
      <c r="F7378" s="16"/>
      <c r="G7378" s="16"/>
      <c r="H7378" s="24"/>
      <c r="I7378" s="24"/>
      <c r="L7378"/>
    </row>
    <row r="7379" spans="1:12" x14ac:dyDescent="0.25">
      <c r="A7379" s="16"/>
      <c r="D7379" s="16"/>
      <c r="F7379" s="16"/>
      <c r="G7379" s="16"/>
      <c r="H7379" s="24"/>
      <c r="I7379" s="24"/>
      <c r="L7379"/>
    </row>
    <row r="7380" spans="1:12" x14ac:dyDescent="0.25">
      <c r="A7380" s="16"/>
      <c r="D7380" s="16"/>
      <c r="F7380" s="16"/>
      <c r="G7380" s="16"/>
      <c r="H7380" s="24"/>
      <c r="I7380" s="24"/>
      <c r="L7380"/>
    </row>
    <row r="7381" spans="1:12" x14ac:dyDescent="0.25">
      <c r="A7381" s="16"/>
      <c r="D7381" s="16"/>
      <c r="F7381" s="16"/>
      <c r="G7381" s="16"/>
      <c r="H7381" s="24"/>
      <c r="I7381" s="24"/>
      <c r="L7381"/>
    </row>
    <row r="7382" spans="1:12" x14ac:dyDescent="0.25">
      <c r="A7382" s="16"/>
      <c r="D7382" s="16"/>
      <c r="F7382" s="16"/>
      <c r="G7382" s="16"/>
      <c r="H7382" s="24"/>
      <c r="I7382" s="24"/>
      <c r="L7382"/>
    </row>
    <row r="7383" spans="1:12" x14ac:dyDescent="0.25">
      <c r="A7383" s="16"/>
      <c r="D7383" s="16"/>
      <c r="F7383" s="16"/>
      <c r="G7383" s="16"/>
      <c r="H7383" s="24"/>
      <c r="I7383" s="24"/>
      <c r="L7383"/>
    </row>
    <row r="7384" spans="1:12" x14ac:dyDescent="0.25">
      <c r="A7384" s="16"/>
      <c r="D7384" s="16"/>
      <c r="F7384" s="16"/>
      <c r="G7384" s="16"/>
      <c r="H7384" s="24"/>
      <c r="I7384" s="24"/>
      <c r="L7384"/>
    </row>
    <row r="7385" spans="1:12" x14ac:dyDescent="0.25">
      <c r="A7385" s="16"/>
      <c r="D7385" s="16"/>
      <c r="F7385" s="16"/>
      <c r="G7385" s="16"/>
      <c r="H7385" s="24"/>
      <c r="I7385" s="24"/>
      <c r="L7385"/>
    </row>
    <row r="7386" spans="1:12" x14ac:dyDescent="0.25">
      <c r="A7386" s="16"/>
      <c r="D7386" s="16"/>
      <c r="F7386" s="16"/>
      <c r="G7386" s="16"/>
      <c r="H7386" s="24"/>
      <c r="I7386" s="24"/>
      <c r="L7386"/>
    </row>
    <row r="7387" spans="1:12" x14ac:dyDescent="0.25">
      <c r="A7387" s="16"/>
      <c r="D7387" s="16"/>
      <c r="F7387" s="16"/>
      <c r="G7387" s="16"/>
      <c r="H7387" s="24"/>
      <c r="I7387" s="24"/>
      <c r="L7387"/>
    </row>
    <row r="7388" spans="1:12" x14ac:dyDescent="0.25">
      <c r="A7388" s="16"/>
      <c r="D7388" s="16"/>
      <c r="F7388" s="16"/>
      <c r="G7388" s="16"/>
      <c r="H7388" s="24"/>
      <c r="I7388" s="24"/>
      <c r="L7388"/>
    </row>
    <row r="7389" spans="1:12" x14ac:dyDescent="0.25">
      <c r="A7389" s="16"/>
      <c r="D7389" s="16"/>
      <c r="F7389" s="16"/>
      <c r="G7389" s="16"/>
      <c r="H7389" s="24"/>
      <c r="I7389" s="24"/>
      <c r="L7389"/>
    </row>
    <row r="7390" spans="1:12" x14ac:dyDescent="0.25">
      <c r="A7390" s="16"/>
      <c r="D7390" s="16"/>
      <c r="F7390" s="16"/>
      <c r="G7390" s="16"/>
      <c r="H7390" s="24"/>
      <c r="I7390" s="24"/>
      <c r="L7390"/>
    </row>
    <row r="7391" spans="1:12" x14ac:dyDescent="0.25">
      <c r="A7391" s="16"/>
      <c r="D7391" s="16"/>
      <c r="F7391" s="16"/>
      <c r="G7391" s="16"/>
      <c r="H7391" s="24"/>
      <c r="I7391" s="24"/>
      <c r="L7391"/>
    </row>
    <row r="7392" spans="1:12" x14ac:dyDescent="0.25">
      <c r="A7392" s="16"/>
      <c r="D7392" s="16"/>
      <c r="F7392" s="16"/>
      <c r="G7392" s="16"/>
      <c r="H7392" s="24"/>
      <c r="I7392" s="24"/>
      <c r="L7392"/>
    </row>
    <row r="7393" spans="1:12" x14ac:dyDescent="0.25">
      <c r="A7393" s="16"/>
      <c r="D7393" s="16"/>
      <c r="F7393" s="16"/>
      <c r="G7393" s="16"/>
      <c r="H7393" s="24"/>
      <c r="I7393" s="24"/>
      <c r="L7393"/>
    </row>
    <row r="7394" spans="1:12" x14ac:dyDescent="0.25">
      <c r="A7394" s="16"/>
      <c r="D7394" s="16"/>
      <c r="F7394" s="16"/>
      <c r="G7394" s="16"/>
      <c r="H7394" s="24"/>
      <c r="I7394" s="24"/>
      <c r="L7394"/>
    </row>
    <row r="7395" spans="1:12" x14ac:dyDescent="0.25">
      <c r="A7395" s="16"/>
      <c r="D7395" s="16"/>
      <c r="F7395" s="16"/>
      <c r="G7395" s="16"/>
      <c r="H7395" s="24"/>
      <c r="I7395" s="24"/>
      <c r="L7395"/>
    </row>
    <row r="7396" spans="1:12" x14ac:dyDescent="0.25">
      <c r="A7396" s="16"/>
      <c r="D7396" s="16"/>
      <c r="F7396" s="16"/>
      <c r="G7396" s="16"/>
      <c r="H7396" s="24"/>
      <c r="I7396" s="24"/>
      <c r="L7396"/>
    </row>
    <row r="7397" spans="1:12" x14ac:dyDescent="0.25">
      <c r="A7397" s="16"/>
      <c r="D7397" s="16"/>
      <c r="F7397" s="16"/>
      <c r="G7397" s="16"/>
      <c r="H7397" s="24"/>
      <c r="I7397" s="24"/>
      <c r="L7397"/>
    </row>
    <row r="7398" spans="1:12" x14ac:dyDescent="0.25">
      <c r="A7398" s="16"/>
      <c r="D7398" s="16"/>
      <c r="F7398" s="16"/>
      <c r="G7398" s="16"/>
      <c r="H7398" s="24"/>
      <c r="I7398" s="24"/>
      <c r="L7398"/>
    </row>
    <row r="7399" spans="1:12" x14ac:dyDescent="0.25">
      <c r="A7399" s="16"/>
      <c r="D7399" s="16"/>
      <c r="F7399" s="16"/>
      <c r="G7399" s="16"/>
      <c r="H7399" s="24"/>
      <c r="I7399" s="24"/>
      <c r="L7399"/>
    </row>
    <row r="7400" spans="1:12" x14ac:dyDescent="0.25">
      <c r="A7400" s="16"/>
      <c r="D7400" s="16"/>
      <c r="F7400" s="16"/>
      <c r="G7400" s="16"/>
      <c r="H7400" s="24"/>
      <c r="I7400" s="24"/>
      <c r="L7400"/>
    </row>
    <row r="7401" spans="1:12" x14ac:dyDescent="0.25">
      <c r="A7401" s="16"/>
      <c r="D7401" s="16"/>
      <c r="F7401" s="16"/>
      <c r="G7401" s="16"/>
      <c r="H7401" s="24"/>
      <c r="I7401" s="24"/>
      <c r="L7401"/>
    </row>
    <row r="7402" spans="1:12" x14ac:dyDescent="0.25">
      <c r="A7402" s="16"/>
      <c r="D7402" s="16"/>
      <c r="F7402" s="16"/>
      <c r="G7402" s="16"/>
      <c r="H7402" s="24"/>
      <c r="I7402" s="24"/>
      <c r="L7402"/>
    </row>
    <row r="7403" spans="1:12" x14ac:dyDescent="0.25">
      <c r="A7403" s="16"/>
      <c r="D7403" s="16"/>
      <c r="F7403" s="16"/>
      <c r="G7403" s="16"/>
      <c r="H7403" s="24"/>
      <c r="I7403" s="24"/>
      <c r="L7403"/>
    </row>
    <row r="7404" spans="1:12" x14ac:dyDescent="0.25">
      <c r="A7404" s="16"/>
      <c r="D7404" s="16"/>
      <c r="F7404" s="16"/>
      <c r="G7404" s="16"/>
      <c r="H7404" s="24"/>
      <c r="I7404" s="24"/>
      <c r="L7404"/>
    </row>
    <row r="7405" spans="1:12" x14ac:dyDescent="0.25">
      <c r="A7405" s="16"/>
      <c r="D7405" s="16"/>
      <c r="F7405" s="16"/>
      <c r="G7405" s="16"/>
      <c r="H7405" s="24"/>
      <c r="I7405" s="24"/>
      <c r="L7405"/>
    </row>
    <row r="7406" spans="1:12" x14ac:dyDescent="0.25">
      <c r="A7406" s="16"/>
      <c r="D7406" s="16"/>
      <c r="F7406" s="16"/>
      <c r="G7406" s="16"/>
      <c r="H7406" s="24"/>
      <c r="I7406" s="24"/>
      <c r="L7406"/>
    </row>
    <row r="7407" spans="1:12" x14ac:dyDescent="0.25">
      <c r="A7407" s="16"/>
      <c r="D7407" s="16"/>
      <c r="F7407" s="16"/>
      <c r="G7407" s="16"/>
      <c r="H7407" s="24"/>
      <c r="I7407" s="24"/>
      <c r="L7407"/>
    </row>
    <row r="7408" spans="1:12" x14ac:dyDescent="0.25">
      <c r="A7408" s="16"/>
      <c r="D7408" s="16"/>
      <c r="F7408" s="16"/>
      <c r="G7408" s="16"/>
      <c r="H7408" s="24"/>
      <c r="I7408" s="24"/>
      <c r="L7408"/>
    </row>
    <row r="7409" spans="1:12" x14ac:dyDescent="0.25">
      <c r="A7409" s="16"/>
      <c r="D7409" s="16"/>
      <c r="F7409" s="16"/>
      <c r="G7409" s="16"/>
      <c r="H7409" s="24"/>
      <c r="I7409" s="24"/>
      <c r="L7409"/>
    </row>
    <row r="7410" spans="1:12" x14ac:dyDescent="0.25">
      <c r="A7410" s="16"/>
      <c r="D7410" s="16"/>
      <c r="F7410" s="16"/>
      <c r="G7410" s="16"/>
      <c r="H7410" s="24"/>
      <c r="I7410" s="24"/>
      <c r="L7410"/>
    </row>
    <row r="7411" spans="1:12" x14ac:dyDescent="0.25">
      <c r="A7411" s="16"/>
      <c r="D7411" s="16"/>
      <c r="F7411" s="16"/>
      <c r="G7411" s="16"/>
      <c r="H7411" s="24"/>
      <c r="I7411" s="24"/>
      <c r="L7411"/>
    </row>
    <row r="7412" spans="1:12" x14ac:dyDescent="0.25">
      <c r="A7412" s="16"/>
      <c r="D7412" s="16"/>
      <c r="F7412" s="16"/>
      <c r="G7412" s="16"/>
      <c r="H7412" s="24"/>
      <c r="I7412" s="24"/>
      <c r="L7412"/>
    </row>
    <row r="7413" spans="1:12" x14ac:dyDescent="0.25">
      <c r="A7413" s="16"/>
      <c r="D7413" s="16"/>
      <c r="F7413" s="16"/>
      <c r="G7413" s="16"/>
      <c r="H7413" s="24"/>
      <c r="I7413" s="24"/>
      <c r="L7413"/>
    </row>
    <row r="7414" spans="1:12" x14ac:dyDescent="0.25">
      <c r="A7414" s="16"/>
      <c r="D7414" s="16"/>
      <c r="F7414" s="16"/>
      <c r="G7414" s="16"/>
      <c r="H7414" s="24"/>
      <c r="I7414" s="24"/>
      <c r="L7414"/>
    </row>
    <row r="7415" spans="1:12" x14ac:dyDescent="0.25">
      <c r="A7415" s="16"/>
      <c r="D7415" s="16"/>
      <c r="F7415" s="16"/>
      <c r="G7415" s="16"/>
      <c r="H7415" s="24"/>
      <c r="I7415" s="24"/>
      <c r="L7415"/>
    </row>
    <row r="7416" spans="1:12" x14ac:dyDescent="0.25">
      <c r="A7416" s="16"/>
      <c r="D7416" s="16"/>
      <c r="F7416" s="16"/>
      <c r="G7416" s="16"/>
      <c r="H7416" s="24"/>
      <c r="I7416" s="24"/>
      <c r="L7416"/>
    </row>
    <row r="7417" spans="1:12" x14ac:dyDescent="0.25">
      <c r="A7417" s="16"/>
      <c r="D7417" s="16"/>
      <c r="F7417" s="16"/>
      <c r="G7417" s="16"/>
      <c r="H7417" s="24"/>
      <c r="I7417" s="24"/>
      <c r="L7417"/>
    </row>
    <row r="7418" spans="1:12" x14ac:dyDescent="0.25">
      <c r="A7418" s="16"/>
      <c r="D7418" s="16"/>
      <c r="F7418" s="16"/>
      <c r="G7418" s="16"/>
      <c r="H7418" s="24"/>
      <c r="I7418" s="24"/>
      <c r="L7418"/>
    </row>
    <row r="7419" spans="1:12" x14ac:dyDescent="0.25">
      <c r="A7419" s="16"/>
      <c r="D7419" s="16"/>
      <c r="F7419" s="16"/>
      <c r="G7419" s="16"/>
      <c r="H7419" s="24"/>
      <c r="I7419" s="24"/>
      <c r="L7419"/>
    </row>
    <row r="7420" spans="1:12" x14ac:dyDescent="0.25">
      <c r="A7420" s="16"/>
      <c r="D7420" s="16"/>
      <c r="F7420" s="16"/>
      <c r="G7420" s="16"/>
      <c r="H7420" s="24"/>
      <c r="I7420" s="24"/>
      <c r="L7420"/>
    </row>
    <row r="7421" spans="1:12" x14ac:dyDescent="0.25">
      <c r="A7421" s="16"/>
      <c r="D7421" s="16"/>
      <c r="F7421" s="16"/>
      <c r="G7421" s="16"/>
      <c r="H7421" s="24"/>
      <c r="I7421" s="24"/>
      <c r="L7421"/>
    </row>
    <row r="7422" spans="1:12" x14ac:dyDescent="0.25">
      <c r="A7422" s="16"/>
      <c r="D7422" s="16"/>
      <c r="F7422" s="16"/>
      <c r="G7422" s="16"/>
      <c r="H7422" s="24"/>
      <c r="I7422" s="24"/>
      <c r="L7422"/>
    </row>
    <row r="7423" spans="1:12" x14ac:dyDescent="0.25">
      <c r="A7423" s="16"/>
      <c r="D7423" s="16"/>
      <c r="F7423" s="16"/>
      <c r="G7423" s="16"/>
      <c r="H7423" s="24"/>
      <c r="I7423" s="24"/>
      <c r="L7423"/>
    </row>
    <row r="7424" spans="1:12" x14ac:dyDescent="0.25">
      <c r="A7424" s="16"/>
      <c r="D7424" s="16"/>
      <c r="F7424" s="16"/>
      <c r="G7424" s="16"/>
      <c r="H7424" s="24"/>
      <c r="I7424" s="24"/>
      <c r="L7424"/>
    </row>
    <row r="7425" spans="1:12" x14ac:dyDescent="0.25">
      <c r="A7425" s="16"/>
      <c r="D7425" s="16"/>
      <c r="F7425" s="16"/>
      <c r="G7425" s="16"/>
      <c r="H7425" s="24"/>
      <c r="I7425" s="24"/>
      <c r="L7425"/>
    </row>
    <row r="7426" spans="1:12" x14ac:dyDescent="0.25">
      <c r="A7426" s="16"/>
      <c r="D7426" s="16"/>
      <c r="F7426" s="16"/>
      <c r="G7426" s="16"/>
      <c r="H7426" s="24"/>
      <c r="I7426" s="24"/>
      <c r="L7426"/>
    </row>
    <row r="7427" spans="1:12" x14ac:dyDescent="0.25">
      <c r="A7427" s="16"/>
      <c r="D7427" s="16"/>
      <c r="F7427" s="16"/>
      <c r="G7427" s="16"/>
      <c r="H7427" s="24"/>
      <c r="I7427" s="24"/>
      <c r="L7427"/>
    </row>
    <row r="7428" spans="1:12" x14ac:dyDescent="0.25">
      <c r="A7428" s="16"/>
      <c r="D7428" s="16"/>
      <c r="F7428" s="16"/>
      <c r="G7428" s="16"/>
      <c r="H7428" s="24"/>
      <c r="I7428" s="24"/>
      <c r="L7428"/>
    </row>
    <row r="7429" spans="1:12" x14ac:dyDescent="0.25">
      <c r="A7429" s="16"/>
      <c r="D7429" s="16"/>
      <c r="F7429" s="16"/>
      <c r="G7429" s="16"/>
      <c r="H7429" s="24"/>
      <c r="I7429" s="24"/>
      <c r="L7429"/>
    </row>
    <row r="7430" spans="1:12" x14ac:dyDescent="0.25">
      <c r="A7430" s="16"/>
      <c r="D7430" s="16"/>
      <c r="F7430" s="16"/>
      <c r="G7430" s="16"/>
      <c r="H7430" s="24"/>
      <c r="I7430" s="24"/>
      <c r="L7430"/>
    </row>
    <row r="7431" spans="1:12" x14ac:dyDescent="0.25">
      <c r="A7431" s="16"/>
      <c r="D7431" s="16"/>
      <c r="F7431" s="16"/>
      <c r="G7431" s="16"/>
      <c r="H7431" s="24"/>
      <c r="I7431" s="24"/>
      <c r="L7431"/>
    </row>
    <row r="7432" spans="1:12" x14ac:dyDescent="0.25">
      <c r="A7432" s="16"/>
      <c r="D7432" s="16"/>
      <c r="F7432" s="16"/>
      <c r="G7432" s="16"/>
      <c r="H7432" s="24"/>
      <c r="I7432" s="24"/>
      <c r="L7432"/>
    </row>
    <row r="7433" spans="1:12" x14ac:dyDescent="0.25">
      <c r="A7433" s="16"/>
      <c r="D7433" s="16"/>
      <c r="F7433" s="16"/>
      <c r="G7433" s="16"/>
      <c r="H7433" s="24"/>
      <c r="I7433" s="24"/>
      <c r="L7433"/>
    </row>
    <row r="7434" spans="1:12" x14ac:dyDescent="0.25">
      <c r="A7434" s="16"/>
      <c r="D7434" s="16"/>
      <c r="F7434" s="16"/>
      <c r="G7434" s="16"/>
      <c r="H7434" s="24"/>
      <c r="I7434" s="24"/>
      <c r="L7434"/>
    </row>
    <row r="7435" spans="1:12" x14ac:dyDescent="0.25">
      <c r="A7435" s="16"/>
      <c r="D7435" s="16"/>
      <c r="F7435" s="16"/>
      <c r="G7435" s="16"/>
      <c r="H7435" s="24"/>
      <c r="I7435" s="24"/>
      <c r="L7435"/>
    </row>
    <row r="7436" spans="1:12" x14ac:dyDescent="0.25">
      <c r="A7436" s="16"/>
      <c r="D7436" s="16"/>
      <c r="F7436" s="16"/>
      <c r="G7436" s="16"/>
      <c r="H7436" s="24"/>
      <c r="I7436" s="24"/>
      <c r="L7436"/>
    </row>
    <row r="7437" spans="1:12" x14ac:dyDescent="0.25">
      <c r="A7437" s="16"/>
      <c r="D7437" s="16"/>
      <c r="F7437" s="16"/>
      <c r="G7437" s="16"/>
      <c r="H7437" s="24"/>
      <c r="I7437" s="24"/>
      <c r="L7437"/>
    </row>
    <row r="7438" spans="1:12" x14ac:dyDescent="0.25">
      <c r="A7438" s="16"/>
      <c r="D7438" s="16"/>
      <c r="F7438" s="16"/>
      <c r="G7438" s="16"/>
      <c r="H7438" s="24"/>
      <c r="I7438" s="24"/>
      <c r="L7438"/>
    </row>
    <row r="7439" spans="1:12" x14ac:dyDescent="0.25">
      <c r="A7439" s="16"/>
      <c r="D7439" s="16"/>
      <c r="F7439" s="16"/>
      <c r="G7439" s="16"/>
      <c r="H7439" s="24"/>
      <c r="I7439" s="24"/>
      <c r="L7439"/>
    </row>
    <row r="7440" spans="1:12" x14ac:dyDescent="0.25">
      <c r="A7440" s="16"/>
      <c r="D7440" s="16"/>
      <c r="F7440" s="16"/>
      <c r="G7440" s="16"/>
      <c r="H7440" s="24"/>
      <c r="I7440" s="24"/>
      <c r="L7440"/>
    </row>
    <row r="7441" spans="1:12" x14ac:dyDescent="0.25">
      <c r="A7441" s="16"/>
      <c r="D7441" s="16"/>
      <c r="F7441" s="16"/>
      <c r="G7441" s="16"/>
      <c r="H7441" s="24"/>
      <c r="I7441" s="24"/>
      <c r="L7441"/>
    </row>
    <row r="7442" spans="1:12" x14ac:dyDescent="0.25">
      <c r="A7442" s="16"/>
      <c r="D7442" s="16"/>
      <c r="F7442" s="16"/>
      <c r="G7442" s="16"/>
      <c r="H7442" s="24"/>
      <c r="I7442" s="24"/>
      <c r="L7442"/>
    </row>
    <row r="7443" spans="1:12" x14ac:dyDescent="0.25">
      <c r="A7443" s="16"/>
      <c r="D7443" s="16"/>
      <c r="F7443" s="16"/>
      <c r="G7443" s="16"/>
      <c r="H7443" s="24"/>
      <c r="I7443" s="24"/>
      <c r="L7443"/>
    </row>
    <row r="7444" spans="1:12" x14ac:dyDescent="0.25">
      <c r="A7444" s="16"/>
      <c r="D7444" s="16"/>
      <c r="F7444" s="16"/>
      <c r="G7444" s="16"/>
      <c r="H7444" s="24"/>
      <c r="I7444" s="24"/>
      <c r="L7444"/>
    </row>
    <row r="7445" spans="1:12" x14ac:dyDescent="0.25">
      <c r="A7445" s="16"/>
      <c r="D7445" s="16"/>
      <c r="F7445" s="16"/>
      <c r="G7445" s="16"/>
      <c r="H7445" s="24"/>
      <c r="I7445" s="24"/>
      <c r="L7445"/>
    </row>
    <row r="7446" spans="1:12" x14ac:dyDescent="0.25">
      <c r="A7446" s="16"/>
      <c r="D7446" s="16"/>
      <c r="F7446" s="16"/>
      <c r="G7446" s="16"/>
      <c r="H7446" s="24"/>
      <c r="I7446" s="24"/>
      <c r="L7446"/>
    </row>
    <row r="7447" spans="1:12" x14ac:dyDescent="0.25">
      <c r="A7447" s="16"/>
      <c r="D7447" s="16"/>
      <c r="F7447" s="16"/>
      <c r="G7447" s="16"/>
      <c r="H7447" s="24"/>
      <c r="I7447" s="24"/>
      <c r="L7447"/>
    </row>
    <row r="7448" spans="1:12" x14ac:dyDescent="0.25">
      <c r="A7448" s="16"/>
      <c r="D7448" s="16"/>
      <c r="F7448" s="16"/>
      <c r="G7448" s="16"/>
      <c r="H7448" s="24"/>
      <c r="I7448" s="24"/>
      <c r="L7448"/>
    </row>
    <row r="7449" spans="1:12" x14ac:dyDescent="0.25">
      <c r="A7449" s="16"/>
      <c r="D7449" s="16"/>
      <c r="F7449" s="16"/>
      <c r="G7449" s="16"/>
      <c r="H7449" s="24"/>
      <c r="I7449" s="24"/>
      <c r="L7449"/>
    </row>
    <row r="7450" spans="1:12" x14ac:dyDescent="0.25">
      <c r="A7450" s="16"/>
      <c r="D7450" s="16"/>
      <c r="F7450" s="16"/>
      <c r="G7450" s="16"/>
      <c r="H7450" s="24"/>
      <c r="I7450" s="24"/>
      <c r="L7450"/>
    </row>
    <row r="7451" spans="1:12" x14ac:dyDescent="0.25">
      <c r="A7451" s="16"/>
      <c r="D7451" s="16"/>
      <c r="F7451" s="16"/>
      <c r="G7451" s="16"/>
      <c r="H7451" s="24"/>
      <c r="I7451" s="24"/>
      <c r="L7451"/>
    </row>
    <row r="7452" spans="1:12" x14ac:dyDescent="0.25">
      <c r="A7452" s="16"/>
      <c r="D7452" s="16"/>
      <c r="F7452" s="16"/>
      <c r="G7452" s="16"/>
      <c r="H7452" s="24"/>
      <c r="I7452" s="24"/>
      <c r="L7452"/>
    </row>
    <row r="7453" spans="1:12" x14ac:dyDescent="0.25">
      <c r="A7453" s="16"/>
      <c r="D7453" s="16"/>
      <c r="F7453" s="16"/>
      <c r="G7453" s="16"/>
      <c r="H7453" s="24"/>
      <c r="I7453" s="24"/>
      <c r="L7453"/>
    </row>
    <row r="7454" spans="1:12" x14ac:dyDescent="0.25">
      <c r="A7454" s="16"/>
      <c r="D7454" s="16"/>
      <c r="F7454" s="16"/>
      <c r="G7454" s="16"/>
      <c r="H7454" s="24"/>
      <c r="I7454" s="24"/>
      <c r="L7454"/>
    </row>
    <row r="7455" spans="1:12" x14ac:dyDescent="0.25">
      <c r="A7455" s="16"/>
      <c r="D7455" s="16"/>
      <c r="F7455" s="16"/>
      <c r="G7455" s="16"/>
      <c r="H7455" s="24"/>
      <c r="I7455" s="24"/>
      <c r="L7455"/>
    </row>
    <row r="7456" spans="1:12" x14ac:dyDescent="0.25">
      <c r="A7456" s="16"/>
      <c r="D7456" s="16"/>
      <c r="F7456" s="16"/>
      <c r="G7456" s="16"/>
      <c r="H7456" s="24"/>
      <c r="I7456" s="24"/>
      <c r="L7456"/>
    </row>
    <row r="7457" spans="1:12" x14ac:dyDescent="0.25">
      <c r="A7457" s="16"/>
      <c r="D7457" s="16"/>
      <c r="F7457" s="16"/>
      <c r="G7457" s="16"/>
      <c r="H7457" s="24"/>
      <c r="I7457" s="24"/>
      <c r="L7457"/>
    </row>
    <row r="7458" spans="1:12" x14ac:dyDescent="0.25">
      <c r="A7458" s="16"/>
      <c r="D7458" s="16"/>
      <c r="F7458" s="16"/>
      <c r="G7458" s="16"/>
      <c r="H7458" s="24"/>
      <c r="I7458" s="24"/>
      <c r="L7458"/>
    </row>
    <row r="7459" spans="1:12" x14ac:dyDescent="0.25">
      <c r="A7459" s="16"/>
      <c r="D7459" s="16"/>
      <c r="F7459" s="16"/>
      <c r="G7459" s="16"/>
      <c r="H7459" s="24"/>
      <c r="I7459" s="24"/>
      <c r="L7459"/>
    </row>
    <row r="7460" spans="1:12" x14ac:dyDescent="0.25">
      <c r="A7460" s="16"/>
      <c r="D7460" s="16"/>
      <c r="F7460" s="16"/>
      <c r="G7460" s="16"/>
      <c r="H7460" s="24"/>
      <c r="I7460" s="24"/>
      <c r="L7460"/>
    </row>
    <row r="7461" spans="1:12" x14ac:dyDescent="0.25">
      <c r="A7461" s="16"/>
      <c r="D7461" s="16"/>
      <c r="F7461" s="16"/>
      <c r="G7461" s="16"/>
      <c r="H7461" s="24"/>
      <c r="I7461" s="24"/>
      <c r="L7461"/>
    </row>
    <row r="7462" spans="1:12" x14ac:dyDescent="0.25">
      <c r="A7462" s="16"/>
      <c r="D7462" s="16"/>
      <c r="F7462" s="16"/>
      <c r="G7462" s="16"/>
      <c r="H7462" s="24"/>
      <c r="I7462" s="24"/>
      <c r="L7462"/>
    </row>
    <row r="7463" spans="1:12" x14ac:dyDescent="0.25">
      <c r="A7463" s="16"/>
      <c r="D7463" s="16"/>
      <c r="F7463" s="16"/>
      <c r="G7463" s="16"/>
      <c r="H7463" s="24"/>
      <c r="I7463" s="24"/>
      <c r="L7463"/>
    </row>
    <row r="7464" spans="1:12" x14ac:dyDescent="0.25">
      <c r="A7464" s="16"/>
      <c r="D7464" s="16"/>
      <c r="F7464" s="16"/>
      <c r="G7464" s="16"/>
      <c r="H7464" s="24"/>
      <c r="I7464" s="24"/>
      <c r="L7464"/>
    </row>
    <row r="7465" spans="1:12" x14ac:dyDescent="0.25">
      <c r="A7465" s="16"/>
      <c r="D7465" s="16"/>
      <c r="F7465" s="16"/>
      <c r="G7465" s="16"/>
      <c r="H7465" s="24"/>
      <c r="I7465" s="24"/>
      <c r="L7465"/>
    </row>
    <row r="7466" spans="1:12" x14ac:dyDescent="0.25">
      <c r="A7466" s="16"/>
      <c r="D7466" s="16"/>
      <c r="F7466" s="16"/>
      <c r="G7466" s="16"/>
      <c r="H7466" s="24"/>
      <c r="I7466" s="24"/>
      <c r="L7466"/>
    </row>
    <row r="7467" spans="1:12" x14ac:dyDescent="0.25">
      <c r="A7467" s="16"/>
      <c r="D7467" s="16"/>
      <c r="F7467" s="16"/>
      <c r="G7467" s="16"/>
      <c r="H7467" s="24"/>
      <c r="I7467" s="24"/>
      <c r="L7467"/>
    </row>
    <row r="7468" spans="1:12" x14ac:dyDescent="0.25">
      <c r="A7468" s="16"/>
      <c r="D7468" s="16"/>
      <c r="F7468" s="16"/>
      <c r="G7468" s="16"/>
      <c r="H7468" s="24"/>
      <c r="I7468" s="24"/>
      <c r="L7468"/>
    </row>
    <row r="7469" spans="1:12" x14ac:dyDescent="0.25">
      <c r="A7469" s="16"/>
      <c r="D7469" s="16"/>
      <c r="F7469" s="16"/>
      <c r="G7469" s="16"/>
      <c r="H7469" s="24"/>
      <c r="I7469" s="24"/>
      <c r="L7469"/>
    </row>
    <row r="7470" spans="1:12" x14ac:dyDescent="0.25">
      <c r="A7470" s="16"/>
      <c r="D7470" s="16"/>
      <c r="F7470" s="16"/>
      <c r="G7470" s="16"/>
      <c r="H7470" s="24"/>
      <c r="I7470" s="24"/>
      <c r="L7470"/>
    </row>
    <row r="7471" spans="1:12" x14ac:dyDescent="0.25">
      <c r="A7471" s="16"/>
      <c r="D7471" s="16"/>
      <c r="F7471" s="16"/>
      <c r="G7471" s="16"/>
      <c r="H7471" s="24"/>
      <c r="I7471" s="24"/>
      <c r="L7471"/>
    </row>
    <row r="7472" spans="1:12" x14ac:dyDescent="0.25">
      <c r="A7472" s="16"/>
      <c r="D7472" s="16"/>
      <c r="F7472" s="16"/>
      <c r="G7472" s="16"/>
      <c r="H7472" s="24"/>
      <c r="I7472" s="24"/>
      <c r="L7472"/>
    </row>
    <row r="7473" spans="1:12" x14ac:dyDescent="0.25">
      <c r="A7473" s="16"/>
      <c r="D7473" s="16"/>
      <c r="F7473" s="16"/>
      <c r="G7473" s="16"/>
      <c r="H7473" s="24"/>
      <c r="I7473" s="24"/>
      <c r="L7473"/>
    </row>
    <row r="7474" spans="1:12" x14ac:dyDescent="0.25">
      <c r="A7474" s="16"/>
      <c r="D7474" s="16"/>
      <c r="F7474" s="16"/>
      <c r="G7474" s="16"/>
      <c r="H7474" s="24"/>
      <c r="I7474" s="24"/>
      <c r="L7474"/>
    </row>
    <row r="7475" spans="1:12" x14ac:dyDescent="0.25">
      <c r="A7475" s="16"/>
      <c r="D7475" s="16"/>
      <c r="F7475" s="16"/>
      <c r="G7475" s="16"/>
      <c r="H7475" s="24"/>
      <c r="I7475" s="24"/>
      <c r="L7475"/>
    </row>
    <row r="7476" spans="1:12" x14ac:dyDescent="0.25">
      <c r="A7476" s="16"/>
      <c r="D7476" s="16"/>
      <c r="F7476" s="16"/>
      <c r="G7476" s="16"/>
      <c r="H7476" s="24"/>
      <c r="I7476" s="24"/>
      <c r="L7476"/>
    </row>
    <row r="7477" spans="1:12" x14ac:dyDescent="0.25">
      <c r="A7477" s="16"/>
      <c r="D7477" s="16"/>
      <c r="F7477" s="16"/>
      <c r="G7477" s="16"/>
      <c r="H7477" s="24"/>
      <c r="I7477" s="24"/>
      <c r="L7477"/>
    </row>
    <row r="7478" spans="1:12" x14ac:dyDescent="0.25">
      <c r="A7478" s="16"/>
      <c r="D7478" s="16"/>
      <c r="F7478" s="16"/>
      <c r="G7478" s="16"/>
      <c r="H7478" s="24"/>
      <c r="I7478" s="24"/>
      <c r="L7478"/>
    </row>
    <row r="7479" spans="1:12" x14ac:dyDescent="0.25">
      <c r="A7479" s="16"/>
      <c r="D7479" s="16"/>
      <c r="F7479" s="16"/>
      <c r="G7479" s="16"/>
      <c r="H7479" s="24"/>
      <c r="I7479" s="24"/>
      <c r="L7479"/>
    </row>
    <row r="7480" spans="1:12" x14ac:dyDescent="0.25">
      <c r="A7480" s="16"/>
      <c r="D7480" s="16"/>
      <c r="F7480" s="16"/>
      <c r="G7480" s="16"/>
      <c r="H7480" s="24"/>
      <c r="I7480" s="24"/>
      <c r="L7480"/>
    </row>
    <row r="7481" spans="1:12" x14ac:dyDescent="0.25">
      <c r="A7481" s="16"/>
      <c r="D7481" s="16"/>
      <c r="F7481" s="16"/>
      <c r="G7481" s="16"/>
      <c r="H7481" s="24"/>
      <c r="I7481" s="24"/>
      <c r="L7481"/>
    </row>
    <row r="7482" spans="1:12" x14ac:dyDescent="0.25">
      <c r="A7482" s="16"/>
      <c r="D7482" s="16"/>
      <c r="F7482" s="16"/>
      <c r="G7482" s="16"/>
      <c r="H7482" s="24"/>
      <c r="I7482" s="24"/>
      <c r="L7482"/>
    </row>
    <row r="7483" spans="1:12" x14ac:dyDescent="0.25">
      <c r="A7483" s="16"/>
      <c r="D7483" s="16"/>
      <c r="F7483" s="16"/>
      <c r="G7483" s="16"/>
      <c r="H7483" s="24"/>
      <c r="I7483" s="24"/>
      <c r="L7483"/>
    </row>
    <row r="7484" spans="1:12" x14ac:dyDescent="0.25">
      <c r="A7484" s="16"/>
      <c r="D7484" s="16"/>
      <c r="F7484" s="16"/>
      <c r="G7484" s="16"/>
      <c r="H7484" s="24"/>
      <c r="I7484" s="24"/>
      <c r="L7484"/>
    </row>
    <row r="7485" spans="1:12" x14ac:dyDescent="0.25">
      <c r="A7485" s="16"/>
      <c r="D7485" s="16"/>
      <c r="F7485" s="16"/>
      <c r="G7485" s="16"/>
      <c r="H7485" s="24"/>
      <c r="I7485" s="24"/>
      <c r="L7485"/>
    </row>
    <row r="7486" spans="1:12" x14ac:dyDescent="0.25">
      <c r="A7486" s="16"/>
      <c r="D7486" s="16"/>
      <c r="F7486" s="16"/>
      <c r="G7486" s="16"/>
      <c r="H7486" s="24"/>
      <c r="I7486" s="24"/>
      <c r="L7486"/>
    </row>
    <row r="7487" spans="1:12" x14ac:dyDescent="0.25">
      <c r="A7487" s="16"/>
      <c r="D7487" s="16"/>
      <c r="F7487" s="16"/>
      <c r="G7487" s="16"/>
      <c r="H7487" s="24"/>
      <c r="I7487" s="24"/>
      <c r="L7487"/>
    </row>
    <row r="7488" spans="1:12" x14ac:dyDescent="0.25">
      <c r="A7488" s="16"/>
      <c r="D7488" s="16"/>
      <c r="F7488" s="16"/>
      <c r="G7488" s="16"/>
      <c r="H7488" s="24"/>
      <c r="I7488" s="24"/>
      <c r="L7488"/>
    </row>
    <row r="7489" spans="1:12" x14ac:dyDescent="0.25">
      <c r="A7489" s="16"/>
      <c r="D7489" s="16"/>
      <c r="F7489" s="16"/>
      <c r="G7489" s="16"/>
      <c r="H7489" s="24"/>
      <c r="I7489" s="24"/>
      <c r="L7489"/>
    </row>
    <row r="7490" spans="1:12" x14ac:dyDescent="0.25">
      <c r="A7490" s="16"/>
      <c r="D7490" s="16"/>
      <c r="F7490" s="16"/>
      <c r="G7490" s="16"/>
      <c r="H7490" s="24"/>
      <c r="I7490" s="24"/>
      <c r="L7490"/>
    </row>
    <row r="7491" spans="1:12" x14ac:dyDescent="0.25">
      <c r="A7491" s="16"/>
      <c r="D7491" s="16"/>
      <c r="F7491" s="16"/>
      <c r="G7491" s="16"/>
      <c r="H7491" s="24"/>
      <c r="I7491" s="24"/>
      <c r="L7491"/>
    </row>
    <row r="7492" spans="1:12" x14ac:dyDescent="0.25">
      <c r="A7492" s="16"/>
      <c r="D7492" s="16"/>
      <c r="F7492" s="16"/>
      <c r="G7492" s="16"/>
      <c r="H7492" s="24"/>
      <c r="I7492" s="24"/>
      <c r="L7492"/>
    </row>
    <row r="7493" spans="1:12" x14ac:dyDescent="0.25">
      <c r="A7493" s="16"/>
      <c r="D7493" s="16"/>
      <c r="F7493" s="16"/>
      <c r="G7493" s="16"/>
      <c r="H7493" s="24"/>
      <c r="I7493" s="24"/>
      <c r="L7493"/>
    </row>
    <row r="7494" spans="1:12" x14ac:dyDescent="0.25">
      <c r="A7494" s="16"/>
      <c r="D7494" s="16"/>
      <c r="F7494" s="16"/>
      <c r="G7494" s="16"/>
      <c r="H7494" s="24"/>
      <c r="I7494" s="24"/>
      <c r="L7494"/>
    </row>
    <row r="7495" spans="1:12" x14ac:dyDescent="0.25">
      <c r="A7495" s="16"/>
      <c r="D7495" s="16"/>
      <c r="F7495" s="16"/>
      <c r="G7495" s="16"/>
      <c r="H7495" s="24"/>
      <c r="I7495" s="24"/>
      <c r="L7495"/>
    </row>
    <row r="7496" spans="1:12" x14ac:dyDescent="0.25">
      <c r="A7496" s="16"/>
      <c r="D7496" s="16"/>
      <c r="F7496" s="16"/>
      <c r="G7496" s="16"/>
      <c r="H7496" s="24"/>
      <c r="I7496" s="24"/>
      <c r="L7496"/>
    </row>
    <row r="7497" spans="1:12" x14ac:dyDescent="0.25">
      <c r="A7497" s="16"/>
      <c r="D7497" s="16"/>
      <c r="F7497" s="16"/>
      <c r="G7497" s="16"/>
      <c r="H7497" s="24"/>
      <c r="I7497" s="24"/>
      <c r="L7497"/>
    </row>
    <row r="7498" spans="1:12" x14ac:dyDescent="0.25">
      <c r="A7498" s="16"/>
      <c r="D7498" s="16"/>
      <c r="F7498" s="16"/>
      <c r="G7498" s="16"/>
      <c r="H7498" s="24"/>
      <c r="I7498" s="24"/>
      <c r="L7498"/>
    </row>
    <row r="7499" spans="1:12" x14ac:dyDescent="0.25">
      <c r="A7499" s="16"/>
      <c r="D7499" s="16"/>
      <c r="F7499" s="16"/>
      <c r="G7499" s="16"/>
      <c r="H7499" s="24"/>
      <c r="I7499" s="24"/>
      <c r="L7499"/>
    </row>
    <row r="7500" spans="1:12" x14ac:dyDescent="0.25">
      <c r="A7500" s="16"/>
      <c r="D7500" s="16"/>
      <c r="F7500" s="16"/>
      <c r="G7500" s="16"/>
      <c r="H7500" s="24"/>
      <c r="I7500" s="24"/>
      <c r="L7500"/>
    </row>
    <row r="7501" spans="1:12" x14ac:dyDescent="0.25">
      <c r="A7501" s="16"/>
      <c r="D7501" s="16"/>
      <c r="F7501" s="16"/>
      <c r="G7501" s="16"/>
      <c r="H7501" s="24"/>
      <c r="I7501" s="24"/>
      <c r="L7501"/>
    </row>
    <row r="7502" spans="1:12" x14ac:dyDescent="0.25">
      <c r="A7502" s="16"/>
      <c r="D7502" s="16"/>
      <c r="F7502" s="16"/>
      <c r="G7502" s="16"/>
      <c r="H7502" s="24"/>
      <c r="I7502" s="24"/>
      <c r="L7502"/>
    </row>
    <row r="7503" spans="1:12" x14ac:dyDescent="0.25">
      <c r="A7503" s="16"/>
      <c r="D7503" s="16"/>
      <c r="F7503" s="16"/>
      <c r="G7503" s="16"/>
      <c r="H7503" s="24"/>
      <c r="I7503" s="24"/>
      <c r="L7503"/>
    </row>
    <row r="7504" spans="1:12" x14ac:dyDescent="0.25">
      <c r="A7504" s="16"/>
      <c r="D7504" s="16"/>
      <c r="F7504" s="16"/>
      <c r="G7504" s="16"/>
      <c r="H7504" s="24"/>
      <c r="I7504" s="24"/>
      <c r="L7504"/>
    </row>
    <row r="7505" spans="1:12" x14ac:dyDescent="0.25">
      <c r="A7505" s="16"/>
      <c r="D7505" s="16"/>
      <c r="F7505" s="16"/>
      <c r="G7505" s="16"/>
      <c r="H7505" s="24"/>
      <c r="I7505" s="24"/>
      <c r="L7505"/>
    </row>
    <row r="7506" spans="1:12" x14ac:dyDescent="0.25">
      <c r="A7506" s="16"/>
      <c r="D7506" s="16"/>
      <c r="F7506" s="16"/>
      <c r="G7506" s="16"/>
      <c r="H7506" s="24"/>
      <c r="I7506" s="24"/>
      <c r="L7506"/>
    </row>
    <row r="7507" spans="1:12" x14ac:dyDescent="0.25">
      <c r="A7507" s="16"/>
      <c r="D7507" s="16"/>
      <c r="F7507" s="16"/>
      <c r="G7507" s="16"/>
      <c r="H7507" s="24"/>
      <c r="I7507" s="24"/>
      <c r="L7507"/>
    </row>
    <row r="7508" spans="1:12" x14ac:dyDescent="0.25">
      <c r="A7508" s="16"/>
      <c r="D7508" s="16"/>
      <c r="F7508" s="16"/>
      <c r="G7508" s="16"/>
      <c r="H7508" s="24"/>
      <c r="I7508" s="24"/>
      <c r="L7508"/>
    </row>
    <row r="7509" spans="1:12" x14ac:dyDescent="0.25">
      <c r="A7509" s="16"/>
      <c r="D7509" s="16"/>
      <c r="F7509" s="16"/>
      <c r="G7509" s="16"/>
      <c r="H7509" s="24"/>
      <c r="I7509" s="24"/>
      <c r="L7509"/>
    </row>
    <row r="7510" spans="1:12" x14ac:dyDescent="0.25">
      <c r="A7510" s="16"/>
      <c r="D7510" s="16"/>
      <c r="F7510" s="16"/>
      <c r="G7510" s="16"/>
      <c r="H7510" s="24"/>
      <c r="I7510" s="24"/>
      <c r="L7510"/>
    </row>
    <row r="7511" spans="1:12" x14ac:dyDescent="0.25">
      <c r="A7511" s="16"/>
      <c r="D7511" s="16"/>
      <c r="F7511" s="16"/>
      <c r="G7511" s="16"/>
      <c r="H7511" s="24"/>
      <c r="I7511" s="24"/>
      <c r="L7511"/>
    </row>
    <row r="7512" spans="1:12" x14ac:dyDescent="0.25">
      <c r="A7512" s="16"/>
      <c r="D7512" s="16"/>
      <c r="F7512" s="16"/>
      <c r="G7512" s="16"/>
      <c r="H7512" s="24"/>
      <c r="I7512" s="24"/>
      <c r="L7512"/>
    </row>
    <row r="7513" spans="1:12" x14ac:dyDescent="0.25">
      <c r="A7513" s="16"/>
      <c r="D7513" s="16"/>
      <c r="F7513" s="16"/>
      <c r="G7513" s="16"/>
      <c r="H7513" s="24"/>
      <c r="I7513" s="24"/>
      <c r="L7513"/>
    </row>
    <row r="7514" spans="1:12" x14ac:dyDescent="0.25">
      <c r="A7514" s="16"/>
      <c r="D7514" s="16"/>
      <c r="F7514" s="16"/>
      <c r="G7514" s="16"/>
      <c r="H7514" s="24"/>
      <c r="I7514" s="24"/>
      <c r="L7514"/>
    </row>
    <row r="7515" spans="1:12" x14ac:dyDescent="0.25">
      <c r="A7515" s="16"/>
      <c r="D7515" s="16"/>
      <c r="F7515" s="16"/>
      <c r="G7515" s="16"/>
      <c r="H7515" s="24"/>
      <c r="I7515" s="24"/>
      <c r="L7515"/>
    </row>
    <row r="7516" spans="1:12" x14ac:dyDescent="0.25">
      <c r="A7516" s="16"/>
      <c r="D7516" s="16"/>
      <c r="F7516" s="16"/>
      <c r="G7516" s="16"/>
      <c r="H7516" s="24"/>
      <c r="I7516" s="24"/>
      <c r="L7516"/>
    </row>
    <row r="7517" spans="1:12" x14ac:dyDescent="0.25">
      <c r="A7517" s="16"/>
      <c r="D7517" s="16"/>
      <c r="F7517" s="16"/>
      <c r="G7517" s="16"/>
      <c r="H7517" s="24"/>
      <c r="I7517" s="24"/>
      <c r="L7517"/>
    </row>
    <row r="7518" spans="1:12" x14ac:dyDescent="0.25">
      <c r="A7518" s="16"/>
      <c r="D7518" s="16"/>
      <c r="F7518" s="16"/>
      <c r="G7518" s="16"/>
      <c r="H7518" s="24"/>
      <c r="I7518" s="24"/>
      <c r="L7518"/>
    </row>
    <row r="7519" spans="1:12" x14ac:dyDescent="0.25">
      <c r="A7519" s="16"/>
      <c r="D7519" s="16"/>
      <c r="F7519" s="16"/>
      <c r="G7519" s="16"/>
      <c r="H7519" s="24"/>
      <c r="I7519" s="24"/>
      <c r="L7519"/>
    </row>
    <row r="7520" spans="1:12" x14ac:dyDescent="0.25">
      <c r="A7520" s="16"/>
      <c r="D7520" s="16"/>
      <c r="F7520" s="16"/>
      <c r="G7520" s="16"/>
      <c r="H7520" s="24"/>
      <c r="I7520" s="24"/>
      <c r="L7520"/>
    </row>
    <row r="7521" spans="1:12" x14ac:dyDescent="0.25">
      <c r="A7521" s="16"/>
      <c r="D7521" s="16"/>
      <c r="F7521" s="16"/>
      <c r="G7521" s="16"/>
      <c r="H7521" s="24"/>
      <c r="I7521" s="24"/>
      <c r="L7521"/>
    </row>
    <row r="7522" spans="1:12" x14ac:dyDescent="0.25">
      <c r="A7522" s="16"/>
      <c r="D7522" s="16"/>
      <c r="F7522" s="16"/>
      <c r="G7522" s="16"/>
      <c r="H7522" s="24"/>
      <c r="I7522" s="24"/>
      <c r="L7522"/>
    </row>
    <row r="7523" spans="1:12" x14ac:dyDescent="0.25">
      <c r="A7523" s="16"/>
      <c r="D7523" s="16"/>
      <c r="F7523" s="16"/>
      <c r="G7523" s="16"/>
      <c r="H7523" s="24"/>
      <c r="I7523" s="24"/>
      <c r="L7523"/>
    </row>
    <row r="7524" spans="1:12" x14ac:dyDescent="0.25">
      <c r="A7524" s="16"/>
      <c r="D7524" s="16"/>
      <c r="F7524" s="16"/>
      <c r="G7524" s="16"/>
      <c r="H7524" s="24"/>
      <c r="I7524" s="24"/>
      <c r="L7524"/>
    </row>
    <row r="7525" spans="1:12" x14ac:dyDescent="0.25">
      <c r="A7525" s="16"/>
      <c r="D7525" s="16"/>
      <c r="F7525" s="16"/>
      <c r="G7525" s="16"/>
      <c r="H7525" s="24"/>
      <c r="I7525" s="24"/>
      <c r="L7525"/>
    </row>
    <row r="7526" spans="1:12" x14ac:dyDescent="0.25">
      <c r="A7526" s="16"/>
      <c r="D7526" s="16"/>
      <c r="F7526" s="16"/>
      <c r="G7526" s="16"/>
      <c r="H7526" s="24"/>
      <c r="I7526" s="24"/>
      <c r="L7526"/>
    </row>
    <row r="7527" spans="1:12" x14ac:dyDescent="0.25">
      <c r="A7527" s="16"/>
      <c r="D7527" s="16"/>
      <c r="F7527" s="16"/>
      <c r="G7527" s="16"/>
      <c r="H7527" s="24"/>
      <c r="I7527" s="24"/>
      <c r="L7527"/>
    </row>
    <row r="7528" spans="1:12" x14ac:dyDescent="0.25">
      <c r="A7528" s="16"/>
      <c r="D7528" s="16"/>
      <c r="F7528" s="16"/>
      <c r="G7528" s="16"/>
      <c r="H7528" s="24"/>
      <c r="I7528" s="24"/>
      <c r="L7528"/>
    </row>
    <row r="7529" spans="1:12" x14ac:dyDescent="0.25">
      <c r="A7529" s="16"/>
      <c r="D7529" s="16"/>
      <c r="F7529" s="16"/>
      <c r="G7529" s="16"/>
      <c r="H7529" s="24"/>
      <c r="I7529" s="24"/>
      <c r="L7529"/>
    </row>
    <row r="7530" spans="1:12" x14ac:dyDescent="0.25">
      <c r="A7530" s="16"/>
      <c r="D7530" s="16"/>
      <c r="F7530" s="16"/>
      <c r="G7530" s="16"/>
      <c r="H7530" s="24"/>
      <c r="I7530" s="24"/>
      <c r="L7530"/>
    </row>
    <row r="7531" spans="1:12" x14ac:dyDescent="0.25">
      <c r="A7531" s="16"/>
      <c r="D7531" s="16"/>
      <c r="F7531" s="16"/>
      <c r="G7531" s="16"/>
      <c r="H7531" s="24"/>
      <c r="I7531" s="24"/>
      <c r="L7531"/>
    </row>
    <row r="7532" spans="1:12" x14ac:dyDescent="0.25">
      <c r="A7532" s="16"/>
      <c r="D7532" s="16"/>
      <c r="F7532" s="16"/>
      <c r="G7532" s="16"/>
      <c r="H7532" s="24"/>
      <c r="I7532" s="24"/>
      <c r="L7532"/>
    </row>
    <row r="7533" spans="1:12" x14ac:dyDescent="0.25">
      <c r="A7533" s="16"/>
      <c r="D7533" s="16"/>
      <c r="F7533" s="16"/>
      <c r="G7533" s="16"/>
      <c r="H7533" s="24"/>
      <c r="I7533" s="24"/>
      <c r="L7533"/>
    </row>
    <row r="7534" spans="1:12" x14ac:dyDescent="0.25">
      <c r="A7534" s="16"/>
      <c r="D7534" s="16"/>
      <c r="F7534" s="16"/>
      <c r="G7534" s="16"/>
      <c r="H7534" s="24"/>
      <c r="I7534" s="24"/>
      <c r="L7534"/>
    </row>
    <row r="7535" spans="1:12" x14ac:dyDescent="0.25">
      <c r="A7535" s="16"/>
      <c r="D7535" s="16"/>
      <c r="F7535" s="16"/>
      <c r="G7535" s="16"/>
      <c r="H7535" s="24"/>
      <c r="I7535" s="24"/>
      <c r="L7535"/>
    </row>
    <row r="7536" spans="1:12" x14ac:dyDescent="0.25">
      <c r="A7536" s="16"/>
      <c r="D7536" s="16"/>
      <c r="F7536" s="16"/>
      <c r="G7536" s="16"/>
      <c r="H7536" s="24"/>
      <c r="I7536" s="24"/>
      <c r="L7536"/>
    </row>
    <row r="7537" spans="1:12" x14ac:dyDescent="0.25">
      <c r="A7537" s="16"/>
      <c r="D7537" s="16"/>
      <c r="F7537" s="16"/>
      <c r="G7537" s="16"/>
      <c r="H7537" s="24"/>
      <c r="I7537" s="24"/>
      <c r="L7537"/>
    </row>
    <row r="7538" spans="1:12" x14ac:dyDescent="0.25">
      <c r="A7538" s="16"/>
      <c r="D7538" s="16"/>
      <c r="F7538" s="16"/>
      <c r="G7538" s="16"/>
      <c r="H7538" s="24"/>
      <c r="I7538" s="24"/>
      <c r="L7538"/>
    </row>
    <row r="7539" spans="1:12" x14ac:dyDescent="0.25">
      <c r="A7539" s="16"/>
      <c r="D7539" s="16"/>
      <c r="F7539" s="16"/>
      <c r="G7539" s="16"/>
      <c r="H7539" s="24"/>
      <c r="I7539" s="24"/>
      <c r="L7539"/>
    </row>
    <row r="7540" spans="1:12" x14ac:dyDescent="0.25">
      <c r="A7540" s="16"/>
      <c r="D7540" s="16"/>
      <c r="F7540" s="16"/>
      <c r="G7540" s="16"/>
      <c r="H7540" s="24"/>
      <c r="I7540" s="24"/>
      <c r="L7540"/>
    </row>
    <row r="7541" spans="1:12" x14ac:dyDescent="0.25">
      <c r="A7541" s="16"/>
      <c r="D7541" s="16"/>
      <c r="F7541" s="16"/>
      <c r="G7541" s="16"/>
      <c r="H7541" s="24"/>
      <c r="I7541" s="24"/>
      <c r="L7541"/>
    </row>
    <row r="7542" spans="1:12" x14ac:dyDescent="0.25">
      <c r="A7542" s="16"/>
      <c r="D7542" s="16"/>
      <c r="F7542" s="16"/>
      <c r="G7542" s="16"/>
      <c r="H7542" s="24"/>
      <c r="I7542" s="24"/>
      <c r="L7542"/>
    </row>
    <row r="7543" spans="1:12" x14ac:dyDescent="0.25">
      <c r="A7543" s="16"/>
      <c r="D7543" s="16"/>
      <c r="F7543" s="16"/>
      <c r="G7543" s="16"/>
      <c r="H7543" s="24"/>
      <c r="I7543" s="24"/>
      <c r="L7543"/>
    </row>
    <row r="7544" spans="1:12" x14ac:dyDescent="0.25">
      <c r="A7544" s="16"/>
      <c r="D7544" s="16"/>
      <c r="F7544" s="16"/>
      <c r="G7544" s="16"/>
      <c r="H7544" s="24"/>
      <c r="I7544" s="24"/>
      <c r="L7544"/>
    </row>
    <row r="7545" spans="1:12" x14ac:dyDescent="0.25">
      <c r="A7545" s="16"/>
      <c r="D7545" s="16"/>
      <c r="F7545" s="16"/>
      <c r="G7545" s="16"/>
      <c r="H7545" s="24"/>
      <c r="I7545" s="24"/>
      <c r="L7545"/>
    </row>
    <row r="7546" spans="1:12" x14ac:dyDescent="0.25">
      <c r="A7546" s="16"/>
      <c r="D7546" s="16"/>
      <c r="F7546" s="16"/>
      <c r="G7546" s="16"/>
      <c r="H7546" s="24"/>
      <c r="I7546" s="24"/>
      <c r="L7546"/>
    </row>
    <row r="7547" spans="1:12" x14ac:dyDescent="0.25">
      <c r="A7547" s="16"/>
      <c r="D7547" s="16"/>
      <c r="F7547" s="16"/>
      <c r="G7547" s="16"/>
      <c r="H7547" s="24"/>
      <c r="I7547" s="24"/>
      <c r="L7547"/>
    </row>
    <row r="7548" spans="1:12" x14ac:dyDescent="0.25">
      <c r="A7548" s="16"/>
      <c r="D7548" s="16"/>
      <c r="F7548" s="16"/>
      <c r="G7548" s="16"/>
      <c r="H7548" s="24"/>
      <c r="I7548" s="24"/>
      <c r="L7548"/>
    </row>
    <row r="7549" spans="1:12" x14ac:dyDescent="0.25">
      <c r="A7549" s="16"/>
      <c r="D7549" s="16"/>
      <c r="F7549" s="16"/>
      <c r="G7549" s="16"/>
      <c r="H7549" s="24"/>
      <c r="I7549" s="24"/>
      <c r="L7549"/>
    </row>
    <row r="7550" spans="1:12" x14ac:dyDescent="0.25">
      <c r="A7550" s="16"/>
      <c r="D7550" s="16"/>
      <c r="F7550" s="16"/>
      <c r="G7550" s="16"/>
      <c r="H7550" s="24"/>
      <c r="I7550" s="24"/>
      <c r="L7550"/>
    </row>
    <row r="7551" spans="1:12" x14ac:dyDescent="0.25">
      <c r="A7551" s="16"/>
      <c r="D7551" s="16"/>
      <c r="F7551" s="16"/>
      <c r="G7551" s="16"/>
      <c r="H7551" s="24"/>
      <c r="I7551" s="24"/>
      <c r="L7551"/>
    </row>
    <row r="7552" spans="1:12" x14ac:dyDescent="0.25">
      <c r="A7552" s="16"/>
      <c r="D7552" s="16"/>
      <c r="F7552" s="16"/>
      <c r="G7552" s="16"/>
      <c r="H7552" s="24"/>
      <c r="I7552" s="24"/>
      <c r="L7552"/>
    </row>
    <row r="7553" spans="1:12" x14ac:dyDescent="0.25">
      <c r="A7553" s="16"/>
      <c r="D7553" s="16"/>
      <c r="F7553" s="16"/>
      <c r="G7553" s="16"/>
      <c r="H7553" s="24"/>
      <c r="I7553" s="24"/>
      <c r="L7553"/>
    </row>
    <row r="7554" spans="1:12" x14ac:dyDescent="0.25">
      <c r="A7554" s="16"/>
      <c r="D7554" s="16"/>
      <c r="F7554" s="16"/>
      <c r="G7554" s="16"/>
      <c r="H7554" s="24"/>
      <c r="I7554" s="24"/>
      <c r="L7554"/>
    </row>
    <row r="7555" spans="1:12" x14ac:dyDescent="0.25">
      <c r="A7555" s="16"/>
      <c r="D7555" s="16"/>
      <c r="F7555" s="16"/>
      <c r="G7555" s="16"/>
      <c r="H7555" s="24"/>
      <c r="I7555" s="24"/>
      <c r="L7555"/>
    </row>
    <row r="7556" spans="1:12" x14ac:dyDescent="0.25">
      <c r="A7556" s="16"/>
      <c r="D7556" s="16"/>
      <c r="F7556" s="16"/>
      <c r="G7556" s="16"/>
      <c r="H7556" s="24"/>
      <c r="I7556" s="24"/>
      <c r="L7556"/>
    </row>
    <row r="7557" spans="1:12" x14ac:dyDescent="0.25">
      <c r="A7557" s="16"/>
      <c r="D7557" s="16"/>
      <c r="F7557" s="16"/>
      <c r="G7557" s="16"/>
      <c r="H7557" s="24"/>
      <c r="I7557" s="24"/>
      <c r="L7557"/>
    </row>
    <row r="7558" spans="1:12" x14ac:dyDescent="0.25">
      <c r="A7558" s="16"/>
      <c r="D7558" s="16"/>
      <c r="F7558" s="16"/>
      <c r="G7558" s="16"/>
      <c r="H7558" s="24"/>
      <c r="I7558" s="24"/>
      <c r="L7558"/>
    </row>
    <row r="7559" spans="1:12" x14ac:dyDescent="0.25">
      <c r="A7559" s="16"/>
      <c r="D7559" s="16"/>
      <c r="F7559" s="16"/>
      <c r="G7559" s="16"/>
      <c r="H7559" s="24"/>
      <c r="I7559" s="24"/>
      <c r="L7559"/>
    </row>
    <row r="7560" spans="1:12" x14ac:dyDescent="0.25">
      <c r="A7560" s="16"/>
      <c r="D7560" s="16"/>
      <c r="F7560" s="16"/>
      <c r="G7560" s="16"/>
      <c r="H7560" s="24"/>
      <c r="I7560" s="24"/>
      <c r="L7560"/>
    </row>
    <row r="7561" spans="1:12" x14ac:dyDescent="0.25">
      <c r="A7561" s="16"/>
      <c r="D7561" s="16"/>
      <c r="F7561" s="16"/>
      <c r="G7561" s="16"/>
      <c r="H7561" s="24"/>
      <c r="I7561" s="24"/>
      <c r="L7561"/>
    </row>
    <row r="7562" spans="1:12" x14ac:dyDescent="0.25">
      <c r="A7562" s="16"/>
      <c r="D7562" s="16"/>
      <c r="F7562" s="16"/>
      <c r="G7562" s="16"/>
      <c r="H7562" s="24"/>
      <c r="I7562" s="24"/>
      <c r="L7562"/>
    </row>
    <row r="7563" spans="1:12" x14ac:dyDescent="0.25">
      <c r="A7563" s="16"/>
      <c r="D7563" s="16"/>
      <c r="F7563" s="16"/>
      <c r="G7563" s="16"/>
      <c r="H7563" s="24"/>
      <c r="I7563" s="24"/>
      <c r="L7563"/>
    </row>
    <row r="7564" spans="1:12" x14ac:dyDescent="0.25">
      <c r="A7564" s="16"/>
      <c r="D7564" s="16"/>
      <c r="F7564" s="16"/>
      <c r="G7564" s="16"/>
      <c r="H7564" s="24"/>
      <c r="I7564" s="24"/>
      <c r="L7564"/>
    </row>
    <row r="7565" spans="1:12" x14ac:dyDescent="0.25">
      <c r="A7565" s="16"/>
      <c r="D7565" s="16"/>
      <c r="F7565" s="16"/>
      <c r="G7565" s="16"/>
      <c r="H7565" s="24"/>
      <c r="I7565" s="24"/>
      <c r="L7565"/>
    </row>
    <row r="7566" spans="1:12" x14ac:dyDescent="0.25">
      <c r="A7566" s="16"/>
      <c r="D7566" s="16"/>
      <c r="F7566" s="16"/>
      <c r="G7566" s="16"/>
      <c r="H7566" s="24"/>
      <c r="I7566" s="24"/>
      <c r="L7566"/>
    </row>
    <row r="7567" spans="1:12" x14ac:dyDescent="0.25">
      <c r="A7567" s="16"/>
      <c r="D7567" s="16"/>
      <c r="F7567" s="16"/>
      <c r="G7567" s="16"/>
      <c r="H7567" s="24"/>
      <c r="I7567" s="24"/>
      <c r="L7567"/>
    </row>
    <row r="7568" spans="1:12" x14ac:dyDescent="0.25">
      <c r="A7568" s="16"/>
      <c r="D7568" s="16"/>
      <c r="F7568" s="16"/>
      <c r="G7568" s="16"/>
      <c r="H7568" s="24"/>
      <c r="I7568" s="24"/>
      <c r="L7568"/>
    </row>
    <row r="7569" spans="1:12" x14ac:dyDescent="0.25">
      <c r="A7569" s="16"/>
      <c r="D7569" s="16"/>
      <c r="F7569" s="16"/>
      <c r="G7569" s="16"/>
      <c r="H7569" s="24"/>
      <c r="I7569" s="24"/>
      <c r="L7569"/>
    </row>
    <row r="7570" spans="1:12" x14ac:dyDescent="0.25">
      <c r="A7570" s="16"/>
      <c r="D7570" s="16"/>
      <c r="F7570" s="16"/>
      <c r="G7570" s="16"/>
      <c r="H7570" s="24"/>
      <c r="I7570" s="24"/>
      <c r="L7570"/>
    </row>
    <row r="7571" spans="1:12" x14ac:dyDescent="0.25">
      <c r="A7571" s="16"/>
      <c r="D7571" s="16"/>
      <c r="F7571" s="16"/>
      <c r="G7571" s="16"/>
      <c r="H7571" s="24"/>
      <c r="I7571" s="24"/>
      <c r="L7571"/>
    </row>
    <row r="7572" spans="1:12" x14ac:dyDescent="0.25">
      <c r="A7572" s="16"/>
      <c r="D7572" s="16"/>
      <c r="F7572" s="16"/>
      <c r="G7572" s="16"/>
      <c r="H7572" s="24"/>
      <c r="I7572" s="24"/>
      <c r="L7572"/>
    </row>
    <row r="7573" spans="1:12" x14ac:dyDescent="0.25">
      <c r="A7573" s="16"/>
      <c r="D7573" s="16"/>
      <c r="F7573" s="16"/>
      <c r="G7573" s="16"/>
      <c r="H7573" s="24"/>
      <c r="I7573" s="24"/>
      <c r="L7573"/>
    </row>
    <row r="7574" spans="1:12" x14ac:dyDescent="0.25">
      <c r="A7574" s="16"/>
      <c r="D7574" s="16"/>
      <c r="F7574" s="16"/>
      <c r="G7574" s="16"/>
      <c r="H7574" s="24"/>
      <c r="I7574" s="24"/>
      <c r="L7574"/>
    </row>
    <row r="7575" spans="1:12" x14ac:dyDescent="0.25">
      <c r="A7575" s="16"/>
      <c r="D7575" s="16"/>
      <c r="F7575" s="16"/>
      <c r="G7575" s="16"/>
      <c r="H7575" s="24"/>
      <c r="I7575" s="24"/>
      <c r="L7575"/>
    </row>
    <row r="7576" spans="1:12" x14ac:dyDescent="0.25">
      <c r="A7576" s="16"/>
      <c r="D7576" s="16"/>
      <c r="F7576" s="16"/>
      <c r="G7576" s="16"/>
      <c r="H7576" s="24"/>
      <c r="I7576" s="24"/>
      <c r="L7576"/>
    </row>
    <row r="7577" spans="1:12" x14ac:dyDescent="0.25">
      <c r="A7577" s="16"/>
      <c r="D7577" s="16"/>
      <c r="F7577" s="16"/>
      <c r="G7577" s="16"/>
      <c r="H7577" s="24"/>
      <c r="I7577" s="24"/>
      <c r="L7577"/>
    </row>
    <row r="7578" spans="1:12" x14ac:dyDescent="0.25">
      <c r="A7578" s="16"/>
      <c r="D7578" s="16"/>
      <c r="F7578" s="16"/>
      <c r="G7578" s="16"/>
      <c r="H7578" s="24"/>
      <c r="I7578" s="24"/>
      <c r="L7578"/>
    </row>
    <row r="7579" spans="1:12" x14ac:dyDescent="0.25">
      <c r="A7579" s="16"/>
      <c r="D7579" s="16"/>
      <c r="F7579" s="16"/>
      <c r="G7579" s="16"/>
      <c r="H7579" s="24"/>
      <c r="I7579" s="24"/>
      <c r="L7579"/>
    </row>
    <row r="7580" spans="1:12" x14ac:dyDescent="0.25">
      <c r="A7580" s="16"/>
      <c r="D7580" s="16"/>
      <c r="F7580" s="16"/>
      <c r="G7580" s="16"/>
      <c r="H7580" s="24"/>
      <c r="I7580" s="24"/>
      <c r="L7580"/>
    </row>
    <row r="7581" spans="1:12" x14ac:dyDescent="0.25">
      <c r="A7581" s="16"/>
      <c r="D7581" s="16"/>
      <c r="F7581" s="16"/>
      <c r="G7581" s="16"/>
      <c r="H7581" s="24"/>
      <c r="I7581" s="24"/>
      <c r="L7581"/>
    </row>
    <row r="7582" spans="1:12" x14ac:dyDescent="0.25">
      <c r="A7582" s="16"/>
      <c r="D7582" s="16"/>
      <c r="F7582" s="16"/>
      <c r="G7582" s="16"/>
      <c r="H7582" s="24"/>
      <c r="I7582" s="24"/>
      <c r="L7582"/>
    </row>
    <row r="7583" spans="1:12" x14ac:dyDescent="0.25">
      <c r="A7583" s="16"/>
      <c r="D7583" s="16"/>
      <c r="F7583" s="16"/>
      <c r="G7583" s="16"/>
      <c r="H7583" s="24"/>
      <c r="I7583" s="24"/>
      <c r="L7583"/>
    </row>
    <row r="7584" spans="1:12" x14ac:dyDescent="0.25">
      <c r="A7584" s="16"/>
      <c r="D7584" s="16"/>
      <c r="F7584" s="16"/>
      <c r="G7584" s="16"/>
      <c r="H7584" s="24"/>
      <c r="I7584" s="24"/>
      <c r="L7584"/>
    </row>
    <row r="7585" spans="1:12" x14ac:dyDescent="0.25">
      <c r="A7585" s="16"/>
      <c r="D7585" s="16"/>
      <c r="F7585" s="16"/>
      <c r="G7585" s="16"/>
      <c r="H7585" s="24"/>
      <c r="I7585" s="24"/>
      <c r="L7585"/>
    </row>
    <row r="7586" spans="1:12" x14ac:dyDescent="0.25">
      <c r="A7586" s="16"/>
      <c r="D7586" s="16"/>
      <c r="F7586" s="16"/>
      <c r="G7586" s="16"/>
      <c r="H7586" s="24"/>
      <c r="I7586" s="24"/>
      <c r="L7586"/>
    </row>
    <row r="7587" spans="1:12" x14ac:dyDescent="0.25">
      <c r="A7587" s="16"/>
      <c r="D7587" s="16"/>
      <c r="F7587" s="16"/>
      <c r="G7587" s="16"/>
      <c r="H7587" s="24"/>
      <c r="I7587" s="24"/>
      <c r="L7587"/>
    </row>
    <row r="7588" spans="1:12" x14ac:dyDescent="0.25">
      <c r="A7588" s="16"/>
      <c r="D7588" s="16"/>
      <c r="F7588" s="16"/>
      <c r="G7588" s="16"/>
      <c r="H7588" s="24"/>
      <c r="I7588" s="24"/>
      <c r="L7588"/>
    </row>
    <row r="7589" spans="1:12" x14ac:dyDescent="0.25">
      <c r="A7589" s="16"/>
      <c r="D7589" s="16"/>
      <c r="F7589" s="16"/>
      <c r="G7589" s="16"/>
      <c r="H7589" s="24"/>
      <c r="I7589" s="24"/>
      <c r="L7589"/>
    </row>
    <row r="7590" spans="1:12" x14ac:dyDescent="0.25">
      <c r="A7590" s="16"/>
      <c r="D7590" s="16"/>
      <c r="F7590" s="16"/>
      <c r="G7590" s="16"/>
      <c r="H7590" s="24"/>
      <c r="I7590" s="24"/>
      <c r="L7590"/>
    </row>
    <row r="7591" spans="1:12" x14ac:dyDescent="0.25">
      <c r="A7591" s="16"/>
      <c r="D7591" s="16"/>
      <c r="F7591" s="16"/>
      <c r="G7591" s="16"/>
      <c r="H7591" s="24"/>
      <c r="I7591" s="24"/>
      <c r="L7591"/>
    </row>
    <row r="7592" spans="1:12" x14ac:dyDescent="0.25">
      <c r="A7592" s="16"/>
      <c r="D7592" s="16"/>
      <c r="F7592" s="16"/>
      <c r="G7592" s="16"/>
      <c r="H7592" s="24"/>
      <c r="I7592" s="24"/>
      <c r="L7592"/>
    </row>
    <row r="7593" spans="1:12" x14ac:dyDescent="0.25">
      <c r="A7593" s="16"/>
      <c r="D7593" s="16"/>
      <c r="F7593" s="16"/>
      <c r="G7593" s="16"/>
      <c r="H7593" s="24"/>
      <c r="I7593" s="24"/>
      <c r="L7593"/>
    </row>
    <row r="7594" spans="1:12" x14ac:dyDescent="0.25">
      <c r="A7594" s="16"/>
      <c r="D7594" s="16"/>
      <c r="F7594" s="16"/>
      <c r="G7594" s="16"/>
      <c r="H7594" s="24"/>
      <c r="I7594" s="24"/>
      <c r="L7594"/>
    </row>
    <row r="7595" spans="1:12" x14ac:dyDescent="0.25">
      <c r="A7595" s="16"/>
      <c r="D7595" s="16"/>
      <c r="F7595" s="16"/>
      <c r="G7595" s="16"/>
      <c r="H7595" s="24"/>
      <c r="I7595" s="24"/>
      <c r="L7595"/>
    </row>
    <row r="7596" spans="1:12" x14ac:dyDescent="0.25">
      <c r="A7596" s="16"/>
      <c r="D7596" s="16"/>
      <c r="F7596" s="16"/>
      <c r="G7596" s="16"/>
      <c r="H7596" s="24"/>
      <c r="I7596" s="24"/>
      <c r="L7596"/>
    </row>
    <row r="7597" spans="1:12" x14ac:dyDescent="0.25">
      <c r="A7597" s="16"/>
      <c r="D7597" s="16"/>
      <c r="F7597" s="16"/>
      <c r="G7597" s="16"/>
      <c r="H7597" s="24"/>
      <c r="I7597" s="24"/>
      <c r="L7597"/>
    </row>
    <row r="7598" spans="1:12" x14ac:dyDescent="0.25">
      <c r="A7598" s="16"/>
      <c r="D7598" s="16"/>
      <c r="F7598" s="16"/>
      <c r="G7598" s="16"/>
      <c r="H7598" s="24"/>
      <c r="I7598" s="24"/>
      <c r="L7598"/>
    </row>
    <row r="7599" spans="1:12" x14ac:dyDescent="0.25">
      <c r="A7599" s="16"/>
      <c r="D7599" s="16"/>
      <c r="F7599" s="16"/>
      <c r="G7599" s="16"/>
      <c r="H7599" s="24"/>
      <c r="I7599" s="24"/>
      <c r="L7599"/>
    </row>
    <row r="7600" spans="1:12" x14ac:dyDescent="0.25">
      <c r="A7600" s="16"/>
      <c r="D7600" s="16"/>
      <c r="F7600" s="16"/>
      <c r="G7600" s="16"/>
      <c r="H7600" s="24"/>
      <c r="I7600" s="24"/>
      <c r="L7600"/>
    </row>
    <row r="7601" spans="1:12" x14ac:dyDescent="0.25">
      <c r="A7601" s="16"/>
      <c r="D7601" s="16"/>
      <c r="F7601" s="16"/>
      <c r="G7601" s="16"/>
      <c r="H7601" s="24"/>
      <c r="I7601" s="24"/>
      <c r="L7601"/>
    </row>
    <row r="7602" spans="1:12" x14ac:dyDescent="0.25">
      <c r="A7602" s="16"/>
      <c r="D7602" s="16"/>
      <c r="F7602" s="16"/>
      <c r="G7602" s="16"/>
      <c r="H7602" s="24"/>
      <c r="I7602" s="24"/>
      <c r="L7602"/>
    </row>
    <row r="7603" spans="1:12" x14ac:dyDescent="0.25">
      <c r="A7603" s="16"/>
      <c r="D7603" s="16"/>
      <c r="F7603" s="16"/>
      <c r="G7603" s="16"/>
      <c r="H7603" s="24"/>
      <c r="I7603" s="24"/>
      <c r="L7603"/>
    </row>
    <row r="7604" spans="1:12" x14ac:dyDescent="0.25">
      <c r="A7604" s="16"/>
      <c r="D7604" s="16"/>
      <c r="F7604" s="16"/>
      <c r="G7604" s="16"/>
      <c r="H7604" s="24"/>
      <c r="I7604" s="24"/>
      <c r="L7604"/>
    </row>
    <row r="7605" spans="1:12" x14ac:dyDescent="0.25">
      <c r="A7605" s="16"/>
      <c r="D7605" s="16"/>
      <c r="F7605" s="16"/>
      <c r="G7605" s="16"/>
      <c r="H7605" s="24"/>
      <c r="I7605" s="24"/>
      <c r="L7605"/>
    </row>
    <row r="7606" spans="1:12" x14ac:dyDescent="0.25">
      <c r="A7606" s="16"/>
      <c r="D7606" s="16"/>
      <c r="F7606" s="16"/>
      <c r="G7606" s="16"/>
      <c r="H7606" s="24"/>
      <c r="I7606" s="24"/>
      <c r="L7606"/>
    </row>
    <row r="7607" spans="1:12" x14ac:dyDescent="0.25">
      <c r="A7607" s="16"/>
      <c r="D7607" s="16"/>
      <c r="F7607" s="16"/>
      <c r="G7607" s="16"/>
      <c r="H7607" s="24"/>
      <c r="I7607" s="24"/>
      <c r="L7607"/>
    </row>
    <row r="7608" spans="1:12" x14ac:dyDescent="0.25">
      <c r="A7608" s="16"/>
      <c r="D7608" s="16"/>
      <c r="F7608" s="16"/>
      <c r="G7608" s="16"/>
      <c r="H7608" s="24"/>
      <c r="I7608" s="24"/>
      <c r="L7608"/>
    </row>
    <row r="7609" spans="1:12" x14ac:dyDescent="0.25">
      <c r="A7609" s="16"/>
      <c r="D7609" s="16"/>
      <c r="F7609" s="16"/>
      <c r="G7609" s="16"/>
      <c r="H7609" s="24"/>
      <c r="I7609" s="24"/>
      <c r="L7609"/>
    </row>
    <row r="7610" spans="1:12" x14ac:dyDescent="0.25">
      <c r="A7610" s="16"/>
      <c r="D7610" s="16"/>
      <c r="F7610" s="16"/>
      <c r="G7610" s="16"/>
      <c r="H7610" s="24"/>
      <c r="I7610" s="24"/>
      <c r="L7610"/>
    </row>
    <row r="7611" spans="1:12" x14ac:dyDescent="0.25">
      <c r="A7611" s="16"/>
      <c r="D7611" s="16"/>
      <c r="F7611" s="16"/>
      <c r="G7611" s="16"/>
      <c r="H7611" s="24"/>
      <c r="I7611" s="24"/>
      <c r="L7611"/>
    </row>
    <row r="7612" spans="1:12" x14ac:dyDescent="0.25">
      <c r="A7612" s="16"/>
      <c r="D7612" s="16"/>
      <c r="F7612" s="16"/>
      <c r="G7612" s="16"/>
      <c r="H7612" s="24"/>
      <c r="I7612" s="24"/>
      <c r="L7612"/>
    </row>
    <row r="7613" spans="1:12" x14ac:dyDescent="0.25">
      <c r="A7613" s="16"/>
      <c r="D7613" s="16"/>
      <c r="F7613" s="16"/>
      <c r="G7613" s="16"/>
      <c r="H7613" s="24"/>
      <c r="I7613" s="24"/>
      <c r="L7613"/>
    </row>
    <row r="7614" spans="1:12" x14ac:dyDescent="0.25">
      <c r="A7614" s="16"/>
      <c r="D7614" s="16"/>
      <c r="F7614" s="16"/>
      <c r="G7614" s="16"/>
      <c r="H7614" s="24"/>
      <c r="I7614" s="24"/>
      <c r="L7614"/>
    </row>
    <row r="7615" spans="1:12" x14ac:dyDescent="0.25">
      <c r="A7615" s="16"/>
      <c r="D7615" s="16"/>
      <c r="F7615" s="16"/>
      <c r="G7615" s="16"/>
      <c r="H7615" s="24"/>
      <c r="I7615" s="24"/>
      <c r="L7615"/>
    </row>
    <row r="7616" spans="1:12" x14ac:dyDescent="0.25">
      <c r="A7616" s="16"/>
      <c r="D7616" s="16"/>
      <c r="F7616" s="16"/>
      <c r="G7616" s="16"/>
      <c r="H7616" s="24"/>
      <c r="I7616" s="24"/>
      <c r="L7616"/>
    </row>
    <row r="7617" spans="1:12" x14ac:dyDescent="0.25">
      <c r="A7617" s="16"/>
      <c r="D7617" s="16"/>
      <c r="F7617" s="16"/>
      <c r="G7617" s="16"/>
      <c r="H7617" s="24"/>
      <c r="I7617" s="24"/>
      <c r="L7617"/>
    </row>
    <row r="7618" spans="1:12" x14ac:dyDescent="0.25">
      <c r="A7618" s="16"/>
      <c r="D7618" s="16"/>
      <c r="F7618" s="16"/>
      <c r="G7618" s="16"/>
      <c r="H7618" s="24"/>
      <c r="I7618" s="24"/>
      <c r="L7618"/>
    </row>
    <row r="7619" spans="1:12" x14ac:dyDescent="0.25">
      <c r="A7619" s="16"/>
      <c r="D7619" s="16"/>
      <c r="F7619" s="16"/>
      <c r="G7619" s="16"/>
      <c r="H7619" s="24"/>
      <c r="I7619" s="24"/>
      <c r="L7619"/>
    </row>
    <row r="7620" spans="1:12" x14ac:dyDescent="0.25">
      <c r="A7620" s="16"/>
      <c r="D7620" s="16"/>
      <c r="F7620" s="16"/>
      <c r="G7620" s="16"/>
      <c r="H7620" s="24"/>
      <c r="I7620" s="24"/>
      <c r="L7620"/>
    </row>
    <row r="7621" spans="1:12" x14ac:dyDescent="0.25">
      <c r="A7621" s="16"/>
      <c r="D7621" s="16"/>
      <c r="F7621" s="16"/>
      <c r="G7621" s="16"/>
      <c r="H7621" s="24"/>
      <c r="I7621" s="24"/>
      <c r="L7621"/>
    </row>
    <row r="7622" spans="1:12" x14ac:dyDescent="0.25">
      <c r="A7622" s="16"/>
      <c r="D7622" s="16"/>
      <c r="F7622" s="16"/>
      <c r="G7622" s="16"/>
      <c r="H7622" s="24"/>
      <c r="I7622" s="24"/>
      <c r="L7622"/>
    </row>
    <row r="7623" spans="1:12" x14ac:dyDescent="0.25">
      <c r="A7623" s="16"/>
      <c r="D7623" s="16"/>
      <c r="F7623" s="16"/>
      <c r="G7623" s="16"/>
      <c r="H7623" s="24"/>
      <c r="I7623" s="24"/>
      <c r="L7623"/>
    </row>
    <row r="7624" spans="1:12" x14ac:dyDescent="0.25">
      <c r="A7624" s="16"/>
      <c r="D7624" s="16"/>
      <c r="F7624" s="16"/>
      <c r="G7624" s="16"/>
      <c r="H7624" s="24"/>
      <c r="I7624" s="24"/>
      <c r="L7624"/>
    </row>
    <row r="7625" spans="1:12" x14ac:dyDescent="0.25">
      <c r="A7625" s="16"/>
      <c r="D7625" s="16"/>
      <c r="F7625" s="16"/>
      <c r="G7625" s="16"/>
      <c r="H7625" s="24"/>
      <c r="I7625" s="24"/>
      <c r="L7625"/>
    </row>
    <row r="7626" spans="1:12" x14ac:dyDescent="0.25">
      <c r="A7626" s="16"/>
      <c r="D7626" s="16"/>
      <c r="F7626" s="16"/>
      <c r="G7626" s="16"/>
      <c r="H7626" s="24"/>
      <c r="I7626" s="24"/>
      <c r="L7626"/>
    </row>
    <row r="7627" spans="1:12" x14ac:dyDescent="0.25">
      <c r="A7627" s="16"/>
      <c r="D7627" s="16"/>
      <c r="F7627" s="16"/>
      <c r="G7627" s="16"/>
      <c r="H7627" s="24"/>
      <c r="I7627" s="24"/>
      <c r="L7627"/>
    </row>
    <row r="7628" spans="1:12" x14ac:dyDescent="0.25">
      <c r="A7628" s="16"/>
      <c r="D7628" s="16"/>
      <c r="F7628" s="16"/>
      <c r="G7628" s="16"/>
      <c r="H7628" s="24"/>
      <c r="I7628" s="24"/>
      <c r="L7628"/>
    </row>
    <row r="7629" spans="1:12" x14ac:dyDescent="0.25">
      <c r="A7629" s="16"/>
      <c r="D7629" s="16"/>
      <c r="F7629" s="16"/>
      <c r="G7629" s="16"/>
      <c r="H7629" s="24"/>
      <c r="I7629" s="24"/>
      <c r="L7629"/>
    </row>
    <row r="7630" spans="1:12" x14ac:dyDescent="0.25">
      <c r="A7630" s="16"/>
      <c r="D7630" s="16"/>
      <c r="F7630" s="16"/>
      <c r="G7630" s="16"/>
      <c r="H7630" s="24"/>
      <c r="I7630" s="24"/>
      <c r="L7630"/>
    </row>
    <row r="7631" spans="1:12" x14ac:dyDescent="0.25">
      <c r="A7631" s="16"/>
      <c r="D7631" s="16"/>
      <c r="F7631" s="16"/>
      <c r="G7631" s="16"/>
      <c r="H7631" s="24"/>
      <c r="I7631" s="24"/>
      <c r="L7631"/>
    </row>
    <row r="7632" spans="1:12" x14ac:dyDescent="0.25">
      <c r="A7632" s="16"/>
      <c r="D7632" s="16"/>
      <c r="F7632" s="16"/>
      <c r="G7632" s="16"/>
      <c r="H7632" s="24"/>
      <c r="I7632" s="24"/>
      <c r="L7632"/>
    </row>
    <row r="7633" spans="1:12" x14ac:dyDescent="0.25">
      <c r="A7633" s="16"/>
      <c r="D7633" s="16"/>
      <c r="F7633" s="16"/>
      <c r="G7633" s="16"/>
      <c r="H7633" s="24"/>
      <c r="I7633" s="24"/>
      <c r="L7633"/>
    </row>
    <row r="7634" spans="1:12" x14ac:dyDescent="0.25">
      <c r="A7634" s="16"/>
      <c r="D7634" s="16"/>
      <c r="F7634" s="16"/>
      <c r="G7634" s="16"/>
      <c r="H7634" s="24"/>
      <c r="I7634" s="24"/>
      <c r="L7634"/>
    </row>
    <row r="7635" spans="1:12" x14ac:dyDescent="0.25">
      <c r="A7635" s="16"/>
      <c r="D7635" s="16"/>
      <c r="F7635" s="16"/>
      <c r="G7635" s="16"/>
      <c r="H7635" s="24"/>
      <c r="I7635" s="24"/>
      <c r="L7635"/>
    </row>
    <row r="7636" spans="1:12" x14ac:dyDescent="0.25">
      <c r="A7636" s="16"/>
      <c r="D7636" s="16"/>
      <c r="F7636" s="16"/>
      <c r="G7636" s="16"/>
      <c r="H7636" s="24"/>
      <c r="I7636" s="24"/>
      <c r="L7636"/>
    </row>
    <row r="7637" spans="1:12" x14ac:dyDescent="0.25">
      <c r="A7637" s="16"/>
      <c r="D7637" s="16"/>
      <c r="F7637" s="16"/>
      <c r="G7637" s="16"/>
      <c r="H7637" s="24"/>
      <c r="I7637" s="24"/>
      <c r="L7637"/>
    </row>
    <row r="7638" spans="1:12" x14ac:dyDescent="0.25">
      <c r="A7638" s="16"/>
      <c r="D7638" s="16"/>
      <c r="F7638" s="16"/>
      <c r="G7638" s="16"/>
      <c r="H7638" s="24"/>
      <c r="I7638" s="24"/>
      <c r="L7638"/>
    </row>
    <row r="7639" spans="1:12" x14ac:dyDescent="0.25">
      <c r="A7639" s="16"/>
      <c r="D7639" s="16"/>
      <c r="F7639" s="16"/>
      <c r="G7639" s="16"/>
      <c r="H7639" s="24"/>
      <c r="I7639" s="24"/>
      <c r="L7639"/>
    </row>
    <row r="7640" spans="1:12" x14ac:dyDescent="0.25">
      <c r="A7640" s="16"/>
      <c r="D7640" s="16"/>
      <c r="F7640" s="16"/>
      <c r="G7640" s="16"/>
      <c r="H7640" s="24"/>
      <c r="I7640" s="24"/>
      <c r="L7640"/>
    </row>
    <row r="7641" spans="1:12" x14ac:dyDescent="0.25">
      <c r="A7641" s="16"/>
      <c r="D7641" s="16"/>
      <c r="F7641" s="16"/>
      <c r="G7641" s="16"/>
      <c r="H7641" s="24"/>
      <c r="I7641" s="24"/>
      <c r="L7641"/>
    </row>
    <row r="7642" spans="1:12" x14ac:dyDescent="0.25">
      <c r="A7642" s="16"/>
      <c r="D7642" s="16"/>
      <c r="F7642" s="16"/>
      <c r="G7642" s="16"/>
      <c r="H7642" s="24"/>
      <c r="I7642" s="24"/>
      <c r="L7642"/>
    </row>
    <row r="7643" spans="1:12" x14ac:dyDescent="0.25">
      <c r="A7643" s="16"/>
      <c r="D7643" s="16"/>
      <c r="F7643" s="16"/>
      <c r="G7643" s="16"/>
      <c r="H7643" s="24"/>
      <c r="I7643" s="24"/>
      <c r="L7643"/>
    </row>
    <row r="7644" spans="1:12" x14ac:dyDescent="0.25">
      <c r="A7644" s="16"/>
      <c r="D7644" s="16"/>
      <c r="F7644" s="16"/>
      <c r="G7644" s="16"/>
      <c r="H7644" s="24"/>
      <c r="I7644" s="24"/>
      <c r="L7644"/>
    </row>
    <row r="7645" spans="1:12" x14ac:dyDescent="0.25">
      <c r="A7645" s="16"/>
      <c r="D7645" s="16"/>
      <c r="F7645" s="16"/>
      <c r="G7645" s="16"/>
      <c r="H7645" s="24"/>
      <c r="I7645" s="24"/>
      <c r="L7645"/>
    </row>
    <row r="7646" spans="1:12" x14ac:dyDescent="0.25">
      <c r="A7646" s="16"/>
      <c r="D7646" s="16"/>
      <c r="F7646" s="16"/>
      <c r="G7646" s="16"/>
      <c r="H7646" s="24"/>
      <c r="I7646" s="24"/>
      <c r="L7646"/>
    </row>
    <row r="7647" spans="1:12" x14ac:dyDescent="0.25">
      <c r="A7647" s="16"/>
      <c r="D7647" s="16"/>
      <c r="F7647" s="16"/>
      <c r="G7647" s="16"/>
      <c r="H7647" s="24"/>
      <c r="I7647" s="24"/>
      <c r="L7647"/>
    </row>
    <row r="7648" spans="1:12" x14ac:dyDescent="0.25">
      <c r="A7648" s="16"/>
      <c r="D7648" s="16"/>
      <c r="F7648" s="16"/>
      <c r="G7648" s="16"/>
      <c r="H7648" s="24"/>
      <c r="I7648" s="24"/>
      <c r="L7648"/>
    </row>
    <row r="7649" spans="1:12" x14ac:dyDescent="0.25">
      <c r="A7649" s="16"/>
      <c r="D7649" s="16"/>
      <c r="F7649" s="16"/>
      <c r="G7649" s="16"/>
      <c r="H7649" s="24"/>
      <c r="I7649" s="24"/>
      <c r="L7649"/>
    </row>
    <row r="7650" spans="1:12" x14ac:dyDescent="0.25">
      <c r="A7650" s="16"/>
      <c r="D7650" s="16"/>
      <c r="F7650" s="16"/>
      <c r="G7650" s="16"/>
      <c r="H7650" s="24"/>
      <c r="I7650" s="24"/>
      <c r="L7650"/>
    </row>
    <row r="7651" spans="1:12" x14ac:dyDescent="0.25">
      <c r="A7651" s="16"/>
      <c r="D7651" s="16"/>
      <c r="F7651" s="16"/>
      <c r="G7651" s="16"/>
      <c r="H7651" s="24"/>
      <c r="I7651" s="24"/>
      <c r="L7651"/>
    </row>
    <row r="7652" spans="1:12" x14ac:dyDescent="0.25">
      <c r="A7652" s="16"/>
      <c r="D7652" s="16"/>
      <c r="F7652" s="16"/>
      <c r="G7652" s="16"/>
      <c r="H7652" s="24"/>
      <c r="I7652" s="24"/>
      <c r="L7652"/>
    </row>
    <row r="7653" spans="1:12" x14ac:dyDescent="0.25">
      <c r="A7653" s="16"/>
      <c r="D7653" s="16"/>
      <c r="F7653" s="16"/>
      <c r="G7653" s="16"/>
      <c r="H7653" s="24"/>
      <c r="I7653" s="24"/>
      <c r="L7653"/>
    </row>
    <row r="7654" spans="1:12" x14ac:dyDescent="0.25">
      <c r="A7654" s="16"/>
      <c r="D7654" s="16"/>
      <c r="F7654" s="16"/>
      <c r="G7654" s="16"/>
      <c r="H7654" s="24"/>
      <c r="I7654" s="24"/>
      <c r="L7654"/>
    </row>
    <row r="7655" spans="1:12" x14ac:dyDescent="0.25">
      <c r="A7655" s="16"/>
      <c r="D7655" s="16"/>
      <c r="F7655" s="16"/>
      <c r="G7655" s="16"/>
      <c r="H7655" s="24"/>
      <c r="I7655" s="24"/>
      <c r="L7655"/>
    </row>
    <row r="7656" spans="1:12" x14ac:dyDescent="0.25">
      <c r="A7656" s="16"/>
      <c r="D7656" s="16"/>
      <c r="F7656" s="16"/>
      <c r="G7656" s="16"/>
      <c r="H7656" s="24"/>
      <c r="I7656" s="24"/>
      <c r="L7656"/>
    </row>
    <row r="7657" spans="1:12" x14ac:dyDescent="0.25">
      <c r="A7657" s="16"/>
      <c r="D7657" s="16"/>
      <c r="F7657" s="16"/>
      <c r="G7657" s="16"/>
      <c r="H7657" s="24"/>
      <c r="I7657" s="24"/>
      <c r="L7657"/>
    </row>
    <row r="7658" spans="1:12" x14ac:dyDescent="0.25">
      <c r="A7658" s="16"/>
      <c r="D7658" s="16"/>
      <c r="F7658" s="16"/>
      <c r="G7658" s="16"/>
      <c r="H7658" s="24"/>
      <c r="I7658" s="24"/>
      <c r="L7658"/>
    </row>
    <row r="7659" spans="1:12" x14ac:dyDescent="0.25">
      <c r="A7659" s="16"/>
      <c r="D7659" s="16"/>
      <c r="F7659" s="16"/>
      <c r="G7659" s="16"/>
      <c r="H7659" s="24"/>
      <c r="I7659" s="24"/>
      <c r="L7659"/>
    </row>
    <row r="7660" spans="1:12" x14ac:dyDescent="0.25">
      <c r="A7660" s="16"/>
      <c r="D7660" s="16"/>
      <c r="F7660" s="16"/>
      <c r="G7660" s="16"/>
      <c r="H7660" s="24"/>
      <c r="I7660" s="24"/>
      <c r="L7660"/>
    </row>
    <row r="7661" spans="1:12" x14ac:dyDescent="0.25">
      <c r="A7661" s="16"/>
      <c r="D7661" s="16"/>
      <c r="F7661" s="16"/>
      <c r="G7661" s="16"/>
      <c r="H7661" s="24"/>
      <c r="I7661" s="24"/>
      <c r="L7661"/>
    </row>
    <row r="7662" spans="1:12" x14ac:dyDescent="0.25">
      <c r="A7662" s="16"/>
      <c r="D7662" s="16"/>
      <c r="F7662" s="16"/>
      <c r="G7662" s="16"/>
      <c r="H7662" s="24"/>
      <c r="I7662" s="24"/>
      <c r="L7662"/>
    </row>
    <row r="7663" spans="1:12" x14ac:dyDescent="0.25">
      <c r="A7663" s="16"/>
      <c r="D7663" s="16"/>
      <c r="F7663" s="16"/>
      <c r="G7663" s="16"/>
      <c r="H7663" s="24"/>
      <c r="I7663" s="24"/>
      <c r="L7663"/>
    </row>
    <row r="7664" spans="1:12" x14ac:dyDescent="0.25">
      <c r="A7664" s="16"/>
      <c r="D7664" s="16"/>
      <c r="F7664" s="16"/>
      <c r="G7664" s="16"/>
      <c r="H7664" s="24"/>
      <c r="I7664" s="24"/>
      <c r="L7664"/>
    </row>
    <row r="7665" spans="1:12" x14ac:dyDescent="0.25">
      <c r="A7665" s="16"/>
      <c r="D7665" s="16"/>
      <c r="F7665" s="16"/>
      <c r="G7665" s="16"/>
      <c r="H7665" s="24"/>
      <c r="I7665" s="24"/>
      <c r="L7665"/>
    </row>
    <row r="7666" spans="1:12" x14ac:dyDescent="0.25">
      <c r="A7666" s="16"/>
      <c r="D7666" s="16"/>
      <c r="F7666" s="16"/>
      <c r="G7666" s="16"/>
      <c r="H7666" s="24"/>
      <c r="I7666" s="24"/>
      <c r="L7666"/>
    </row>
    <row r="7667" spans="1:12" x14ac:dyDescent="0.25">
      <c r="A7667" s="16"/>
      <c r="D7667" s="16"/>
      <c r="F7667" s="16"/>
      <c r="G7667" s="16"/>
      <c r="H7667" s="24"/>
      <c r="I7667" s="24"/>
      <c r="L7667"/>
    </row>
    <row r="7668" spans="1:12" x14ac:dyDescent="0.25">
      <c r="A7668" s="16"/>
      <c r="D7668" s="16"/>
      <c r="F7668" s="16"/>
      <c r="G7668" s="16"/>
      <c r="H7668" s="24"/>
      <c r="I7668" s="24"/>
      <c r="L7668"/>
    </row>
    <row r="7669" spans="1:12" x14ac:dyDescent="0.25">
      <c r="A7669" s="16"/>
      <c r="D7669" s="16"/>
      <c r="F7669" s="16"/>
      <c r="G7669" s="16"/>
      <c r="H7669" s="24"/>
      <c r="I7669" s="24"/>
      <c r="L7669"/>
    </row>
    <row r="7670" spans="1:12" x14ac:dyDescent="0.25">
      <c r="A7670" s="16"/>
      <c r="D7670" s="16"/>
      <c r="F7670" s="16"/>
      <c r="G7670" s="16"/>
      <c r="H7670" s="24"/>
      <c r="I7670" s="24"/>
      <c r="L7670"/>
    </row>
    <row r="7671" spans="1:12" x14ac:dyDescent="0.25">
      <c r="A7671" s="16"/>
      <c r="D7671" s="16"/>
      <c r="F7671" s="16"/>
      <c r="G7671" s="16"/>
      <c r="H7671" s="24"/>
      <c r="I7671" s="24"/>
      <c r="L7671"/>
    </row>
    <row r="7672" spans="1:12" x14ac:dyDescent="0.25">
      <c r="A7672" s="16"/>
      <c r="D7672" s="16"/>
      <c r="F7672" s="16"/>
      <c r="G7672" s="16"/>
      <c r="H7672" s="24"/>
      <c r="I7672" s="24"/>
      <c r="L7672"/>
    </row>
    <row r="7673" spans="1:12" x14ac:dyDescent="0.25">
      <c r="A7673" s="16"/>
      <c r="D7673" s="16"/>
      <c r="F7673" s="16"/>
      <c r="G7673" s="16"/>
      <c r="H7673" s="24"/>
      <c r="I7673" s="24"/>
      <c r="L7673"/>
    </row>
    <row r="7674" spans="1:12" x14ac:dyDescent="0.25">
      <c r="A7674" s="16"/>
      <c r="D7674" s="16"/>
      <c r="F7674" s="16"/>
      <c r="G7674" s="16"/>
      <c r="H7674" s="24"/>
      <c r="I7674" s="24"/>
      <c r="L7674"/>
    </row>
    <row r="7675" spans="1:12" x14ac:dyDescent="0.25">
      <c r="A7675" s="16"/>
      <c r="D7675" s="16"/>
      <c r="F7675" s="16"/>
      <c r="G7675" s="16"/>
      <c r="H7675" s="24"/>
      <c r="I7675" s="24"/>
      <c r="L7675"/>
    </row>
    <row r="7676" spans="1:12" x14ac:dyDescent="0.25">
      <c r="A7676" s="16"/>
      <c r="D7676" s="16"/>
      <c r="F7676" s="16"/>
      <c r="G7676" s="16"/>
      <c r="H7676" s="24"/>
      <c r="I7676" s="24"/>
      <c r="L7676"/>
    </row>
    <row r="7677" spans="1:12" x14ac:dyDescent="0.25">
      <c r="A7677" s="16"/>
      <c r="D7677" s="16"/>
      <c r="F7677" s="16"/>
      <c r="G7677" s="16"/>
      <c r="H7677" s="24"/>
      <c r="I7677" s="24"/>
      <c r="L7677"/>
    </row>
    <row r="7678" spans="1:12" x14ac:dyDescent="0.25">
      <c r="A7678" s="16"/>
      <c r="D7678" s="16"/>
      <c r="F7678" s="16"/>
      <c r="G7678" s="16"/>
      <c r="H7678" s="24"/>
      <c r="I7678" s="24"/>
      <c r="L7678"/>
    </row>
    <row r="7679" spans="1:12" x14ac:dyDescent="0.25">
      <c r="A7679" s="16"/>
      <c r="D7679" s="16"/>
      <c r="F7679" s="16"/>
      <c r="G7679" s="16"/>
      <c r="H7679" s="24"/>
      <c r="I7679" s="24"/>
      <c r="L7679"/>
    </row>
    <row r="7680" spans="1:12" x14ac:dyDescent="0.25">
      <c r="A7680" s="16"/>
      <c r="D7680" s="16"/>
      <c r="F7680" s="16"/>
      <c r="G7680" s="16"/>
      <c r="H7680" s="24"/>
      <c r="I7680" s="24"/>
      <c r="L7680"/>
    </row>
    <row r="7681" spans="1:12" x14ac:dyDescent="0.25">
      <c r="A7681" s="16"/>
      <c r="D7681" s="16"/>
      <c r="F7681" s="16"/>
      <c r="G7681" s="16"/>
      <c r="H7681" s="24"/>
      <c r="I7681" s="24"/>
      <c r="L7681"/>
    </row>
    <row r="7682" spans="1:12" x14ac:dyDescent="0.25">
      <c r="A7682" s="16"/>
      <c r="D7682" s="16"/>
      <c r="F7682" s="16"/>
      <c r="G7682" s="16"/>
      <c r="H7682" s="24"/>
      <c r="I7682" s="24"/>
      <c r="L7682"/>
    </row>
    <row r="7683" spans="1:12" x14ac:dyDescent="0.25">
      <c r="A7683" s="16"/>
      <c r="D7683" s="16"/>
      <c r="F7683" s="16"/>
      <c r="G7683" s="16"/>
      <c r="H7683" s="24"/>
      <c r="I7683" s="24"/>
      <c r="L7683"/>
    </row>
    <row r="7684" spans="1:12" x14ac:dyDescent="0.25">
      <c r="A7684" s="16"/>
      <c r="D7684" s="16"/>
      <c r="F7684" s="16"/>
      <c r="G7684" s="16"/>
      <c r="H7684" s="24"/>
      <c r="I7684" s="24"/>
      <c r="L7684"/>
    </row>
    <row r="7685" spans="1:12" x14ac:dyDescent="0.25">
      <c r="A7685" s="16"/>
      <c r="D7685" s="16"/>
      <c r="F7685" s="16"/>
      <c r="G7685" s="16"/>
      <c r="H7685" s="24"/>
      <c r="I7685" s="24"/>
      <c r="L7685"/>
    </row>
    <row r="7686" spans="1:12" x14ac:dyDescent="0.25">
      <c r="A7686" s="16"/>
      <c r="D7686" s="16"/>
      <c r="F7686" s="16"/>
      <c r="G7686" s="16"/>
      <c r="H7686" s="24"/>
      <c r="I7686" s="24"/>
      <c r="L7686"/>
    </row>
    <row r="7687" spans="1:12" x14ac:dyDescent="0.25">
      <c r="A7687" s="16"/>
      <c r="D7687" s="16"/>
      <c r="F7687" s="16"/>
      <c r="G7687" s="16"/>
      <c r="H7687" s="24"/>
      <c r="I7687" s="24"/>
      <c r="L7687"/>
    </row>
    <row r="7688" spans="1:12" x14ac:dyDescent="0.25">
      <c r="A7688" s="16"/>
      <c r="D7688" s="16"/>
      <c r="F7688" s="16"/>
      <c r="G7688" s="16"/>
      <c r="H7688" s="24"/>
      <c r="I7688" s="24"/>
      <c r="L7688"/>
    </row>
    <row r="7689" spans="1:12" x14ac:dyDescent="0.25">
      <c r="A7689" s="16"/>
      <c r="D7689" s="16"/>
      <c r="F7689" s="16"/>
      <c r="G7689" s="16"/>
      <c r="H7689" s="24"/>
      <c r="I7689" s="24"/>
      <c r="L7689"/>
    </row>
    <row r="7690" spans="1:12" x14ac:dyDescent="0.25">
      <c r="A7690" s="16"/>
      <c r="D7690" s="16"/>
      <c r="F7690" s="16"/>
      <c r="G7690" s="16"/>
      <c r="H7690" s="24"/>
      <c r="I7690" s="24"/>
      <c r="L7690"/>
    </row>
    <row r="7691" spans="1:12" x14ac:dyDescent="0.25">
      <c r="A7691" s="16"/>
      <c r="D7691" s="16"/>
      <c r="F7691" s="16"/>
      <c r="G7691" s="16"/>
      <c r="H7691" s="24"/>
      <c r="I7691" s="24"/>
      <c r="L7691"/>
    </row>
    <row r="7692" spans="1:12" x14ac:dyDescent="0.25">
      <c r="A7692" s="16"/>
      <c r="D7692" s="16"/>
      <c r="F7692" s="16"/>
      <c r="G7692" s="16"/>
      <c r="H7692" s="24"/>
      <c r="I7692" s="24"/>
      <c r="L7692"/>
    </row>
    <row r="7693" spans="1:12" x14ac:dyDescent="0.25">
      <c r="A7693" s="16"/>
      <c r="D7693" s="16"/>
      <c r="F7693" s="16"/>
      <c r="G7693" s="16"/>
      <c r="H7693" s="24"/>
      <c r="I7693" s="24"/>
      <c r="L7693"/>
    </row>
    <row r="7694" spans="1:12" x14ac:dyDescent="0.25">
      <c r="A7694" s="16"/>
      <c r="D7694" s="16"/>
      <c r="F7694" s="16"/>
      <c r="G7694" s="16"/>
      <c r="H7694" s="24"/>
      <c r="I7694" s="24"/>
      <c r="L7694"/>
    </row>
    <row r="7695" spans="1:12" x14ac:dyDescent="0.25">
      <c r="A7695" s="16"/>
      <c r="D7695" s="16"/>
      <c r="F7695" s="16"/>
      <c r="G7695" s="16"/>
      <c r="H7695" s="24"/>
      <c r="I7695" s="24"/>
      <c r="L7695"/>
    </row>
    <row r="7696" spans="1:12" x14ac:dyDescent="0.25">
      <c r="A7696" s="16"/>
      <c r="D7696" s="16"/>
      <c r="F7696" s="16"/>
      <c r="G7696" s="16"/>
      <c r="H7696" s="24"/>
      <c r="I7696" s="24"/>
      <c r="L7696"/>
    </row>
    <row r="7697" spans="1:12" x14ac:dyDescent="0.25">
      <c r="A7697" s="16"/>
      <c r="D7697" s="16"/>
      <c r="F7697" s="16"/>
      <c r="G7697" s="16"/>
      <c r="H7697" s="24"/>
      <c r="I7697" s="24"/>
      <c r="L7697"/>
    </row>
    <row r="7698" spans="1:12" x14ac:dyDescent="0.25">
      <c r="A7698" s="16"/>
      <c r="D7698" s="16"/>
      <c r="F7698" s="16"/>
      <c r="G7698" s="16"/>
      <c r="H7698" s="24"/>
      <c r="I7698" s="24"/>
      <c r="L7698"/>
    </row>
    <row r="7699" spans="1:12" x14ac:dyDescent="0.25">
      <c r="A7699" s="16"/>
      <c r="D7699" s="16"/>
      <c r="F7699" s="16"/>
      <c r="G7699" s="16"/>
      <c r="H7699" s="24"/>
      <c r="I7699" s="24"/>
      <c r="L7699"/>
    </row>
    <row r="7700" spans="1:12" x14ac:dyDescent="0.25">
      <c r="A7700" s="16"/>
      <c r="D7700" s="16"/>
      <c r="F7700" s="16"/>
      <c r="G7700" s="16"/>
      <c r="H7700" s="24"/>
      <c r="I7700" s="24"/>
      <c r="L7700"/>
    </row>
    <row r="7701" spans="1:12" x14ac:dyDescent="0.25">
      <c r="A7701" s="16"/>
      <c r="D7701" s="16"/>
      <c r="F7701" s="16"/>
      <c r="G7701" s="16"/>
      <c r="H7701" s="24"/>
      <c r="I7701" s="24"/>
      <c r="L7701"/>
    </row>
    <row r="7702" spans="1:12" x14ac:dyDescent="0.25">
      <c r="A7702" s="16"/>
      <c r="D7702" s="16"/>
      <c r="F7702" s="16"/>
      <c r="G7702" s="16"/>
      <c r="H7702" s="24"/>
      <c r="I7702" s="24"/>
      <c r="L7702"/>
    </row>
    <row r="7703" spans="1:12" x14ac:dyDescent="0.25">
      <c r="A7703" s="16"/>
      <c r="D7703" s="16"/>
      <c r="F7703" s="16"/>
      <c r="G7703" s="16"/>
      <c r="H7703" s="24"/>
      <c r="I7703" s="24"/>
      <c r="L7703"/>
    </row>
    <row r="7704" spans="1:12" x14ac:dyDescent="0.25">
      <c r="A7704" s="16"/>
      <c r="D7704" s="16"/>
      <c r="F7704" s="16"/>
      <c r="G7704" s="16"/>
      <c r="H7704" s="24"/>
      <c r="I7704" s="24"/>
      <c r="L7704"/>
    </row>
    <row r="7705" spans="1:12" x14ac:dyDescent="0.25">
      <c r="A7705" s="16"/>
      <c r="D7705" s="16"/>
      <c r="F7705" s="16"/>
      <c r="G7705" s="16"/>
      <c r="H7705" s="24"/>
      <c r="I7705" s="24"/>
      <c r="L7705"/>
    </row>
    <row r="7706" spans="1:12" x14ac:dyDescent="0.25">
      <c r="A7706" s="16"/>
      <c r="D7706" s="16"/>
      <c r="F7706" s="16"/>
      <c r="G7706" s="16"/>
      <c r="H7706" s="24"/>
      <c r="I7706" s="24"/>
      <c r="L7706"/>
    </row>
    <row r="7707" spans="1:12" x14ac:dyDescent="0.25">
      <c r="A7707" s="16"/>
      <c r="D7707" s="16"/>
      <c r="F7707" s="16"/>
      <c r="G7707" s="16"/>
      <c r="H7707" s="24"/>
      <c r="I7707" s="24"/>
      <c r="L7707"/>
    </row>
    <row r="7708" spans="1:12" x14ac:dyDescent="0.25">
      <c r="A7708" s="16"/>
      <c r="D7708" s="16"/>
      <c r="F7708" s="16"/>
      <c r="G7708" s="16"/>
      <c r="H7708" s="24"/>
      <c r="I7708" s="24"/>
      <c r="L7708"/>
    </row>
    <row r="7709" spans="1:12" x14ac:dyDescent="0.25">
      <c r="A7709" s="16"/>
      <c r="D7709" s="16"/>
      <c r="F7709" s="16"/>
      <c r="G7709" s="16"/>
      <c r="H7709" s="24"/>
      <c r="I7709" s="24"/>
      <c r="L7709"/>
    </row>
    <row r="7710" spans="1:12" x14ac:dyDescent="0.25">
      <c r="A7710" s="16"/>
      <c r="D7710" s="16"/>
      <c r="F7710" s="16"/>
      <c r="G7710" s="16"/>
      <c r="H7710" s="24"/>
      <c r="I7710" s="24"/>
      <c r="L7710"/>
    </row>
    <row r="7711" spans="1:12" x14ac:dyDescent="0.25">
      <c r="A7711" s="16"/>
      <c r="D7711" s="16"/>
      <c r="F7711" s="16"/>
      <c r="G7711" s="16"/>
      <c r="H7711" s="24"/>
      <c r="I7711" s="24"/>
      <c r="L7711"/>
    </row>
    <row r="7712" spans="1:12" x14ac:dyDescent="0.25">
      <c r="A7712" s="16"/>
      <c r="D7712" s="16"/>
      <c r="F7712" s="16"/>
      <c r="G7712" s="16"/>
      <c r="H7712" s="24"/>
      <c r="I7712" s="24"/>
      <c r="L7712"/>
    </row>
    <row r="7713" spans="1:12" x14ac:dyDescent="0.25">
      <c r="A7713" s="16"/>
      <c r="D7713" s="16"/>
      <c r="F7713" s="16"/>
      <c r="G7713" s="16"/>
      <c r="H7713" s="24"/>
      <c r="I7713" s="24"/>
      <c r="L7713"/>
    </row>
    <row r="7714" spans="1:12" x14ac:dyDescent="0.25">
      <c r="A7714" s="16"/>
      <c r="D7714" s="16"/>
      <c r="F7714" s="16"/>
      <c r="G7714" s="16"/>
      <c r="H7714" s="24"/>
      <c r="I7714" s="24"/>
      <c r="L7714"/>
    </row>
    <row r="7715" spans="1:12" x14ac:dyDescent="0.25">
      <c r="A7715" s="16"/>
      <c r="D7715" s="16"/>
      <c r="F7715" s="16"/>
      <c r="G7715" s="16"/>
      <c r="H7715" s="24"/>
      <c r="I7715" s="24"/>
      <c r="L7715"/>
    </row>
    <row r="7716" spans="1:12" x14ac:dyDescent="0.25">
      <c r="A7716" s="16"/>
      <c r="D7716" s="16"/>
      <c r="F7716" s="16"/>
      <c r="G7716" s="16"/>
      <c r="H7716" s="24"/>
      <c r="I7716" s="24"/>
      <c r="L7716"/>
    </row>
    <row r="7717" spans="1:12" x14ac:dyDescent="0.25">
      <c r="A7717" s="16"/>
      <c r="D7717" s="16"/>
      <c r="F7717" s="16"/>
      <c r="G7717" s="16"/>
      <c r="H7717" s="24"/>
      <c r="I7717" s="24"/>
      <c r="L7717"/>
    </row>
    <row r="7718" spans="1:12" x14ac:dyDescent="0.25">
      <c r="A7718" s="16"/>
      <c r="D7718" s="16"/>
      <c r="F7718" s="16"/>
      <c r="G7718" s="16"/>
      <c r="H7718" s="24"/>
      <c r="I7718" s="24"/>
      <c r="L7718"/>
    </row>
    <row r="7719" spans="1:12" x14ac:dyDescent="0.25">
      <c r="A7719" s="16"/>
      <c r="D7719" s="16"/>
      <c r="F7719" s="16"/>
      <c r="G7719" s="16"/>
      <c r="H7719" s="24"/>
      <c r="I7719" s="24"/>
      <c r="L7719"/>
    </row>
    <row r="7720" spans="1:12" x14ac:dyDescent="0.25">
      <c r="A7720" s="16"/>
      <c r="D7720" s="16"/>
      <c r="F7720" s="16"/>
      <c r="G7720" s="16"/>
      <c r="H7720" s="24"/>
      <c r="I7720" s="24"/>
      <c r="L7720"/>
    </row>
    <row r="7721" spans="1:12" x14ac:dyDescent="0.25">
      <c r="A7721" s="16"/>
      <c r="D7721" s="16"/>
      <c r="F7721" s="16"/>
      <c r="G7721" s="16"/>
      <c r="H7721" s="24"/>
      <c r="I7721" s="24"/>
      <c r="L7721"/>
    </row>
    <row r="7722" spans="1:12" x14ac:dyDescent="0.25">
      <c r="A7722" s="16"/>
      <c r="D7722" s="16"/>
      <c r="F7722" s="16"/>
      <c r="G7722" s="16"/>
      <c r="H7722" s="24"/>
      <c r="I7722" s="24"/>
      <c r="L7722"/>
    </row>
    <row r="7723" spans="1:12" x14ac:dyDescent="0.25">
      <c r="A7723" s="16"/>
      <c r="D7723" s="16"/>
      <c r="F7723" s="16"/>
      <c r="G7723" s="16"/>
      <c r="H7723" s="24"/>
      <c r="I7723" s="24"/>
      <c r="L7723"/>
    </row>
    <row r="7724" spans="1:12" x14ac:dyDescent="0.25">
      <c r="A7724" s="16"/>
      <c r="D7724" s="16"/>
      <c r="F7724" s="16"/>
      <c r="G7724" s="16"/>
      <c r="H7724" s="24"/>
      <c r="I7724" s="24"/>
      <c r="L7724"/>
    </row>
    <row r="7725" spans="1:12" x14ac:dyDescent="0.25">
      <c r="A7725" s="16"/>
      <c r="D7725" s="16"/>
      <c r="F7725" s="16"/>
      <c r="G7725" s="16"/>
      <c r="H7725" s="24"/>
      <c r="I7725" s="24"/>
      <c r="L7725"/>
    </row>
    <row r="7726" spans="1:12" x14ac:dyDescent="0.25">
      <c r="A7726" s="16"/>
      <c r="D7726" s="16"/>
      <c r="F7726" s="16"/>
      <c r="G7726" s="16"/>
      <c r="H7726" s="24"/>
      <c r="I7726" s="24"/>
      <c r="L7726"/>
    </row>
    <row r="7727" spans="1:12" x14ac:dyDescent="0.25">
      <c r="A7727" s="16"/>
      <c r="D7727" s="16"/>
      <c r="F7727" s="16"/>
      <c r="G7727" s="16"/>
      <c r="H7727" s="24"/>
      <c r="I7727" s="24"/>
      <c r="L7727"/>
    </row>
    <row r="7728" spans="1:12" x14ac:dyDescent="0.25">
      <c r="A7728" s="16"/>
      <c r="D7728" s="16"/>
      <c r="F7728" s="16"/>
      <c r="G7728" s="16"/>
      <c r="H7728" s="24"/>
      <c r="I7728" s="24"/>
      <c r="L7728"/>
    </row>
    <row r="7729" spans="1:12" x14ac:dyDescent="0.25">
      <c r="A7729" s="16"/>
      <c r="D7729" s="16"/>
      <c r="F7729" s="16"/>
      <c r="G7729" s="16"/>
      <c r="H7729" s="24"/>
      <c r="I7729" s="24"/>
      <c r="L7729"/>
    </row>
    <row r="7730" spans="1:12" x14ac:dyDescent="0.25">
      <c r="A7730" s="16"/>
      <c r="D7730" s="16"/>
      <c r="F7730" s="16"/>
      <c r="G7730" s="16"/>
      <c r="H7730" s="24"/>
      <c r="I7730" s="24"/>
      <c r="L7730"/>
    </row>
    <row r="7731" spans="1:12" x14ac:dyDescent="0.25">
      <c r="A7731" s="16"/>
      <c r="D7731" s="16"/>
      <c r="F7731" s="16"/>
      <c r="G7731" s="16"/>
      <c r="H7731" s="24"/>
      <c r="I7731" s="24"/>
      <c r="L7731"/>
    </row>
    <row r="7732" spans="1:12" x14ac:dyDescent="0.25">
      <c r="A7732" s="16"/>
      <c r="D7732" s="16"/>
      <c r="F7732" s="16"/>
      <c r="G7732" s="16"/>
      <c r="H7732" s="24"/>
      <c r="I7732" s="24"/>
      <c r="L7732"/>
    </row>
    <row r="7733" spans="1:12" x14ac:dyDescent="0.25">
      <c r="A7733" s="16"/>
      <c r="D7733" s="16"/>
      <c r="F7733" s="16"/>
      <c r="G7733" s="16"/>
      <c r="H7733" s="24"/>
      <c r="I7733" s="24"/>
      <c r="L7733"/>
    </row>
    <row r="7734" spans="1:12" x14ac:dyDescent="0.25">
      <c r="A7734" s="16"/>
      <c r="D7734" s="16"/>
      <c r="F7734" s="16"/>
      <c r="G7734" s="16"/>
      <c r="H7734" s="24"/>
      <c r="I7734" s="24"/>
      <c r="L7734"/>
    </row>
    <row r="7735" spans="1:12" x14ac:dyDescent="0.25">
      <c r="A7735" s="16"/>
      <c r="D7735" s="16"/>
      <c r="F7735" s="16"/>
      <c r="G7735" s="16"/>
      <c r="H7735" s="24"/>
      <c r="I7735" s="24"/>
      <c r="L7735"/>
    </row>
    <row r="7736" spans="1:12" x14ac:dyDescent="0.25">
      <c r="A7736" s="16"/>
      <c r="D7736" s="16"/>
      <c r="F7736" s="16"/>
      <c r="G7736" s="16"/>
      <c r="H7736" s="24"/>
      <c r="I7736" s="24"/>
      <c r="L7736"/>
    </row>
    <row r="7737" spans="1:12" x14ac:dyDescent="0.25">
      <c r="A7737" s="16"/>
      <c r="D7737" s="16"/>
      <c r="F7737" s="16"/>
      <c r="G7737" s="16"/>
      <c r="H7737" s="24"/>
      <c r="I7737" s="24"/>
      <c r="L7737"/>
    </row>
    <row r="7738" spans="1:12" x14ac:dyDescent="0.25">
      <c r="A7738" s="16"/>
      <c r="D7738" s="16"/>
      <c r="F7738" s="16"/>
      <c r="G7738" s="16"/>
      <c r="H7738" s="24"/>
      <c r="I7738" s="24"/>
      <c r="L7738"/>
    </row>
    <row r="7739" spans="1:12" x14ac:dyDescent="0.25">
      <c r="A7739" s="16"/>
      <c r="D7739" s="16"/>
      <c r="F7739" s="16"/>
      <c r="G7739" s="16"/>
      <c r="H7739" s="24"/>
      <c r="I7739" s="24"/>
      <c r="L7739"/>
    </row>
    <row r="7740" spans="1:12" x14ac:dyDescent="0.25">
      <c r="A7740" s="16"/>
      <c r="D7740" s="16"/>
      <c r="F7740" s="16"/>
      <c r="G7740" s="16"/>
      <c r="H7740" s="24"/>
      <c r="I7740" s="24"/>
      <c r="L7740"/>
    </row>
    <row r="7741" spans="1:12" x14ac:dyDescent="0.25">
      <c r="A7741" s="16"/>
      <c r="D7741" s="16"/>
      <c r="F7741" s="16"/>
      <c r="G7741" s="16"/>
      <c r="H7741" s="24"/>
      <c r="I7741" s="24"/>
      <c r="L7741"/>
    </row>
    <row r="7742" spans="1:12" x14ac:dyDescent="0.25">
      <c r="A7742" s="16"/>
      <c r="D7742" s="16"/>
      <c r="F7742" s="16"/>
      <c r="G7742" s="16"/>
      <c r="H7742" s="24"/>
      <c r="I7742" s="24"/>
      <c r="L7742"/>
    </row>
    <row r="7743" spans="1:12" x14ac:dyDescent="0.25">
      <c r="A7743" s="16"/>
      <c r="D7743" s="16"/>
      <c r="F7743" s="16"/>
      <c r="G7743" s="16"/>
      <c r="H7743" s="24"/>
      <c r="I7743" s="24"/>
      <c r="L7743"/>
    </row>
    <row r="7744" spans="1:12" x14ac:dyDescent="0.25">
      <c r="A7744" s="16"/>
      <c r="D7744" s="16"/>
      <c r="F7744" s="16"/>
      <c r="G7744" s="16"/>
      <c r="H7744" s="24"/>
      <c r="I7744" s="24"/>
      <c r="L7744"/>
    </row>
    <row r="7745" spans="1:12" x14ac:dyDescent="0.25">
      <c r="A7745" s="16"/>
      <c r="D7745" s="16"/>
      <c r="F7745" s="16"/>
      <c r="G7745" s="16"/>
      <c r="H7745" s="24"/>
      <c r="I7745" s="24"/>
      <c r="L7745"/>
    </row>
    <row r="7746" spans="1:12" x14ac:dyDescent="0.25">
      <c r="A7746" s="16"/>
      <c r="D7746" s="16"/>
      <c r="F7746" s="16"/>
      <c r="G7746" s="16"/>
      <c r="H7746" s="24"/>
      <c r="I7746" s="24"/>
      <c r="L7746"/>
    </row>
    <row r="7747" spans="1:12" x14ac:dyDescent="0.25">
      <c r="A7747" s="16"/>
      <c r="D7747" s="16"/>
      <c r="F7747" s="16"/>
      <c r="G7747" s="16"/>
      <c r="H7747" s="24"/>
      <c r="I7747" s="24"/>
      <c r="L7747"/>
    </row>
    <row r="7748" spans="1:12" x14ac:dyDescent="0.25">
      <c r="A7748" s="16"/>
      <c r="D7748" s="16"/>
      <c r="F7748" s="16"/>
      <c r="G7748" s="16"/>
      <c r="H7748" s="24"/>
      <c r="I7748" s="24"/>
      <c r="L7748"/>
    </row>
    <row r="7749" spans="1:12" x14ac:dyDescent="0.25">
      <c r="A7749" s="16"/>
      <c r="D7749" s="16"/>
      <c r="F7749" s="16"/>
      <c r="G7749" s="16"/>
      <c r="H7749" s="24"/>
      <c r="I7749" s="24"/>
      <c r="L7749"/>
    </row>
    <row r="7750" spans="1:12" x14ac:dyDescent="0.25">
      <c r="A7750" s="16"/>
      <c r="D7750" s="16"/>
      <c r="F7750" s="16"/>
      <c r="G7750" s="16"/>
      <c r="H7750" s="24"/>
      <c r="I7750" s="24"/>
      <c r="L7750"/>
    </row>
    <row r="7751" spans="1:12" x14ac:dyDescent="0.25">
      <c r="A7751" s="16"/>
      <c r="D7751" s="16"/>
      <c r="F7751" s="16"/>
      <c r="G7751" s="16"/>
      <c r="H7751" s="24"/>
      <c r="I7751" s="24"/>
      <c r="L7751"/>
    </row>
    <row r="7752" spans="1:12" x14ac:dyDescent="0.25">
      <c r="A7752" s="16"/>
      <c r="D7752" s="16"/>
      <c r="F7752" s="16"/>
      <c r="G7752" s="16"/>
      <c r="H7752" s="24"/>
      <c r="I7752" s="24"/>
      <c r="L7752"/>
    </row>
    <row r="7753" spans="1:12" x14ac:dyDescent="0.25">
      <c r="A7753" s="16"/>
      <c r="D7753" s="16"/>
      <c r="F7753" s="16"/>
      <c r="G7753" s="16"/>
      <c r="H7753" s="24"/>
      <c r="I7753" s="24"/>
      <c r="L7753"/>
    </row>
    <row r="7754" spans="1:12" x14ac:dyDescent="0.25">
      <c r="A7754" s="16"/>
      <c r="D7754" s="16"/>
      <c r="F7754" s="16"/>
      <c r="G7754" s="16"/>
      <c r="H7754" s="24"/>
      <c r="I7754" s="24"/>
      <c r="L7754"/>
    </row>
    <row r="7755" spans="1:12" x14ac:dyDescent="0.25">
      <c r="A7755" s="16"/>
      <c r="D7755" s="16"/>
      <c r="F7755" s="16"/>
      <c r="G7755" s="16"/>
      <c r="H7755" s="24"/>
      <c r="I7755" s="24"/>
      <c r="L7755"/>
    </row>
    <row r="7756" spans="1:12" x14ac:dyDescent="0.25">
      <c r="A7756" s="16"/>
      <c r="D7756" s="16"/>
      <c r="F7756" s="16"/>
      <c r="G7756" s="16"/>
      <c r="H7756" s="24"/>
      <c r="I7756" s="24"/>
      <c r="L7756"/>
    </row>
    <row r="7757" spans="1:12" x14ac:dyDescent="0.25">
      <c r="A7757" s="16"/>
      <c r="D7757" s="16"/>
      <c r="F7757" s="16"/>
      <c r="G7757" s="16"/>
      <c r="H7757" s="24"/>
      <c r="I7757" s="24"/>
      <c r="L7757"/>
    </row>
    <row r="7758" spans="1:12" x14ac:dyDescent="0.25">
      <c r="A7758" s="16"/>
      <c r="D7758" s="16"/>
      <c r="F7758" s="16"/>
      <c r="G7758" s="16"/>
      <c r="H7758" s="24"/>
      <c r="I7758" s="24"/>
      <c r="L7758"/>
    </row>
    <row r="7759" spans="1:12" x14ac:dyDescent="0.25">
      <c r="A7759" s="16"/>
      <c r="D7759" s="16"/>
      <c r="F7759" s="16"/>
      <c r="G7759" s="16"/>
      <c r="H7759" s="24"/>
      <c r="I7759" s="24"/>
      <c r="L7759"/>
    </row>
    <row r="7760" spans="1:12" x14ac:dyDescent="0.25">
      <c r="A7760" s="16"/>
      <c r="D7760" s="16"/>
      <c r="F7760" s="16"/>
      <c r="G7760" s="16"/>
      <c r="H7760" s="24"/>
      <c r="I7760" s="24"/>
      <c r="L7760"/>
    </row>
    <row r="7761" spans="1:12" x14ac:dyDescent="0.25">
      <c r="A7761" s="16"/>
      <c r="D7761" s="16"/>
      <c r="F7761" s="16"/>
      <c r="G7761" s="16"/>
      <c r="H7761" s="24"/>
      <c r="I7761" s="24"/>
      <c r="L7761"/>
    </row>
    <row r="7762" spans="1:12" x14ac:dyDescent="0.25">
      <c r="A7762" s="16"/>
      <c r="D7762" s="16"/>
      <c r="F7762" s="16"/>
      <c r="G7762" s="16"/>
      <c r="H7762" s="24"/>
      <c r="I7762" s="24"/>
      <c r="L7762"/>
    </row>
    <row r="7763" spans="1:12" x14ac:dyDescent="0.25">
      <c r="A7763" s="16"/>
      <c r="D7763" s="16"/>
      <c r="F7763" s="16"/>
      <c r="G7763" s="16"/>
      <c r="H7763" s="24"/>
      <c r="I7763" s="24"/>
      <c r="L7763"/>
    </row>
    <row r="7764" spans="1:12" x14ac:dyDescent="0.25">
      <c r="A7764" s="16"/>
      <c r="D7764" s="16"/>
      <c r="F7764" s="16"/>
      <c r="G7764" s="16"/>
      <c r="H7764" s="24"/>
      <c r="I7764" s="24"/>
      <c r="L7764"/>
    </row>
    <row r="7765" spans="1:12" x14ac:dyDescent="0.25">
      <c r="A7765" s="16"/>
      <c r="D7765" s="16"/>
      <c r="F7765" s="16"/>
      <c r="G7765" s="16"/>
      <c r="H7765" s="24"/>
      <c r="I7765" s="24"/>
      <c r="L7765"/>
    </row>
    <row r="7766" spans="1:12" x14ac:dyDescent="0.25">
      <c r="A7766" s="16"/>
      <c r="D7766" s="16"/>
      <c r="F7766" s="16"/>
      <c r="G7766" s="16"/>
      <c r="H7766" s="24"/>
      <c r="I7766" s="24"/>
      <c r="L7766"/>
    </row>
    <row r="7767" spans="1:12" x14ac:dyDescent="0.25">
      <c r="A7767" s="16"/>
      <c r="D7767" s="16"/>
      <c r="F7767" s="16"/>
      <c r="G7767" s="16"/>
      <c r="H7767" s="24"/>
      <c r="I7767" s="24"/>
      <c r="L7767"/>
    </row>
    <row r="7768" spans="1:12" x14ac:dyDescent="0.25">
      <c r="A7768" s="16"/>
      <c r="D7768" s="16"/>
      <c r="F7768" s="16"/>
      <c r="G7768" s="16"/>
      <c r="H7768" s="24"/>
      <c r="I7768" s="24"/>
      <c r="L7768"/>
    </row>
    <row r="7769" spans="1:12" x14ac:dyDescent="0.25">
      <c r="A7769" s="16"/>
      <c r="D7769" s="16"/>
      <c r="F7769" s="16"/>
      <c r="G7769" s="16"/>
      <c r="H7769" s="24"/>
      <c r="I7769" s="24"/>
      <c r="L7769"/>
    </row>
    <row r="7770" spans="1:12" x14ac:dyDescent="0.25">
      <c r="A7770" s="16"/>
      <c r="D7770" s="16"/>
      <c r="F7770" s="16"/>
      <c r="G7770" s="16"/>
      <c r="H7770" s="24"/>
      <c r="I7770" s="24"/>
      <c r="L7770"/>
    </row>
    <row r="7771" spans="1:12" x14ac:dyDescent="0.25">
      <c r="A7771" s="16"/>
      <c r="D7771" s="16"/>
      <c r="F7771" s="16"/>
      <c r="G7771" s="16"/>
      <c r="H7771" s="24"/>
      <c r="I7771" s="24"/>
      <c r="L7771"/>
    </row>
    <row r="7772" spans="1:12" x14ac:dyDescent="0.25">
      <c r="A7772" s="16"/>
      <c r="D7772" s="16"/>
      <c r="F7772" s="16"/>
      <c r="G7772" s="16"/>
      <c r="H7772" s="24"/>
      <c r="I7772" s="24"/>
      <c r="L7772"/>
    </row>
    <row r="7773" spans="1:12" x14ac:dyDescent="0.25">
      <c r="A7773" s="16"/>
      <c r="D7773" s="16"/>
      <c r="F7773" s="16"/>
      <c r="G7773" s="16"/>
      <c r="H7773" s="24"/>
      <c r="I7773" s="24"/>
      <c r="L7773"/>
    </row>
    <row r="7774" spans="1:12" x14ac:dyDescent="0.25">
      <c r="A7774" s="16"/>
      <c r="D7774" s="16"/>
      <c r="F7774" s="16"/>
      <c r="G7774" s="16"/>
      <c r="H7774" s="24"/>
      <c r="I7774" s="24"/>
      <c r="L7774"/>
    </row>
    <row r="7775" spans="1:12" x14ac:dyDescent="0.25">
      <c r="A7775" s="16"/>
      <c r="D7775" s="16"/>
      <c r="F7775" s="16"/>
      <c r="G7775" s="16"/>
      <c r="H7775" s="24"/>
      <c r="I7775" s="24"/>
      <c r="L7775"/>
    </row>
    <row r="7776" spans="1:12" x14ac:dyDescent="0.25">
      <c r="A7776" s="16"/>
      <c r="D7776" s="16"/>
      <c r="F7776" s="16"/>
      <c r="G7776" s="16"/>
      <c r="H7776" s="24"/>
      <c r="I7776" s="24"/>
      <c r="L7776"/>
    </row>
    <row r="7777" spans="1:12" x14ac:dyDescent="0.25">
      <c r="A7777" s="16"/>
      <c r="D7777" s="16"/>
      <c r="F7777" s="16"/>
      <c r="G7777" s="16"/>
      <c r="H7777" s="24"/>
      <c r="I7777" s="24"/>
      <c r="L7777"/>
    </row>
    <row r="7778" spans="1:12" x14ac:dyDescent="0.25">
      <c r="A7778" s="16"/>
      <c r="D7778" s="16"/>
      <c r="F7778" s="16"/>
      <c r="G7778" s="16"/>
      <c r="H7778" s="24"/>
      <c r="I7778" s="24"/>
      <c r="L7778"/>
    </row>
    <row r="7779" spans="1:12" x14ac:dyDescent="0.25">
      <c r="A7779" s="16"/>
      <c r="D7779" s="16"/>
      <c r="F7779" s="16"/>
      <c r="G7779" s="16"/>
      <c r="H7779" s="24"/>
      <c r="I7779" s="24"/>
      <c r="L7779"/>
    </row>
    <row r="7780" spans="1:12" x14ac:dyDescent="0.25">
      <c r="A7780" s="16"/>
      <c r="D7780" s="16"/>
      <c r="F7780" s="16"/>
      <c r="G7780" s="16"/>
      <c r="H7780" s="24"/>
      <c r="I7780" s="24"/>
      <c r="L7780"/>
    </row>
    <row r="7781" spans="1:12" x14ac:dyDescent="0.25">
      <c r="A7781" s="16"/>
      <c r="D7781" s="16"/>
      <c r="F7781" s="16"/>
      <c r="G7781" s="16"/>
      <c r="H7781" s="24"/>
      <c r="I7781" s="24"/>
      <c r="L7781"/>
    </row>
    <row r="7782" spans="1:12" x14ac:dyDescent="0.25">
      <c r="A7782" s="16"/>
      <c r="D7782" s="16"/>
      <c r="F7782" s="16"/>
      <c r="G7782" s="16"/>
      <c r="H7782" s="24"/>
      <c r="I7782" s="24"/>
      <c r="L7782"/>
    </row>
    <row r="7783" spans="1:12" x14ac:dyDescent="0.25">
      <c r="A7783" s="16"/>
      <c r="D7783" s="16"/>
      <c r="F7783" s="16"/>
      <c r="G7783" s="16"/>
      <c r="H7783" s="24"/>
      <c r="I7783" s="24"/>
      <c r="L7783"/>
    </row>
    <row r="7784" spans="1:12" x14ac:dyDescent="0.25">
      <c r="A7784" s="16"/>
      <c r="D7784" s="16"/>
      <c r="F7784" s="16"/>
      <c r="G7784" s="16"/>
      <c r="H7784" s="24"/>
      <c r="I7784" s="24"/>
      <c r="L7784"/>
    </row>
    <row r="7785" spans="1:12" x14ac:dyDescent="0.25">
      <c r="A7785" s="16"/>
      <c r="D7785" s="16"/>
      <c r="F7785" s="16"/>
      <c r="G7785" s="16"/>
      <c r="H7785" s="24"/>
      <c r="I7785" s="24"/>
      <c r="L7785"/>
    </row>
    <row r="7786" spans="1:12" x14ac:dyDescent="0.25">
      <c r="A7786" s="16"/>
      <c r="D7786" s="16"/>
      <c r="F7786" s="16"/>
      <c r="G7786" s="16"/>
      <c r="H7786" s="24"/>
      <c r="I7786" s="24"/>
      <c r="L7786"/>
    </row>
    <row r="7787" spans="1:12" x14ac:dyDescent="0.25">
      <c r="A7787" s="16"/>
      <c r="D7787" s="16"/>
      <c r="F7787" s="16"/>
      <c r="G7787" s="16"/>
      <c r="H7787" s="24"/>
      <c r="I7787" s="24"/>
      <c r="L7787"/>
    </row>
    <row r="7788" spans="1:12" x14ac:dyDescent="0.25">
      <c r="A7788" s="16"/>
      <c r="D7788" s="16"/>
      <c r="F7788" s="16"/>
      <c r="G7788" s="16"/>
      <c r="H7788" s="24"/>
      <c r="I7788" s="24"/>
      <c r="L7788"/>
    </row>
    <row r="7789" spans="1:12" x14ac:dyDescent="0.25">
      <c r="A7789" s="16"/>
      <c r="D7789" s="16"/>
      <c r="F7789" s="16"/>
      <c r="G7789" s="16"/>
      <c r="H7789" s="24"/>
      <c r="I7789" s="24"/>
      <c r="L7789"/>
    </row>
    <row r="7790" spans="1:12" x14ac:dyDescent="0.25">
      <c r="A7790" s="16"/>
      <c r="D7790" s="16"/>
      <c r="F7790" s="16"/>
      <c r="G7790" s="16"/>
      <c r="H7790" s="24"/>
      <c r="I7790" s="24"/>
      <c r="L7790"/>
    </row>
    <row r="7791" spans="1:12" x14ac:dyDescent="0.25">
      <c r="A7791" s="16"/>
      <c r="D7791" s="16"/>
      <c r="F7791" s="16"/>
      <c r="G7791" s="16"/>
      <c r="H7791" s="24"/>
      <c r="I7791" s="24"/>
      <c r="L7791"/>
    </row>
    <row r="7792" spans="1:12" x14ac:dyDescent="0.25">
      <c r="A7792" s="16"/>
      <c r="D7792" s="16"/>
      <c r="F7792" s="16"/>
      <c r="G7792" s="16"/>
      <c r="H7792" s="24"/>
      <c r="I7792" s="24"/>
      <c r="L7792"/>
    </row>
    <row r="7793" spans="1:12" x14ac:dyDescent="0.25">
      <c r="A7793" s="16"/>
      <c r="D7793" s="16"/>
      <c r="F7793" s="16"/>
      <c r="G7793" s="16"/>
      <c r="H7793" s="24"/>
      <c r="I7793" s="24"/>
      <c r="L7793"/>
    </row>
    <row r="7794" spans="1:12" x14ac:dyDescent="0.25">
      <c r="A7794" s="16"/>
      <c r="D7794" s="16"/>
      <c r="F7794" s="16"/>
      <c r="G7794" s="16"/>
      <c r="H7794" s="24"/>
      <c r="I7794" s="24"/>
      <c r="L7794"/>
    </row>
    <row r="7795" spans="1:12" x14ac:dyDescent="0.25">
      <c r="A7795" s="16"/>
      <c r="D7795" s="16"/>
      <c r="F7795" s="16"/>
      <c r="G7795" s="16"/>
      <c r="H7795" s="24"/>
      <c r="I7795" s="24"/>
      <c r="L7795"/>
    </row>
    <row r="7796" spans="1:12" x14ac:dyDescent="0.25">
      <c r="A7796" s="16"/>
      <c r="D7796" s="16"/>
      <c r="F7796" s="16"/>
      <c r="G7796" s="16"/>
      <c r="H7796" s="24"/>
      <c r="I7796" s="24"/>
      <c r="L7796"/>
    </row>
    <row r="7797" spans="1:12" x14ac:dyDescent="0.25">
      <c r="A7797" s="16"/>
      <c r="D7797" s="16"/>
      <c r="F7797" s="16"/>
      <c r="G7797" s="16"/>
      <c r="H7797" s="24"/>
      <c r="I7797" s="24"/>
      <c r="L7797"/>
    </row>
    <row r="7798" spans="1:12" x14ac:dyDescent="0.25">
      <c r="A7798" s="16"/>
      <c r="D7798" s="16"/>
      <c r="F7798" s="16"/>
      <c r="G7798" s="16"/>
      <c r="H7798" s="24"/>
      <c r="I7798" s="24"/>
      <c r="L7798"/>
    </row>
    <row r="7799" spans="1:12" x14ac:dyDescent="0.25">
      <c r="A7799" s="16"/>
      <c r="D7799" s="16"/>
      <c r="F7799" s="16"/>
      <c r="G7799" s="16"/>
      <c r="H7799" s="24"/>
      <c r="I7799" s="24"/>
      <c r="L7799"/>
    </row>
    <row r="7800" spans="1:12" x14ac:dyDescent="0.25">
      <c r="A7800" s="16"/>
      <c r="D7800" s="16"/>
      <c r="F7800" s="16"/>
      <c r="G7800" s="16"/>
      <c r="H7800" s="24"/>
      <c r="I7800" s="24"/>
      <c r="L7800"/>
    </row>
    <row r="7801" spans="1:12" x14ac:dyDescent="0.25">
      <c r="A7801" s="16"/>
      <c r="D7801" s="16"/>
      <c r="F7801" s="16"/>
      <c r="G7801" s="16"/>
      <c r="H7801" s="24"/>
      <c r="I7801" s="24"/>
      <c r="L7801"/>
    </row>
    <row r="7802" spans="1:12" x14ac:dyDescent="0.25">
      <c r="A7802" s="16"/>
      <c r="D7802" s="16"/>
      <c r="F7802" s="16"/>
      <c r="G7802" s="16"/>
      <c r="H7802" s="24"/>
      <c r="I7802" s="24"/>
      <c r="L7802"/>
    </row>
    <row r="7803" spans="1:12" x14ac:dyDescent="0.25">
      <c r="A7803" s="16"/>
      <c r="D7803" s="16"/>
      <c r="F7803" s="16"/>
      <c r="G7803" s="16"/>
      <c r="H7803" s="24"/>
      <c r="I7803" s="24"/>
      <c r="L7803"/>
    </row>
    <row r="7804" spans="1:12" x14ac:dyDescent="0.25">
      <c r="A7804" s="16"/>
      <c r="D7804" s="16"/>
      <c r="F7804" s="16"/>
      <c r="G7804" s="16"/>
      <c r="H7804" s="24"/>
      <c r="I7804" s="24"/>
      <c r="L7804"/>
    </row>
    <row r="7805" spans="1:12" x14ac:dyDescent="0.25">
      <c r="A7805" s="16"/>
      <c r="D7805" s="16"/>
      <c r="F7805" s="16"/>
      <c r="G7805" s="16"/>
      <c r="H7805" s="24"/>
      <c r="I7805" s="24"/>
      <c r="L7805"/>
    </row>
    <row r="7806" spans="1:12" x14ac:dyDescent="0.25">
      <c r="A7806" s="16"/>
      <c r="D7806" s="16"/>
      <c r="F7806" s="16"/>
      <c r="G7806" s="16"/>
      <c r="H7806" s="24"/>
      <c r="I7806" s="24"/>
      <c r="L7806"/>
    </row>
    <row r="7807" spans="1:12" x14ac:dyDescent="0.25">
      <c r="A7807" s="16"/>
      <c r="D7807" s="16"/>
      <c r="F7807" s="16"/>
      <c r="G7807" s="16"/>
      <c r="H7807" s="24"/>
      <c r="I7807" s="24"/>
      <c r="L7807"/>
    </row>
    <row r="7808" spans="1:12" x14ac:dyDescent="0.25">
      <c r="A7808" s="16"/>
      <c r="D7808" s="16"/>
      <c r="F7808" s="16"/>
      <c r="G7808" s="16"/>
      <c r="H7808" s="24"/>
      <c r="I7808" s="24"/>
      <c r="L7808"/>
    </row>
    <row r="7809" spans="1:12" x14ac:dyDescent="0.25">
      <c r="A7809" s="16"/>
      <c r="D7809" s="16"/>
      <c r="F7809" s="16"/>
      <c r="G7809" s="16"/>
      <c r="H7809" s="24"/>
      <c r="I7809" s="24"/>
      <c r="L7809"/>
    </row>
    <row r="7810" spans="1:12" x14ac:dyDescent="0.25">
      <c r="A7810" s="16"/>
      <c r="D7810" s="16"/>
      <c r="F7810" s="16"/>
      <c r="G7810" s="16"/>
      <c r="H7810" s="24"/>
      <c r="I7810" s="24"/>
      <c r="L7810"/>
    </row>
    <row r="7811" spans="1:12" x14ac:dyDescent="0.25">
      <c r="A7811" s="16"/>
      <c r="D7811" s="16"/>
      <c r="F7811" s="16"/>
      <c r="G7811" s="16"/>
      <c r="H7811" s="24"/>
      <c r="I7811" s="24"/>
      <c r="L7811"/>
    </row>
    <row r="7812" spans="1:12" x14ac:dyDescent="0.25">
      <c r="A7812" s="16"/>
      <c r="D7812" s="16"/>
      <c r="F7812" s="16"/>
      <c r="G7812" s="16"/>
      <c r="H7812" s="24"/>
      <c r="I7812" s="24"/>
      <c r="L7812"/>
    </row>
    <row r="7813" spans="1:12" x14ac:dyDescent="0.25">
      <c r="A7813" s="16"/>
      <c r="D7813" s="16"/>
      <c r="F7813" s="16"/>
      <c r="G7813" s="16"/>
      <c r="H7813" s="24"/>
      <c r="I7813" s="24"/>
      <c r="L7813"/>
    </row>
    <row r="7814" spans="1:12" x14ac:dyDescent="0.25">
      <c r="A7814" s="16"/>
      <c r="D7814" s="16"/>
      <c r="F7814" s="16"/>
      <c r="G7814" s="16"/>
      <c r="H7814" s="24"/>
      <c r="I7814" s="24"/>
      <c r="L7814"/>
    </row>
    <row r="7815" spans="1:12" x14ac:dyDescent="0.25">
      <c r="A7815" s="16"/>
      <c r="D7815" s="16"/>
      <c r="F7815" s="16"/>
      <c r="G7815" s="16"/>
      <c r="H7815" s="24"/>
      <c r="I7815" s="24"/>
      <c r="L7815"/>
    </row>
    <row r="7816" spans="1:12" x14ac:dyDescent="0.25">
      <c r="A7816" s="16"/>
      <c r="D7816" s="16"/>
      <c r="F7816" s="16"/>
      <c r="G7816" s="16"/>
      <c r="H7816" s="24"/>
      <c r="I7816" s="24"/>
      <c r="L7816"/>
    </row>
    <row r="7817" spans="1:12" x14ac:dyDescent="0.25">
      <c r="A7817" s="16"/>
      <c r="D7817" s="16"/>
      <c r="F7817" s="16"/>
      <c r="G7817" s="16"/>
      <c r="H7817" s="24"/>
      <c r="I7817" s="24"/>
      <c r="L7817"/>
    </row>
    <row r="7818" spans="1:12" x14ac:dyDescent="0.25">
      <c r="A7818" s="16"/>
      <c r="D7818" s="16"/>
      <c r="F7818" s="16"/>
      <c r="G7818" s="16"/>
      <c r="H7818" s="24"/>
      <c r="I7818" s="24"/>
      <c r="L7818"/>
    </row>
    <row r="7819" spans="1:12" x14ac:dyDescent="0.25">
      <c r="A7819" s="16"/>
      <c r="D7819" s="16"/>
      <c r="F7819" s="16"/>
      <c r="G7819" s="16"/>
      <c r="H7819" s="24"/>
      <c r="I7819" s="24"/>
      <c r="L7819"/>
    </row>
    <row r="7820" spans="1:12" x14ac:dyDescent="0.25">
      <c r="A7820" s="16"/>
      <c r="D7820" s="16"/>
      <c r="F7820" s="16"/>
      <c r="G7820" s="16"/>
      <c r="H7820" s="24"/>
      <c r="I7820" s="24"/>
      <c r="L7820"/>
    </row>
    <row r="7821" spans="1:12" x14ac:dyDescent="0.25">
      <c r="A7821" s="16"/>
      <c r="D7821" s="16"/>
      <c r="F7821" s="16"/>
      <c r="G7821" s="16"/>
      <c r="H7821" s="24"/>
      <c r="I7821" s="24"/>
      <c r="L7821"/>
    </row>
    <row r="7822" spans="1:12" x14ac:dyDescent="0.25">
      <c r="A7822" s="16"/>
      <c r="D7822" s="16"/>
      <c r="F7822" s="16"/>
      <c r="G7822" s="16"/>
      <c r="H7822" s="24"/>
      <c r="I7822" s="24"/>
      <c r="L7822"/>
    </row>
    <row r="7823" spans="1:12" x14ac:dyDescent="0.25">
      <c r="A7823" s="16"/>
      <c r="D7823" s="16"/>
      <c r="F7823" s="16"/>
      <c r="G7823" s="16"/>
      <c r="H7823" s="24"/>
      <c r="I7823" s="24"/>
      <c r="L7823"/>
    </row>
    <row r="7824" spans="1:12" x14ac:dyDescent="0.25">
      <c r="A7824" s="16"/>
      <c r="D7824" s="16"/>
      <c r="F7824" s="16"/>
      <c r="G7824" s="16"/>
      <c r="H7824" s="24"/>
      <c r="I7824" s="24"/>
      <c r="L7824"/>
    </row>
    <row r="7825" spans="1:12" x14ac:dyDescent="0.25">
      <c r="A7825" s="16"/>
      <c r="D7825" s="16"/>
      <c r="F7825" s="16"/>
      <c r="G7825" s="16"/>
      <c r="H7825" s="24"/>
      <c r="I7825" s="24"/>
      <c r="L7825"/>
    </row>
    <row r="7826" spans="1:12" x14ac:dyDescent="0.25">
      <c r="A7826" s="16"/>
      <c r="D7826" s="16"/>
      <c r="F7826" s="16"/>
      <c r="G7826" s="16"/>
      <c r="H7826" s="24"/>
      <c r="I7826" s="24"/>
      <c r="L7826"/>
    </row>
    <row r="7827" spans="1:12" x14ac:dyDescent="0.25">
      <c r="A7827" s="16"/>
      <c r="D7827" s="16"/>
      <c r="F7827" s="16"/>
      <c r="G7827" s="16"/>
      <c r="H7827" s="24"/>
      <c r="I7827" s="24"/>
      <c r="L7827"/>
    </row>
    <row r="7828" spans="1:12" x14ac:dyDescent="0.25">
      <c r="A7828" s="16"/>
      <c r="D7828" s="16"/>
      <c r="F7828" s="16"/>
      <c r="G7828" s="16"/>
      <c r="H7828" s="24"/>
      <c r="I7828" s="24"/>
      <c r="L7828"/>
    </row>
    <row r="7829" spans="1:12" x14ac:dyDescent="0.25">
      <c r="A7829" s="16"/>
      <c r="D7829" s="16"/>
      <c r="F7829" s="16"/>
      <c r="G7829" s="16"/>
      <c r="H7829" s="24"/>
      <c r="I7829" s="24"/>
      <c r="L7829"/>
    </row>
    <row r="7830" spans="1:12" x14ac:dyDescent="0.25">
      <c r="A7830" s="16"/>
      <c r="D7830" s="16"/>
      <c r="F7830" s="16"/>
      <c r="G7830" s="16"/>
      <c r="H7830" s="24"/>
      <c r="I7830" s="24"/>
      <c r="L7830"/>
    </row>
    <row r="7831" spans="1:12" x14ac:dyDescent="0.25">
      <c r="A7831" s="16"/>
      <c r="D7831" s="16"/>
      <c r="F7831" s="16"/>
      <c r="G7831" s="16"/>
      <c r="H7831" s="24"/>
      <c r="I7831" s="24"/>
      <c r="L7831"/>
    </row>
    <row r="7832" spans="1:12" x14ac:dyDescent="0.25">
      <c r="A7832" s="16"/>
      <c r="D7832" s="16"/>
      <c r="F7832" s="16"/>
      <c r="G7832" s="16"/>
      <c r="H7832" s="24"/>
      <c r="I7832" s="24"/>
      <c r="L7832"/>
    </row>
    <row r="7833" spans="1:12" x14ac:dyDescent="0.25">
      <c r="A7833" s="16"/>
      <c r="D7833" s="16"/>
      <c r="F7833" s="16"/>
      <c r="G7833" s="16"/>
      <c r="H7833" s="24"/>
      <c r="I7833" s="24"/>
      <c r="L7833"/>
    </row>
    <row r="7834" spans="1:12" x14ac:dyDescent="0.25">
      <c r="A7834" s="16"/>
      <c r="D7834" s="16"/>
      <c r="F7834" s="16"/>
      <c r="G7834" s="16"/>
      <c r="H7834" s="24"/>
      <c r="I7834" s="24"/>
      <c r="L7834"/>
    </row>
    <row r="7835" spans="1:12" x14ac:dyDescent="0.25">
      <c r="A7835" s="16"/>
      <c r="D7835" s="16"/>
      <c r="F7835" s="16"/>
      <c r="G7835" s="16"/>
      <c r="H7835" s="24"/>
      <c r="I7835" s="24"/>
      <c r="L7835"/>
    </row>
    <row r="7836" spans="1:12" x14ac:dyDescent="0.25">
      <c r="A7836" s="16"/>
      <c r="D7836" s="16"/>
      <c r="F7836" s="16"/>
      <c r="G7836" s="16"/>
      <c r="H7836" s="24"/>
      <c r="I7836" s="24"/>
      <c r="L7836"/>
    </row>
    <row r="7837" spans="1:12" x14ac:dyDescent="0.25">
      <c r="A7837" s="16"/>
      <c r="D7837" s="16"/>
      <c r="F7837" s="16"/>
      <c r="G7837" s="16"/>
      <c r="H7837" s="24"/>
      <c r="I7837" s="24"/>
      <c r="L7837"/>
    </row>
    <row r="7838" spans="1:12" x14ac:dyDescent="0.25">
      <c r="A7838" s="16"/>
      <c r="D7838" s="16"/>
      <c r="F7838" s="16"/>
      <c r="G7838" s="16"/>
      <c r="H7838" s="24"/>
      <c r="I7838" s="24"/>
      <c r="L7838"/>
    </row>
    <row r="7839" spans="1:12" x14ac:dyDescent="0.25">
      <c r="A7839" s="16"/>
      <c r="D7839" s="16"/>
      <c r="F7839" s="16"/>
      <c r="G7839" s="16"/>
      <c r="H7839" s="24"/>
      <c r="I7839" s="24"/>
      <c r="L7839"/>
    </row>
    <row r="7840" spans="1:12" x14ac:dyDescent="0.25">
      <c r="A7840" s="16"/>
      <c r="D7840" s="16"/>
      <c r="F7840" s="16"/>
      <c r="G7840" s="16"/>
      <c r="H7840" s="24"/>
      <c r="I7840" s="24"/>
      <c r="L7840"/>
    </row>
    <row r="7841" spans="1:12" x14ac:dyDescent="0.25">
      <c r="A7841" s="16"/>
      <c r="D7841" s="16"/>
      <c r="F7841" s="16"/>
      <c r="G7841" s="16"/>
      <c r="H7841" s="24"/>
      <c r="I7841" s="24"/>
      <c r="L7841"/>
    </row>
    <row r="7842" spans="1:12" x14ac:dyDescent="0.25">
      <c r="A7842" s="16"/>
      <c r="D7842" s="16"/>
      <c r="F7842" s="16"/>
      <c r="G7842" s="16"/>
      <c r="H7842" s="24"/>
      <c r="I7842" s="24"/>
      <c r="L7842"/>
    </row>
    <row r="7843" spans="1:12" x14ac:dyDescent="0.25">
      <c r="A7843" s="16"/>
      <c r="D7843" s="16"/>
      <c r="F7843" s="16"/>
      <c r="G7843" s="16"/>
      <c r="H7843" s="24"/>
      <c r="I7843" s="24"/>
      <c r="L7843"/>
    </row>
    <row r="7844" spans="1:12" x14ac:dyDescent="0.25">
      <c r="A7844" s="16"/>
      <c r="D7844" s="16"/>
      <c r="F7844" s="16"/>
      <c r="G7844" s="16"/>
      <c r="H7844" s="24"/>
      <c r="I7844" s="24"/>
      <c r="L7844"/>
    </row>
    <row r="7845" spans="1:12" x14ac:dyDescent="0.25">
      <c r="A7845" s="16"/>
      <c r="D7845" s="16"/>
      <c r="F7845" s="16"/>
      <c r="G7845" s="16"/>
      <c r="H7845" s="24"/>
      <c r="I7845" s="24"/>
      <c r="L7845"/>
    </row>
    <row r="7846" spans="1:12" x14ac:dyDescent="0.25">
      <c r="A7846" s="16"/>
      <c r="D7846" s="16"/>
      <c r="F7846" s="16"/>
      <c r="G7846" s="16"/>
      <c r="H7846" s="24"/>
      <c r="I7846" s="24"/>
      <c r="L7846"/>
    </row>
    <row r="7847" spans="1:12" x14ac:dyDescent="0.25">
      <c r="A7847" s="16"/>
      <c r="D7847" s="16"/>
      <c r="F7847" s="16"/>
      <c r="G7847" s="16"/>
      <c r="H7847" s="24"/>
      <c r="I7847" s="24"/>
      <c r="L7847"/>
    </row>
    <row r="7848" spans="1:12" x14ac:dyDescent="0.25">
      <c r="A7848" s="16"/>
      <c r="D7848" s="16"/>
      <c r="F7848" s="16"/>
      <c r="G7848" s="16"/>
      <c r="H7848" s="24"/>
      <c r="I7848" s="24"/>
      <c r="L7848"/>
    </row>
    <row r="7849" spans="1:12" x14ac:dyDescent="0.25">
      <c r="A7849" s="16"/>
      <c r="D7849" s="16"/>
      <c r="F7849" s="16"/>
      <c r="G7849" s="16"/>
      <c r="H7849" s="24"/>
      <c r="I7849" s="24"/>
      <c r="L7849"/>
    </row>
    <row r="7850" spans="1:12" x14ac:dyDescent="0.25">
      <c r="A7850" s="16"/>
      <c r="D7850" s="16"/>
      <c r="F7850" s="16"/>
      <c r="G7850" s="16"/>
      <c r="H7850" s="24"/>
      <c r="I7850" s="24"/>
      <c r="L7850"/>
    </row>
    <row r="7851" spans="1:12" x14ac:dyDescent="0.25">
      <c r="A7851" s="16"/>
      <c r="D7851" s="16"/>
      <c r="F7851" s="16"/>
      <c r="G7851" s="16"/>
      <c r="H7851" s="24"/>
      <c r="I7851" s="24"/>
      <c r="L7851"/>
    </row>
    <row r="7852" spans="1:12" x14ac:dyDescent="0.25">
      <c r="A7852" s="16"/>
      <c r="D7852" s="16"/>
      <c r="F7852" s="16"/>
      <c r="G7852" s="16"/>
      <c r="H7852" s="24"/>
      <c r="I7852" s="24"/>
      <c r="L7852"/>
    </row>
    <row r="7853" spans="1:12" x14ac:dyDescent="0.25">
      <c r="A7853" s="16"/>
      <c r="D7853" s="16"/>
      <c r="F7853" s="16"/>
      <c r="G7853" s="16"/>
      <c r="H7853" s="24"/>
      <c r="I7853" s="24"/>
      <c r="L7853"/>
    </row>
    <row r="7854" spans="1:12" x14ac:dyDescent="0.25">
      <c r="A7854" s="16"/>
      <c r="D7854" s="16"/>
      <c r="F7854" s="16"/>
      <c r="G7854" s="16"/>
      <c r="H7854" s="24"/>
      <c r="I7854" s="24"/>
      <c r="L7854"/>
    </row>
    <row r="7855" spans="1:12" x14ac:dyDescent="0.25">
      <c r="A7855" s="16"/>
      <c r="D7855" s="16"/>
      <c r="F7855" s="16"/>
      <c r="G7855" s="16"/>
      <c r="H7855" s="24"/>
      <c r="I7855" s="24"/>
      <c r="L7855"/>
    </row>
    <row r="7856" spans="1:12" x14ac:dyDescent="0.25">
      <c r="A7856" s="16"/>
      <c r="D7856" s="16"/>
      <c r="F7856" s="16"/>
      <c r="G7856" s="16"/>
      <c r="H7856" s="24"/>
      <c r="I7856" s="24"/>
      <c r="L7856"/>
    </row>
    <row r="7857" spans="1:12" x14ac:dyDescent="0.25">
      <c r="A7857" s="16"/>
      <c r="D7857" s="16"/>
      <c r="F7857" s="16"/>
      <c r="G7857" s="16"/>
      <c r="H7857" s="24"/>
      <c r="I7857" s="24"/>
      <c r="L7857"/>
    </row>
    <row r="7858" spans="1:12" x14ac:dyDescent="0.25">
      <c r="A7858" s="16"/>
      <c r="D7858" s="16"/>
      <c r="F7858" s="16"/>
      <c r="G7858" s="16"/>
      <c r="H7858" s="24"/>
      <c r="I7858" s="24"/>
      <c r="L7858"/>
    </row>
    <row r="7859" spans="1:12" x14ac:dyDescent="0.25">
      <c r="A7859" s="16"/>
      <c r="D7859" s="16"/>
      <c r="F7859" s="16"/>
      <c r="G7859" s="16"/>
      <c r="H7859" s="24"/>
      <c r="I7859" s="24"/>
      <c r="L7859"/>
    </row>
    <row r="7860" spans="1:12" x14ac:dyDescent="0.25">
      <c r="A7860" s="16"/>
      <c r="D7860" s="16"/>
      <c r="F7860" s="16"/>
      <c r="G7860" s="16"/>
      <c r="H7860" s="24"/>
      <c r="I7860" s="24"/>
      <c r="L7860"/>
    </row>
    <row r="7861" spans="1:12" x14ac:dyDescent="0.25">
      <c r="A7861" s="16"/>
      <c r="D7861" s="16"/>
      <c r="F7861" s="16"/>
      <c r="G7861" s="16"/>
      <c r="H7861" s="24"/>
      <c r="I7861" s="24"/>
      <c r="L7861"/>
    </row>
    <row r="7862" spans="1:12" x14ac:dyDescent="0.25">
      <c r="A7862" s="16"/>
      <c r="D7862" s="16"/>
      <c r="F7862" s="16"/>
      <c r="G7862" s="16"/>
      <c r="H7862" s="24"/>
      <c r="I7862" s="24"/>
      <c r="L7862"/>
    </row>
    <row r="7863" spans="1:12" x14ac:dyDescent="0.25">
      <c r="A7863" s="16"/>
      <c r="D7863" s="16"/>
      <c r="F7863" s="16"/>
      <c r="G7863" s="16"/>
      <c r="H7863" s="24"/>
      <c r="I7863" s="24"/>
      <c r="L7863"/>
    </row>
    <row r="7864" spans="1:12" x14ac:dyDescent="0.25">
      <c r="A7864" s="16"/>
      <c r="D7864" s="16"/>
      <c r="F7864" s="16"/>
      <c r="G7864" s="16"/>
      <c r="H7864" s="24"/>
      <c r="I7864" s="24"/>
      <c r="L7864"/>
    </row>
    <row r="7865" spans="1:12" x14ac:dyDescent="0.25">
      <c r="A7865" s="16"/>
      <c r="D7865" s="16"/>
      <c r="F7865" s="16"/>
      <c r="G7865" s="16"/>
      <c r="H7865" s="24"/>
      <c r="I7865" s="24"/>
      <c r="L7865"/>
    </row>
    <row r="7866" spans="1:12" x14ac:dyDescent="0.25">
      <c r="A7866" s="16"/>
      <c r="D7866" s="16"/>
      <c r="F7866" s="16"/>
      <c r="G7866" s="16"/>
      <c r="H7866" s="24"/>
      <c r="I7866" s="24"/>
      <c r="L7866"/>
    </row>
    <row r="7867" spans="1:12" x14ac:dyDescent="0.25">
      <c r="A7867" s="16"/>
      <c r="D7867" s="16"/>
      <c r="F7867" s="16"/>
      <c r="G7867" s="16"/>
      <c r="H7867" s="24"/>
      <c r="I7867" s="24"/>
      <c r="L7867"/>
    </row>
    <row r="7868" spans="1:12" x14ac:dyDescent="0.25">
      <c r="A7868" s="16"/>
      <c r="D7868" s="16"/>
      <c r="F7868" s="16"/>
      <c r="G7868" s="16"/>
      <c r="H7868" s="24"/>
      <c r="I7868" s="24"/>
      <c r="L7868"/>
    </row>
    <row r="7869" spans="1:12" x14ac:dyDescent="0.25">
      <c r="A7869" s="16"/>
      <c r="D7869" s="16"/>
      <c r="F7869" s="16"/>
      <c r="G7869" s="16"/>
      <c r="H7869" s="24"/>
      <c r="I7869" s="24"/>
      <c r="L7869"/>
    </row>
    <row r="7870" spans="1:12" x14ac:dyDescent="0.25">
      <c r="A7870" s="16"/>
      <c r="D7870" s="16"/>
      <c r="F7870" s="16"/>
      <c r="G7870" s="16"/>
      <c r="H7870" s="24"/>
      <c r="I7870" s="24"/>
      <c r="L7870"/>
    </row>
    <row r="7871" spans="1:12" x14ac:dyDescent="0.25">
      <c r="A7871" s="16"/>
      <c r="D7871" s="16"/>
      <c r="F7871" s="16"/>
      <c r="G7871" s="16"/>
      <c r="H7871" s="24"/>
      <c r="I7871" s="24"/>
      <c r="L7871"/>
    </row>
    <row r="7872" spans="1:12" x14ac:dyDescent="0.25">
      <c r="A7872" s="16"/>
      <c r="D7872" s="16"/>
      <c r="F7872" s="16"/>
      <c r="G7872" s="16"/>
      <c r="H7872" s="24"/>
      <c r="I7872" s="24"/>
      <c r="L7872"/>
    </row>
    <row r="7873" spans="1:12" x14ac:dyDescent="0.25">
      <c r="A7873" s="16"/>
      <c r="D7873" s="16"/>
      <c r="F7873" s="16"/>
      <c r="G7873" s="16"/>
      <c r="H7873" s="24"/>
      <c r="I7873" s="24"/>
      <c r="L7873"/>
    </row>
    <row r="7874" spans="1:12" x14ac:dyDescent="0.25">
      <c r="A7874" s="16"/>
      <c r="D7874" s="16"/>
      <c r="F7874" s="16"/>
      <c r="G7874" s="16"/>
      <c r="H7874" s="24"/>
      <c r="I7874" s="24"/>
      <c r="L7874"/>
    </row>
    <row r="7875" spans="1:12" x14ac:dyDescent="0.25">
      <c r="A7875" s="16"/>
      <c r="D7875" s="16"/>
      <c r="F7875" s="16"/>
      <c r="G7875" s="16"/>
      <c r="H7875" s="24"/>
      <c r="I7875" s="24"/>
      <c r="L7875"/>
    </row>
    <row r="7876" spans="1:12" x14ac:dyDescent="0.25">
      <c r="A7876" s="16"/>
      <c r="D7876" s="16"/>
      <c r="F7876" s="16"/>
      <c r="G7876" s="16"/>
      <c r="H7876" s="24"/>
      <c r="I7876" s="24"/>
      <c r="L7876"/>
    </row>
    <row r="7877" spans="1:12" x14ac:dyDescent="0.25">
      <c r="A7877" s="16"/>
      <c r="D7877" s="16"/>
      <c r="F7877" s="16"/>
      <c r="G7877" s="16"/>
      <c r="H7877" s="24"/>
      <c r="I7877" s="24"/>
      <c r="L7877"/>
    </row>
    <row r="7878" spans="1:12" x14ac:dyDescent="0.25">
      <c r="A7878" s="16"/>
      <c r="D7878" s="16"/>
      <c r="F7878" s="16"/>
      <c r="G7878" s="16"/>
      <c r="H7878" s="24"/>
      <c r="I7878" s="24"/>
      <c r="L7878"/>
    </row>
    <row r="7879" spans="1:12" x14ac:dyDescent="0.25">
      <c r="A7879" s="16"/>
      <c r="D7879" s="16"/>
      <c r="F7879" s="16"/>
      <c r="G7879" s="16"/>
      <c r="H7879" s="24"/>
      <c r="I7879" s="24"/>
      <c r="L7879"/>
    </row>
    <row r="7880" spans="1:12" x14ac:dyDescent="0.25">
      <c r="A7880" s="16"/>
      <c r="D7880" s="16"/>
      <c r="F7880" s="16"/>
      <c r="G7880" s="16"/>
      <c r="H7880" s="24"/>
      <c r="I7880" s="24"/>
      <c r="L7880"/>
    </row>
    <row r="7881" spans="1:12" x14ac:dyDescent="0.25">
      <c r="A7881" s="16"/>
      <c r="D7881" s="16"/>
      <c r="F7881" s="16"/>
      <c r="G7881" s="16"/>
      <c r="H7881" s="24"/>
      <c r="I7881" s="24"/>
      <c r="L7881"/>
    </row>
    <row r="7882" spans="1:12" x14ac:dyDescent="0.25">
      <c r="A7882" s="16"/>
      <c r="D7882" s="16"/>
      <c r="F7882" s="16"/>
      <c r="G7882" s="16"/>
      <c r="H7882" s="24"/>
      <c r="I7882" s="24"/>
      <c r="L7882"/>
    </row>
    <row r="7883" spans="1:12" x14ac:dyDescent="0.25">
      <c r="A7883" s="16"/>
      <c r="D7883" s="16"/>
      <c r="F7883" s="16"/>
      <c r="G7883" s="16"/>
      <c r="H7883" s="24"/>
      <c r="I7883" s="24"/>
      <c r="L7883"/>
    </row>
    <row r="7884" spans="1:12" x14ac:dyDescent="0.25">
      <c r="A7884" s="16"/>
      <c r="D7884" s="16"/>
      <c r="F7884" s="16"/>
      <c r="G7884" s="16"/>
      <c r="H7884" s="24"/>
      <c r="I7884" s="24"/>
      <c r="L7884"/>
    </row>
    <row r="7885" spans="1:12" x14ac:dyDescent="0.25">
      <c r="A7885" s="16"/>
      <c r="D7885" s="16"/>
      <c r="F7885" s="16"/>
      <c r="G7885" s="16"/>
      <c r="H7885" s="24"/>
      <c r="I7885" s="24"/>
      <c r="L7885"/>
    </row>
    <row r="7886" spans="1:12" x14ac:dyDescent="0.25">
      <c r="A7886" s="16"/>
      <c r="D7886" s="16"/>
      <c r="F7886" s="16"/>
      <c r="G7886" s="16"/>
      <c r="H7886" s="24"/>
      <c r="I7886" s="24"/>
      <c r="L7886"/>
    </row>
    <row r="7887" spans="1:12" x14ac:dyDescent="0.25">
      <c r="A7887" s="16"/>
      <c r="D7887" s="16"/>
      <c r="F7887" s="16"/>
      <c r="G7887" s="16"/>
      <c r="H7887" s="24"/>
      <c r="I7887" s="24"/>
      <c r="L7887"/>
    </row>
    <row r="7888" spans="1:12" x14ac:dyDescent="0.25">
      <c r="A7888" s="16"/>
      <c r="D7888" s="16"/>
      <c r="F7888" s="16"/>
      <c r="G7888" s="16"/>
      <c r="H7888" s="24"/>
      <c r="I7888" s="24"/>
      <c r="L7888"/>
    </row>
    <row r="7889" spans="1:12" x14ac:dyDescent="0.25">
      <c r="A7889" s="16"/>
      <c r="D7889" s="16"/>
      <c r="F7889" s="16"/>
      <c r="G7889" s="16"/>
      <c r="H7889" s="24"/>
      <c r="I7889" s="24"/>
      <c r="L7889"/>
    </row>
    <row r="7890" spans="1:12" x14ac:dyDescent="0.25">
      <c r="A7890" s="16"/>
      <c r="D7890" s="16"/>
      <c r="F7890" s="16"/>
      <c r="G7890" s="16"/>
      <c r="H7890" s="24"/>
      <c r="I7890" s="24"/>
      <c r="L7890"/>
    </row>
    <row r="7891" spans="1:12" x14ac:dyDescent="0.25">
      <c r="A7891" s="16"/>
      <c r="D7891" s="16"/>
      <c r="F7891" s="16"/>
      <c r="G7891" s="16"/>
      <c r="H7891" s="24"/>
      <c r="I7891" s="24"/>
      <c r="L7891"/>
    </row>
    <row r="7892" spans="1:12" x14ac:dyDescent="0.25">
      <c r="A7892" s="16"/>
      <c r="D7892" s="16"/>
      <c r="F7892" s="16"/>
      <c r="G7892" s="16"/>
      <c r="H7892" s="24"/>
      <c r="I7892" s="24"/>
      <c r="L7892"/>
    </row>
    <row r="7893" spans="1:12" x14ac:dyDescent="0.25">
      <c r="A7893" s="16"/>
      <c r="D7893" s="16"/>
      <c r="F7893" s="16"/>
      <c r="G7893" s="16"/>
      <c r="H7893" s="24"/>
      <c r="I7893" s="24"/>
      <c r="L7893"/>
    </row>
    <row r="7894" spans="1:12" x14ac:dyDescent="0.25">
      <c r="A7894" s="16"/>
      <c r="D7894" s="16"/>
      <c r="F7894" s="16"/>
      <c r="G7894" s="16"/>
      <c r="H7894" s="24"/>
      <c r="I7894" s="24"/>
      <c r="L7894"/>
    </row>
    <row r="7895" spans="1:12" x14ac:dyDescent="0.25">
      <c r="A7895" s="16"/>
      <c r="D7895" s="16"/>
      <c r="F7895" s="16"/>
      <c r="G7895" s="16"/>
      <c r="H7895" s="24"/>
      <c r="I7895" s="24"/>
      <c r="L7895"/>
    </row>
    <row r="7896" spans="1:12" x14ac:dyDescent="0.25">
      <c r="A7896" s="16"/>
      <c r="D7896" s="16"/>
      <c r="F7896" s="16"/>
      <c r="G7896" s="16"/>
      <c r="H7896" s="24"/>
      <c r="I7896" s="24"/>
      <c r="L7896"/>
    </row>
    <row r="7897" spans="1:12" x14ac:dyDescent="0.25">
      <c r="A7897" s="16"/>
      <c r="D7897" s="16"/>
      <c r="F7897" s="16"/>
      <c r="G7897" s="16"/>
      <c r="H7897" s="24"/>
      <c r="I7897" s="24"/>
      <c r="L7897"/>
    </row>
    <row r="7898" spans="1:12" x14ac:dyDescent="0.25">
      <c r="A7898" s="16"/>
      <c r="D7898" s="16"/>
      <c r="F7898" s="16"/>
      <c r="G7898" s="16"/>
      <c r="H7898" s="24"/>
      <c r="I7898" s="24"/>
      <c r="L7898"/>
    </row>
    <row r="7899" spans="1:12" x14ac:dyDescent="0.25">
      <c r="A7899" s="16"/>
      <c r="D7899" s="16"/>
      <c r="F7899" s="16"/>
      <c r="G7899" s="16"/>
      <c r="H7899" s="24"/>
      <c r="I7899" s="24"/>
      <c r="L7899"/>
    </row>
    <row r="7900" spans="1:12" x14ac:dyDescent="0.25">
      <c r="A7900" s="16"/>
      <c r="D7900" s="16"/>
      <c r="F7900" s="16"/>
      <c r="G7900" s="16"/>
      <c r="H7900" s="24"/>
      <c r="I7900" s="24"/>
      <c r="L7900"/>
    </row>
    <row r="7901" spans="1:12" x14ac:dyDescent="0.25">
      <c r="A7901" s="16"/>
      <c r="D7901" s="16"/>
      <c r="F7901" s="16"/>
      <c r="G7901" s="16"/>
      <c r="H7901" s="24"/>
      <c r="I7901" s="24"/>
      <c r="L7901"/>
    </row>
    <row r="7902" spans="1:12" x14ac:dyDescent="0.25">
      <c r="A7902" s="16"/>
      <c r="D7902" s="16"/>
      <c r="F7902" s="16"/>
      <c r="G7902" s="16"/>
      <c r="H7902" s="24"/>
      <c r="I7902" s="24"/>
      <c r="L7902"/>
    </row>
    <row r="7903" spans="1:12" x14ac:dyDescent="0.25">
      <c r="A7903" s="16"/>
      <c r="D7903" s="16"/>
      <c r="F7903" s="16"/>
      <c r="G7903" s="16"/>
      <c r="H7903" s="24"/>
      <c r="I7903" s="24"/>
      <c r="L7903"/>
    </row>
    <row r="7904" spans="1:12" x14ac:dyDescent="0.25">
      <c r="A7904" s="16"/>
      <c r="D7904" s="16"/>
      <c r="F7904" s="16"/>
      <c r="G7904" s="16"/>
      <c r="H7904" s="24"/>
      <c r="I7904" s="24"/>
      <c r="L7904"/>
    </row>
    <row r="7905" spans="1:12" x14ac:dyDescent="0.25">
      <c r="A7905" s="16"/>
      <c r="D7905" s="16"/>
      <c r="F7905" s="16"/>
      <c r="G7905" s="16"/>
      <c r="H7905" s="24"/>
      <c r="I7905" s="24"/>
      <c r="L7905"/>
    </row>
    <row r="7906" spans="1:12" x14ac:dyDescent="0.25">
      <c r="A7906" s="16"/>
      <c r="D7906" s="16"/>
      <c r="F7906" s="16"/>
      <c r="G7906" s="16"/>
      <c r="H7906" s="24"/>
      <c r="I7906" s="24"/>
      <c r="L7906"/>
    </row>
    <row r="7907" spans="1:12" x14ac:dyDescent="0.25">
      <c r="A7907" s="16"/>
      <c r="D7907" s="16"/>
      <c r="F7907" s="16"/>
      <c r="G7907" s="16"/>
      <c r="H7907" s="24"/>
      <c r="I7907" s="24"/>
      <c r="L7907"/>
    </row>
    <row r="7908" spans="1:12" x14ac:dyDescent="0.25">
      <c r="A7908" s="16"/>
      <c r="D7908" s="16"/>
      <c r="F7908" s="16"/>
      <c r="G7908" s="16"/>
      <c r="H7908" s="24"/>
      <c r="I7908" s="24"/>
      <c r="L7908"/>
    </row>
    <row r="7909" spans="1:12" x14ac:dyDescent="0.25">
      <c r="A7909" s="16"/>
      <c r="D7909" s="16"/>
      <c r="F7909" s="16"/>
      <c r="G7909" s="16"/>
      <c r="H7909" s="24"/>
      <c r="I7909" s="24"/>
      <c r="L7909"/>
    </row>
    <row r="7910" spans="1:12" x14ac:dyDescent="0.25">
      <c r="A7910" s="16"/>
      <c r="D7910" s="16"/>
      <c r="F7910" s="16"/>
      <c r="G7910" s="16"/>
      <c r="H7910" s="24"/>
      <c r="I7910" s="24"/>
      <c r="L7910"/>
    </row>
    <row r="7911" spans="1:12" x14ac:dyDescent="0.25">
      <c r="A7911" s="16"/>
      <c r="D7911" s="16"/>
      <c r="F7911" s="16"/>
      <c r="G7911" s="16"/>
      <c r="H7911" s="24"/>
      <c r="I7911" s="24"/>
      <c r="L7911"/>
    </row>
    <row r="7912" spans="1:12" x14ac:dyDescent="0.25">
      <c r="A7912" s="16"/>
      <c r="D7912" s="16"/>
      <c r="F7912" s="16"/>
      <c r="G7912" s="16"/>
      <c r="H7912" s="24"/>
      <c r="I7912" s="24"/>
      <c r="L7912"/>
    </row>
    <row r="7913" spans="1:12" x14ac:dyDescent="0.25">
      <c r="A7913" s="16"/>
      <c r="D7913" s="16"/>
      <c r="F7913" s="16"/>
      <c r="G7913" s="16"/>
      <c r="H7913" s="24"/>
      <c r="I7913" s="24"/>
      <c r="L7913"/>
    </row>
    <row r="7914" spans="1:12" x14ac:dyDescent="0.25">
      <c r="A7914" s="16"/>
      <c r="D7914" s="16"/>
      <c r="F7914" s="16"/>
      <c r="G7914" s="16"/>
      <c r="H7914" s="24"/>
      <c r="I7914" s="24"/>
      <c r="L7914"/>
    </row>
    <row r="7915" spans="1:12" x14ac:dyDescent="0.25">
      <c r="A7915" s="16"/>
      <c r="D7915" s="16"/>
      <c r="F7915" s="16"/>
      <c r="G7915" s="16"/>
      <c r="H7915" s="24"/>
      <c r="I7915" s="24"/>
      <c r="L7915"/>
    </row>
    <row r="7916" spans="1:12" x14ac:dyDescent="0.25">
      <c r="A7916" s="16"/>
      <c r="D7916" s="16"/>
      <c r="F7916" s="16"/>
      <c r="G7916" s="16"/>
      <c r="H7916" s="24"/>
      <c r="I7916" s="24"/>
      <c r="L7916"/>
    </row>
    <row r="7917" spans="1:12" x14ac:dyDescent="0.25">
      <c r="A7917" s="16"/>
      <c r="D7917" s="16"/>
      <c r="F7917" s="16"/>
      <c r="G7917" s="16"/>
      <c r="H7917" s="24"/>
      <c r="I7917" s="24"/>
      <c r="L7917"/>
    </row>
    <row r="7918" spans="1:12" x14ac:dyDescent="0.25">
      <c r="A7918" s="16"/>
      <c r="D7918" s="16"/>
      <c r="F7918" s="16"/>
      <c r="G7918" s="16"/>
      <c r="H7918" s="24"/>
      <c r="I7918" s="24"/>
      <c r="L7918"/>
    </row>
    <row r="7919" spans="1:12" x14ac:dyDescent="0.25">
      <c r="A7919" s="16"/>
      <c r="D7919" s="16"/>
      <c r="F7919" s="16"/>
      <c r="G7919" s="16"/>
      <c r="H7919" s="24"/>
      <c r="I7919" s="24"/>
      <c r="L7919"/>
    </row>
    <row r="7920" spans="1:12" x14ac:dyDescent="0.25">
      <c r="A7920" s="16"/>
      <c r="D7920" s="16"/>
      <c r="F7920" s="16"/>
      <c r="G7920" s="16"/>
      <c r="H7920" s="24"/>
      <c r="I7920" s="24"/>
      <c r="L7920"/>
    </row>
    <row r="7921" spans="1:12" x14ac:dyDescent="0.25">
      <c r="A7921" s="16"/>
      <c r="D7921" s="16"/>
      <c r="F7921" s="16"/>
      <c r="G7921" s="16"/>
      <c r="H7921" s="24"/>
      <c r="I7921" s="24"/>
      <c r="L7921"/>
    </row>
    <row r="7922" spans="1:12" x14ac:dyDescent="0.25">
      <c r="A7922" s="16"/>
      <c r="D7922" s="16"/>
      <c r="F7922" s="16"/>
      <c r="G7922" s="16"/>
      <c r="H7922" s="24"/>
      <c r="I7922" s="24"/>
      <c r="L7922"/>
    </row>
    <row r="7923" spans="1:12" x14ac:dyDescent="0.25">
      <c r="A7923" s="16"/>
      <c r="D7923" s="16"/>
      <c r="F7923" s="16"/>
      <c r="G7923" s="16"/>
      <c r="H7923" s="24"/>
      <c r="I7923" s="24"/>
      <c r="L7923"/>
    </row>
    <row r="7924" spans="1:12" x14ac:dyDescent="0.25">
      <c r="A7924" s="16"/>
      <c r="D7924" s="16"/>
      <c r="F7924" s="16"/>
      <c r="G7924" s="16"/>
      <c r="H7924" s="24"/>
      <c r="I7924" s="24"/>
      <c r="L7924"/>
    </row>
    <row r="7925" spans="1:12" x14ac:dyDescent="0.25">
      <c r="A7925" s="16"/>
      <c r="D7925" s="16"/>
      <c r="F7925" s="16"/>
      <c r="G7925" s="16"/>
      <c r="H7925" s="24"/>
      <c r="I7925" s="24"/>
      <c r="L7925"/>
    </row>
    <row r="7926" spans="1:12" x14ac:dyDescent="0.25">
      <c r="A7926" s="16"/>
      <c r="D7926" s="16"/>
      <c r="F7926" s="16"/>
      <c r="G7926" s="16"/>
      <c r="H7926" s="24"/>
      <c r="I7926" s="24"/>
      <c r="L7926"/>
    </row>
    <row r="7927" spans="1:12" x14ac:dyDescent="0.25">
      <c r="A7927" s="16"/>
      <c r="D7927" s="16"/>
      <c r="F7927" s="16"/>
      <c r="G7927" s="16"/>
      <c r="H7927" s="24"/>
      <c r="I7927" s="24"/>
      <c r="L7927"/>
    </row>
    <row r="7928" spans="1:12" x14ac:dyDescent="0.25">
      <c r="A7928" s="16"/>
      <c r="D7928" s="16"/>
      <c r="F7928" s="16"/>
      <c r="G7928" s="16"/>
      <c r="H7928" s="24"/>
      <c r="I7928" s="24"/>
      <c r="L7928"/>
    </row>
    <row r="7929" spans="1:12" x14ac:dyDescent="0.25">
      <c r="A7929" s="16"/>
      <c r="D7929" s="16"/>
      <c r="F7929" s="16"/>
      <c r="G7929" s="16"/>
      <c r="H7929" s="24"/>
      <c r="I7929" s="24"/>
      <c r="L7929"/>
    </row>
    <row r="7930" spans="1:12" x14ac:dyDescent="0.25">
      <c r="A7930" s="16"/>
      <c r="D7930" s="16"/>
      <c r="F7930" s="16"/>
      <c r="G7930" s="16"/>
      <c r="H7930" s="24"/>
      <c r="I7930" s="24"/>
      <c r="L7930"/>
    </row>
    <row r="7931" spans="1:12" x14ac:dyDescent="0.25">
      <c r="A7931" s="16"/>
      <c r="D7931" s="16"/>
      <c r="F7931" s="16"/>
      <c r="G7931" s="16"/>
      <c r="H7931" s="24"/>
      <c r="I7931" s="24"/>
      <c r="L7931"/>
    </row>
    <row r="7932" spans="1:12" x14ac:dyDescent="0.25">
      <c r="A7932" s="16"/>
      <c r="D7932" s="16"/>
      <c r="F7932" s="16"/>
      <c r="G7932" s="16"/>
      <c r="H7932" s="24"/>
      <c r="I7932" s="24"/>
      <c r="L7932"/>
    </row>
    <row r="7933" spans="1:12" x14ac:dyDescent="0.25">
      <c r="A7933" s="16"/>
      <c r="D7933" s="16"/>
      <c r="F7933" s="16"/>
      <c r="G7933" s="16"/>
      <c r="H7933" s="24"/>
      <c r="I7933" s="24"/>
      <c r="L7933"/>
    </row>
    <row r="7934" spans="1:12" x14ac:dyDescent="0.25">
      <c r="A7934" s="16"/>
      <c r="D7934" s="16"/>
      <c r="F7934" s="16"/>
      <c r="G7934" s="16"/>
      <c r="H7934" s="24"/>
      <c r="I7934" s="24"/>
      <c r="L7934"/>
    </row>
    <row r="7935" spans="1:12" x14ac:dyDescent="0.25">
      <c r="A7935" s="16"/>
      <c r="D7935" s="16"/>
      <c r="F7935" s="16"/>
      <c r="G7935" s="16"/>
      <c r="H7935" s="24"/>
      <c r="I7935" s="24"/>
      <c r="L7935"/>
    </row>
    <row r="7936" spans="1:12" x14ac:dyDescent="0.25">
      <c r="A7936" s="16"/>
      <c r="D7936" s="16"/>
      <c r="F7936" s="16"/>
      <c r="G7936" s="16"/>
      <c r="H7936" s="24"/>
      <c r="I7936" s="24"/>
      <c r="L7936"/>
    </row>
    <row r="7937" spans="1:12" x14ac:dyDescent="0.25">
      <c r="A7937" s="16"/>
      <c r="D7937" s="16"/>
      <c r="F7937" s="16"/>
      <c r="G7937" s="16"/>
      <c r="H7937" s="24"/>
      <c r="I7937" s="24"/>
      <c r="L7937"/>
    </row>
    <row r="7938" spans="1:12" x14ac:dyDescent="0.25">
      <c r="A7938" s="16"/>
      <c r="D7938" s="16"/>
      <c r="F7938" s="16"/>
      <c r="G7938" s="16"/>
      <c r="H7938" s="24"/>
      <c r="I7938" s="24"/>
      <c r="L7938"/>
    </row>
    <row r="7939" spans="1:12" x14ac:dyDescent="0.25">
      <c r="A7939" s="16"/>
      <c r="D7939" s="16"/>
      <c r="F7939" s="16"/>
      <c r="G7939" s="16"/>
      <c r="H7939" s="24"/>
      <c r="I7939" s="24"/>
      <c r="L7939"/>
    </row>
    <row r="7940" spans="1:12" x14ac:dyDescent="0.25">
      <c r="A7940" s="16"/>
      <c r="D7940" s="16"/>
      <c r="F7940" s="16"/>
      <c r="G7940" s="16"/>
      <c r="H7940" s="24"/>
      <c r="I7940" s="24"/>
      <c r="L7940"/>
    </row>
    <row r="7941" spans="1:12" x14ac:dyDescent="0.25">
      <c r="A7941" s="16"/>
      <c r="D7941" s="16"/>
      <c r="F7941" s="16"/>
      <c r="G7941" s="16"/>
      <c r="H7941" s="24"/>
      <c r="I7941" s="24"/>
      <c r="L7941"/>
    </row>
    <row r="7942" spans="1:12" x14ac:dyDescent="0.25">
      <c r="A7942" s="16"/>
      <c r="D7942" s="16"/>
      <c r="F7942" s="16"/>
      <c r="G7942" s="16"/>
      <c r="H7942" s="24"/>
      <c r="I7942" s="24"/>
      <c r="L7942"/>
    </row>
    <row r="7943" spans="1:12" x14ac:dyDescent="0.25">
      <c r="A7943" s="16"/>
      <c r="D7943" s="16"/>
      <c r="F7943" s="16"/>
      <c r="G7943" s="16"/>
      <c r="H7943" s="24"/>
      <c r="I7943" s="24"/>
      <c r="L7943"/>
    </row>
    <row r="7944" spans="1:12" x14ac:dyDescent="0.25">
      <c r="A7944" s="16"/>
      <c r="D7944" s="16"/>
      <c r="F7944" s="16"/>
      <c r="G7944" s="16"/>
      <c r="H7944" s="24"/>
      <c r="I7944" s="24"/>
      <c r="L7944"/>
    </row>
    <row r="7945" spans="1:12" x14ac:dyDescent="0.25">
      <c r="A7945" s="16"/>
      <c r="D7945" s="16"/>
      <c r="F7945" s="16"/>
      <c r="G7945" s="16"/>
      <c r="H7945" s="24"/>
      <c r="I7945" s="24"/>
      <c r="L7945"/>
    </row>
    <row r="7946" spans="1:12" x14ac:dyDescent="0.25">
      <c r="A7946" s="16"/>
      <c r="D7946" s="16"/>
      <c r="F7946" s="16"/>
      <c r="G7946" s="16"/>
      <c r="H7946" s="24"/>
      <c r="I7946" s="24"/>
      <c r="L7946"/>
    </row>
    <row r="7947" spans="1:12" x14ac:dyDescent="0.25">
      <c r="A7947" s="16"/>
      <c r="D7947" s="16"/>
      <c r="F7947" s="16"/>
      <c r="G7947" s="16"/>
      <c r="H7947" s="24"/>
      <c r="I7947" s="24"/>
      <c r="L7947"/>
    </row>
    <row r="7948" spans="1:12" x14ac:dyDescent="0.25">
      <c r="A7948" s="16"/>
      <c r="D7948" s="16"/>
      <c r="F7948" s="16"/>
      <c r="G7948" s="16"/>
      <c r="H7948" s="24"/>
      <c r="I7948" s="24"/>
      <c r="L7948"/>
    </row>
    <row r="7949" spans="1:12" x14ac:dyDescent="0.25">
      <c r="A7949" s="16"/>
      <c r="D7949" s="16"/>
      <c r="F7949" s="16"/>
      <c r="G7949" s="16"/>
      <c r="H7949" s="24"/>
      <c r="I7949" s="24"/>
      <c r="L7949"/>
    </row>
    <row r="7950" spans="1:12" x14ac:dyDescent="0.25">
      <c r="A7950" s="16"/>
      <c r="D7950" s="16"/>
      <c r="F7950" s="16"/>
      <c r="G7950" s="16"/>
      <c r="H7950" s="24"/>
      <c r="I7950" s="24"/>
      <c r="L7950"/>
    </row>
    <row r="7951" spans="1:12" x14ac:dyDescent="0.25">
      <c r="A7951" s="16"/>
      <c r="D7951" s="16"/>
      <c r="F7951" s="16"/>
      <c r="G7951" s="16"/>
      <c r="H7951" s="24"/>
      <c r="I7951" s="24"/>
      <c r="L7951"/>
    </row>
    <row r="7952" spans="1:12" x14ac:dyDescent="0.25">
      <c r="A7952" s="16"/>
      <c r="D7952" s="16"/>
      <c r="F7952" s="16"/>
      <c r="G7952" s="16"/>
      <c r="H7952" s="24"/>
      <c r="I7952" s="24"/>
      <c r="L7952"/>
    </row>
    <row r="7953" spans="1:12" x14ac:dyDescent="0.25">
      <c r="A7953" s="16"/>
      <c r="D7953" s="16"/>
      <c r="F7953" s="16"/>
      <c r="G7953" s="16"/>
      <c r="H7953" s="24"/>
      <c r="I7953" s="24"/>
      <c r="L7953"/>
    </row>
    <row r="7954" spans="1:12" x14ac:dyDescent="0.25">
      <c r="A7954" s="16"/>
      <c r="D7954" s="16"/>
      <c r="F7954" s="16"/>
      <c r="G7954" s="16"/>
      <c r="H7954" s="24"/>
      <c r="I7954" s="24"/>
      <c r="L7954"/>
    </row>
    <row r="7955" spans="1:12" x14ac:dyDescent="0.25">
      <c r="A7955" s="16"/>
      <c r="D7955" s="16"/>
      <c r="F7955" s="16"/>
      <c r="G7955" s="16"/>
      <c r="H7955" s="24"/>
      <c r="I7955" s="24"/>
      <c r="L7955"/>
    </row>
    <row r="7956" spans="1:12" x14ac:dyDescent="0.25">
      <c r="A7956" s="16"/>
      <c r="D7956" s="16"/>
      <c r="F7956" s="16"/>
      <c r="G7956" s="16"/>
      <c r="H7956" s="24"/>
      <c r="I7956" s="24"/>
      <c r="L7956"/>
    </row>
    <row r="7957" spans="1:12" x14ac:dyDescent="0.25">
      <c r="A7957" s="16"/>
      <c r="D7957" s="16"/>
      <c r="F7957" s="16"/>
      <c r="G7957" s="16"/>
      <c r="H7957" s="24"/>
      <c r="I7957" s="24"/>
      <c r="L7957"/>
    </row>
    <row r="7958" spans="1:12" x14ac:dyDescent="0.25">
      <c r="A7958" s="16"/>
      <c r="D7958" s="16"/>
      <c r="F7958" s="16"/>
      <c r="G7958" s="16"/>
      <c r="H7958" s="24"/>
      <c r="I7958" s="24"/>
      <c r="L7958"/>
    </row>
    <row r="7959" spans="1:12" x14ac:dyDescent="0.25">
      <c r="A7959" s="16"/>
      <c r="D7959" s="16"/>
      <c r="F7959" s="16"/>
      <c r="G7959" s="16"/>
      <c r="H7959" s="24"/>
      <c r="I7959" s="24"/>
      <c r="L7959"/>
    </row>
    <row r="7960" spans="1:12" x14ac:dyDescent="0.25">
      <c r="A7960" s="16"/>
      <c r="D7960" s="16"/>
      <c r="F7960" s="16"/>
      <c r="G7960" s="16"/>
      <c r="H7960" s="24"/>
      <c r="I7960" s="24"/>
      <c r="L7960"/>
    </row>
    <row r="7961" spans="1:12" x14ac:dyDescent="0.25">
      <c r="A7961" s="16"/>
      <c r="D7961" s="16"/>
      <c r="F7961" s="16"/>
      <c r="G7961" s="16"/>
      <c r="H7961" s="24"/>
      <c r="I7961" s="24"/>
      <c r="L7961"/>
    </row>
    <row r="7962" spans="1:12" x14ac:dyDescent="0.25">
      <c r="A7962" s="16"/>
      <c r="D7962" s="16"/>
      <c r="F7962" s="16"/>
      <c r="G7962" s="16"/>
      <c r="H7962" s="24"/>
      <c r="I7962" s="24"/>
      <c r="L7962"/>
    </row>
    <row r="7963" spans="1:12" x14ac:dyDescent="0.25">
      <c r="A7963" s="16"/>
      <c r="D7963" s="16"/>
      <c r="F7963" s="16"/>
      <c r="G7963" s="16"/>
      <c r="H7963" s="24"/>
      <c r="I7963" s="24"/>
      <c r="L7963"/>
    </row>
    <row r="7964" spans="1:12" x14ac:dyDescent="0.25">
      <c r="A7964" s="16"/>
      <c r="D7964" s="16"/>
      <c r="F7964" s="16"/>
      <c r="G7964" s="16"/>
      <c r="H7964" s="24"/>
      <c r="I7964" s="24"/>
      <c r="L7964"/>
    </row>
    <row r="7965" spans="1:12" x14ac:dyDescent="0.25">
      <c r="A7965" s="16"/>
      <c r="D7965" s="16"/>
      <c r="F7965" s="16"/>
      <c r="G7965" s="16"/>
      <c r="H7965" s="24"/>
      <c r="I7965" s="24"/>
      <c r="L7965"/>
    </row>
    <row r="7966" spans="1:12" x14ac:dyDescent="0.25">
      <c r="A7966" s="16"/>
      <c r="D7966" s="16"/>
      <c r="F7966" s="16"/>
      <c r="G7966" s="16"/>
      <c r="H7966" s="24"/>
      <c r="I7966" s="24"/>
      <c r="L7966"/>
    </row>
    <row r="7967" spans="1:12" x14ac:dyDescent="0.25">
      <c r="A7967" s="16"/>
      <c r="D7967" s="16"/>
      <c r="F7967" s="16"/>
      <c r="G7967" s="16"/>
      <c r="H7967" s="24"/>
      <c r="I7967" s="24"/>
      <c r="L7967"/>
    </row>
    <row r="7968" spans="1:12" x14ac:dyDescent="0.25">
      <c r="A7968" s="16"/>
      <c r="D7968" s="16"/>
      <c r="F7968" s="16"/>
      <c r="G7968" s="16"/>
      <c r="H7968" s="24"/>
      <c r="I7968" s="24"/>
      <c r="L7968"/>
    </row>
    <row r="7969" spans="1:12" x14ac:dyDescent="0.25">
      <c r="A7969" s="16"/>
      <c r="D7969" s="16"/>
      <c r="F7969" s="16"/>
      <c r="G7969" s="16"/>
      <c r="H7969" s="24"/>
      <c r="I7969" s="24"/>
      <c r="L7969"/>
    </row>
    <row r="7970" spans="1:12" x14ac:dyDescent="0.25">
      <c r="A7970" s="16"/>
      <c r="D7970" s="16"/>
      <c r="F7970" s="16"/>
      <c r="G7970" s="16"/>
      <c r="H7970" s="24"/>
      <c r="I7970" s="24"/>
      <c r="L7970"/>
    </row>
    <row r="7971" spans="1:12" x14ac:dyDescent="0.25">
      <c r="A7971" s="16"/>
      <c r="D7971" s="16"/>
      <c r="F7971" s="16"/>
      <c r="G7971" s="16"/>
      <c r="H7971" s="24"/>
      <c r="I7971" s="24"/>
      <c r="L7971"/>
    </row>
    <row r="7972" spans="1:12" x14ac:dyDescent="0.25">
      <c r="A7972" s="16"/>
      <c r="D7972" s="16"/>
      <c r="F7972" s="16"/>
      <c r="G7972" s="16"/>
      <c r="H7972" s="24"/>
      <c r="I7972" s="24"/>
      <c r="L7972"/>
    </row>
    <row r="7973" spans="1:12" x14ac:dyDescent="0.25">
      <c r="A7973" s="16"/>
      <c r="D7973" s="16"/>
      <c r="F7973" s="16"/>
      <c r="G7973" s="16"/>
      <c r="H7973" s="24"/>
      <c r="I7973" s="24"/>
      <c r="L7973"/>
    </row>
    <row r="7974" spans="1:12" x14ac:dyDescent="0.25">
      <c r="A7974" s="16"/>
      <c r="D7974" s="16"/>
      <c r="F7974" s="16"/>
      <c r="G7974" s="16"/>
      <c r="H7974" s="24"/>
      <c r="I7974" s="24"/>
      <c r="L7974"/>
    </row>
    <row r="7975" spans="1:12" x14ac:dyDescent="0.25">
      <c r="A7975" s="16"/>
      <c r="D7975" s="16"/>
      <c r="F7975" s="16"/>
      <c r="G7975" s="16"/>
      <c r="H7975" s="24"/>
      <c r="I7975" s="24"/>
      <c r="L7975"/>
    </row>
    <row r="7976" spans="1:12" x14ac:dyDescent="0.25">
      <c r="A7976" s="16"/>
      <c r="D7976" s="16"/>
      <c r="F7976" s="16"/>
      <c r="G7976" s="16"/>
      <c r="H7976" s="24"/>
      <c r="I7976" s="24"/>
      <c r="L7976"/>
    </row>
    <row r="7977" spans="1:12" x14ac:dyDescent="0.25">
      <c r="A7977" s="16"/>
      <c r="D7977" s="16"/>
      <c r="F7977" s="16"/>
      <c r="G7977" s="16"/>
      <c r="H7977" s="24"/>
      <c r="I7977" s="24"/>
      <c r="L7977"/>
    </row>
    <row r="7978" spans="1:12" x14ac:dyDescent="0.25">
      <c r="A7978" s="16"/>
      <c r="D7978" s="16"/>
      <c r="F7978" s="16"/>
      <c r="G7978" s="16"/>
      <c r="H7978" s="24"/>
      <c r="I7978" s="24"/>
      <c r="L7978"/>
    </row>
    <row r="7979" spans="1:12" x14ac:dyDescent="0.25">
      <c r="A7979" s="16"/>
      <c r="D7979" s="16"/>
      <c r="F7979" s="16"/>
      <c r="G7979" s="16"/>
      <c r="H7979" s="24"/>
      <c r="I7979" s="24"/>
      <c r="L7979"/>
    </row>
    <row r="7980" spans="1:12" x14ac:dyDescent="0.25">
      <c r="A7980" s="16"/>
      <c r="D7980" s="16"/>
      <c r="F7980" s="16"/>
      <c r="G7980" s="16"/>
      <c r="H7980" s="24"/>
      <c r="I7980" s="24"/>
      <c r="L7980"/>
    </row>
    <row r="7981" spans="1:12" x14ac:dyDescent="0.25">
      <c r="A7981" s="16"/>
      <c r="D7981" s="16"/>
      <c r="F7981" s="16"/>
      <c r="G7981" s="16"/>
      <c r="H7981" s="24"/>
      <c r="I7981" s="24"/>
      <c r="L7981"/>
    </row>
    <row r="7982" spans="1:12" x14ac:dyDescent="0.25">
      <c r="A7982" s="16"/>
      <c r="D7982" s="16"/>
      <c r="F7982" s="16"/>
      <c r="G7982" s="16"/>
      <c r="H7982" s="24"/>
      <c r="I7982" s="24"/>
      <c r="L7982"/>
    </row>
    <row r="7983" spans="1:12" x14ac:dyDescent="0.25">
      <c r="A7983" s="16"/>
      <c r="D7983" s="16"/>
      <c r="F7983" s="16"/>
      <c r="G7983" s="16"/>
      <c r="H7983" s="24"/>
      <c r="I7983" s="24"/>
      <c r="L7983"/>
    </row>
    <row r="7984" spans="1:12" x14ac:dyDescent="0.25">
      <c r="A7984" s="16"/>
      <c r="D7984" s="16"/>
      <c r="F7984" s="16"/>
      <c r="G7984" s="16"/>
      <c r="H7984" s="24"/>
      <c r="I7984" s="24"/>
      <c r="L7984"/>
    </row>
    <row r="7985" spans="1:12" x14ac:dyDescent="0.25">
      <c r="A7985" s="16"/>
      <c r="D7985" s="16"/>
      <c r="F7985" s="16"/>
      <c r="G7985" s="16"/>
      <c r="H7985" s="24"/>
      <c r="I7985" s="24"/>
      <c r="L7985"/>
    </row>
    <row r="7986" spans="1:12" x14ac:dyDescent="0.25">
      <c r="A7986" s="16"/>
      <c r="D7986" s="16"/>
      <c r="F7986" s="16"/>
      <c r="G7986" s="16"/>
      <c r="H7986" s="24"/>
      <c r="I7986" s="24"/>
      <c r="L7986"/>
    </row>
    <row r="7987" spans="1:12" x14ac:dyDescent="0.25">
      <c r="A7987" s="16"/>
      <c r="D7987" s="16"/>
      <c r="F7987" s="16"/>
      <c r="G7987" s="16"/>
      <c r="H7987" s="24"/>
      <c r="I7987" s="24"/>
      <c r="L7987"/>
    </row>
    <row r="7988" spans="1:12" x14ac:dyDescent="0.25">
      <c r="A7988" s="16"/>
      <c r="D7988" s="16"/>
      <c r="F7988" s="16"/>
      <c r="G7988" s="16"/>
      <c r="H7988" s="24"/>
      <c r="I7988" s="24"/>
      <c r="L7988"/>
    </row>
    <row r="7989" spans="1:12" x14ac:dyDescent="0.25">
      <c r="A7989" s="16"/>
      <c r="D7989" s="16"/>
      <c r="F7989" s="16"/>
      <c r="G7989" s="16"/>
      <c r="H7989" s="24"/>
      <c r="I7989" s="24"/>
      <c r="L7989"/>
    </row>
    <row r="7990" spans="1:12" x14ac:dyDescent="0.25">
      <c r="A7990" s="16"/>
      <c r="D7990" s="16"/>
      <c r="F7990" s="16"/>
      <c r="G7990" s="16"/>
      <c r="H7990" s="24"/>
      <c r="I7990" s="24"/>
      <c r="L7990"/>
    </row>
    <row r="7991" spans="1:12" x14ac:dyDescent="0.25">
      <c r="A7991" s="16"/>
      <c r="D7991" s="16"/>
      <c r="F7991" s="16"/>
      <c r="G7991" s="16"/>
      <c r="H7991" s="24"/>
      <c r="I7991" s="24"/>
      <c r="L7991"/>
    </row>
    <row r="7992" spans="1:12" x14ac:dyDescent="0.25">
      <c r="A7992" s="16"/>
      <c r="D7992" s="16"/>
      <c r="F7992" s="16"/>
      <c r="G7992" s="16"/>
      <c r="H7992" s="24"/>
      <c r="I7992" s="24"/>
      <c r="L7992"/>
    </row>
    <row r="7993" spans="1:12" x14ac:dyDescent="0.25">
      <c r="A7993" s="16"/>
      <c r="D7993" s="16"/>
      <c r="F7993" s="16"/>
      <c r="G7993" s="16"/>
      <c r="H7993" s="24"/>
      <c r="I7993" s="24"/>
      <c r="L7993"/>
    </row>
    <row r="7994" spans="1:12" x14ac:dyDescent="0.25">
      <c r="A7994" s="16"/>
      <c r="D7994" s="16"/>
      <c r="F7994" s="16"/>
      <c r="G7994" s="16"/>
      <c r="H7994" s="24"/>
      <c r="I7994" s="24"/>
      <c r="L7994"/>
    </row>
    <row r="7995" spans="1:12" x14ac:dyDescent="0.25">
      <c r="A7995" s="16"/>
      <c r="D7995" s="16"/>
      <c r="F7995" s="16"/>
      <c r="G7995" s="16"/>
      <c r="H7995" s="24"/>
      <c r="I7995" s="24"/>
      <c r="L7995"/>
    </row>
    <row r="7996" spans="1:12" x14ac:dyDescent="0.25">
      <c r="A7996" s="16"/>
      <c r="D7996" s="16"/>
      <c r="F7996" s="16"/>
      <c r="G7996" s="16"/>
      <c r="H7996" s="24"/>
      <c r="I7996" s="24"/>
      <c r="L7996"/>
    </row>
    <row r="7997" spans="1:12" x14ac:dyDescent="0.25">
      <c r="A7997" s="16"/>
      <c r="D7997" s="16"/>
      <c r="F7997" s="16"/>
      <c r="G7997" s="16"/>
      <c r="H7997" s="24"/>
      <c r="I7997" s="24"/>
      <c r="L7997"/>
    </row>
    <row r="7998" spans="1:12" x14ac:dyDescent="0.25">
      <c r="A7998" s="16"/>
      <c r="D7998" s="16"/>
      <c r="F7998" s="16"/>
      <c r="G7998" s="16"/>
      <c r="H7998" s="24"/>
      <c r="I7998" s="24"/>
      <c r="L7998"/>
    </row>
    <row r="7999" spans="1:12" x14ac:dyDescent="0.25">
      <c r="A7999" s="16"/>
      <c r="D7999" s="16"/>
      <c r="F7999" s="16"/>
      <c r="G7999" s="16"/>
      <c r="H7999" s="24"/>
      <c r="I7999" s="24"/>
      <c r="L7999"/>
    </row>
    <row r="8000" spans="1:12" x14ac:dyDescent="0.25">
      <c r="A8000" s="16"/>
      <c r="D8000" s="16"/>
      <c r="F8000" s="16"/>
      <c r="G8000" s="16"/>
      <c r="H8000" s="24"/>
      <c r="I8000" s="24"/>
      <c r="L8000"/>
    </row>
    <row r="8001" spans="1:12" x14ac:dyDescent="0.25">
      <c r="A8001" s="16"/>
      <c r="D8001" s="16"/>
      <c r="F8001" s="16"/>
      <c r="G8001" s="16"/>
      <c r="H8001" s="24"/>
      <c r="I8001" s="24"/>
      <c r="L8001"/>
    </row>
    <row r="8002" spans="1:12" x14ac:dyDescent="0.25">
      <c r="A8002" s="16"/>
      <c r="D8002" s="16"/>
      <c r="F8002" s="16"/>
      <c r="G8002" s="16"/>
      <c r="H8002" s="24"/>
      <c r="I8002" s="24"/>
      <c r="L8002"/>
    </row>
    <row r="8003" spans="1:12" x14ac:dyDescent="0.25">
      <c r="A8003" s="16"/>
      <c r="D8003" s="16"/>
      <c r="F8003" s="16"/>
      <c r="G8003" s="16"/>
      <c r="H8003" s="24"/>
      <c r="I8003" s="24"/>
      <c r="L8003"/>
    </row>
    <row r="8004" spans="1:12" x14ac:dyDescent="0.25">
      <c r="A8004" s="16"/>
      <c r="D8004" s="16"/>
      <c r="F8004" s="16"/>
      <c r="G8004" s="16"/>
      <c r="H8004" s="24"/>
      <c r="I8004" s="24"/>
      <c r="L8004"/>
    </row>
    <row r="8005" spans="1:12" x14ac:dyDescent="0.25">
      <c r="A8005" s="16"/>
      <c r="D8005" s="16"/>
      <c r="F8005" s="16"/>
      <c r="G8005" s="16"/>
      <c r="H8005" s="24"/>
      <c r="I8005" s="24"/>
      <c r="L8005"/>
    </row>
    <row r="8006" spans="1:12" x14ac:dyDescent="0.25">
      <c r="A8006" s="16"/>
      <c r="D8006" s="16"/>
      <c r="F8006" s="16"/>
      <c r="G8006" s="16"/>
      <c r="H8006" s="24"/>
      <c r="I8006" s="24"/>
      <c r="L8006"/>
    </row>
    <row r="8007" spans="1:12" x14ac:dyDescent="0.25">
      <c r="A8007" s="16"/>
      <c r="D8007" s="16"/>
      <c r="F8007" s="16"/>
      <c r="G8007" s="16"/>
      <c r="H8007" s="24"/>
      <c r="I8007" s="24"/>
      <c r="L8007"/>
    </row>
    <row r="8008" spans="1:12" x14ac:dyDescent="0.25">
      <c r="A8008" s="16"/>
      <c r="D8008" s="16"/>
      <c r="F8008" s="16"/>
      <c r="G8008" s="16"/>
      <c r="H8008" s="24"/>
      <c r="I8008" s="24"/>
      <c r="L8008"/>
    </row>
    <row r="8009" spans="1:12" x14ac:dyDescent="0.25">
      <c r="A8009" s="16"/>
      <c r="D8009" s="16"/>
      <c r="F8009" s="16"/>
      <c r="G8009" s="16"/>
      <c r="H8009" s="24"/>
      <c r="I8009" s="24"/>
      <c r="L8009"/>
    </row>
    <row r="8010" spans="1:12" x14ac:dyDescent="0.25">
      <c r="A8010" s="16"/>
      <c r="D8010" s="16"/>
      <c r="F8010" s="16"/>
      <c r="G8010" s="16"/>
      <c r="H8010" s="24"/>
      <c r="I8010" s="24"/>
      <c r="L8010"/>
    </row>
    <row r="8011" spans="1:12" x14ac:dyDescent="0.25">
      <c r="A8011" s="16"/>
      <c r="D8011" s="16"/>
      <c r="F8011" s="16"/>
      <c r="G8011" s="16"/>
      <c r="H8011" s="24"/>
      <c r="I8011" s="24"/>
      <c r="L8011"/>
    </row>
    <row r="8012" spans="1:12" x14ac:dyDescent="0.25">
      <c r="A8012" s="16"/>
      <c r="D8012" s="16"/>
      <c r="F8012" s="16"/>
      <c r="G8012" s="16"/>
      <c r="H8012" s="24"/>
      <c r="I8012" s="24"/>
      <c r="L8012"/>
    </row>
    <row r="8013" spans="1:12" x14ac:dyDescent="0.25">
      <c r="A8013" s="16"/>
      <c r="D8013" s="16"/>
      <c r="F8013" s="16"/>
      <c r="G8013" s="16"/>
      <c r="H8013" s="24"/>
      <c r="I8013" s="24"/>
      <c r="L8013"/>
    </row>
    <row r="8014" spans="1:12" x14ac:dyDescent="0.25">
      <c r="A8014" s="16"/>
      <c r="D8014" s="16"/>
      <c r="F8014" s="16"/>
      <c r="G8014" s="16"/>
      <c r="H8014" s="24"/>
      <c r="I8014" s="24"/>
      <c r="L8014"/>
    </row>
    <row r="8015" spans="1:12" x14ac:dyDescent="0.25">
      <c r="A8015" s="16"/>
      <c r="D8015" s="16"/>
      <c r="F8015" s="16"/>
      <c r="G8015" s="16"/>
      <c r="H8015" s="24"/>
      <c r="I8015" s="24"/>
      <c r="L8015"/>
    </row>
    <row r="8016" spans="1:12" x14ac:dyDescent="0.25">
      <c r="A8016" s="16"/>
      <c r="D8016" s="16"/>
      <c r="F8016" s="16"/>
      <c r="G8016" s="16"/>
      <c r="H8016" s="24"/>
      <c r="I8016" s="24"/>
      <c r="L8016"/>
    </row>
    <row r="8017" spans="1:12" x14ac:dyDescent="0.25">
      <c r="A8017" s="16"/>
      <c r="D8017" s="16"/>
      <c r="F8017" s="16"/>
      <c r="G8017" s="16"/>
      <c r="H8017" s="24"/>
      <c r="I8017" s="24"/>
      <c r="L8017"/>
    </row>
    <row r="8018" spans="1:12" x14ac:dyDescent="0.25">
      <c r="A8018" s="16"/>
      <c r="D8018" s="16"/>
      <c r="F8018" s="16"/>
      <c r="G8018" s="16"/>
      <c r="H8018" s="24"/>
      <c r="I8018" s="24"/>
      <c r="L8018"/>
    </row>
    <row r="8019" spans="1:12" x14ac:dyDescent="0.25">
      <c r="A8019" s="16"/>
      <c r="D8019" s="16"/>
      <c r="F8019" s="16"/>
      <c r="G8019" s="16"/>
      <c r="H8019" s="24"/>
      <c r="I8019" s="24"/>
      <c r="L8019"/>
    </row>
    <row r="8020" spans="1:12" x14ac:dyDescent="0.25">
      <c r="A8020" s="16"/>
      <c r="D8020" s="16"/>
      <c r="F8020" s="16"/>
      <c r="G8020" s="16"/>
      <c r="H8020" s="24"/>
      <c r="I8020" s="24"/>
      <c r="L8020"/>
    </row>
    <row r="8021" spans="1:12" x14ac:dyDescent="0.25">
      <c r="A8021" s="16"/>
      <c r="D8021" s="16"/>
      <c r="F8021" s="16"/>
      <c r="G8021" s="16"/>
      <c r="H8021" s="24"/>
      <c r="I8021" s="24"/>
      <c r="L8021"/>
    </row>
    <row r="8022" spans="1:12" x14ac:dyDescent="0.25">
      <c r="A8022" s="16"/>
      <c r="D8022" s="16"/>
      <c r="F8022" s="16"/>
      <c r="G8022" s="16"/>
      <c r="H8022" s="24"/>
      <c r="I8022" s="24"/>
      <c r="L8022"/>
    </row>
    <row r="8023" spans="1:12" x14ac:dyDescent="0.25">
      <c r="A8023" s="16"/>
      <c r="D8023" s="16"/>
      <c r="F8023" s="16"/>
      <c r="G8023" s="16"/>
      <c r="H8023" s="24"/>
      <c r="I8023" s="24"/>
      <c r="L8023"/>
    </row>
    <row r="8024" spans="1:12" x14ac:dyDescent="0.25">
      <c r="A8024" s="16"/>
      <c r="D8024" s="16"/>
      <c r="F8024" s="16"/>
      <c r="G8024" s="16"/>
      <c r="H8024" s="24"/>
      <c r="I8024" s="24"/>
      <c r="L8024"/>
    </row>
    <row r="8025" spans="1:12" x14ac:dyDescent="0.25">
      <c r="A8025" s="16"/>
      <c r="D8025" s="16"/>
      <c r="F8025" s="16"/>
      <c r="G8025" s="16"/>
      <c r="H8025" s="24"/>
      <c r="I8025" s="24"/>
      <c r="L8025"/>
    </row>
    <row r="8026" spans="1:12" x14ac:dyDescent="0.25">
      <c r="A8026" s="16"/>
      <c r="D8026" s="16"/>
      <c r="F8026" s="16"/>
      <c r="G8026" s="16"/>
      <c r="H8026" s="24"/>
      <c r="I8026" s="24"/>
      <c r="L8026"/>
    </row>
    <row r="8027" spans="1:12" x14ac:dyDescent="0.25">
      <c r="A8027" s="16"/>
      <c r="D8027" s="16"/>
      <c r="F8027" s="16"/>
      <c r="G8027" s="16"/>
      <c r="H8027" s="24"/>
      <c r="I8027" s="24"/>
      <c r="L8027"/>
    </row>
    <row r="8028" spans="1:12" x14ac:dyDescent="0.25">
      <c r="A8028" s="16"/>
      <c r="D8028" s="16"/>
      <c r="F8028" s="16"/>
      <c r="G8028" s="16"/>
      <c r="H8028" s="24"/>
      <c r="I8028" s="24"/>
      <c r="L8028"/>
    </row>
    <row r="8029" spans="1:12" x14ac:dyDescent="0.25">
      <c r="A8029" s="16"/>
      <c r="D8029" s="16"/>
      <c r="F8029" s="16"/>
      <c r="G8029" s="16"/>
      <c r="H8029" s="24"/>
      <c r="I8029" s="24"/>
      <c r="L8029"/>
    </row>
    <row r="8030" spans="1:12" x14ac:dyDescent="0.25">
      <c r="A8030" s="16"/>
      <c r="D8030" s="16"/>
      <c r="F8030" s="16"/>
      <c r="G8030" s="16"/>
      <c r="H8030" s="24"/>
      <c r="I8030" s="24"/>
      <c r="L8030"/>
    </row>
    <row r="8031" spans="1:12" x14ac:dyDescent="0.25">
      <c r="A8031" s="16"/>
      <c r="D8031" s="16"/>
      <c r="F8031" s="16"/>
      <c r="G8031" s="16"/>
      <c r="H8031" s="24"/>
      <c r="I8031" s="24"/>
      <c r="L8031"/>
    </row>
    <row r="8032" spans="1:12" x14ac:dyDescent="0.25">
      <c r="A8032" s="16"/>
      <c r="D8032" s="16"/>
      <c r="F8032" s="16"/>
      <c r="G8032" s="16"/>
      <c r="H8032" s="24"/>
      <c r="I8032" s="24"/>
      <c r="L8032"/>
    </row>
    <row r="8033" spans="1:12" x14ac:dyDescent="0.25">
      <c r="A8033" s="16"/>
      <c r="D8033" s="16"/>
      <c r="F8033" s="16"/>
      <c r="G8033" s="16"/>
      <c r="H8033" s="24"/>
      <c r="I8033" s="24"/>
      <c r="L8033"/>
    </row>
    <row r="8034" spans="1:12" x14ac:dyDescent="0.25">
      <c r="A8034" s="16"/>
      <c r="D8034" s="16"/>
      <c r="F8034" s="16"/>
      <c r="G8034" s="16"/>
      <c r="H8034" s="24"/>
      <c r="I8034" s="24"/>
      <c r="L8034"/>
    </row>
    <row r="8035" spans="1:12" x14ac:dyDescent="0.25">
      <c r="A8035" s="16"/>
      <c r="D8035" s="16"/>
      <c r="F8035" s="16"/>
      <c r="G8035" s="16"/>
      <c r="H8035" s="24"/>
      <c r="I8035" s="24"/>
      <c r="L8035"/>
    </row>
    <row r="8036" spans="1:12" x14ac:dyDescent="0.25">
      <c r="A8036" s="16"/>
      <c r="D8036" s="16"/>
      <c r="F8036" s="16"/>
      <c r="G8036" s="16"/>
      <c r="H8036" s="24"/>
      <c r="I8036" s="24"/>
      <c r="L8036"/>
    </row>
    <row r="8037" spans="1:12" x14ac:dyDescent="0.25">
      <c r="A8037" s="16"/>
      <c r="D8037" s="16"/>
      <c r="F8037" s="16"/>
      <c r="G8037" s="16"/>
      <c r="H8037" s="24"/>
      <c r="I8037" s="24"/>
      <c r="L8037"/>
    </row>
    <row r="8038" spans="1:12" x14ac:dyDescent="0.25">
      <c r="A8038" s="16"/>
      <c r="D8038" s="16"/>
      <c r="F8038" s="16"/>
      <c r="G8038" s="16"/>
      <c r="H8038" s="24"/>
      <c r="I8038" s="24"/>
      <c r="L8038"/>
    </row>
    <row r="8039" spans="1:12" x14ac:dyDescent="0.25">
      <c r="A8039" s="16"/>
      <c r="D8039" s="16"/>
      <c r="F8039" s="16"/>
      <c r="G8039" s="16"/>
      <c r="H8039" s="24"/>
      <c r="I8039" s="24"/>
      <c r="L8039"/>
    </row>
    <row r="8040" spans="1:12" x14ac:dyDescent="0.25">
      <c r="A8040" s="16"/>
      <c r="D8040" s="16"/>
      <c r="F8040" s="16"/>
      <c r="G8040" s="16"/>
      <c r="H8040" s="24"/>
      <c r="I8040" s="24"/>
      <c r="L8040"/>
    </row>
    <row r="8041" spans="1:12" x14ac:dyDescent="0.25">
      <c r="A8041" s="16"/>
      <c r="D8041" s="16"/>
      <c r="F8041" s="16"/>
      <c r="G8041" s="16"/>
      <c r="H8041" s="24"/>
      <c r="I8041" s="24"/>
      <c r="L8041"/>
    </row>
    <row r="8042" spans="1:12" x14ac:dyDescent="0.25">
      <c r="A8042" s="16"/>
      <c r="D8042" s="16"/>
      <c r="F8042" s="16"/>
      <c r="G8042" s="16"/>
      <c r="H8042" s="24"/>
      <c r="I8042" s="24"/>
      <c r="L8042"/>
    </row>
    <row r="8043" spans="1:12" x14ac:dyDescent="0.25">
      <c r="A8043" s="16"/>
      <c r="D8043" s="16"/>
      <c r="F8043" s="16"/>
      <c r="G8043" s="16"/>
      <c r="H8043" s="24"/>
      <c r="I8043" s="24"/>
      <c r="L8043"/>
    </row>
    <row r="8044" spans="1:12" x14ac:dyDescent="0.25">
      <c r="A8044" s="16"/>
      <c r="D8044" s="16"/>
      <c r="F8044" s="16"/>
      <c r="G8044" s="16"/>
      <c r="H8044" s="24"/>
      <c r="I8044" s="24"/>
      <c r="L8044"/>
    </row>
    <row r="8045" spans="1:12" x14ac:dyDescent="0.25">
      <c r="A8045" s="16"/>
      <c r="D8045" s="16"/>
      <c r="F8045" s="16"/>
      <c r="G8045" s="16"/>
      <c r="H8045" s="24"/>
      <c r="I8045" s="24"/>
      <c r="L8045"/>
    </row>
    <row r="8046" spans="1:12" x14ac:dyDescent="0.25">
      <c r="A8046" s="16"/>
      <c r="D8046" s="16"/>
      <c r="F8046" s="16"/>
      <c r="G8046" s="16"/>
      <c r="H8046" s="24"/>
      <c r="I8046" s="24"/>
      <c r="L8046"/>
    </row>
    <row r="8047" spans="1:12" x14ac:dyDescent="0.25">
      <c r="A8047" s="16"/>
      <c r="D8047" s="16"/>
      <c r="F8047" s="16"/>
      <c r="G8047" s="16"/>
      <c r="H8047" s="24"/>
      <c r="I8047" s="24"/>
      <c r="L8047"/>
    </row>
    <row r="8048" spans="1:12" x14ac:dyDescent="0.25">
      <c r="A8048" s="16"/>
      <c r="D8048" s="16"/>
      <c r="F8048" s="16"/>
      <c r="G8048" s="16"/>
      <c r="H8048" s="24"/>
      <c r="I8048" s="24"/>
      <c r="L8048"/>
    </row>
    <row r="8049" spans="1:12" x14ac:dyDescent="0.25">
      <c r="A8049" s="16"/>
      <c r="D8049" s="16"/>
      <c r="F8049" s="16"/>
      <c r="G8049" s="16"/>
      <c r="H8049" s="24"/>
      <c r="I8049" s="24"/>
      <c r="L8049"/>
    </row>
    <row r="8050" spans="1:12" x14ac:dyDescent="0.25">
      <c r="A8050" s="16"/>
      <c r="D8050" s="16"/>
      <c r="F8050" s="16"/>
      <c r="G8050" s="16"/>
      <c r="H8050" s="24"/>
      <c r="I8050" s="24"/>
      <c r="L8050"/>
    </row>
    <row r="8051" spans="1:12" x14ac:dyDescent="0.25">
      <c r="A8051" s="16"/>
      <c r="D8051" s="16"/>
      <c r="F8051" s="16"/>
      <c r="G8051" s="16"/>
      <c r="H8051" s="24"/>
      <c r="I8051" s="24"/>
      <c r="L8051"/>
    </row>
    <row r="8052" spans="1:12" x14ac:dyDescent="0.25">
      <c r="A8052" s="16"/>
      <c r="D8052" s="16"/>
      <c r="F8052" s="16"/>
      <c r="G8052" s="16"/>
      <c r="H8052" s="24"/>
      <c r="I8052" s="24"/>
      <c r="L8052"/>
    </row>
    <row r="8053" spans="1:12" x14ac:dyDescent="0.25">
      <c r="A8053" s="16"/>
      <c r="D8053" s="16"/>
      <c r="F8053" s="16"/>
      <c r="G8053" s="16"/>
      <c r="H8053" s="24"/>
      <c r="I8053" s="24"/>
      <c r="L8053"/>
    </row>
    <row r="8054" spans="1:12" x14ac:dyDescent="0.25">
      <c r="A8054" s="16"/>
      <c r="D8054" s="16"/>
      <c r="F8054" s="16"/>
      <c r="G8054" s="16"/>
      <c r="H8054" s="24"/>
      <c r="I8054" s="24"/>
      <c r="L8054"/>
    </row>
    <row r="8055" spans="1:12" x14ac:dyDescent="0.25">
      <c r="A8055" s="16"/>
      <c r="D8055" s="16"/>
      <c r="F8055" s="16"/>
      <c r="G8055" s="16"/>
      <c r="H8055" s="24"/>
      <c r="I8055" s="24"/>
      <c r="L8055"/>
    </row>
    <row r="8056" spans="1:12" x14ac:dyDescent="0.25">
      <c r="A8056" s="16"/>
      <c r="D8056" s="16"/>
      <c r="F8056" s="16"/>
      <c r="G8056" s="16"/>
      <c r="H8056" s="24"/>
      <c r="I8056" s="24"/>
      <c r="L8056"/>
    </row>
    <row r="8057" spans="1:12" x14ac:dyDescent="0.25">
      <c r="A8057" s="16"/>
      <c r="D8057" s="16"/>
      <c r="F8057" s="16"/>
      <c r="G8057" s="16"/>
      <c r="H8057" s="24"/>
      <c r="I8057" s="24"/>
      <c r="L8057"/>
    </row>
    <row r="8058" spans="1:12" x14ac:dyDescent="0.25">
      <c r="A8058" s="16"/>
      <c r="D8058" s="16"/>
      <c r="F8058" s="16"/>
      <c r="G8058" s="16"/>
      <c r="H8058" s="24"/>
      <c r="I8058" s="24"/>
      <c r="L8058"/>
    </row>
    <row r="8059" spans="1:12" x14ac:dyDescent="0.25">
      <c r="A8059" s="16"/>
      <c r="D8059" s="16"/>
      <c r="F8059" s="16"/>
      <c r="G8059" s="16"/>
      <c r="H8059" s="24"/>
      <c r="I8059" s="24"/>
      <c r="L8059"/>
    </row>
    <row r="8060" spans="1:12" x14ac:dyDescent="0.25">
      <c r="A8060" s="16"/>
      <c r="D8060" s="16"/>
      <c r="F8060" s="16"/>
      <c r="G8060" s="16"/>
      <c r="H8060" s="24"/>
      <c r="I8060" s="24"/>
      <c r="L8060"/>
    </row>
    <row r="8061" spans="1:12" x14ac:dyDescent="0.25">
      <c r="A8061" s="16"/>
      <c r="D8061" s="16"/>
      <c r="F8061" s="16"/>
      <c r="G8061" s="16"/>
      <c r="H8061" s="24"/>
      <c r="I8061" s="24"/>
      <c r="L8061"/>
    </row>
    <row r="8062" spans="1:12" x14ac:dyDescent="0.25">
      <c r="A8062" s="16"/>
      <c r="D8062" s="16"/>
      <c r="F8062" s="16"/>
      <c r="G8062" s="16"/>
      <c r="H8062" s="24"/>
      <c r="I8062" s="24"/>
      <c r="L8062"/>
    </row>
    <row r="8063" spans="1:12" x14ac:dyDescent="0.25">
      <c r="A8063" s="16"/>
      <c r="D8063" s="16"/>
      <c r="F8063" s="16"/>
      <c r="G8063" s="16"/>
      <c r="H8063" s="24"/>
      <c r="I8063" s="24"/>
      <c r="L8063"/>
    </row>
    <row r="8064" spans="1:12" x14ac:dyDescent="0.25">
      <c r="A8064" s="16"/>
      <c r="D8064" s="16"/>
      <c r="F8064" s="16"/>
      <c r="G8064" s="16"/>
      <c r="H8064" s="24"/>
      <c r="I8064" s="24"/>
      <c r="L8064"/>
    </row>
    <row r="8065" spans="1:12" x14ac:dyDescent="0.25">
      <c r="A8065" s="16"/>
      <c r="D8065" s="16"/>
      <c r="F8065" s="16"/>
      <c r="G8065" s="16"/>
      <c r="H8065" s="24"/>
      <c r="I8065" s="24"/>
      <c r="L8065"/>
    </row>
    <row r="8066" spans="1:12" x14ac:dyDescent="0.25">
      <c r="A8066" s="16"/>
      <c r="D8066" s="16"/>
      <c r="F8066" s="16"/>
      <c r="G8066" s="16"/>
      <c r="H8066" s="24"/>
      <c r="I8066" s="24"/>
      <c r="L8066"/>
    </row>
    <row r="8067" spans="1:12" x14ac:dyDescent="0.25">
      <c r="A8067" s="16"/>
      <c r="D8067" s="16"/>
      <c r="F8067" s="16"/>
      <c r="G8067" s="16"/>
      <c r="H8067" s="24"/>
      <c r="I8067" s="24"/>
      <c r="L8067"/>
    </row>
    <row r="8068" spans="1:12" x14ac:dyDescent="0.25">
      <c r="A8068" s="16"/>
      <c r="D8068" s="16"/>
      <c r="F8068" s="16"/>
      <c r="G8068" s="16"/>
      <c r="H8068" s="24"/>
      <c r="I8068" s="24"/>
      <c r="L8068"/>
    </row>
    <row r="8069" spans="1:12" x14ac:dyDescent="0.25">
      <c r="A8069" s="16"/>
      <c r="D8069" s="16"/>
      <c r="F8069" s="16"/>
      <c r="G8069" s="16"/>
      <c r="H8069" s="24"/>
      <c r="I8069" s="24"/>
      <c r="L8069"/>
    </row>
    <row r="8070" spans="1:12" x14ac:dyDescent="0.25">
      <c r="A8070" s="16"/>
      <c r="D8070" s="16"/>
      <c r="F8070" s="16"/>
      <c r="G8070" s="16"/>
      <c r="H8070" s="24"/>
      <c r="I8070" s="24"/>
      <c r="L8070"/>
    </row>
    <row r="8071" spans="1:12" x14ac:dyDescent="0.25">
      <c r="A8071" s="16"/>
      <c r="D8071" s="16"/>
      <c r="F8071" s="16"/>
      <c r="G8071" s="16"/>
      <c r="H8071" s="24"/>
      <c r="I8071" s="24"/>
      <c r="L8071"/>
    </row>
    <row r="8072" spans="1:12" x14ac:dyDescent="0.25">
      <c r="A8072" s="16"/>
      <c r="D8072" s="16"/>
      <c r="F8072" s="16"/>
      <c r="G8072" s="16"/>
      <c r="H8072" s="24"/>
      <c r="I8072" s="24"/>
      <c r="L8072"/>
    </row>
    <row r="8073" spans="1:12" x14ac:dyDescent="0.25">
      <c r="A8073" s="16"/>
      <c r="D8073" s="16"/>
      <c r="F8073" s="16"/>
      <c r="G8073" s="16"/>
      <c r="H8073" s="24"/>
      <c r="I8073" s="24"/>
      <c r="L8073"/>
    </row>
    <row r="8074" spans="1:12" x14ac:dyDescent="0.25">
      <c r="A8074" s="16"/>
      <c r="D8074" s="16"/>
      <c r="F8074" s="16"/>
      <c r="G8074" s="16"/>
      <c r="H8074" s="24"/>
      <c r="I8074" s="24"/>
      <c r="L8074"/>
    </row>
    <row r="8075" spans="1:12" x14ac:dyDescent="0.25">
      <c r="A8075" s="16"/>
      <c r="D8075" s="16"/>
      <c r="F8075" s="16"/>
      <c r="G8075" s="16"/>
      <c r="H8075" s="24"/>
      <c r="I8075" s="24"/>
      <c r="L8075"/>
    </row>
    <row r="8076" spans="1:12" x14ac:dyDescent="0.25">
      <c r="A8076" s="16"/>
      <c r="D8076" s="16"/>
      <c r="F8076" s="16"/>
      <c r="G8076" s="16"/>
      <c r="H8076" s="24"/>
      <c r="I8076" s="24"/>
      <c r="L8076"/>
    </row>
    <row r="8077" spans="1:12" x14ac:dyDescent="0.25">
      <c r="A8077" s="16"/>
      <c r="D8077" s="16"/>
      <c r="F8077" s="16"/>
      <c r="G8077" s="16"/>
      <c r="H8077" s="24"/>
      <c r="I8077" s="24"/>
      <c r="L8077"/>
    </row>
    <row r="8078" spans="1:12" x14ac:dyDescent="0.25">
      <c r="A8078" s="16"/>
      <c r="D8078" s="16"/>
      <c r="F8078" s="16"/>
      <c r="G8078" s="16"/>
      <c r="H8078" s="24"/>
      <c r="I8078" s="24"/>
      <c r="L8078"/>
    </row>
    <row r="8079" spans="1:12" x14ac:dyDescent="0.25">
      <c r="A8079" s="16"/>
      <c r="D8079" s="16"/>
      <c r="F8079" s="16"/>
      <c r="G8079" s="16"/>
      <c r="H8079" s="24"/>
      <c r="I8079" s="24"/>
      <c r="L8079"/>
    </row>
    <row r="8080" spans="1:12" x14ac:dyDescent="0.25">
      <c r="A8080" s="16"/>
      <c r="D8080" s="16"/>
      <c r="F8080" s="16"/>
      <c r="G8080" s="16"/>
      <c r="H8080" s="24"/>
      <c r="I8080" s="24"/>
      <c r="L8080"/>
    </row>
    <row r="8081" spans="1:12" x14ac:dyDescent="0.25">
      <c r="A8081" s="16"/>
      <c r="D8081" s="16"/>
      <c r="F8081" s="16"/>
      <c r="G8081" s="16"/>
      <c r="H8081" s="24"/>
      <c r="I8081" s="24"/>
      <c r="L8081"/>
    </row>
    <row r="8082" spans="1:12" x14ac:dyDescent="0.25">
      <c r="A8082" s="16"/>
      <c r="D8082" s="16"/>
      <c r="F8082" s="16"/>
      <c r="G8082" s="16"/>
      <c r="H8082" s="24"/>
      <c r="I8082" s="24"/>
      <c r="L8082"/>
    </row>
    <row r="8083" spans="1:12" x14ac:dyDescent="0.25">
      <c r="A8083" s="16"/>
      <c r="D8083" s="16"/>
      <c r="F8083" s="16"/>
      <c r="G8083" s="16"/>
      <c r="H8083" s="24"/>
      <c r="I8083" s="24"/>
      <c r="L8083"/>
    </row>
    <row r="8084" spans="1:12" x14ac:dyDescent="0.25">
      <c r="A8084" s="16"/>
      <c r="D8084" s="16"/>
      <c r="F8084" s="16"/>
      <c r="G8084" s="16"/>
      <c r="H8084" s="24"/>
      <c r="I8084" s="24"/>
      <c r="L8084"/>
    </row>
    <row r="8085" spans="1:12" x14ac:dyDescent="0.25">
      <c r="A8085" s="16"/>
      <c r="D8085" s="16"/>
      <c r="F8085" s="16"/>
      <c r="G8085" s="16"/>
      <c r="H8085" s="24"/>
      <c r="I8085" s="24"/>
      <c r="L8085"/>
    </row>
    <row r="8086" spans="1:12" x14ac:dyDescent="0.25">
      <c r="A8086" s="16"/>
      <c r="D8086" s="16"/>
      <c r="F8086" s="16"/>
      <c r="G8086" s="16"/>
      <c r="H8086" s="24"/>
      <c r="I8086" s="24"/>
      <c r="L8086"/>
    </row>
    <row r="8087" spans="1:12" x14ac:dyDescent="0.25">
      <c r="A8087" s="16"/>
      <c r="D8087" s="16"/>
      <c r="F8087" s="16"/>
      <c r="G8087" s="16"/>
      <c r="H8087" s="24"/>
      <c r="I8087" s="24"/>
      <c r="L8087"/>
    </row>
    <row r="8088" spans="1:12" x14ac:dyDescent="0.25">
      <c r="A8088" s="16"/>
      <c r="D8088" s="16"/>
      <c r="F8088" s="16"/>
      <c r="G8088" s="16"/>
      <c r="H8088" s="24"/>
      <c r="I8088" s="24"/>
      <c r="L8088"/>
    </row>
    <row r="8089" spans="1:12" x14ac:dyDescent="0.25">
      <c r="A8089" s="16"/>
      <c r="D8089" s="16"/>
      <c r="F8089" s="16"/>
      <c r="G8089" s="16"/>
      <c r="H8089" s="24"/>
      <c r="I8089" s="24"/>
      <c r="L8089"/>
    </row>
    <row r="8090" spans="1:12" x14ac:dyDescent="0.25">
      <c r="A8090" s="16"/>
      <c r="D8090" s="16"/>
      <c r="F8090" s="16"/>
      <c r="G8090" s="16"/>
      <c r="H8090" s="24"/>
      <c r="I8090" s="24"/>
      <c r="L8090"/>
    </row>
    <row r="8091" spans="1:12" x14ac:dyDescent="0.25">
      <c r="A8091" s="16"/>
      <c r="D8091" s="16"/>
      <c r="F8091" s="16"/>
      <c r="G8091" s="16"/>
      <c r="H8091" s="24"/>
      <c r="I8091" s="24"/>
      <c r="L8091"/>
    </row>
    <row r="8092" spans="1:12" x14ac:dyDescent="0.25">
      <c r="A8092" s="16"/>
      <c r="D8092" s="16"/>
      <c r="F8092" s="16"/>
      <c r="G8092" s="16"/>
      <c r="H8092" s="24"/>
      <c r="I8092" s="24"/>
      <c r="L8092"/>
    </row>
    <row r="8093" spans="1:12" x14ac:dyDescent="0.25">
      <c r="A8093" s="16"/>
      <c r="D8093" s="16"/>
      <c r="F8093" s="16"/>
      <c r="G8093" s="16"/>
      <c r="H8093" s="24"/>
      <c r="I8093" s="24"/>
      <c r="L8093"/>
    </row>
    <row r="8094" spans="1:12" x14ac:dyDescent="0.25">
      <c r="A8094" s="16"/>
      <c r="D8094" s="16"/>
      <c r="F8094" s="16"/>
      <c r="G8094" s="16"/>
      <c r="H8094" s="24"/>
      <c r="I8094" s="24"/>
      <c r="L8094"/>
    </row>
    <row r="8095" spans="1:12" x14ac:dyDescent="0.25">
      <c r="A8095" s="16"/>
      <c r="D8095" s="16"/>
      <c r="F8095" s="16"/>
      <c r="G8095" s="16"/>
      <c r="H8095" s="24"/>
      <c r="I8095" s="24"/>
      <c r="L8095"/>
    </row>
    <row r="8096" spans="1:12" x14ac:dyDescent="0.25">
      <c r="A8096" s="16"/>
      <c r="D8096" s="16"/>
      <c r="F8096" s="16"/>
      <c r="G8096" s="16"/>
      <c r="H8096" s="24"/>
      <c r="I8096" s="24"/>
      <c r="L8096"/>
    </row>
    <row r="8097" spans="1:12" x14ac:dyDescent="0.25">
      <c r="A8097" s="16"/>
      <c r="D8097" s="16"/>
      <c r="F8097" s="16"/>
      <c r="G8097" s="16"/>
      <c r="H8097" s="24"/>
      <c r="I8097" s="24"/>
      <c r="L8097"/>
    </row>
    <row r="8098" spans="1:12" x14ac:dyDescent="0.25">
      <c r="A8098" s="16"/>
      <c r="D8098" s="16"/>
      <c r="F8098" s="16"/>
      <c r="G8098" s="16"/>
      <c r="H8098" s="24"/>
      <c r="I8098" s="24"/>
      <c r="L8098"/>
    </row>
    <row r="8099" spans="1:12" x14ac:dyDescent="0.25">
      <c r="A8099" s="16"/>
      <c r="D8099" s="16"/>
      <c r="F8099" s="16"/>
      <c r="G8099" s="16"/>
      <c r="H8099" s="24"/>
      <c r="I8099" s="24"/>
      <c r="L8099"/>
    </row>
    <row r="8100" spans="1:12" x14ac:dyDescent="0.25">
      <c r="A8100" s="16"/>
      <c r="D8100" s="16"/>
      <c r="F8100" s="16"/>
      <c r="G8100" s="16"/>
      <c r="H8100" s="24"/>
      <c r="I8100" s="24"/>
      <c r="L8100"/>
    </row>
    <row r="8101" spans="1:12" x14ac:dyDescent="0.25">
      <c r="A8101" s="16"/>
      <c r="D8101" s="16"/>
      <c r="F8101" s="16"/>
      <c r="G8101" s="16"/>
      <c r="H8101" s="24"/>
      <c r="I8101" s="24"/>
      <c r="L8101"/>
    </row>
    <row r="8102" spans="1:12" x14ac:dyDescent="0.25">
      <c r="A8102" s="16"/>
      <c r="D8102" s="16"/>
      <c r="F8102" s="16"/>
      <c r="G8102" s="16"/>
      <c r="H8102" s="24"/>
      <c r="I8102" s="24"/>
      <c r="L8102"/>
    </row>
    <row r="8103" spans="1:12" x14ac:dyDescent="0.25">
      <c r="A8103" s="16"/>
      <c r="D8103" s="16"/>
      <c r="F8103" s="16"/>
      <c r="G8103" s="16"/>
      <c r="H8103" s="24"/>
      <c r="I8103" s="24"/>
      <c r="L8103"/>
    </row>
    <row r="8104" spans="1:12" x14ac:dyDescent="0.25">
      <c r="A8104" s="16"/>
      <c r="D8104" s="16"/>
      <c r="F8104" s="16"/>
      <c r="G8104" s="16"/>
      <c r="H8104" s="24"/>
      <c r="I8104" s="24"/>
      <c r="L8104"/>
    </row>
    <row r="8105" spans="1:12" x14ac:dyDescent="0.25">
      <c r="A8105" s="16"/>
      <c r="D8105" s="16"/>
      <c r="F8105" s="16"/>
      <c r="G8105" s="16"/>
      <c r="H8105" s="24"/>
      <c r="I8105" s="24"/>
      <c r="L8105"/>
    </row>
    <row r="8106" spans="1:12" x14ac:dyDescent="0.25">
      <c r="A8106" s="16"/>
      <c r="D8106" s="16"/>
      <c r="F8106" s="16"/>
      <c r="G8106" s="16"/>
      <c r="H8106" s="24"/>
      <c r="I8106" s="24"/>
      <c r="L8106"/>
    </row>
    <row r="8107" spans="1:12" x14ac:dyDescent="0.25">
      <c r="A8107" s="16"/>
      <c r="D8107" s="16"/>
      <c r="F8107" s="16"/>
      <c r="G8107" s="16"/>
      <c r="H8107" s="24"/>
      <c r="I8107" s="24"/>
      <c r="L8107"/>
    </row>
    <row r="8108" spans="1:12" x14ac:dyDescent="0.25">
      <c r="A8108" s="16"/>
      <c r="D8108" s="16"/>
      <c r="F8108" s="16"/>
      <c r="G8108" s="16"/>
      <c r="H8108" s="24"/>
      <c r="I8108" s="24"/>
      <c r="L8108"/>
    </row>
    <row r="8109" spans="1:12" x14ac:dyDescent="0.25">
      <c r="A8109" s="16"/>
      <c r="D8109" s="16"/>
      <c r="F8109" s="16"/>
      <c r="G8109" s="16"/>
      <c r="H8109" s="24"/>
      <c r="I8109" s="24"/>
      <c r="L8109"/>
    </row>
    <row r="8110" spans="1:12" x14ac:dyDescent="0.25">
      <c r="A8110" s="16"/>
      <c r="D8110" s="16"/>
      <c r="F8110" s="16"/>
      <c r="G8110" s="16"/>
      <c r="H8110" s="24"/>
      <c r="I8110" s="24"/>
      <c r="L8110"/>
    </row>
    <row r="8111" spans="1:12" x14ac:dyDescent="0.25">
      <c r="A8111" s="16"/>
      <c r="D8111" s="16"/>
      <c r="F8111" s="16"/>
      <c r="G8111" s="16"/>
      <c r="H8111" s="24"/>
      <c r="I8111" s="24"/>
      <c r="L8111"/>
    </row>
    <row r="8112" spans="1:12" x14ac:dyDescent="0.25">
      <c r="A8112" s="16"/>
      <c r="D8112" s="16"/>
      <c r="F8112" s="16"/>
      <c r="G8112" s="16"/>
      <c r="H8112" s="24"/>
      <c r="I8112" s="24"/>
      <c r="L8112"/>
    </row>
    <row r="8113" spans="1:12" x14ac:dyDescent="0.25">
      <c r="A8113" s="16"/>
      <c r="D8113" s="16"/>
      <c r="F8113" s="16"/>
      <c r="G8113" s="16"/>
      <c r="H8113" s="24"/>
      <c r="I8113" s="24"/>
      <c r="L8113"/>
    </row>
    <row r="8114" spans="1:12" x14ac:dyDescent="0.25">
      <c r="A8114" s="16"/>
      <c r="D8114" s="16"/>
      <c r="F8114" s="16"/>
      <c r="G8114" s="16"/>
      <c r="H8114" s="24"/>
      <c r="I8114" s="24"/>
      <c r="L8114"/>
    </row>
    <row r="8115" spans="1:12" x14ac:dyDescent="0.25">
      <c r="A8115" s="16"/>
      <c r="D8115" s="16"/>
      <c r="F8115" s="16"/>
      <c r="G8115" s="16"/>
      <c r="H8115" s="24"/>
      <c r="I8115" s="24"/>
      <c r="L8115"/>
    </row>
    <row r="8116" spans="1:12" x14ac:dyDescent="0.25">
      <c r="A8116" s="16"/>
      <c r="D8116" s="16"/>
      <c r="F8116" s="16"/>
      <c r="G8116" s="16"/>
      <c r="H8116" s="24"/>
      <c r="I8116" s="24"/>
      <c r="L8116"/>
    </row>
    <row r="8117" spans="1:12" x14ac:dyDescent="0.25">
      <c r="A8117" s="16"/>
      <c r="D8117" s="16"/>
      <c r="F8117" s="16"/>
      <c r="G8117" s="16"/>
      <c r="H8117" s="24"/>
      <c r="I8117" s="24"/>
      <c r="L8117"/>
    </row>
    <row r="8118" spans="1:12" x14ac:dyDescent="0.25">
      <c r="A8118" s="16"/>
      <c r="D8118" s="16"/>
      <c r="F8118" s="16"/>
      <c r="G8118" s="16"/>
      <c r="H8118" s="24"/>
      <c r="I8118" s="24"/>
      <c r="L8118"/>
    </row>
    <row r="8119" spans="1:12" x14ac:dyDescent="0.25">
      <c r="A8119" s="16"/>
      <c r="D8119" s="16"/>
      <c r="F8119" s="16"/>
      <c r="G8119" s="16"/>
      <c r="H8119" s="24"/>
      <c r="I8119" s="24"/>
      <c r="L8119"/>
    </row>
    <row r="8120" spans="1:12" x14ac:dyDescent="0.25">
      <c r="A8120" s="16"/>
      <c r="D8120" s="16"/>
      <c r="F8120" s="16"/>
      <c r="G8120" s="16"/>
      <c r="H8120" s="24"/>
      <c r="I8120" s="24"/>
      <c r="L8120"/>
    </row>
    <row r="8121" spans="1:12" x14ac:dyDescent="0.25">
      <c r="A8121" s="16"/>
      <c r="D8121" s="16"/>
      <c r="F8121" s="16"/>
      <c r="G8121" s="16"/>
      <c r="H8121" s="24"/>
      <c r="I8121" s="24"/>
      <c r="L8121"/>
    </row>
    <row r="8122" spans="1:12" x14ac:dyDescent="0.25">
      <c r="A8122" s="16"/>
      <c r="D8122" s="16"/>
      <c r="F8122" s="16"/>
      <c r="G8122" s="16"/>
      <c r="H8122" s="24"/>
      <c r="I8122" s="24"/>
      <c r="L8122"/>
    </row>
    <row r="8123" spans="1:12" x14ac:dyDescent="0.25">
      <c r="A8123" s="16"/>
      <c r="D8123" s="16"/>
      <c r="F8123" s="16"/>
      <c r="G8123" s="16"/>
      <c r="H8123" s="24"/>
      <c r="I8123" s="24"/>
      <c r="L8123"/>
    </row>
    <row r="8124" spans="1:12" x14ac:dyDescent="0.25">
      <c r="A8124" s="16"/>
      <c r="D8124" s="16"/>
      <c r="F8124" s="16"/>
      <c r="G8124" s="16"/>
      <c r="H8124" s="24"/>
      <c r="I8124" s="24"/>
      <c r="L8124"/>
    </row>
    <row r="8125" spans="1:12" x14ac:dyDescent="0.25">
      <c r="A8125" s="16"/>
      <c r="D8125" s="16"/>
      <c r="F8125" s="16"/>
      <c r="G8125" s="16"/>
      <c r="H8125" s="24"/>
      <c r="I8125" s="24"/>
      <c r="L8125"/>
    </row>
    <row r="8126" spans="1:12" x14ac:dyDescent="0.25">
      <c r="A8126" s="16"/>
      <c r="D8126" s="16"/>
      <c r="F8126" s="16"/>
      <c r="G8126" s="16"/>
      <c r="H8126" s="24"/>
      <c r="I8126" s="24"/>
      <c r="L8126"/>
    </row>
    <row r="8127" spans="1:12" x14ac:dyDescent="0.25">
      <c r="A8127" s="16"/>
      <c r="D8127" s="16"/>
      <c r="F8127" s="16"/>
      <c r="G8127" s="16"/>
      <c r="H8127" s="24"/>
      <c r="I8127" s="24"/>
      <c r="L8127"/>
    </row>
    <row r="8128" spans="1:12" x14ac:dyDescent="0.25">
      <c r="A8128" s="16"/>
      <c r="D8128" s="16"/>
      <c r="F8128" s="16"/>
      <c r="G8128" s="16"/>
      <c r="H8128" s="24"/>
      <c r="I8128" s="24"/>
      <c r="L8128"/>
    </row>
    <row r="8129" spans="1:12" x14ac:dyDescent="0.25">
      <c r="A8129" s="16"/>
      <c r="D8129" s="16"/>
      <c r="F8129" s="16"/>
      <c r="G8129" s="16"/>
      <c r="H8129" s="24"/>
      <c r="I8129" s="24"/>
      <c r="L8129"/>
    </row>
    <row r="8130" spans="1:12" x14ac:dyDescent="0.25">
      <c r="A8130" s="16"/>
      <c r="D8130" s="16"/>
      <c r="F8130" s="16"/>
      <c r="G8130" s="16"/>
      <c r="H8130" s="24"/>
      <c r="I8130" s="24"/>
      <c r="L8130"/>
    </row>
    <row r="8131" spans="1:12" x14ac:dyDescent="0.25">
      <c r="A8131" s="16"/>
      <c r="D8131" s="16"/>
      <c r="F8131" s="16"/>
      <c r="G8131" s="16"/>
      <c r="H8131" s="24"/>
      <c r="I8131" s="24"/>
      <c r="L8131"/>
    </row>
    <row r="8132" spans="1:12" x14ac:dyDescent="0.25">
      <c r="A8132" s="16"/>
      <c r="D8132" s="16"/>
      <c r="F8132" s="16"/>
      <c r="G8132" s="16"/>
      <c r="H8132" s="24"/>
      <c r="I8132" s="24"/>
      <c r="L8132"/>
    </row>
    <row r="8133" spans="1:12" x14ac:dyDescent="0.25">
      <c r="A8133" s="16"/>
      <c r="D8133" s="16"/>
      <c r="F8133" s="16"/>
      <c r="G8133" s="16"/>
      <c r="H8133" s="24"/>
      <c r="I8133" s="24"/>
      <c r="L8133"/>
    </row>
    <row r="8134" spans="1:12" x14ac:dyDescent="0.25">
      <c r="A8134" s="16"/>
      <c r="D8134" s="16"/>
      <c r="F8134" s="16"/>
      <c r="G8134" s="16"/>
      <c r="H8134" s="24"/>
      <c r="I8134" s="24"/>
      <c r="L8134"/>
    </row>
    <row r="8135" spans="1:12" x14ac:dyDescent="0.25">
      <c r="A8135" s="16"/>
      <c r="D8135" s="16"/>
      <c r="F8135" s="16"/>
      <c r="G8135" s="16"/>
      <c r="H8135" s="24"/>
      <c r="I8135" s="24"/>
      <c r="L8135"/>
    </row>
    <row r="8136" spans="1:12" x14ac:dyDescent="0.25">
      <c r="A8136" s="16"/>
      <c r="D8136" s="16"/>
      <c r="F8136" s="16"/>
      <c r="G8136" s="16"/>
      <c r="H8136" s="24"/>
      <c r="I8136" s="24"/>
      <c r="L8136"/>
    </row>
    <row r="8137" spans="1:12" x14ac:dyDescent="0.25">
      <c r="A8137" s="16"/>
      <c r="D8137" s="16"/>
      <c r="F8137" s="16"/>
      <c r="G8137" s="16"/>
      <c r="H8137" s="24"/>
      <c r="I8137" s="24"/>
      <c r="L8137"/>
    </row>
    <row r="8138" spans="1:12" x14ac:dyDescent="0.25">
      <c r="A8138" s="16"/>
      <c r="D8138" s="16"/>
      <c r="F8138" s="16"/>
      <c r="G8138" s="16"/>
      <c r="H8138" s="24"/>
      <c r="I8138" s="24"/>
      <c r="L8138"/>
    </row>
    <row r="8139" spans="1:12" x14ac:dyDescent="0.25">
      <c r="A8139" s="16"/>
      <c r="D8139" s="16"/>
      <c r="F8139" s="16"/>
      <c r="G8139" s="16"/>
      <c r="H8139" s="24"/>
      <c r="I8139" s="24"/>
      <c r="L8139"/>
    </row>
    <row r="8140" spans="1:12" x14ac:dyDescent="0.25">
      <c r="A8140" s="16"/>
      <c r="D8140" s="16"/>
      <c r="F8140" s="16"/>
      <c r="G8140" s="16"/>
      <c r="H8140" s="24"/>
      <c r="I8140" s="24"/>
      <c r="L8140"/>
    </row>
    <row r="8141" spans="1:12" x14ac:dyDescent="0.25">
      <c r="A8141" s="16"/>
      <c r="D8141" s="16"/>
      <c r="F8141" s="16"/>
      <c r="G8141" s="16"/>
      <c r="H8141" s="24"/>
      <c r="I8141" s="24"/>
      <c r="L8141"/>
    </row>
    <row r="8142" spans="1:12" x14ac:dyDescent="0.25">
      <c r="A8142" s="16"/>
      <c r="D8142" s="16"/>
      <c r="F8142" s="16"/>
      <c r="G8142" s="16"/>
      <c r="H8142" s="24"/>
      <c r="I8142" s="24"/>
      <c r="L8142"/>
    </row>
    <row r="8143" spans="1:12" x14ac:dyDescent="0.25">
      <c r="A8143" s="16"/>
      <c r="D8143" s="16"/>
      <c r="F8143" s="16"/>
      <c r="G8143" s="16"/>
      <c r="H8143" s="24"/>
      <c r="I8143" s="24"/>
      <c r="L8143"/>
    </row>
    <row r="8144" spans="1:12" x14ac:dyDescent="0.25">
      <c r="A8144" s="16"/>
      <c r="D8144" s="16"/>
      <c r="F8144" s="16"/>
      <c r="G8144" s="16"/>
      <c r="H8144" s="24"/>
      <c r="I8144" s="24"/>
      <c r="L8144"/>
    </row>
    <row r="8145" spans="1:12" x14ac:dyDescent="0.25">
      <c r="A8145" s="16"/>
      <c r="D8145" s="16"/>
      <c r="F8145" s="16"/>
      <c r="G8145" s="16"/>
      <c r="H8145" s="24"/>
      <c r="I8145" s="24"/>
      <c r="L8145"/>
    </row>
    <row r="8146" spans="1:12" x14ac:dyDescent="0.25">
      <c r="A8146" s="16"/>
      <c r="D8146" s="16"/>
      <c r="F8146" s="16"/>
      <c r="G8146" s="16"/>
      <c r="H8146" s="24"/>
      <c r="I8146" s="24"/>
      <c r="L8146"/>
    </row>
    <row r="8147" spans="1:12" x14ac:dyDescent="0.25">
      <c r="A8147" s="16"/>
      <c r="D8147" s="16"/>
      <c r="F8147" s="16"/>
      <c r="G8147" s="16"/>
      <c r="H8147" s="24"/>
      <c r="I8147" s="24"/>
      <c r="L8147"/>
    </row>
    <row r="8148" spans="1:12" x14ac:dyDescent="0.25">
      <c r="A8148" s="16"/>
      <c r="D8148" s="16"/>
      <c r="F8148" s="16"/>
      <c r="G8148" s="16"/>
      <c r="H8148" s="24"/>
      <c r="I8148" s="24"/>
      <c r="L8148"/>
    </row>
    <row r="8149" spans="1:12" x14ac:dyDescent="0.25">
      <c r="A8149" s="16"/>
      <c r="D8149" s="16"/>
      <c r="F8149" s="16"/>
      <c r="G8149" s="16"/>
      <c r="H8149" s="24"/>
      <c r="I8149" s="24"/>
      <c r="L8149"/>
    </row>
    <row r="8150" spans="1:12" x14ac:dyDescent="0.25">
      <c r="A8150" s="16"/>
      <c r="D8150" s="16"/>
      <c r="F8150" s="16"/>
      <c r="G8150" s="16"/>
      <c r="H8150" s="24"/>
      <c r="I8150" s="24"/>
      <c r="L8150"/>
    </row>
    <row r="8151" spans="1:12" x14ac:dyDescent="0.25">
      <c r="A8151" s="16"/>
      <c r="D8151" s="16"/>
      <c r="F8151" s="16"/>
      <c r="G8151" s="16"/>
      <c r="H8151" s="24"/>
      <c r="I8151" s="24"/>
      <c r="L8151"/>
    </row>
    <row r="8152" spans="1:12" x14ac:dyDescent="0.25">
      <c r="A8152" s="16"/>
      <c r="D8152" s="16"/>
      <c r="F8152" s="16"/>
      <c r="G8152" s="16"/>
      <c r="H8152" s="24"/>
      <c r="I8152" s="24"/>
      <c r="L8152"/>
    </row>
    <row r="8153" spans="1:12" x14ac:dyDescent="0.25">
      <c r="A8153" s="16"/>
      <c r="D8153" s="16"/>
      <c r="F8153" s="16"/>
      <c r="G8153" s="16"/>
      <c r="H8153" s="24"/>
      <c r="I8153" s="24"/>
      <c r="L8153"/>
    </row>
    <row r="8154" spans="1:12" x14ac:dyDescent="0.25">
      <c r="A8154" s="16"/>
      <c r="D8154" s="16"/>
      <c r="F8154" s="16"/>
      <c r="G8154" s="16"/>
      <c r="H8154" s="24"/>
      <c r="I8154" s="24"/>
      <c r="L8154"/>
    </row>
    <row r="8155" spans="1:12" x14ac:dyDescent="0.25">
      <c r="A8155" s="16"/>
      <c r="D8155" s="16"/>
      <c r="F8155" s="16"/>
      <c r="G8155" s="16"/>
      <c r="H8155" s="24"/>
      <c r="I8155" s="24"/>
      <c r="L8155"/>
    </row>
    <row r="8156" spans="1:12" x14ac:dyDescent="0.25">
      <c r="A8156" s="16"/>
      <c r="D8156" s="16"/>
      <c r="F8156" s="16"/>
      <c r="G8156" s="16"/>
      <c r="H8156" s="24"/>
      <c r="I8156" s="24"/>
      <c r="L8156"/>
    </row>
    <row r="8157" spans="1:12" x14ac:dyDescent="0.25">
      <c r="A8157" s="16"/>
      <c r="D8157" s="16"/>
      <c r="F8157" s="16"/>
      <c r="G8157" s="16"/>
      <c r="H8157" s="24"/>
      <c r="I8157" s="24"/>
      <c r="L8157"/>
    </row>
    <row r="8158" spans="1:12" x14ac:dyDescent="0.25">
      <c r="A8158" s="16"/>
      <c r="D8158" s="16"/>
      <c r="F8158" s="16"/>
      <c r="G8158" s="16"/>
      <c r="H8158" s="24"/>
      <c r="I8158" s="24"/>
      <c r="L8158"/>
    </row>
    <row r="8159" spans="1:12" x14ac:dyDescent="0.25">
      <c r="A8159" s="16"/>
      <c r="D8159" s="16"/>
      <c r="F8159" s="16"/>
      <c r="G8159" s="16"/>
      <c r="H8159" s="24"/>
      <c r="I8159" s="24"/>
      <c r="L8159"/>
    </row>
    <row r="8160" spans="1:12" x14ac:dyDescent="0.25">
      <c r="A8160" s="16"/>
      <c r="D8160" s="16"/>
      <c r="F8160" s="16"/>
      <c r="G8160" s="16"/>
      <c r="H8160" s="24"/>
      <c r="I8160" s="24"/>
      <c r="L8160"/>
    </row>
    <row r="8161" spans="1:12" x14ac:dyDescent="0.25">
      <c r="A8161" s="16"/>
      <c r="D8161" s="16"/>
      <c r="F8161" s="16"/>
      <c r="G8161" s="16"/>
      <c r="H8161" s="24"/>
      <c r="I8161" s="24"/>
      <c r="L8161"/>
    </row>
    <row r="8162" spans="1:12" x14ac:dyDescent="0.25">
      <c r="A8162" s="16"/>
      <c r="D8162" s="16"/>
      <c r="F8162" s="16"/>
      <c r="G8162" s="16"/>
      <c r="H8162" s="24"/>
      <c r="I8162" s="24"/>
      <c r="L8162"/>
    </row>
    <row r="8163" spans="1:12" x14ac:dyDescent="0.25">
      <c r="A8163" s="16"/>
      <c r="D8163" s="16"/>
      <c r="F8163" s="16"/>
      <c r="G8163" s="16"/>
      <c r="H8163" s="24"/>
      <c r="I8163" s="24"/>
      <c r="L8163"/>
    </row>
    <row r="8164" spans="1:12" x14ac:dyDescent="0.25">
      <c r="A8164" s="16"/>
      <c r="D8164" s="16"/>
      <c r="F8164" s="16"/>
      <c r="G8164" s="16"/>
      <c r="H8164" s="24"/>
      <c r="I8164" s="24"/>
      <c r="L8164"/>
    </row>
    <row r="8165" spans="1:12" x14ac:dyDescent="0.25">
      <c r="A8165" s="16"/>
      <c r="D8165" s="16"/>
      <c r="F8165" s="16"/>
      <c r="G8165" s="16"/>
      <c r="H8165" s="24"/>
      <c r="I8165" s="24"/>
      <c r="L8165"/>
    </row>
    <row r="8166" spans="1:12" x14ac:dyDescent="0.25">
      <c r="A8166" s="16"/>
      <c r="D8166" s="16"/>
      <c r="F8166" s="16"/>
      <c r="G8166" s="16"/>
      <c r="H8166" s="24"/>
      <c r="I8166" s="24"/>
      <c r="L8166"/>
    </row>
    <row r="8167" spans="1:12" x14ac:dyDescent="0.25">
      <c r="A8167" s="16"/>
      <c r="D8167" s="16"/>
      <c r="F8167" s="16"/>
      <c r="G8167" s="16"/>
      <c r="H8167" s="24"/>
      <c r="I8167" s="24"/>
      <c r="L8167"/>
    </row>
    <row r="8168" spans="1:12" x14ac:dyDescent="0.25">
      <c r="A8168" s="16"/>
      <c r="D8168" s="16"/>
      <c r="F8168" s="16"/>
      <c r="G8168" s="16"/>
      <c r="H8168" s="24"/>
      <c r="I8168" s="24"/>
      <c r="L8168"/>
    </row>
    <row r="8169" spans="1:12" x14ac:dyDescent="0.25">
      <c r="A8169" s="16"/>
      <c r="D8169" s="16"/>
      <c r="F8169" s="16"/>
      <c r="G8169" s="16"/>
      <c r="H8169" s="24"/>
      <c r="I8169" s="24"/>
      <c r="L8169"/>
    </row>
    <row r="8170" spans="1:12" x14ac:dyDescent="0.25">
      <c r="A8170" s="16"/>
      <c r="D8170" s="16"/>
      <c r="F8170" s="16"/>
      <c r="G8170" s="16"/>
      <c r="H8170" s="24"/>
      <c r="I8170" s="24"/>
      <c r="L8170"/>
    </row>
    <row r="8171" spans="1:12" x14ac:dyDescent="0.25">
      <c r="A8171" s="16"/>
      <c r="D8171" s="16"/>
      <c r="F8171" s="16"/>
      <c r="G8171" s="16"/>
      <c r="H8171" s="24"/>
      <c r="I8171" s="24"/>
      <c r="L8171"/>
    </row>
    <row r="8172" spans="1:12" x14ac:dyDescent="0.25">
      <c r="A8172" s="16"/>
      <c r="D8172" s="16"/>
      <c r="F8172" s="16"/>
      <c r="G8172" s="16"/>
      <c r="H8172" s="24"/>
      <c r="I8172" s="24"/>
      <c r="L8172"/>
    </row>
    <row r="8173" spans="1:12" x14ac:dyDescent="0.25">
      <c r="A8173" s="16"/>
      <c r="D8173" s="16"/>
      <c r="F8173" s="16"/>
      <c r="G8173" s="16"/>
      <c r="H8173" s="24"/>
      <c r="I8173" s="24"/>
      <c r="L8173"/>
    </row>
    <row r="8174" spans="1:12" x14ac:dyDescent="0.25">
      <c r="A8174" s="16"/>
      <c r="D8174" s="16"/>
      <c r="F8174" s="16"/>
      <c r="G8174" s="16"/>
      <c r="H8174" s="24"/>
      <c r="I8174" s="24"/>
      <c r="L8174"/>
    </row>
    <row r="8175" spans="1:12" x14ac:dyDescent="0.25">
      <c r="A8175" s="16"/>
      <c r="D8175" s="16"/>
      <c r="F8175" s="16"/>
      <c r="G8175" s="16"/>
      <c r="H8175" s="24"/>
      <c r="I8175" s="24"/>
      <c r="L8175"/>
    </row>
    <row r="8176" spans="1:12" x14ac:dyDescent="0.25">
      <c r="A8176" s="16"/>
      <c r="D8176" s="16"/>
      <c r="F8176" s="16"/>
      <c r="G8176" s="16"/>
      <c r="H8176" s="24"/>
      <c r="I8176" s="24"/>
      <c r="L8176"/>
    </row>
    <row r="8177" spans="1:12" x14ac:dyDescent="0.25">
      <c r="A8177" s="16"/>
      <c r="D8177" s="16"/>
      <c r="F8177" s="16"/>
      <c r="G8177" s="16"/>
      <c r="H8177" s="24"/>
      <c r="I8177" s="24"/>
      <c r="L8177"/>
    </row>
    <row r="8178" spans="1:12" x14ac:dyDescent="0.25">
      <c r="A8178" s="16"/>
      <c r="D8178" s="16"/>
      <c r="F8178" s="16"/>
      <c r="G8178" s="16"/>
      <c r="H8178" s="24"/>
      <c r="I8178" s="24"/>
      <c r="L8178"/>
    </row>
    <row r="8179" spans="1:12" x14ac:dyDescent="0.25">
      <c r="A8179" s="16"/>
      <c r="D8179" s="16"/>
      <c r="F8179" s="16"/>
      <c r="G8179" s="16"/>
      <c r="H8179" s="24"/>
      <c r="I8179" s="24"/>
      <c r="L8179"/>
    </row>
    <row r="8180" spans="1:12" x14ac:dyDescent="0.25">
      <c r="A8180" s="16"/>
      <c r="D8180" s="16"/>
      <c r="F8180" s="16"/>
      <c r="G8180" s="16"/>
      <c r="H8180" s="24"/>
      <c r="I8180" s="24"/>
      <c r="L8180"/>
    </row>
    <row r="8181" spans="1:12" x14ac:dyDescent="0.25">
      <c r="A8181" s="16"/>
      <c r="D8181" s="16"/>
      <c r="F8181" s="16"/>
      <c r="G8181" s="16"/>
      <c r="H8181" s="24"/>
      <c r="I8181" s="24"/>
      <c r="L8181"/>
    </row>
    <row r="8182" spans="1:12" x14ac:dyDescent="0.25">
      <c r="A8182" s="16"/>
      <c r="D8182" s="16"/>
      <c r="F8182" s="16"/>
      <c r="G8182" s="16"/>
      <c r="H8182" s="24"/>
      <c r="I8182" s="24"/>
      <c r="L8182"/>
    </row>
    <row r="8183" spans="1:12" x14ac:dyDescent="0.25">
      <c r="A8183" s="16"/>
      <c r="D8183" s="16"/>
      <c r="F8183" s="16"/>
      <c r="G8183" s="16"/>
      <c r="H8183" s="24"/>
      <c r="I8183" s="24"/>
      <c r="L8183"/>
    </row>
    <row r="8184" spans="1:12" x14ac:dyDescent="0.25">
      <c r="A8184" s="16"/>
      <c r="D8184" s="16"/>
      <c r="F8184" s="16"/>
      <c r="G8184" s="16"/>
      <c r="H8184" s="24"/>
      <c r="I8184" s="24"/>
      <c r="L8184"/>
    </row>
    <row r="8185" spans="1:12" x14ac:dyDescent="0.25">
      <c r="A8185" s="16"/>
      <c r="D8185" s="16"/>
      <c r="F8185" s="16"/>
      <c r="G8185" s="16"/>
      <c r="H8185" s="24"/>
      <c r="I8185" s="24"/>
      <c r="L8185"/>
    </row>
    <row r="8186" spans="1:12" x14ac:dyDescent="0.25">
      <c r="A8186" s="16"/>
      <c r="D8186" s="16"/>
      <c r="F8186" s="16"/>
      <c r="G8186" s="16"/>
      <c r="H8186" s="24"/>
      <c r="I8186" s="24"/>
      <c r="L8186"/>
    </row>
    <row r="8187" spans="1:12" x14ac:dyDescent="0.25">
      <c r="A8187" s="16"/>
      <c r="D8187" s="16"/>
      <c r="F8187" s="16"/>
      <c r="G8187" s="16"/>
      <c r="H8187" s="24"/>
      <c r="I8187" s="24"/>
      <c r="L8187"/>
    </row>
    <row r="8188" spans="1:12" x14ac:dyDescent="0.25">
      <c r="A8188" s="16"/>
      <c r="D8188" s="16"/>
      <c r="F8188" s="16"/>
      <c r="G8188" s="16"/>
      <c r="H8188" s="24"/>
      <c r="I8188" s="24"/>
      <c r="L8188"/>
    </row>
    <row r="8189" spans="1:12" x14ac:dyDescent="0.25">
      <c r="A8189" s="16"/>
      <c r="D8189" s="16"/>
      <c r="F8189" s="16"/>
      <c r="G8189" s="16"/>
      <c r="H8189" s="24"/>
      <c r="I8189" s="24"/>
      <c r="L8189"/>
    </row>
    <row r="8190" spans="1:12" x14ac:dyDescent="0.25">
      <c r="A8190" s="16"/>
      <c r="D8190" s="16"/>
      <c r="F8190" s="16"/>
      <c r="G8190" s="16"/>
      <c r="H8190" s="24"/>
      <c r="I8190" s="24"/>
      <c r="L8190"/>
    </row>
    <row r="8191" spans="1:12" x14ac:dyDescent="0.25">
      <c r="A8191" s="16"/>
      <c r="D8191" s="16"/>
      <c r="F8191" s="16"/>
      <c r="G8191" s="16"/>
      <c r="H8191" s="24"/>
      <c r="I8191" s="24"/>
      <c r="L8191"/>
    </row>
    <row r="8192" spans="1:12" x14ac:dyDescent="0.25">
      <c r="A8192" s="16"/>
      <c r="D8192" s="16"/>
      <c r="F8192" s="16"/>
      <c r="G8192" s="16"/>
      <c r="H8192" s="24"/>
      <c r="I8192" s="24"/>
      <c r="L8192"/>
    </row>
    <row r="8193" spans="1:12" x14ac:dyDescent="0.25">
      <c r="A8193" s="16"/>
      <c r="D8193" s="16"/>
      <c r="F8193" s="16"/>
      <c r="G8193" s="16"/>
      <c r="H8193" s="24"/>
      <c r="I8193" s="24"/>
      <c r="L8193"/>
    </row>
    <row r="8194" spans="1:12" x14ac:dyDescent="0.25">
      <c r="A8194" s="16"/>
      <c r="D8194" s="16"/>
      <c r="F8194" s="16"/>
      <c r="G8194" s="16"/>
      <c r="H8194" s="24"/>
      <c r="I8194" s="24"/>
      <c r="L8194"/>
    </row>
    <row r="8195" spans="1:12" x14ac:dyDescent="0.25">
      <c r="A8195" s="16"/>
      <c r="D8195" s="16"/>
      <c r="F8195" s="16"/>
      <c r="G8195" s="16"/>
      <c r="H8195" s="24"/>
      <c r="I8195" s="24"/>
      <c r="L8195"/>
    </row>
    <row r="8196" spans="1:12" x14ac:dyDescent="0.25">
      <c r="A8196" s="16"/>
      <c r="D8196" s="16"/>
      <c r="F8196" s="16"/>
      <c r="G8196" s="16"/>
      <c r="H8196" s="24"/>
      <c r="I8196" s="24"/>
      <c r="L8196"/>
    </row>
    <row r="8197" spans="1:12" x14ac:dyDescent="0.25">
      <c r="A8197" s="16"/>
      <c r="D8197" s="16"/>
      <c r="F8197" s="16"/>
      <c r="G8197" s="16"/>
      <c r="H8197" s="24"/>
      <c r="I8197" s="24"/>
      <c r="L8197"/>
    </row>
    <row r="8198" spans="1:12" x14ac:dyDescent="0.25">
      <c r="A8198" s="16"/>
      <c r="D8198" s="16"/>
      <c r="F8198" s="16"/>
      <c r="G8198" s="16"/>
      <c r="H8198" s="24"/>
      <c r="I8198" s="24"/>
      <c r="L8198"/>
    </row>
    <row r="8199" spans="1:12" x14ac:dyDescent="0.25">
      <c r="A8199" s="16"/>
      <c r="D8199" s="16"/>
      <c r="F8199" s="16"/>
      <c r="G8199" s="16"/>
      <c r="H8199" s="24"/>
      <c r="I8199" s="24"/>
      <c r="L8199"/>
    </row>
    <row r="8200" spans="1:12" x14ac:dyDescent="0.25">
      <c r="A8200" s="16"/>
      <c r="D8200" s="16"/>
      <c r="F8200" s="16"/>
      <c r="G8200" s="16"/>
      <c r="H8200" s="24"/>
      <c r="I8200" s="24"/>
      <c r="L8200"/>
    </row>
    <row r="8201" spans="1:12" x14ac:dyDescent="0.25">
      <c r="A8201" s="16"/>
      <c r="D8201" s="16"/>
      <c r="F8201" s="16"/>
      <c r="G8201" s="16"/>
      <c r="H8201" s="24"/>
      <c r="I8201" s="24"/>
      <c r="L8201"/>
    </row>
    <row r="8202" spans="1:12" x14ac:dyDescent="0.25">
      <c r="A8202" s="16"/>
      <c r="D8202" s="16"/>
      <c r="F8202" s="16"/>
      <c r="G8202" s="16"/>
      <c r="H8202" s="24"/>
      <c r="I8202" s="24"/>
      <c r="L8202"/>
    </row>
    <row r="8203" spans="1:12" x14ac:dyDescent="0.25">
      <c r="A8203" s="16"/>
      <c r="D8203" s="16"/>
      <c r="F8203" s="16"/>
      <c r="G8203" s="16"/>
      <c r="H8203" s="24"/>
      <c r="I8203" s="24"/>
      <c r="L8203"/>
    </row>
    <row r="8204" spans="1:12" x14ac:dyDescent="0.25">
      <c r="A8204" s="16"/>
      <c r="D8204" s="16"/>
      <c r="F8204" s="16"/>
      <c r="G8204" s="16"/>
      <c r="H8204" s="24"/>
      <c r="I8204" s="24"/>
      <c r="L8204"/>
    </row>
    <row r="8205" spans="1:12" x14ac:dyDescent="0.25">
      <c r="A8205" s="16"/>
      <c r="D8205" s="16"/>
      <c r="F8205" s="16"/>
      <c r="G8205" s="16"/>
      <c r="H8205" s="24"/>
      <c r="I8205" s="24"/>
      <c r="L8205"/>
    </row>
    <row r="8206" spans="1:12" x14ac:dyDescent="0.25">
      <c r="A8206" s="16"/>
      <c r="D8206" s="16"/>
      <c r="F8206" s="16"/>
      <c r="G8206" s="16"/>
      <c r="H8206" s="24"/>
      <c r="I8206" s="24"/>
      <c r="L8206"/>
    </row>
    <row r="8207" spans="1:12" x14ac:dyDescent="0.25">
      <c r="A8207" s="16"/>
      <c r="D8207" s="16"/>
      <c r="F8207" s="16"/>
      <c r="G8207" s="16"/>
      <c r="H8207" s="24"/>
      <c r="I8207" s="24"/>
      <c r="L8207"/>
    </row>
    <row r="8208" spans="1:12" x14ac:dyDescent="0.25">
      <c r="A8208" s="16"/>
      <c r="D8208" s="16"/>
      <c r="F8208" s="16"/>
      <c r="G8208" s="16"/>
      <c r="H8208" s="24"/>
      <c r="I8208" s="24"/>
      <c r="L8208"/>
    </row>
    <row r="8209" spans="1:12" x14ac:dyDescent="0.25">
      <c r="A8209" s="16"/>
      <c r="D8209" s="16"/>
      <c r="F8209" s="16"/>
      <c r="G8209" s="16"/>
      <c r="H8209" s="24"/>
      <c r="I8209" s="24"/>
      <c r="L8209"/>
    </row>
    <row r="8210" spans="1:12" x14ac:dyDescent="0.25">
      <c r="A8210" s="16"/>
      <c r="D8210" s="16"/>
      <c r="F8210" s="16"/>
      <c r="G8210" s="16"/>
      <c r="H8210" s="24"/>
      <c r="I8210" s="24"/>
      <c r="L8210"/>
    </row>
    <row r="8211" spans="1:12" x14ac:dyDescent="0.25">
      <c r="A8211" s="16"/>
      <c r="D8211" s="16"/>
      <c r="F8211" s="16"/>
      <c r="G8211" s="16"/>
      <c r="H8211" s="24"/>
      <c r="I8211" s="24"/>
      <c r="L8211"/>
    </row>
    <row r="8212" spans="1:12" x14ac:dyDescent="0.25">
      <c r="A8212" s="16"/>
      <c r="D8212" s="16"/>
      <c r="F8212" s="16"/>
      <c r="G8212" s="16"/>
      <c r="H8212" s="24"/>
      <c r="I8212" s="24"/>
      <c r="L8212"/>
    </row>
    <row r="8213" spans="1:12" x14ac:dyDescent="0.25">
      <c r="A8213" s="16"/>
      <c r="D8213" s="16"/>
      <c r="F8213" s="16"/>
      <c r="G8213" s="16"/>
      <c r="H8213" s="24"/>
      <c r="I8213" s="24"/>
      <c r="L8213"/>
    </row>
    <row r="8214" spans="1:12" x14ac:dyDescent="0.25">
      <c r="A8214" s="16"/>
      <c r="D8214" s="16"/>
      <c r="F8214" s="16"/>
      <c r="G8214" s="16"/>
      <c r="H8214" s="24"/>
      <c r="I8214" s="24"/>
      <c r="L8214"/>
    </row>
    <row r="8215" spans="1:12" x14ac:dyDescent="0.25">
      <c r="A8215" s="16"/>
      <c r="D8215" s="16"/>
      <c r="F8215" s="16"/>
      <c r="G8215" s="16"/>
      <c r="H8215" s="24"/>
      <c r="I8215" s="24"/>
      <c r="L8215"/>
    </row>
    <row r="8216" spans="1:12" x14ac:dyDescent="0.25">
      <c r="A8216" s="16"/>
      <c r="D8216" s="16"/>
      <c r="F8216" s="16"/>
      <c r="G8216" s="16"/>
      <c r="H8216" s="24"/>
      <c r="I8216" s="24"/>
      <c r="L8216"/>
    </row>
    <row r="8217" spans="1:12" x14ac:dyDescent="0.25">
      <c r="A8217" s="16"/>
      <c r="D8217" s="16"/>
      <c r="F8217" s="16"/>
      <c r="G8217" s="16"/>
      <c r="H8217" s="24"/>
      <c r="I8217" s="24"/>
      <c r="L8217"/>
    </row>
    <row r="8218" spans="1:12" x14ac:dyDescent="0.25">
      <c r="A8218" s="16"/>
      <c r="D8218" s="16"/>
      <c r="F8218" s="16"/>
      <c r="G8218" s="16"/>
      <c r="H8218" s="24"/>
      <c r="I8218" s="24"/>
      <c r="L8218"/>
    </row>
    <row r="8219" spans="1:12" x14ac:dyDescent="0.25">
      <c r="A8219" s="16"/>
      <c r="D8219" s="16"/>
      <c r="F8219" s="16"/>
      <c r="G8219" s="16"/>
      <c r="H8219" s="24"/>
      <c r="I8219" s="24"/>
      <c r="L8219"/>
    </row>
    <row r="8220" spans="1:12" x14ac:dyDescent="0.25">
      <c r="A8220" s="16"/>
      <c r="D8220" s="16"/>
      <c r="F8220" s="16"/>
      <c r="G8220" s="16"/>
      <c r="H8220" s="24"/>
      <c r="I8220" s="24"/>
      <c r="L8220"/>
    </row>
    <row r="8221" spans="1:12" x14ac:dyDescent="0.25">
      <c r="A8221" s="16"/>
      <c r="D8221" s="16"/>
      <c r="F8221" s="16"/>
      <c r="G8221" s="16"/>
      <c r="H8221" s="24"/>
      <c r="I8221" s="24"/>
      <c r="L8221"/>
    </row>
    <row r="8222" spans="1:12" x14ac:dyDescent="0.25">
      <c r="A8222" s="16"/>
      <c r="D8222" s="16"/>
      <c r="F8222" s="16"/>
      <c r="G8222" s="16"/>
      <c r="H8222" s="24"/>
      <c r="I8222" s="24"/>
      <c r="L8222"/>
    </row>
    <row r="8223" spans="1:12" x14ac:dyDescent="0.25">
      <c r="A8223" s="16"/>
      <c r="D8223" s="16"/>
      <c r="F8223" s="16"/>
      <c r="G8223" s="16"/>
      <c r="H8223" s="24"/>
      <c r="I8223" s="24"/>
      <c r="L8223"/>
    </row>
    <row r="8224" spans="1:12" x14ac:dyDescent="0.25">
      <c r="A8224" s="16"/>
      <c r="D8224" s="16"/>
      <c r="F8224" s="16"/>
      <c r="G8224" s="16"/>
      <c r="H8224" s="24"/>
      <c r="I8224" s="24"/>
      <c r="L8224"/>
    </row>
    <row r="8225" spans="1:12" x14ac:dyDescent="0.25">
      <c r="A8225" s="16"/>
      <c r="D8225" s="16"/>
      <c r="F8225" s="16"/>
      <c r="G8225" s="16"/>
      <c r="H8225" s="24"/>
      <c r="I8225" s="24"/>
      <c r="L8225"/>
    </row>
    <row r="8226" spans="1:12" x14ac:dyDescent="0.25">
      <c r="A8226" s="16"/>
      <c r="D8226" s="16"/>
      <c r="F8226" s="16"/>
      <c r="G8226" s="16"/>
      <c r="H8226" s="24"/>
      <c r="I8226" s="24"/>
      <c r="L8226"/>
    </row>
    <row r="8227" spans="1:12" x14ac:dyDescent="0.25">
      <c r="A8227" s="16"/>
      <c r="D8227" s="16"/>
      <c r="F8227" s="16"/>
      <c r="G8227" s="16"/>
      <c r="H8227" s="24"/>
      <c r="I8227" s="24"/>
      <c r="L8227"/>
    </row>
    <row r="8228" spans="1:12" x14ac:dyDescent="0.25">
      <c r="A8228" s="16"/>
      <c r="D8228" s="16"/>
      <c r="F8228" s="16"/>
      <c r="G8228" s="16"/>
      <c r="H8228" s="24"/>
      <c r="I8228" s="24"/>
      <c r="L8228"/>
    </row>
    <row r="8229" spans="1:12" x14ac:dyDescent="0.25">
      <c r="A8229" s="16"/>
      <c r="D8229" s="16"/>
      <c r="F8229" s="16"/>
      <c r="G8229" s="16"/>
      <c r="H8229" s="24"/>
      <c r="I8229" s="24"/>
      <c r="L8229"/>
    </row>
    <row r="8230" spans="1:12" x14ac:dyDescent="0.25">
      <c r="A8230" s="16"/>
      <c r="D8230" s="16"/>
      <c r="F8230" s="16"/>
      <c r="G8230" s="16"/>
      <c r="H8230" s="24"/>
      <c r="I8230" s="24"/>
      <c r="L8230"/>
    </row>
    <row r="8231" spans="1:12" x14ac:dyDescent="0.25">
      <c r="A8231" s="16"/>
      <c r="D8231" s="16"/>
      <c r="F8231" s="16"/>
      <c r="G8231" s="16"/>
      <c r="H8231" s="24"/>
      <c r="I8231" s="24"/>
      <c r="L8231"/>
    </row>
    <row r="8232" spans="1:12" x14ac:dyDescent="0.25">
      <c r="A8232" s="16"/>
      <c r="D8232" s="16"/>
      <c r="F8232" s="16"/>
      <c r="G8232" s="16"/>
      <c r="H8232" s="24"/>
      <c r="I8232" s="24"/>
      <c r="L8232"/>
    </row>
    <row r="8233" spans="1:12" x14ac:dyDescent="0.25">
      <c r="A8233" s="16"/>
      <c r="D8233" s="16"/>
      <c r="F8233" s="16"/>
      <c r="G8233" s="16"/>
      <c r="H8233" s="24"/>
      <c r="I8233" s="24"/>
      <c r="L8233"/>
    </row>
    <row r="8234" spans="1:12" x14ac:dyDescent="0.25">
      <c r="A8234" s="16"/>
      <c r="D8234" s="16"/>
      <c r="F8234" s="16"/>
      <c r="G8234" s="16"/>
      <c r="H8234" s="24"/>
      <c r="I8234" s="24"/>
      <c r="L8234"/>
    </row>
    <row r="8235" spans="1:12" x14ac:dyDescent="0.25">
      <c r="A8235" s="16"/>
      <c r="D8235" s="16"/>
      <c r="F8235" s="16"/>
      <c r="G8235" s="16"/>
      <c r="H8235" s="24"/>
      <c r="I8235" s="24"/>
      <c r="L8235"/>
    </row>
    <row r="8236" spans="1:12" x14ac:dyDescent="0.25">
      <c r="A8236" s="16"/>
      <c r="D8236" s="16"/>
      <c r="F8236" s="16"/>
      <c r="G8236" s="16"/>
      <c r="H8236" s="24"/>
      <c r="I8236" s="24"/>
      <c r="L8236"/>
    </row>
    <row r="8237" spans="1:12" x14ac:dyDescent="0.25">
      <c r="A8237" s="16"/>
      <c r="D8237" s="16"/>
      <c r="F8237" s="16"/>
      <c r="G8237" s="16"/>
      <c r="H8237" s="24"/>
      <c r="I8237" s="24"/>
      <c r="L8237"/>
    </row>
    <row r="8238" spans="1:12" x14ac:dyDescent="0.25">
      <c r="A8238" s="16"/>
      <c r="D8238" s="16"/>
      <c r="F8238" s="16"/>
      <c r="G8238" s="16"/>
      <c r="H8238" s="24"/>
      <c r="I8238" s="24"/>
      <c r="L8238"/>
    </row>
    <row r="8239" spans="1:12" x14ac:dyDescent="0.25">
      <c r="A8239" s="16"/>
      <c r="D8239" s="16"/>
      <c r="F8239" s="16"/>
      <c r="G8239" s="16"/>
      <c r="H8239" s="24"/>
      <c r="I8239" s="24"/>
      <c r="L8239"/>
    </row>
    <row r="8240" spans="1:12" x14ac:dyDescent="0.25">
      <c r="A8240" s="16"/>
      <c r="D8240" s="16"/>
      <c r="F8240" s="16"/>
      <c r="G8240" s="16"/>
      <c r="H8240" s="24"/>
      <c r="I8240" s="24"/>
      <c r="L8240"/>
    </row>
    <row r="8241" spans="1:12" x14ac:dyDescent="0.25">
      <c r="A8241" s="16"/>
      <c r="D8241" s="16"/>
      <c r="F8241" s="16"/>
      <c r="G8241" s="16"/>
      <c r="H8241" s="24"/>
      <c r="I8241" s="24"/>
      <c r="L8241"/>
    </row>
    <row r="8242" spans="1:12" x14ac:dyDescent="0.25">
      <c r="A8242" s="16"/>
      <c r="D8242" s="16"/>
      <c r="F8242" s="16"/>
      <c r="G8242" s="16"/>
      <c r="H8242" s="24"/>
      <c r="I8242" s="24"/>
      <c r="L8242"/>
    </row>
    <row r="8243" spans="1:12" x14ac:dyDescent="0.25">
      <c r="A8243" s="16"/>
      <c r="D8243" s="16"/>
      <c r="F8243" s="16"/>
      <c r="G8243" s="16"/>
      <c r="H8243" s="24"/>
      <c r="I8243" s="24"/>
      <c r="L8243"/>
    </row>
    <row r="8244" spans="1:12" x14ac:dyDescent="0.25">
      <c r="A8244" s="16"/>
      <c r="D8244" s="16"/>
      <c r="F8244" s="16"/>
      <c r="G8244" s="16"/>
      <c r="H8244" s="24"/>
      <c r="I8244" s="24"/>
      <c r="L8244"/>
    </row>
    <row r="8245" spans="1:12" x14ac:dyDescent="0.25">
      <c r="A8245" s="16"/>
      <c r="D8245" s="16"/>
      <c r="F8245" s="16"/>
      <c r="G8245" s="16"/>
      <c r="H8245" s="24"/>
      <c r="I8245" s="24"/>
      <c r="L8245"/>
    </row>
    <row r="8246" spans="1:12" x14ac:dyDescent="0.25">
      <c r="A8246" s="16"/>
      <c r="D8246" s="16"/>
      <c r="F8246" s="16"/>
      <c r="G8246" s="16"/>
      <c r="H8246" s="24"/>
      <c r="I8246" s="24"/>
      <c r="L8246"/>
    </row>
    <row r="8247" spans="1:12" x14ac:dyDescent="0.25">
      <c r="A8247" s="16"/>
      <c r="D8247" s="16"/>
      <c r="F8247" s="16"/>
      <c r="G8247" s="16"/>
      <c r="H8247" s="24"/>
      <c r="I8247" s="24"/>
      <c r="L8247"/>
    </row>
    <row r="8248" spans="1:12" x14ac:dyDescent="0.25">
      <c r="A8248" s="16"/>
      <c r="D8248" s="16"/>
      <c r="F8248" s="16"/>
      <c r="G8248" s="16"/>
      <c r="H8248" s="24"/>
      <c r="I8248" s="24"/>
      <c r="L8248"/>
    </row>
    <row r="8249" spans="1:12" x14ac:dyDescent="0.25">
      <c r="A8249" s="16"/>
      <c r="D8249" s="16"/>
      <c r="F8249" s="16"/>
      <c r="G8249" s="16"/>
      <c r="H8249" s="24"/>
      <c r="I8249" s="24"/>
      <c r="L8249"/>
    </row>
    <row r="8250" spans="1:12" x14ac:dyDescent="0.25">
      <c r="A8250" s="16"/>
      <c r="D8250" s="16"/>
      <c r="F8250" s="16"/>
      <c r="G8250" s="16"/>
      <c r="H8250" s="24"/>
      <c r="I8250" s="24"/>
      <c r="L8250"/>
    </row>
    <row r="8251" spans="1:12" x14ac:dyDescent="0.25">
      <c r="A8251" s="16"/>
      <c r="D8251" s="16"/>
      <c r="F8251" s="16"/>
      <c r="G8251" s="16"/>
      <c r="H8251" s="24"/>
      <c r="I8251" s="24"/>
      <c r="L8251"/>
    </row>
    <row r="8252" spans="1:12" x14ac:dyDescent="0.25">
      <c r="A8252" s="16"/>
      <c r="D8252" s="16"/>
      <c r="F8252" s="16"/>
      <c r="G8252" s="16"/>
      <c r="H8252" s="24"/>
      <c r="I8252" s="24"/>
      <c r="L8252"/>
    </row>
    <row r="8253" spans="1:12" x14ac:dyDescent="0.25">
      <c r="A8253" s="16"/>
      <c r="D8253" s="16"/>
      <c r="F8253" s="16"/>
      <c r="G8253" s="16"/>
      <c r="H8253" s="24"/>
      <c r="I8253" s="24"/>
      <c r="L8253"/>
    </row>
    <row r="8254" spans="1:12" x14ac:dyDescent="0.25">
      <c r="A8254" s="16"/>
      <c r="D8254" s="16"/>
      <c r="F8254" s="16"/>
      <c r="G8254" s="16"/>
      <c r="H8254" s="24"/>
      <c r="I8254" s="24"/>
      <c r="L8254"/>
    </row>
    <row r="8255" spans="1:12" x14ac:dyDescent="0.25">
      <c r="A8255" s="16"/>
      <c r="D8255" s="16"/>
      <c r="F8255" s="16"/>
      <c r="G8255" s="16"/>
      <c r="H8255" s="24"/>
      <c r="I8255" s="24"/>
      <c r="L8255"/>
    </row>
    <row r="8256" spans="1:12" x14ac:dyDescent="0.25">
      <c r="A8256" s="16"/>
      <c r="D8256" s="16"/>
      <c r="F8256" s="16"/>
      <c r="G8256" s="16"/>
      <c r="H8256" s="24"/>
      <c r="I8256" s="24"/>
      <c r="L8256"/>
    </row>
    <row r="8257" spans="1:12" x14ac:dyDescent="0.25">
      <c r="A8257" s="16"/>
      <c r="D8257" s="16"/>
      <c r="F8257" s="16"/>
      <c r="G8257" s="16"/>
      <c r="H8257" s="24"/>
      <c r="I8257" s="24"/>
      <c r="L8257"/>
    </row>
    <row r="8258" spans="1:12" x14ac:dyDescent="0.25">
      <c r="A8258" s="16"/>
      <c r="D8258" s="16"/>
      <c r="F8258" s="16"/>
      <c r="G8258" s="16"/>
      <c r="H8258" s="24"/>
      <c r="I8258" s="24"/>
      <c r="L8258"/>
    </row>
    <row r="8259" spans="1:12" x14ac:dyDescent="0.25">
      <c r="A8259" s="16"/>
      <c r="D8259" s="16"/>
      <c r="F8259" s="16"/>
      <c r="G8259" s="16"/>
      <c r="H8259" s="24"/>
      <c r="I8259" s="24"/>
      <c r="L8259"/>
    </row>
    <row r="8260" spans="1:12" x14ac:dyDescent="0.25">
      <c r="A8260" s="16"/>
      <c r="D8260" s="16"/>
      <c r="F8260" s="16"/>
      <c r="G8260" s="16"/>
      <c r="H8260" s="24"/>
      <c r="I8260" s="24"/>
      <c r="L8260"/>
    </row>
    <row r="8261" spans="1:12" x14ac:dyDescent="0.25">
      <c r="A8261" s="16"/>
      <c r="D8261" s="16"/>
      <c r="F8261" s="16"/>
      <c r="G8261" s="16"/>
      <c r="H8261" s="24"/>
      <c r="I8261" s="24"/>
      <c r="L8261"/>
    </row>
    <row r="8262" spans="1:12" x14ac:dyDescent="0.25">
      <c r="A8262" s="16"/>
      <c r="D8262" s="16"/>
      <c r="F8262" s="16"/>
      <c r="G8262" s="16"/>
      <c r="H8262" s="24"/>
      <c r="I8262" s="24"/>
      <c r="L8262"/>
    </row>
    <row r="8263" spans="1:12" x14ac:dyDescent="0.25">
      <c r="A8263" s="16"/>
      <c r="D8263" s="16"/>
      <c r="F8263" s="16"/>
      <c r="G8263" s="16"/>
      <c r="H8263" s="24"/>
      <c r="I8263" s="24"/>
      <c r="L8263"/>
    </row>
    <row r="8264" spans="1:12" x14ac:dyDescent="0.25">
      <c r="A8264" s="16"/>
      <c r="D8264" s="16"/>
      <c r="F8264" s="16"/>
      <c r="G8264" s="16"/>
      <c r="H8264" s="24"/>
      <c r="I8264" s="24"/>
      <c r="L8264"/>
    </row>
    <row r="8265" spans="1:12" x14ac:dyDescent="0.25">
      <c r="A8265" s="16"/>
      <c r="D8265" s="16"/>
      <c r="F8265" s="16"/>
      <c r="G8265" s="16"/>
      <c r="H8265" s="24"/>
      <c r="I8265" s="24"/>
      <c r="L8265"/>
    </row>
    <row r="8266" spans="1:12" x14ac:dyDescent="0.25">
      <c r="A8266" s="16"/>
      <c r="D8266" s="16"/>
      <c r="F8266" s="16"/>
      <c r="G8266" s="16"/>
      <c r="H8266" s="24"/>
      <c r="I8266" s="24"/>
      <c r="L8266"/>
    </row>
    <row r="8267" spans="1:12" x14ac:dyDescent="0.25">
      <c r="A8267" s="16"/>
      <c r="D8267" s="16"/>
      <c r="F8267" s="16"/>
      <c r="G8267" s="16"/>
      <c r="H8267" s="24"/>
      <c r="I8267" s="24"/>
      <c r="L8267"/>
    </row>
    <row r="8268" spans="1:12" x14ac:dyDescent="0.25">
      <c r="A8268" s="16"/>
      <c r="D8268" s="16"/>
      <c r="F8268" s="16"/>
      <c r="G8268" s="16"/>
      <c r="H8268" s="24"/>
      <c r="I8268" s="24"/>
      <c r="L8268"/>
    </row>
    <row r="8269" spans="1:12" x14ac:dyDescent="0.25">
      <c r="A8269" s="16"/>
      <c r="D8269" s="16"/>
      <c r="F8269" s="16"/>
      <c r="G8269" s="16"/>
      <c r="H8269" s="24"/>
      <c r="I8269" s="24"/>
      <c r="L8269"/>
    </row>
    <row r="8270" spans="1:12" x14ac:dyDescent="0.25">
      <c r="A8270" s="16"/>
      <c r="D8270" s="16"/>
      <c r="F8270" s="16"/>
      <c r="G8270" s="16"/>
      <c r="H8270" s="24"/>
      <c r="I8270" s="24"/>
      <c r="L8270"/>
    </row>
    <row r="8271" spans="1:12" x14ac:dyDescent="0.25">
      <c r="A8271" s="16"/>
      <c r="D8271" s="16"/>
      <c r="F8271" s="16"/>
      <c r="G8271" s="16"/>
      <c r="H8271" s="24"/>
      <c r="I8271" s="24"/>
      <c r="L8271"/>
    </row>
    <row r="8272" spans="1:12" x14ac:dyDescent="0.25">
      <c r="A8272" s="16"/>
      <c r="D8272" s="16"/>
      <c r="F8272" s="16"/>
      <c r="G8272" s="16"/>
      <c r="H8272" s="24"/>
      <c r="I8272" s="24"/>
      <c r="L8272"/>
    </row>
    <row r="8273" spans="1:12" x14ac:dyDescent="0.25">
      <c r="A8273" s="16"/>
      <c r="D8273" s="16"/>
      <c r="F8273" s="16"/>
      <c r="G8273" s="16"/>
      <c r="H8273" s="24"/>
      <c r="I8273" s="24"/>
      <c r="L8273"/>
    </row>
    <row r="8274" spans="1:12" x14ac:dyDescent="0.25">
      <c r="A8274" s="16"/>
      <c r="D8274" s="16"/>
      <c r="F8274" s="16"/>
      <c r="G8274" s="16"/>
      <c r="H8274" s="24"/>
      <c r="I8274" s="24"/>
      <c r="L8274"/>
    </row>
    <row r="8275" spans="1:12" x14ac:dyDescent="0.25">
      <c r="A8275" s="16"/>
      <c r="D8275" s="16"/>
      <c r="F8275" s="16"/>
      <c r="G8275" s="16"/>
      <c r="H8275" s="24"/>
      <c r="I8275" s="24"/>
      <c r="L8275"/>
    </row>
    <row r="8276" spans="1:12" x14ac:dyDescent="0.25">
      <c r="A8276" s="16"/>
      <c r="D8276" s="16"/>
      <c r="F8276" s="16"/>
      <c r="G8276" s="16"/>
      <c r="H8276" s="24"/>
      <c r="I8276" s="24"/>
      <c r="L8276"/>
    </row>
    <row r="8277" spans="1:12" x14ac:dyDescent="0.25">
      <c r="A8277" s="16"/>
      <c r="D8277" s="16"/>
      <c r="F8277" s="16"/>
      <c r="G8277" s="16"/>
      <c r="H8277" s="24"/>
      <c r="I8277" s="24"/>
      <c r="L8277"/>
    </row>
    <row r="8278" spans="1:12" x14ac:dyDescent="0.25">
      <c r="A8278" s="16"/>
      <c r="D8278" s="16"/>
      <c r="F8278" s="16"/>
      <c r="G8278" s="16"/>
      <c r="H8278" s="24"/>
      <c r="I8278" s="24"/>
      <c r="L8278"/>
    </row>
    <row r="8279" spans="1:12" x14ac:dyDescent="0.25">
      <c r="A8279" s="16"/>
      <c r="D8279" s="16"/>
      <c r="F8279" s="16"/>
      <c r="G8279" s="16"/>
      <c r="H8279" s="24"/>
      <c r="I8279" s="24"/>
      <c r="L8279"/>
    </row>
    <row r="8280" spans="1:12" x14ac:dyDescent="0.25">
      <c r="A8280" s="16"/>
      <c r="D8280" s="16"/>
      <c r="F8280" s="16"/>
      <c r="G8280" s="16"/>
      <c r="H8280" s="24"/>
      <c r="I8280" s="24"/>
      <c r="L8280"/>
    </row>
    <row r="8281" spans="1:12" x14ac:dyDescent="0.25">
      <c r="A8281" s="16"/>
      <c r="D8281" s="16"/>
      <c r="F8281" s="16"/>
      <c r="G8281" s="16"/>
      <c r="H8281" s="24"/>
      <c r="I8281" s="24"/>
      <c r="L8281"/>
    </row>
    <row r="8282" spans="1:12" x14ac:dyDescent="0.25">
      <c r="A8282" s="16"/>
      <c r="D8282" s="16"/>
      <c r="F8282" s="16"/>
      <c r="G8282" s="16"/>
      <c r="H8282" s="24"/>
      <c r="I8282" s="24"/>
      <c r="L8282"/>
    </row>
    <row r="8283" spans="1:12" x14ac:dyDescent="0.25">
      <c r="A8283" s="16"/>
      <c r="D8283" s="16"/>
      <c r="F8283" s="16"/>
      <c r="G8283" s="16"/>
      <c r="H8283" s="24"/>
      <c r="I8283" s="24"/>
      <c r="L8283"/>
    </row>
    <row r="8284" spans="1:12" x14ac:dyDescent="0.25">
      <c r="A8284" s="16"/>
      <c r="D8284" s="16"/>
      <c r="F8284" s="16"/>
      <c r="G8284" s="16"/>
      <c r="H8284" s="24"/>
      <c r="I8284" s="24"/>
      <c r="L8284"/>
    </row>
    <row r="8285" spans="1:12" x14ac:dyDescent="0.25">
      <c r="A8285" s="16"/>
      <c r="D8285" s="16"/>
      <c r="F8285" s="16"/>
      <c r="G8285" s="16"/>
      <c r="H8285" s="24"/>
      <c r="I8285" s="24"/>
      <c r="L8285"/>
    </row>
    <row r="8286" spans="1:12" x14ac:dyDescent="0.25">
      <c r="A8286" s="16"/>
      <c r="D8286" s="16"/>
      <c r="F8286" s="16"/>
      <c r="G8286" s="16"/>
      <c r="H8286" s="24"/>
      <c r="I8286" s="24"/>
      <c r="L8286"/>
    </row>
    <row r="8287" spans="1:12" x14ac:dyDescent="0.25">
      <c r="A8287" s="16"/>
      <c r="D8287" s="16"/>
      <c r="F8287" s="16"/>
      <c r="G8287" s="16"/>
      <c r="H8287" s="24"/>
      <c r="I8287" s="24"/>
      <c r="L8287"/>
    </row>
    <row r="8288" spans="1:12" x14ac:dyDescent="0.25">
      <c r="A8288" s="16"/>
      <c r="D8288" s="16"/>
      <c r="F8288" s="16"/>
      <c r="G8288" s="16"/>
      <c r="H8288" s="24"/>
      <c r="I8288" s="24"/>
      <c r="L8288"/>
    </row>
    <row r="8289" spans="1:12" x14ac:dyDescent="0.25">
      <c r="A8289" s="16"/>
      <c r="D8289" s="16"/>
      <c r="F8289" s="16"/>
      <c r="G8289" s="16"/>
      <c r="H8289" s="24"/>
      <c r="I8289" s="24"/>
      <c r="L8289"/>
    </row>
    <row r="8290" spans="1:12" x14ac:dyDescent="0.25">
      <c r="A8290" s="16"/>
      <c r="D8290" s="16"/>
      <c r="F8290" s="16"/>
      <c r="G8290" s="16"/>
      <c r="H8290" s="24"/>
      <c r="I8290" s="24"/>
      <c r="L8290"/>
    </row>
    <row r="8291" spans="1:12" x14ac:dyDescent="0.25">
      <c r="A8291" s="16"/>
      <c r="D8291" s="16"/>
      <c r="F8291" s="16"/>
      <c r="G8291" s="16"/>
      <c r="H8291" s="24"/>
      <c r="I8291" s="24"/>
      <c r="L8291"/>
    </row>
    <row r="8292" spans="1:12" x14ac:dyDescent="0.25">
      <c r="A8292" s="16"/>
      <c r="D8292" s="16"/>
      <c r="F8292" s="16"/>
      <c r="G8292" s="16"/>
      <c r="H8292" s="24"/>
      <c r="I8292" s="24"/>
      <c r="L8292"/>
    </row>
    <row r="8293" spans="1:12" x14ac:dyDescent="0.25">
      <c r="A8293" s="16"/>
      <c r="D8293" s="16"/>
      <c r="F8293" s="16"/>
      <c r="G8293" s="16"/>
      <c r="H8293" s="24"/>
      <c r="I8293" s="24"/>
      <c r="L8293"/>
    </row>
    <row r="8294" spans="1:12" x14ac:dyDescent="0.25">
      <c r="A8294" s="16"/>
      <c r="D8294" s="16"/>
      <c r="F8294" s="16"/>
      <c r="G8294" s="16"/>
      <c r="H8294" s="24"/>
      <c r="I8294" s="24"/>
      <c r="L8294"/>
    </row>
    <row r="8295" spans="1:12" x14ac:dyDescent="0.25">
      <c r="A8295" s="16"/>
      <c r="D8295" s="16"/>
      <c r="F8295" s="16"/>
      <c r="G8295" s="16"/>
      <c r="H8295" s="24"/>
      <c r="I8295" s="24"/>
      <c r="L8295"/>
    </row>
    <row r="8296" spans="1:12" x14ac:dyDescent="0.25">
      <c r="A8296" s="16"/>
      <c r="D8296" s="16"/>
      <c r="F8296" s="16"/>
      <c r="G8296" s="16"/>
      <c r="H8296" s="24"/>
      <c r="I8296" s="24"/>
      <c r="L8296"/>
    </row>
    <row r="8297" spans="1:12" x14ac:dyDescent="0.25">
      <c r="A8297" s="16"/>
      <c r="D8297" s="16"/>
      <c r="F8297" s="16"/>
      <c r="G8297" s="16"/>
      <c r="H8297" s="24"/>
      <c r="I8297" s="24"/>
      <c r="L8297"/>
    </row>
    <row r="8298" spans="1:12" x14ac:dyDescent="0.25">
      <c r="A8298" s="16"/>
      <c r="D8298" s="16"/>
      <c r="F8298" s="16"/>
      <c r="G8298" s="16"/>
      <c r="H8298" s="24"/>
      <c r="I8298" s="24"/>
      <c r="L8298"/>
    </row>
    <row r="8299" spans="1:12" x14ac:dyDescent="0.25">
      <c r="A8299" s="16"/>
      <c r="D8299" s="16"/>
      <c r="F8299" s="16"/>
      <c r="G8299" s="16"/>
      <c r="H8299" s="24"/>
      <c r="I8299" s="24"/>
      <c r="L8299"/>
    </row>
    <row r="8300" spans="1:12" x14ac:dyDescent="0.25">
      <c r="A8300" s="16"/>
      <c r="D8300" s="16"/>
      <c r="F8300" s="16"/>
      <c r="G8300" s="16"/>
      <c r="H8300" s="24"/>
      <c r="I8300" s="24"/>
      <c r="L8300"/>
    </row>
    <row r="8301" spans="1:12" x14ac:dyDescent="0.25">
      <c r="A8301" s="16"/>
      <c r="D8301" s="16"/>
      <c r="F8301" s="16"/>
      <c r="G8301" s="16"/>
      <c r="H8301" s="24"/>
      <c r="I8301" s="24"/>
      <c r="L8301"/>
    </row>
    <row r="8302" spans="1:12" x14ac:dyDescent="0.25">
      <c r="A8302" s="16"/>
      <c r="D8302" s="16"/>
      <c r="F8302" s="16"/>
      <c r="G8302" s="16"/>
      <c r="H8302" s="24"/>
      <c r="I8302" s="24"/>
      <c r="L8302"/>
    </row>
    <row r="8303" spans="1:12" x14ac:dyDescent="0.25">
      <c r="A8303" s="16"/>
      <c r="D8303" s="16"/>
      <c r="F8303" s="16"/>
      <c r="G8303" s="16"/>
      <c r="H8303" s="24"/>
      <c r="I8303" s="24"/>
      <c r="L8303"/>
    </row>
    <row r="8304" spans="1:12" x14ac:dyDescent="0.25">
      <c r="A8304" s="16"/>
      <c r="D8304" s="16"/>
      <c r="F8304" s="16"/>
      <c r="G8304" s="16"/>
      <c r="H8304" s="24"/>
      <c r="I8304" s="24"/>
      <c r="L8304"/>
    </row>
    <row r="8305" spans="1:12" x14ac:dyDescent="0.25">
      <c r="A8305" s="16"/>
      <c r="D8305" s="16"/>
      <c r="F8305" s="16"/>
      <c r="G8305" s="16"/>
      <c r="H8305" s="24"/>
      <c r="I8305" s="24"/>
      <c r="L8305"/>
    </row>
    <row r="8306" spans="1:12" x14ac:dyDescent="0.25">
      <c r="A8306" s="16"/>
      <c r="D8306" s="16"/>
      <c r="F8306" s="16"/>
      <c r="G8306" s="16"/>
      <c r="H8306" s="24"/>
      <c r="I8306" s="24"/>
      <c r="L8306"/>
    </row>
    <row r="8307" spans="1:12" x14ac:dyDescent="0.25">
      <c r="A8307" s="16"/>
      <c r="D8307" s="16"/>
      <c r="F8307" s="16"/>
      <c r="G8307" s="16"/>
      <c r="H8307" s="24"/>
      <c r="I8307" s="24"/>
      <c r="L8307"/>
    </row>
    <row r="8308" spans="1:12" x14ac:dyDescent="0.25">
      <c r="A8308" s="16"/>
      <c r="D8308" s="16"/>
      <c r="F8308" s="16"/>
      <c r="G8308" s="16"/>
      <c r="H8308" s="24"/>
      <c r="I8308" s="24"/>
      <c r="L8308"/>
    </row>
    <row r="8309" spans="1:12" x14ac:dyDescent="0.25">
      <c r="A8309" s="16"/>
      <c r="D8309" s="16"/>
      <c r="F8309" s="16"/>
      <c r="G8309" s="16"/>
      <c r="H8309" s="24"/>
      <c r="I8309" s="24"/>
      <c r="L8309"/>
    </row>
    <row r="8310" spans="1:12" x14ac:dyDescent="0.25">
      <c r="A8310" s="16"/>
      <c r="D8310" s="16"/>
      <c r="F8310" s="16"/>
      <c r="G8310" s="16"/>
      <c r="H8310" s="24"/>
      <c r="I8310" s="24"/>
      <c r="L8310"/>
    </row>
    <row r="8311" spans="1:12" x14ac:dyDescent="0.25">
      <c r="A8311" s="16"/>
      <c r="D8311" s="16"/>
      <c r="F8311" s="16"/>
      <c r="G8311" s="16"/>
      <c r="H8311" s="24"/>
      <c r="I8311" s="24"/>
      <c r="L8311"/>
    </row>
    <row r="8312" spans="1:12" x14ac:dyDescent="0.25">
      <c r="A8312" s="16"/>
      <c r="D8312" s="16"/>
      <c r="F8312" s="16"/>
      <c r="G8312" s="16"/>
      <c r="H8312" s="24"/>
      <c r="I8312" s="24"/>
      <c r="L8312"/>
    </row>
    <row r="8313" spans="1:12" x14ac:dyDescent="0.25">
      <c r="A8313" s="16"/>
      <c r="D8313" s="16"/>
      <c r="F8313" s="16"/>
      <c r="G8313" s="16"/>
      <c r="H8313" s="24"/>
      <c r="I8313" s="24"/>
      <c r="L8313"/>
    </row>
    <row r="8314" spans="1:12" x14ac:dyDescent="0.25">
      <c r="A8314" s="16"/>
      <c r="D8314" s="16"/>
      <c r="F8314" s="16"/>
      <c r="G8314" s="16"/>
      <c r="H8314" s="24"/>
      <c r="I8314" s="24"/>
      <c r="L8314"/>
    </row>
    <row r="8315" spans="1:12" x14ac:dyDescent="0.25">
      <c r="A8315" s="16"/>
      <c r="D8315" s="16"/>
      <c r="F8315" s="16"/>
      <c r="G8315" s="16"/>
      <c r="H8315" s="24"/>
      <c r="I8315" s="24"/>
      <c r="L8315"/>
    </row>
    <row r="8316" spans="1:12" x14ac:dyDescent="0.25">
      <c r="A8316" s="16"/>
      <c r="D8316" s="16"/>
      <c r="F8316" s="16"/>
      <c r="G8316" s="16"/>
      <c r="H8316" s="24"/>
      <c r="I8316" s="24"/>
      <c r="L8316"/>
    </row>
    <row r="8317" spans="1:12" x14ac:dyDescent="0.25">
      <c r="A8317" s="16"/>
      <c r="D8317" s="16"/>
      <c r="F8317" s="16"/>
      <c r="G8317" s="16"/>
      <c r="H8317" s="24"/>
      <c r="I8317" s="24"/>
      <c r="L8317"/>
    </row>
    <row r="8318" spans="1:12" x14ac:dyDescent="0.25">
      <c r="A8318" s="16"/>
      <c r="D8318" s="16"/>
      <c r="F8318" s="16"/>
      <c r="G8318" s="16"/>
      <c r="H8318" s="24"/>
      <c r="I8318" s="24"/>
      <c r="L8318"/>
    </row>
    <row r="8319" spans="1:12" x14ac:dyDescent="0.25">
      <c r="A8319" s="16"/>
      <c r="D8319" s="16"/>
      <c r="F8319" s="16"/>
      <c r="G8319" s="16"/>
      <c r="H8319" s="24"/>
      <c r="I8319" s="24"/>
      <c r="L8319"/>
    </row>
    <row r="8320" spans="1:12" x14ac:dyDescent="0.25">
      <c r="A8320" s="16"/>
      <c r="D8320" s="16"/>
      <c r="F8320" s="16"/>
      <c r="G8320" s="16"/>
      <c r="H8320" s="24"/>
      <c r="I8320" s="24"/>
      <c r="L8320"/>
    </row>
    <row r="8321" spans="1:12" x14ac:dyDescent="0.25">
      <c r="A8321" s="16"/>
      <c r="D8321" s="16"/>
      <c r="F8321" s="16"/>
      <c r="G8321" s="16"/>
      <c r="H8321" s="24"/>
      <c r="I8321" s="24"/>
      <c r="L8321"/>
    </row>
    <row r="8322" spans="1:12" x14ac:dyDescent="0.25">
      <c r="A8322" s="16"/>
      <c r="D8322" s="16"/>
      <c r="F8322" s="16"/>
      <c r="G8322" s="16"/>
      <c r="H8322" s="24"/>
      <c r="I8322" s="24"/>
      <c r="L8322"/>
    </row>
    <row r="8323" spans="1:12" x14ac:dyDescent="0.25">
      <c r="A8323" s="16"/>
      <c r="D8323" s="16"/>
      <c r="F8323" s="16"/>
      <c r="G8323" s="16"/>
      <c r="H8323" s="24"/>
      <c r="I8323" s="24"/>
      <c r="L8323"/>
    </row>
    <row r="8324" spans="1:12" x14ac:dyDescent="0.25">
      <c r="A8324" s="16"/>
      <c r="D8324" s="16"/>
      <c r="F8324" s="16"/>
      <c r="G8324" s="16"/>
      <c r="H8324" s="24"/>
      <c r="I8324" s="24"/>
      <c r="L8324"/>
    </row>
    <row r="8325" spans="1:12" x14ac:dyDescent="0.25">
      <c r="A8325" s="16"/>
      <c r="D8325" s="16"/>
      <c r="F8325" s="16"/>
      <c r="G8325" s="16"/>
      <c r="H8325" s="24"/>
      <c r="I8325" s="24"/>
      <c r="L8325"/>
    </row>
    <row r="8326" spans="1:12" x14ac:dyDescent="0.25">
      <c r="A8326" s="16"/>
      <c r="D8326" s="16"/>
      <c r="F8326" s="16"/>
      <c r="G8326" s="16"/>
      <c r="H8326" s="24"/>
      <c r="I8326" s="24"/>
      <c r="L8326"/>
    </row>
    <row r="8327" spans="1:12" x14ac:dyDescent="0.25">
      <c r="A8327" s="16"/>
      <c r="D8327" s="16"/>
      <c r="F8327" s="16"/>
      <c r="G8327" s="16"/>
      <c r="H8327" s="24"/>
      <c r="I8327" s="24"/>
      <c r="L8327"/>
    </row>
    <row r="8328" spans="1:12" x14ac:dyDescent="0.25">
      <c r="A8328" s="16"/>
      <c r="D8328" s="16"/>
      <c r="F8328" s="16"/>
      <c r="G8328" s="16"/>
      <c r="H8328" s="24"/>
      <c r="I8328" s="24"/>
      <c r="L8328"/>
    </row>
    <row r="8329" spans="1:12" x14ac:dyDescent="0.25">
      <c r="A8329" s="16"/>
      <c r="D8329" s="16"/>
      <c r="F8329" s="16"/>
      <c r="G8329" s="16"/>
      <c r="H8329" s="24"/>
      <c r="I8329" s="24"/>
      <c r="L8329"/>
    </row>
    <row r="8330" spans="1:12" x14ac:dyDescent="0.25">
      <c r="A8330" s="16"/>
      <c r="D8330" s="16"/>
      <c r="F8330" s="16"/>
      <c r="G8330" s="16"/>
      <c r="H8330" s="24"/>
      <c r="I8330" s="24"/>
      <c r="L8330"/>
    </row>
    <row r="8331" spans="1:12" x14ac:dyDescent="0.25">
      <c r="A8331" s="16"/>
      <c r="D8331" s="16"/>
      <c r="F8331" s="16"/>
      <c r="G8331" s="16"/>
      <c r="H8331" s="24"/>
      <c r="I8331" s="24"/>
      <c r="L8331"/>
    </row>
    <row r="8332" spans="1:12" x14ac:dyDescent="0.25">
      <c r="A8332" s="16"/>
      <c r="D8332" s="16"/>
      <c r="F8332" s="16"/>
      <c r="G8332" s="16"/>
      <c r="H8332" s="24"/>
      <c r="I8332" s="24"/>
      <c r="L8332"/>
    </row>
    <row r="8333" spans="1:12" x14ac:dyDescent="0.25">
      <c r="A8333" s="16"/>
      <c r="D8333" s="16"/>
      <c r="F8333" s="16"/>
      <c r="G8333" s="16"/>
      <c r="H8333" s="24"/>
      <c r="I8333" s="24"/>
      <c r="L8333"/>
    </row>
    <row r="8334" spans="1:12" x14ac:dyDescent="0.25">
      <c r="A8334" s="16"/>
      <c r="D8334" s="16"/>
      <c r="F8334" s="16"/>
      <c r="G8334" s="16"/>
      <c r="H8334" s="24"/>
      <c r="I8334" s="24"/>
      <c r="L8334"/>
    </row>
    <row r="8335" spans="1:12" x14ac:dyDescent="0.25">
      <c r="A8335" s="16"/>
      <c r="D8335" s="16"/>
      <c r="F8335" s="16"/>
      <c r="G8335" s="16"/>
      <c r="H8335" s="24"/>
      <c r="I8335" s="24"/>
      <c r="L8335"/>
    </row>
    <row r="8336" spans="1:12" x14ac:dyDescent="0.25">
      <c r="A8336" s="16"/>
      <c r="D8336" s="16"/>
      <c r="F8336" s="16"/>
      <c r="G8336" s="16"/>
      <c r="H8336" s="24"/>
      <c r="I8336" s="24"/>
      <c r="L8336"/>
    </row>
    <row r="8337" spans="1:12" x14ac:dyDescent="0.25">
      <c r="A8337" s="16"/>
      <c r="D8337" s="16"/>
      <c r="F8337" s="16"/>
      <c r="G8337" s="16"/>
      <c r="H8337" s="24"/>
      <c r="I8337" s="24"/>
      <c r="L8337"/>
    </row>
    <row r="8338" spans="1:12" x14ac:dyDescent="0.25">
      <c r="A8338" s="16"/>
      <c r="D8338" s="16"/>
      <c r="F8338" s="16"/>
      <c r="G8338" s="16"/>
      <c r="H8338" s="24"/>
      <c r="I8338" s="24"/>
      <c r="L8338"/>
    </row>
    <row r="8339" spans="1:12" x14ac:dyDescent="0.25">
      <c r="A8339" s="16"/>
      <c r="D8339" s="16"/>
      <c r="F8339" s="16"/>
      <c r="G8339" s="16"/>
      <c r="H8339" s="24"/>
      <c r="I8339" s="24"/>
      <c r="L8339"/>
    </row>
    <row r="8340" spans="1:12" x14ac:dyDescent="0.25">
      <c r="A8340" s="16"/>
      <c r="D8340" s="16"/>
      <c r="F8340" s="16"/>
      <c r="G8340" s="16"/>
      <c r="H8340" s="24"/>
      <c r="I8340" s="24"/>
      <c r="L8340"/>
    </row>
    <row r="8341" spans="1:12" x14ac:dyDescent="0.25">
      <c r="A8341" s="16"/>
      <c r="D8341" s="16"/>
      <c r="F8341" s="16"/>
      <c r="G8341" s="16"/>
      <c r="H8341" s="24"/>
      <c r="I8341" s="24"/>
      <c r="L8341"/>
    </row>
    <row r="8342" spans="1:12" x14ac:dyDescent="0.25">
      <c r="A8342" s="16"/>
      <c r="D8342" s="16"/>
      <c r="F8342" s="16"/>
      <c r="G8342" s="16"/>
      <c r="H8342" s="24"/>
      <c r="I8342" s="24"/>
      <c r="L8342"/>
    </row>
    <row r="8343" spans="1:12" x14ac:dyDescent="0.25">
      <c r="A8343" s="16"/>
      <c r="D8343" s="16"/>
      <c r="F8343" s="16"/>
      <c r="G8343" s="16"/>
      <c r="H8343" s="24"/>
      <c r="I8343" s="24"/>
      <c r="L8343"/>
    </row>
    <row r="8344" spans="1:12" x14ac:dyDescent="0.25">
      <c r="A8344" s="16"/>
      <c r="D8344" s="16"/>
      <c r="F8344" s="16"/>
      <c r="G8344" s="16"/>
      <c r="H8344" s="24"/>
      <c r="I8344" s="24"/>
      <c r="L8344"/>
    </row>
    <row r="8345" spans="1:12" x14ac:dyDescent="0.25">
      <c r="A8345" s="16"/>
      <c r="D8345" s="16"/>
      <c r="F8345" s="16"/>
      <c r="G8345" s="16"/>
      <c r="H8345" s="24"/>
      <c r="I8345" s="24"/>
      <c r="L8345"/>
    </row>
    <row r="8346" spans="1:12" x14ac:dyDescent="0.25">
      <c r="A8346" s="16"/>
      <c r="D8346" s="16"/>
      <c r="F8346" s="16"/>
      <c r="G8346" s="16"/>
      <c r="H8346" s="24"/>
      <c r="I8346" s="24"/>
      <c r="L8346"/>
    </row>
    <row r="8347" spans="1:12" x14ac:dyDescent="0.25">
      <c r="A8347" s="16"/>
      <c r="D8347" s="16"/>
      <c r="F8347" s="16"/>
      <c r="G8347" s="16"/>
      <c r="H8347" s="24"/>
      <c r="I8347" s="24"/>
      <c r="L8347"/>
    </row>
    <row r="8348" spans="1:12" x14ac:dyDescent="0.25">
      <c r="A8348" s="16"/>
      <c r="D8348" s="16"/>
      <c r="F8348" s="16"/>
      <c r="G8348" s="16"/>
      <c r="H8348" s="24"/>
      <c r="I8348" s="24"/>
      <c r="L8348"/>
    </row>
    <row r="8349" spans="1:12" x14ac:dyDescent="0.25">
      <c r="A8349" s="16"/>
      <c r="D8349" s="16"/>
      <c r="F8349" s="16"/>
      <c r="G8349" s="16"/>
      <c r="H8349" s="24"/>
      <c r="I8349" s="24"/>
      <c r="L8349"/>
    </row>
    <row r="8350" spans="1:12" x14ac:dyDescent="0.25">
      <c r="A8350" s="16"/>
      <c r="D8350" s="16"/>
      <c r="F8350" s="16"/>
      <c r="G8350" s="16"/>
      <c r="H8350" s="24"/>
      <c r="I8350" s="24"/>
      <c r="L8350"/>
    </row>
    <row r="8351" spans="1:12" x14ac:dyDescent="0.25">
      <c r="A8351" s="16"/>
      <c r="D8351" s="16"/>
      <c r="F8351" s="16"/>
      <c r="G8351" s="16"/>
      <c r="H8351" s="24"/>
      <c r="I8351" s="24"/>
      <c r="L8351"/>
    </row>
    <row r="8352" spans="1:12" x14ac:dyDescent="0.25">
      <c r="A8352" s="16"/>
      <c r="D8352" s="16"/>
      <c r="F8352" s="16"/>
      <c r="G8352" s="16"/>
      <c r="H8352" s="24"/>
      <c r="I8352" s="24"/>
      <c r="L8352"/>
    </row>
    <row r="8353" spans="1:12" x14ac:dyDescent="0.25">
      <c r="A8353" s="16"/>
      <c r="D8353" s="16"/>
      <c r="F8353" s="16"/>
      <c r="G8353" s="16"/>
      <c r="H8353" s="24"/>
      <c r="I8353" s="24"/>
      <c r="L8353"/>
    </row>
    <row r="8354" spans="1:12" x14ac:dyDescent="0.25">
      <c r="A8354" s="16"/>
      <c r="D8354" s="16"/>
      <c r="F8354" s="16"/>
      <c r="G8354" s="16"/>
      <c r="H8354" s="24"/>
      <c r="I8354" s="24"/>
      <c r="L8354"/>
    </row>
    <row r="8355" spans="1:12" x14ac:dyDescent="0.25">
      <c r="A8355" s="16"/>
      <c r="D8355" s="16"/>
      <c r="F8355" s="16"/>
      <c r="G8355" s="16"/>
      <c r="H8355" s="24"/>
      <c r="I8355" s="24"/>
      <c r="L8355"/>
    </row>
    <row r="8356" spans="1:12" x14ac:dyDescent="0.25">
      <c r="A8356" s="16"/>
      <c r="D8356" s="16"/>
      <c r="F8356" s="16"/>
      <c r="G8356" s="16"/>
      <c r="H8356" s="24"/>
      <c r="I8356" s="24"/>
      <c r="L8356"/>
    </row>
    <row r="8357" spans="1:12" x14ac:dyDescent="0.25">
      <c r="A8357" s="16"/>
      <c r="D8357" s="16"/>
      <c r="F8357" s="16"/>
      <c r="G8357" s="16"/>
      <c r="H8357" s="24"/>
      <c r="I8357" s="24"/>
      <c r="L8357"/>
    </row>
    <row r="8358" spans="1:12" x14ac:dyDescent="0.25">
      <c r="A8358" s="16"/>
      <c r="D8358" s="16"/>
      <c r="F8358" s="16"/>
      <c r="G8358" s="16"/>
      <c r="H8358" s="24"/>
      <c r="I8358" s="24"/>
      <c r="L8358"/>
    </row>
    <row r="8359" spans="1:12" x14ac:dyDescent="0.25">
      <c r="A8359" s="16"/>
      <c r="D8359" s="16"/>
      <c r="F8359" s="16"/>
      <c r="G8359" s="16"/>
      <c r="H8359" s="24"/>
      <c r="I8359" s="24"/>
      <c r="L8359"/>
    </row>
    <row r="8360" spans="1:12" x14ac:dyDescent="0.25">
      <c r="A8360" s="16"/>
      <c r="D8360" s="16"/>
      <c r="F8360" s="16"/>
      <c r="G8360" s="16"/>
      <c r="H8360" s="24"/>
      <c r="I8360" s="24"/>
      <c r="L8360"/>
    </row>
    <row r="8361" spans="1:12" x14ac:dyDescent="0.25">
      <c r="A8361" s="16"/>
      <c r="D8361" s="16"/>
      <c r="F8361" s="16"/>
      <c r="G8361" s="16"/>
      <c r="H8361" s="24"/>
      <c r="I8361" s="24"/>
      <c r="L8361"/>
    </row>
    <row r="8362" spans="1:12" x14ac:dyDescent="0.25">
      <c r="A8362" s="16"/>
      <c r="D8362" s="16"/>
      <c r="F8362" s="16"/>
      <c r="G8362" s="16"/>
      <c r="H8362" s="24"/>
      <c r="I8362" s="24"/>
      <c r="L8362"/>
    </row>
    <row r="8363" spans="1:12" x14ac:dyDescent="0.25">
      <c r="A8363" s="16"/>
      <c r="D8363" s="16"/>
      <c r="F8363" s="16"/>
      <c r="G8363" s="16"/>
      <c r="H8363" s="24"/>
      <c r="I8363" s="24"/>
      <c r="L8363"/>
    </row>
    <row r="8364" spans="1:12" x14ac:dyDescent="0.25">
      <c r="A8364" s="16"/>
      <c r="D8364" s="16"/>
      <c r="F8364" s="16"/>
      <c r="G8364" s="16"/>
      <c r="H8364" s="24"/>
      <c r="I8364" s="24"/>
      <c r="L8364"/>
    </row>
    <row r="8365" spans="1:12" x14ac:dyDescent="0.25">
      <c r="A8365" s="16"/>
      <c r="D8365" s="16"/>
      <c r="F8365" s="16"/>
      <c r="G8365" s="16"/>
      <c r="H8365" s="24"/>
      <c r="I8365" s="24"/>
      <c r="L8365"/>
    </row>
    <row r="8366" spans="1:12" x14ac:dyDescent="0.25">
      <c r="A8366" s="16"/>
      <c r="D8366" s="16"/>
      <c r="F8366" s="16"/>
      <c r="G8366" s="16"/>
      <c r="H8366" s="24"/>
      <c r="I8366" s="24"/>
      <c r="L8366"/>
    </row>
    <row r="8367" spans="1:12" x14ac:dyDescent="0.25">
      <c r="A8367" s="16"/>
      <c r="D8367" s="16"/>
      <c r="F8367" s="16"/>
      <c r="G8367" s="16"/>
      <c r="H8367" s="24"/>
      <c r="I8367" s="24"/>
      <c r="L8367"/>
    </row>
    <row r="8368" spans="1:12" x14ac:dyDescent="0.25">
      <c r="A8368" s="16"/>
      <c r="D8368" s="16"/>
      <c r="F8368" s="16"/>
      <c r="G8368" s="16"/>
      <c r="H8368" s="24"/>
      <c r="I8368" s="24"/>
      <c r="L8368"/>
    </row>
    <row r="8369" spans="1:12" x14ac:dyDescent="0.25">
      <c r="A8369" s="16"/>
      <c r="D8369" s="16"/>
      <c r="F8369" s="16"/>
      <c r="G8369" s="16"/>
      <c r="H8369" s="24"/>
      <c r="I8369" s="24"/>
      <c r="L8369"/>
    </row>
    <row r="8370" spans="1:12" x14ac:dyDescent="0.25">
      <c r="A8370" s="16"/>
      <c r="D8370" s="16"/>
      <c r="F8370" s="16"/>
      <c r="G8370" s="16"/>
      <c r="H8370" s="24"/>
      <c r="I8370" s="24"/>
      <c r="L8370"/>
    </row>
    <row r="8371" spans="1:12" x14ac:dyDescent="0.25">
      <c r="A8371" s="16"/>
      <c r="D8371" s="16"/>
      <c r="F8371" s="16"/>
      <c r="G8371" s="16"/>
      <c r="H8371" s="24"/>
      <c r="I8371" s="24"/>
      <c r="L8371"/>
    </row>
    <row r="8372" spans="1:12" x14ac:dyDescent="0.25">
      <c r="A8372" s="16"/>
      <c r="D8372" s="16"/>
      <c r="F8372" s="16"/>
      <c r="G8372" s="16"/>
      <c r="H8372" s="24"/>
      <c r="I8372" s="24"/>
      <c r="L8372"/>
    </row>
    <row r="8373" spans="1:12" x14ac:dyDescent="0.25">
      <c r="A8373" s="16"/>
      <c r="D8373" s="16"/>
      <c r="F8373" s="16"/>
      <c r="G8373" s="16"/>
      <c r="H8373" s="24"/>
      <c r="I8373" s="24"/>
      <c r="L8373"/>
    </row>
    <row r="8374" spans="1:12" x14ac:dyDescent="0.25">
      <c r="A8374" s="16"/>
      <c r="D8374" s="16"/>
      <c r="F8374" s="16"/>
      <c r="G8374" s="16"/>
      <c r="H8374" s="24"/>
      <c r="I8374" s="24"/>
      <c r="L8374"/>
    </row>
    <row r="8375" spans="1:12" x14ac:dyDescent="0.25">
      <c r="A8375" s="16"/>
      <c r="D8375" s="16"/>
      <c r="F8375" s="16"/>
      <c r="G8375" s="16"/>
      <c r="H8375" s="24"/>
      <c r="I8375" s="24"/>
      <c r="L8375"/>
    </row>
    <row r="8376" spans="1:12" x14ac:dyDescent="0.25">
      <c r="A8376" s="16"/>
      <c r="D8376" s="16"/>
      <c r="F8376" s="16"/>
      <c r="G8376" s="16"/>
      <c r="H8376" s="24"/>
      <c r="I8376" s="24"/>
      <c r="L8376"/>
    </row>
    <row r="8377" spans="1:12" x14ac:dyDescent="0.25">
      <c r="A8377" s="16"/>
      <c r="D8377" s="16"/>
      <c r="F8377" s="16"/>
      <c r="G8377" s="16"/>
      <c r="H8377" s="24"/>
      <c r="I8377" s="24"/>
      <c r="L8377"/>
    </row>
    <row r="8378" spans="1:12" x14ac:dyDescent="0.25">
      <c r="A8378" s="16"/>
      <c r="D8378" s="16"/>
      <c r="F8378" s="16"/>
      <c r="G8378" s="16"/>
      <c r="H8378" s="24"/>
      <c r="I8378" s="24"/>
      <c r="L8378"/>
    </row>
    <row r="8379" spans="1:12" x14ac:dyDescent="0.25">
      <c r="A8379" s="16"/>
      <c r="D8379" s="16"/>
      <c r="F8379" s="16"/>
      <c r="G8379" s="16"/>
      <c r="H8379" s="24"/>
      <c r="I8379" s="24"/>
      <c r="L8379"/>
    </row>
    <row r="8380" spans="1:12" x14ac:dyDescent="0.25">
      <c r="A8380" s="16"/>
      <c r="D8380" s="16"/>
      <c r="F8380" s="16"/>
      <c r="G8380" s="16"/>
      <c r="H8380" s="24"/>
      <c r="I8380" s="24"/>
      <c r="L8380"/>
    </row>
    <row r="8381" spans="1:12" x14ac:dyDescent="0.25">
      <c r="A8381" s="16"/>
      <c r="D8381" s="16"/>
      <c r="F8381" s="16"/>
      <c r="G8381" s="16"/>
      <c r="H8381" s="24"/>
      <c r="I8381" s="24"/>
      <c r="L8381"/>
    </row>
    <row r="8382" spans="1:12" x14ac:dyDescent="0.25">
      <c r="A8382" s="16"/>
      <c r="D8382" s="16"/>
      <c r="F8382" s="16"/>
      <c r="G8382" s="16"/>
      <c r="H8382" s="24"/>
      <c r="I8382" s="24"/>
      <c r="L8382"/>
    </row>
    <row r="8383" spans="1:12" x14ac:dyDescent="0.25">
      <c r="A8383" s="16"/>
      <c r="D8383" s="16"/>
      <c r="F8383" s="16"/>
      <c r="G8383" s="16"/>
      <c r="H8383" s="24"/>
      <c r="I8383" s="24"/>
      <c r="L8383"/>
    </row>
    <row r="8384" spans="1:12" x14ac:dyDescent="0.25">
      <c r="A8384" s="16"/>
      <c r="D8384" s="16"/>
      <c r="F8384" s="16"/>
      <c r="G8384" s="16"/>
      <c r="H8384" s="24"/>
      <c r="I8384" s="24"/>
      <c r="L8384"/>
    </row>
    <row r="8385" spans="1:12" x14ac:dyDescent="0.25">
      <c r="A8385" s="16"/>
      <c r="D8385" s="16"/>
      <c r="F8385" s="16"/>
      <c r="G8385" s="16"/>
      <c r="H8385" s="24"/>
      <c r="I8385" s="24"/>
      <c r="L8385"/>
    </row>
    <row r="8386" spans="1:12" x14ac:dyDescent="0.25">
      <c r="A8386" s="16"/>
      <c r="D8386" s="16"/>
      <c r="F8386" s="16"/>
      <c r="G8386" s="16"/>
      <c r="H8386" s="24"/>
      <c r="I8386" s="24"/>
      <c r="L8386"/>
    </row>
    <row r="8387" spans="1:12" x14ac:dyDescent="0.25">
      <c r="A8387" s="16"/>
      <c r="D8387" s="16"/>
      <c r="F8387" s="16"/>
      <c r="G8387" s="16"/>
      <c r="H8387" s="24"/>
      <c r="I8387" s="24"/>
      <c r="L8387"/>
    </row>
    <row r="8388" spans="1:12" x14ac:dyDescent="0.25">
      <c r="A8388" s="16"/>
      <c r="D8388" s="16"/>
      <c r="F8388" s="16"/>
      <c r="G8388" s="16"/>
      <c r="H8388" s="24"/>
      <c r="I8388" s="24"/>
      <c r="L8388"/>
    </row>
    <row r="8389" spans="1:12" x14ac:dyDescent="0.25">
      <c r="A8389" s="16"/>
      <c r="D8389" s="16"/>
      <c r="F8389" s="16"/>
      <c r="G8389" s="16"/>
      <c r="H8389" s="24"/>
      <c r="I8389" s="24"/>
      <c r="L8389"/>
    </row>
    <row r="8390" spans="1:12" x14ac:dyDescent="0.25">
      <c r="A8390" s="16"/>
      <c r="D8390" s="16"/>
      <c r="F8390" s="16"/>
      <c r="G8390" s="16"/>
      <c r="H8390" s="24"/>
      <c r="I8390" s="24"/>
      <c r="L8390"/>
    </row>
    <row r="8391" spans="1:12" x14ac:dyDescent="0.25">
      <c r="A8391" s="16"/>
      <c r="D8391" s="16"/>
      <c r="F8391" s="16"/>
      <c r="G8391" s="16"/>
      <c r="H8391" s="24"/>
      <c r="I8391" s="24"/>
      <c r="L8391"/>
    </row>
    <row r="8392" spans="1:12" x14ac:dyDescent="0.25">
      <c r="A8392" s="16"/>
      <c r="D8392" s="16"/>
      <c r="F8392" s="16"/>
      <c r="G8392" s="16"/>
      <c r="H8392" s="24"/>
      <c r="I8392" s="24"/>
      <c r="L8392"/>
    </row>
    <row r="8393" spans="1:12" x14ac:dyDescent="0.25">
      <c r="A8393" s="16"/>
      <c r="D8393" s="16"/>
      <c r="F8393" s="16"/>
      <c r="G8393" s="16"/>
      <c r="H8393" s="24"/>
      <c r="I8393" s="24"/>
      <c r="L8393"/>
    </row>
    <row r="8394" spans="1:12" x14ac:dyDescent="0.25">
      <c r="A8394" s="16"/>
      <c r="D8394" s="16"/>
      <c r="F8394" s="16"/>
      <c r="G8394" s="16"/>
      <c r="H8394" s="24"/>
      <c r="I8394" s="24"/>
      <c r="L8394"/>
    </row>
    <row r="8395" spans="1:12" x14ac:dyDescent="0.25">
      <c r="A8395" s="16"/>
      <c r="D8395" s="16"/>
      <c r="F8395" s="16"/>
      <c r="G8395" s="16"/>
      <c r="H8395" s="24"/>
      <c r="I8395" s="24"/>
      <c r="L8395"/>
    </row>
    <row r="8396" spans="1:12" x14ac:dyDescent="0.25">
      <c r="A8396" s="16"/>
      <c r="D8396" s="16"/>
      <c r="F8396" s="16"/>
      <c r="G8396" s="16"/>
      <c r="H8396" s="24"/>
      <c r="I8396" s="24"/>
      <c r="L8396"/>
    </row>
    <row r="8397" spans="1:12" x14ac:dyDescent="0.25">
      <c r="A8397" s="16"/>
      <c r="D8397" s="16"/>
      <c r="F8397" s="16"/>
      <c r="G8397" s="16"/>
      <c r="H8397" s="24"/>
      <c r="I8397" s="24"/>
      <c r="L8397"/>
    </row>
    <row r="8398" spans="1:12" x14ac:dyDescent="0.25">
      <c r="A8398" s="16"/>
      <c r="D8398" s="16"/>
      <c r="F8398" s="16"/>
      <c r="G8398" s="16"/>
      <c r="H8398" s="24"/>
      <c r="I8398" s="24"/>
      <c r="L8398"/>
    </row>
    <row r="8399" spans="1:12" x14ac:dyDescent="0.25">
      <c r="A8399" s="16"/>
      <c r="D8399" s="16"/>
      <c r="F8399" s="16"/>
      <c r="G8399" s="16"/>
      <c r="H8399" s="24"/>
      <c r="I8399" s="24"/>
      <c r="L8399"/>
    </row>
    <row r="8400" spans="1:12" x14ac:dyDescent="0.25">
      <c r="A8400" s="16"/>
      <c r="D8400" s="16"/>
      <c r="F8400" s="16"/>
      <c r="G8400" s="16"/>
      <c r="H8400" s="24"/>
      <c r="I8400" s="24"/>
      <c r="L8400"/>
    </row>
    <row r="8401" spans="1:12" x14ac:dyDescent="0.25">
      <c r="A8401" s="16"/>
      <c r="D8401" s="16"/>
      <c r="F8401" s="16"/>
      <c r="G8401" s="16"/>
      <c r="H8401" s="24"/>
      <c r="I8401" s="24"/>
      <c r="L8401"/>
    </row>
    <row r="8402" spans="1:12" x14ac:dyDescent="0.25">
      <c r="A8402" s="16"/>
      <c r="D8402" s="16"/>
      <c r="F8402" s="16"/>
      <c r="G8402" s="16"/>
      <c r="H8402" s="24"/>
      <c r="I8402" s="24"/>
      <c r="L8402"/>
    </row>
    <row r="8403" spans="1:12" x14ac:dyDescent="0.25">
      <c r="A8403" s="16"/>
      <c r="D8403" s="16"/>
      <c r="F8403" s="16"/>
      <c r="G8403" s="16"/>
      <c r="H8403" s="24"/>
      <c r="I8403" s="24"/>
      <c r="L8403"/>
    </row>
    <row r="8404" spans="1:12" x14ac:dyDescent="0.25">
      <c r="A8404" s="16"/>
      <c r="D8404" s="16"/>
      <c r="F8404" s="16"/>
      <c r="G8404" s="16"/>
      <c r="H8404" s="24"/>
      <c r="I8404" s="24"/>
      <c r="L8404"/>
    </row>
    <row r="8405" spans="1:12" x14ac:dyDescent="0.25">
      <c r="A8405" s="16"/>
      <c r="D8405" s="16"/>
      <c r="F8405" s="16"/>
      <c r="G8405" s="16"/>
      <c r="H8405" s="24"/>
      <c r="I8405" s="24"/>
      <c r="L8405"/>
    </row>
    <row r="8406" spans="1:12" x14ac:dyDescent="0.25">
      <c r="A8406" s="16"/>
      <c r="D8406" s="16"/>
      <c r="F8406" s="16"/>
      <c r="G8406" s="16"/>
      <c r="H8406" s="24"/>
      <c r="I8406" s="24"/>
      <c r="L8406"/>
    </row>
    <row r="8407" spans="1:12" x14ac:dyDescent="0.25">
      <c r="A8407" s="16"/>
      <c r="D8407" s="16"/>
      <c r="F8407" s="16"/>
      <c r="G8407" s="16"/>
      <c r="H8407" s="24"/>
      <c r="I8407" s="24"/>
      <c r="L8407"/>
    </row>
    <row r="8408" spans="1:12" x14ac:dyDescent="0.25">
      <c r="A8408" s="16"/>
      <c r="D8408" s="16"/>
      <c r="F8408" s="16"/>
      <c r="G8408" s="16"/>
      <c r="H8408" s="24"/>
      <c r="I8408" s="24"/>
      <c r="L8408"/>
    </row>
    <row r="8409" spans="1:12" x14ac:dyDescent="0.25">
      <c r="A8409" s="16"/>
      <c r="D8409" s="16"/>
      <c r="F8409" s="16"/>
      <c r="G8409" s="16"/>
      <c r="H8409" s="24"/>
      <c r="I8409" s="24"/>
      <c r="L8409"/>
    </row>
    <row r="8410" spans="1:12" x14ac:dyDescent="0.25">
      <c r="A8410" s="16"/>
      <c r="D8410" s="16"/>
      <c r="F8410" s="16"/>
      <c r="G8410" s="16"/>
      <c r="H8410" s="24"/>
      <c r="I8410" s="24"/>
      <c r="L8410"/>
    </row>
    <row r="8411" spans="1:12" x14ac:dyDescent="0.25">
      <c r="A8411" s="16"/>
      <c r="D8411" s="16"/>
      <c r="F8411" s="16"/>
      <c r="G8411" s="16"/>
      <c r="H8411" s="24"/>
      <c r="I8411" s="24"/>
      <c r="L8411"/>
    </row>
    <row r="8412" spans="1:12" x14ac:dyDescent="0.25">
      <c r="A8412" s="16"/>
      <c r="D8412" s="16"/>
      <c r="F8412" s="16"/>
      <c r="G8412" s="16"/>
      <c r="H8412" s="24"/>
      <c r="I8412" s="24"/>
      <c r="L8412"/>
    </row>
    <row r="8413" spans="1:12" x14ac:dyDescent="0.25">
      <c r="A8413" s="16"/>
      <c r="D8413" s="16"/>
      <c r="F8413" s="16"/>
      <c r="G8413" s="16"/>
      <c r="H8413" s="24"/>
      <c r="I8413" s="24"/>
      <c r="L8413"/>
    </row>
    <row r="8414" spans="1:12" x14ac:dyDescent="0.25">
      <c r="A8414" s="16"/>
      <c r="D8414" s="16"/>
      <c r="F8414" s="16"/>
      <c r="G8414" s="16"/>
      <c r="H8414" s="24"/>
      <c r="I8414" s="24"/>
      <c r="L8414"/>
    </row>
    <row r="8415" spans="1:12" x14ac:dyDescent="0.25">
      <c r="A8415" s="16"/>
      <c r="D8415" s="16"/>
      <c r="F8415" s="16"/>
      <c r="G8415" s="16"/>
      <c r="H8415" s="24"/>
      <c r="I8415" s="24"/>
      <c r="L8415"/>
    </row>
    <row r="8416" spans="1:12" x14ac:dyDescent="0.25">
      <c r="A8416" s="16"/>
      <c r="D8416" s="16"/>
      <c r="F8416" s="16"/>
      <c r="G8416" s="16"/>
      <c r="H8416" s="24"/>
      <c r="I8416" s="24"/>
      <c r="L8416"/>
    </row>
    <row r="8417" spans="1:12" x14ac:dyDescent="0.25">
      <c r="A8417" s="16"/>
      <c r="D8417" s="16"/>
      <c r="F8417" s="16"/>
      <c r="G8417" s="16"/>
      <c r="H8417" s="24"/>
      <c r="I8417" s="24"/>
      <c r="L8417"/>
    </row>
    <row r="8418" spans="1:12" x14ac:dyDescent="0.25">
      <c r="A8418" s="16"/>
      <c r="D8418" s="16"/>
      <c r="F8418" s="16"/>
      <c r="G8418" s="16"/>
      <c r="H8418" s="24"/>
      <c r="I8418" s="24"/>
      <c r="L8418"/>
    </row>
    <row r="8419" spans="1:12" x14ac:dyDescent="0.25">
      <c r="A8419" s="16"/>
      <c r="D8419" s="16"/>
      <c r="F8419" s="16"/>
      <c r="G8419" s="16"/>
      <c r="H8419" s="24"/>
      <c r="I8419" s="24"/>
      <c r="L8419"/>
    </row>
    <row r="8420" spans="1:12" x14ac:dyDescent="0.25">
      <c r="A8420" s="16"/>
      <c r="D8420" s="16"/>
      <c r="F8420" s="16"/>
      <c r="G8420" s="16"/>
      <c r="H8420" s="24"/>
      <c r="I8420" s="24"/>
      <c r="L8420"/>
    </row>
    <row r="8421" spans="1:12" x14ac:dyDescent="0.25">
      <c r="A8421" s="16"/>
      <c r="D8421" s="16"/>
      <c r="F8421" s="16"/>
      <c r="G8421" s="16"/>
      <c r="H8421" s="24"/>
      <c r="I8421" s="24"/>
      <c r="L8421"/>
    </row>
    <row r="8422" spans="1:12" x14ac:dyDescent="0.25">
      <c r="A8422" s="16"/>
      <c r="D8422" s="16"/>
      <c r="F8422" s="16"/>
      <c r="G8422" s="16"/>
      <c r="H8422" s="24"/>
      <c r="I8422" s="24"/>
      <c r="L8422"/>
    </row>
    <row r="8423" spans="1:12" x14ac:dyDescent="0.25">
      <c r="A8423" s="16"/>
      <c r="D8423" s="16"/>
      <c r="F8423" s="16"/>
      <c r="G8423" s="16"/>
      <c r="H8423" s="24"/>
      <c r="I8423" s="24"/>
      <c r="L8423"/>
    </row>
    <row r="8424" spans="1:12" x14ac:dyDescent="0.25">
      <c r="A8424" s="16"/>
      <c r="D8424" s="16"/>
      <c r="F8424" s="16"/>
      <c r="G8424" s="16"/>
      <c r="H8424" s="24"/>
      <c r="I8424" s="24"/>
      <c r="L8424"/>
    </row>
    <row r="8425" spans="1:12" x14ac:dyDescent="0.25">
      <c r="A8425" s="16"/>
      <c r="D8425" s="16"/>
      <c r="F8425" s="16"/>
      <c r="G8425" s="16"/>
      <c r="H8425" s="24"/>
      <c r="I8425" s="24"/>
      <c r="L8425"/>
    </row>
    <row r="8426" spans="1:12" x14ac:dyDescent="0.25">
      <c r="A8426" s="16"/>
      <c r="D8426" s="16"/>
      <c r="F8426" s="16"/>
      <c r="G8426" s="16"/>
      <c r="H8426" s="24"/>
      <c r="I8426" s="24"/>
      <c r="L8426"/>
    </row>
    <row r="8427" spans="1:12" x14ac:dyDescent="0.25">
      <c r="A8427" s="16"/>
      <c r="D8427" s="16"/>
      <c r="F8427" s="16"/>
      <c r="G8427" s="16"/>
      <c r="H8427" s="24"/>
      <c r="I8427" s="24"/>
      <c r="L8427"/>
    </row>
    <row r="8428" spans="1:12" x14ac:dyDescent="0.25">
      <c r="A8428" s="16"/>
      <c r="D8428" s="16"/>
      <c r="F8428" s="16"/>
      <c r="G8428" s="16"/>
      <c r="H8428" s="24"/>
      <c r="I8428" s="24"/>
      <c r="L8428"/>
    </row>
    <row r="8429" spans="1:12" x14ac:dyDescent="0.25">
      <c r="A8429" s="16"/>
      <c r="D8429" s="16"/>
      <c r="F8429" s="16"/>
      <c r="G8429" s="16"/>
      <c r="H8429" s="24"/>
      <c r="I8429" s="24"/>
      <c r="L8429"/>
    </row>
    <row r="8430" spans="1:12" x14ac:dyDescent="0.25">
      <c r="A8430" s="16"/>
      <c r="D8430" s="16"/>
      <c r="F8430" s="16"/>
      <c r="G8430" s="16"/>
      <c r="H8430" s="24"/>
      <c r="I8430" s="24"/>
      <c r="L8430"/>
    </row>
    <row r="8431" spans="1:12" x14ac:dyDescent="0.25">
      <c r="A8431" s="16"/>
      <c r="D8431" s="16"/>
      <c r="F8431" s="16"/>
      <c r="G8431" s="16"/>
      <c r="H8431" s="24"/>
      <c r="I8431" s="24"/>
      <c r="L8431"/>
    </row>
    <row r="8432" spans="1:12" x14ac:dyDescent="0.25">
      <c r="A8432" s="16"/>
      <c r="D8432" s="16"/>
      <c r="F8432" s="16"/>
      <c r="G8432" s="16"/>
      <c r="H8432" s="24"/>
      <c r="I8432" s="24"/>
      <c r="L8432"/>
    </row>
    <row r="8433" spans="1:12" x14ac:dyDescent="0.25">
      <c r="A8433" s="16"/>
      <c r="D8433" s="16"/>
      <c r="F8433" s="16"/>
      <c r="G8433" s="16"/>
      <c r="H8433" s="24"/>
      <c r="I8433" s="24"/>
      <c r="L8433"/>
    </row>
    <row r="8434" spans="1:12" x14ac:dyDescent="0.25">
      <c r="A8434" s="16"/>
      <c r="D8434" s="16"/>
      <c r="F8434" s="16"/>
      <c r="G8434" s="16"/>
      <c r="H8434" s="24"/>
      <c r="I8434" s="24"/>
      <c r="L8434"/>
    </row>
    <row r="8435" spans="1:12" x14ac:dyDescent="0.25">
      <c r="A8435" s="16"/>
      <c r="D8435" s="16"/>
      <c r="F8435" s="16"/>
      <c r="G8435" s="16"/>
      <c r="H8435" s="24"/>
      <c r="I8435" s="24"/>
      <c r="L8435"/>
    </row>
    <row r="8436" spans="1:12" x14ac:dyDescent="0.25">
      <c r="A8436" s="16"/>
      <c r="D8436" s="16"/>
      <c r="F8436" s="16"/>
      <c r="G8436" s="16"/>
      <c r="H8436" s="24"/>
      <c r="I8436" s="24"/>
      <c r="L8436"/>
    </row>
    <row r="8437" spans="1:12" x14ac:dyDescent="0.25">
      <c r="A8437" s="16"/>
      <c r="D8437" s="16"/>
      <c r="F8437" s="16"/>
      <c r="G8437" s="16"/>
      <c r="H8437" s="24"/>
      <c r="I8437" s="24"/>
      <c r="L8437"/>
    </row>
    <row r="8438" spans="1:12" x14ac:dyDescent="0.25">
      <c r="A8438" s="16"/>
      <c r="D8438" s="16"/>
      <c r="F8438" s="16"/>
      <c r="G8438" s="16"/>
      <c r="H8438" s="24"/>
      <c r="I8438" s="24"/>
      <c r="L8438"/>
    </row>
    <row r="8439" spans="1:12" x14ac:dyDescent="0.25">
      <c r="A8439" s="16"/>
      <c r="D8439" s="16"/>
      <c r="F8439" s="16"/>
      <c r="G8439" s="16"/>
      <c r="H8439" s="24"/>
      <c r="I8439" s="24"/>
      <c r="L8439"/>
    </row>
    <row r="8440" spans="1:12" x14ac:dyDescent="0.25">
      <c r="A8440" s="16"/>
      <c r="D8440" s="16"/>
      <c r="F8440" s="16"/>
      <c r="G8440" s="16"/>
      <c r="H8440" s="24"/>
      <c r="I8440" s="24"/>
      <c r="L8440"/>
    </row>
    <row r="8441" spans="1:12" x14ac:dyDescent="0.25">
      <c r="A8441" s="16"/>
      <c r="D8441" s="16"/>
      <c r="F8441" s="16"/>
      <c r="G8441" s="16"/>
      <c r="H8441" s="24"/>
      <c r="I8441" s="24"/>
      <c r="L8441"/>
    </row>
    <row r="8442" spans="1:12" x14ac:dyDescent="0.25">
      <c r="A8442" s="16"/>
      <c r="D8442" s="16"/>
      <c r="F8442" s="16"/>
      <c r="G8442" s="16"/>
      <c r="H8442" s="24"/>
      <c r="I8442" s="24"/>
      <c r="L8442"/>
    </row>
    <row r="8443" spans="1:12" x14ac:dyDescent="0.25">
      <c r="A8443" s="16"/>
      <c r="D8443" s="16"/>
      <c r="F8443" s="16"/>
      <c r="G8443" s="16"/>
      <c r="H8443" s="24"/>
      <c r="I8443" s="24"/>
      <c r="L8443"/>
    </row>
    <row r="8444" spans="1:12" x14ac:dyDescent="0.25">
      <c r="A8444" s="16"/>
      <c r="D8444" s="16"/>
      <c r="F8444" s="16"/>
      <c r="G8444" s="16"/>
      <c r="H8444" s="24"/>
      <c r="I8444" s="24"/>
      <c r="L8444"/>
    </row>
    <row r="8445" spans="1:12" x14ac:dyDescent="0.25">
      <c r="A8445" s="16"/>
      <c r="D8445" s="16"/>
      <c r="F8445" s="16"/>
      <c r="G8445" s="16"/>
      <c r="H8445" s="24"/>
      <c r="I8445" s="24"/>
      <c r="L8445"/>
    </row>
    <row r="8446" spans="1:12" x14ac:dyDescent="0.25">
      <c r="A8446" s="16"/>
      <c r="D8446" s="16"/>
      <c r="F8446" s="16"/>
      <c r="G8446" s="16"/>
      <c r="H8446" s="24"/>
      <c r="I8446" s="24"/>
      <c r="L8446"/>
    </row>
    <row r="8447" spans="1:12" x14ac:dyDescent="0.25">
      <c r="A8447" s="16"/>
      <c r="D8447" s="16"/>
      <c r="F8447" s="16"/>
      <c r="G8447" s="16"/>
      <c r="H8447" s="24"/>
      <c r="I8447" s="24"/>
      <c r="L8447"/>
    </row>
    <row r="8448" spans="1:12" x14ac:dyDescent="0.25">
      <c r="A8448" s="16"/>
      <c r="D8448" s="16"/>
      <c r="F8448" s="16"/>
      <c r="G8448" s="16"/>
      <c r="H8448" s="24"/>
      <c r="I8448" s="24"/>
      <c r="L8448"/>
    </row>
    <row r="8449" spans="1:12" x14ac:dyDescent="0.25">
      <c r="A8449" s="16"/>
      <c r="D8449" s="16"/>
      <c r="F8449" s="16"/>
      <c r="G8449" s="16"/>
      <c r="H8449" s="24"/>
      <c r="I8449" s="24"/>
      <c r="L8449"/>
    </row>
    <row r="8450" spans="1:12" x14ac:dyDescent="0.25">
      <c r="A8450" s="16"/>
      <c r="D8450" s="16"/>
      <c r="F8450" s="16"/>
      <c r="G8450" s="16"/>
      <c r="H8450" s="24"/>
      <c r="I8450" s="24"/>
      <c r="L8450"/>
    </row>
    <row r="8451" spans="1:12" x14ac:dyDescent="0.25">
      <c r="A8451" s="16"/>
      <c r="D8451" s="16"/>
      <c r="F8451" s="16"/>
      <c r="G8451" s="16"/>
      <c r="H8451" s="24"/>
      <c r="I8451" s="24"/>
      <c r="L8451"/>
    </row>
    <row r="8452" spans="1:12" x14ac:dyDescent="0.25">
      <c r="A8452" s="16"/>
      <c r="D8452" s="16"/>
      <c r="F8452" s="16"/>
      <c r="G8452" s="16"/>
      <c r="H8452" s="24"/>
      <c r="I8452" s="24"/>
      <c r="L8452"/>
    </row>
    <row r="8453" spans="1:12" x14ac:dyDescent="0.25">
      <c r="A8453" s="16"/>
      <c r="D8453" s="16"/>
      <c r="F8453" s="16"/>
      <c r="G8453" s="16"/>
      <c r="H8453" s="24"/>
      <c r="I8453" s="24"/>
      <c r="L8453"/>
    </row>
    <row r="8454" spans="1:12" x14ac:dyDescent="0.25">
      <c r="A8454" s="16"/>
      <c r="D8454" s="16"/>
      <c r="F8454" s="16"/>
      <c r="G8454" s="16"/>
      <c r="H8454" s="24"/>
      <c r="I8454" s="24"/>
      <c r="L8454"/>
    </row>
    <row r="8455" spans="1:12" x14ac:dyDescent="0.25">
      <c r="A8455" s="16"/>
      <c r="D8455" s="16"/>
      <c r="F8455" s="16"/>
      <c r="G8455" s="16"/>
      <c r="H8455" s="24"/>
      <c r="I8455" s="24"/>
      <c r="L8455"/>
    </row>
    <row r="8456" spans="1:12" x14ac:dyDescent="0.25">
      <c r="A8456" s="16"/>
      <c r="D8456" s="16"/>
      <c r="F8456" s="16"/>
      <c r="G8456" s="16"/>
      <c r="H8456" s="24"/>
      <c r="I8456" s="24"/>
      <c r="L8456"/>
    </row>
    <row r="8457" spans="1:12" x14ac:dyDescent="0.25">
      <c r="A8457" s="16"/>
      <c r="D8457" s="16"/>
      <c r="F8457" s="16"/>
      <c r="G8457" s="16"/>
      <c r="H8457" s="24"/>
      <c r="I8457" s="24"/>
      <c r="L8457"/>
    </row>
    <row r="8458" spans="1:12" x14ac:dyDescent="0.25">
      <c r="A8458" s="16"/>
      <c r="D8458" s="16"/>
      <c r="F8458" s="16"/>
      <c r="G8458" s="16"/>
      <c r="H8458" s="24"/>
      <c r="I8458" s="24"/>
      <c r="L8458"/>
    </row>
    <row r="8459" spans="1:12" x14ac:dyDescent="0.25">
      <c r="A8459" s="16"/>
      <c r="D8459" s="16"/>
      <c r="F8459" s="16"/>
      <c r="G8459" s="16"/>
      <c r="H8459" s="24"/>
      <c r="I8459" s="24"/>
      <c r="L8459"/>
    </row>
    <row r="8460" spans="1:12" x14ac:dyDescent="0.25">
      <c r="A8460" s="16"/>
      <c r="D8460" s="16"/>
      <c r="F8460" s="16"/>
      <c r="G8460" s="16"/>
      <c r="H8460" s="24"/>
      <c r="I8460" s="24"/>
      <c r="L8460"/>
    </row>
    <row r="8461" spans="1:12" x14ac:dyDescent="0.25">
      <c r="A8461" s="16"/>
      <c r="D8461" s="16"/>
      <c r="F8461" s="16"/>
      <c r="G8461" s="16"/>
      <c r="H8461" s="24"/>
      <c r="I8461" s="24"/>
      <c r="L8461"/>
    </row>
    <row r="8462" spans="1:12" x14ac:dyDescent="0.25">
      <c r="A8462" s="16"/>
      <c r="D8462" s="16"/>
      <c r="F8462" s="16"/>
      <c r="G8462" s="16"/>
      <c r="H8462" s="24"/>
      <c r="I8462" s="24"/>
      <c r="L8462"/>
    </row>
    <row r="8463" spans="1:12" x14ac:dyDescent="0.25">
      <c r="A8463" s="16"/>
      <c r="D8463" s="16"/>
      <c r="F8463" s="16"/>
      <c r="G8463" s="16"/>
      <c r="H8463" s="24"/>
      <c r="I8463" s="24"/>
      <c r="L8463"/>
    </row>
    <row r="8464" spans="1:12" x14ac:dyDescent="0.25">
      <c r="A8464" s="16"/>
      <c r="D8464" s="16"/>
      <c r="F8464" s="16"/>
      <c r="G8464" s="16"/>
      <c r="H8464" s="24"/>
      <c r="I8464" s="24"/>
      <c r="L8464"/>
    </row>
    <row r="8465" spans="1:12" x14ac:dyDescent="0.25">
      <c r="A8465" s="16"/>
      <c r="D8465" s="16"/>
      <c r="F8465" s="16"/>
      <c r="G8465" s="16"/>
      <c r="H8465" s="24"/>
      <c r="I8465" s="24"/>
      <c r="L8465"/>
    </row>
    <row r="8466" spans="1:12" x14ac:dyDescent="0.25">
      <c r="A8466" s="16"/>
      <c r="D8466" s="16"/>
      <c r="F8466" s="16"/>
      <c r="G8466" s="16"/>
      <c r="H8466" s="24"/>
      <c r="I8466" s="24"/>
      <c r="L8466"/>
    </row>
    <row r="8467" spans="1:12" x14ac:dyDescent="0.25">
      <c r="A8467" s="16"/>
      <c r="D8467" s="16"/>
      <c r="F8467" s="16"/>
      <c r="G8467" s="16"/>
      <c r="H8467" s="24"/>
      <c r="I8467" s="24"/>
      <c r="L8467"/>
    </row>
    <row r="8468" spans="1:12" x14ac:dyDescent="0.25">
      <c r="A8468" s="16"/>
      <c r="D8468" s="16"/>
      <c r="F8468" s="16"/>
      <c r="G8468" s="16"/>
      <c r="H8468" s="24"/>
      <c r="I8468" s="24"/>
      <c r="L8468"/>
    </row>
    <row r="8469" spans="1:12" x14ac:dyDescent="0.25">
      <c r="A8469" s="16"/>
      <c r="D8469" s="16"/>
      <c r="F8469" s="16"/>
      <c r="G8469" s="16"/>
      <c r="H8469" s="24"/>
      <c r="I8469" s="24"/>
      <c r="L8469"/>
    </row>
    <row r="8470" spans="1:12" x14ac:dyDescent="0.25">
      <c r="A8470" s="16"/>
      <c r="D8470" s="16"/>
      <c r="F8470" s="16"/>
      <c r="G8470" s="16"/>
      <c r="H8470" s="24"/>
      <c r="I8470" s="24"/>
      <c r="L8470"/>
    </row>
    <row r="8471" spans="1:12" x14ac:dyDescent="0.25">
      <c r="A8471" s="16"/>
      <c r="D8471" s="16"/>
      <c r="F8471" s="16"/>
      <c r="G8471" s="16"/>
      <c r="H8471" s="24"/>
      <c r="I8471" s="24"/>
      <c r="L8471"/>
    </row>
    <row r="8472" spans="1:12" x14ac:dyDescent="0.25">
      <c r="A8472" s="16"/>
      <c r="D8472" s="16"/>
      <c r="F8472" s="16"/>
      <c r="G8472" s="16"/>
      <c r="H8472" s="24"/>
      <c r="I8472" s="24"/>
      <c r="L8472"/>
    </row>
    <row r="8473" spans="1:12" x14ac:dyDescent="0.25">
      <c r="A8473" s="16"/>
      <c r="D8473" s="16"/>
      <c r="F8473" s="16"/>
      <c r="G8473" s="16"/>
      <c r="H8473" s="24"/>
      <c r="I8473" s="24"/>
      <c r="L8473"/>
    </row>
    <row r="8474" spans="1:12" x14ac:dyDescent="0.25">
      <c r="A8474" s="16"/>
      <c r="D8474" s="16"/>
      <c r="F8474" s="16"/>
      <c r="G8474" s="16"/>
      <c r="H8474" s="24"/>
      <c r="I8474" s="24"/>
      <c r="L8474"/>
    </row>
    <row r="8475" spans="1:12" x14ac:dyDescent="0.25">
      <c r="A8475" s="16"/>
      <c r="D8475" s="16"/>
      <c r="F8475" s="16"/>
      <c r="G8475" s="16"/>
      <c r="H8475" s="24"/>
      <c r="I8475" s="24"/>
      <c r="L8475"/>
    </row>
    <row r="8476" spans="1:12" x14ac:dyDescent="0.25">
      <c r="A8476" s="16"/>
      <c r="D8476" s="16"/>
      <c r="F8476" s="16"/>
      <c r="G8476" s="16"/>
      <c r="H8476" s="24"/>
      <c r="I8476" s="24"/>
      <c r="L8476"/>
    </row>
    <row r="8477" spans="1:12" x14ac:dyDescent="0.25">
      <c r="A8477" s="16"/>
      <c r="D8477" s="16"/>
      <c r="F8477" s="16"/>
      <c r="G8477" s="16"/>
      <c r="H8477" s="24"/>
      <c r="I8477" s="24"/>
      <c r="L8477"/>
    </row>
    <row r="8478" spans="1:12" x14ac:dyDescent="0.25">
      <c r="A8478" s="16"/>
      <c r="D8478" s="16"/>
      <c r="F8478" s="16"/>
      <c r="G8478" s="16"/>
      <c r="H8478" s="24"/>
      <c r="I8478" s="24"/>
      <c r="L8478"/>
    </row>
    <row r="8479" spans="1:12" x14ac:dyDescent="0.25">
      <c r="A8479" s="16"/>
      <c r="D8479" s="16"/>
      <c r="F8479" s="16"/>
      <c r="G8479" s="16"/>
      <c r="H8479" s="24"/>
      <c r="I8479" s="24"/>
      <c r="L8479"/>
    </row>
    <row r="8480" spans="1:12" x14ac:dyDescent="0.25">
      <c r="A8480" s="16"/>
      <c r="D8480" s="16"/>
      <c r="F8480" s="16"/>
      <c r="G8480" s="16"/>
      <c r="H8480" s="24"/>
      <c r="I8480" s="24"/>
      <c r="L8480"/>
    </row>
    <row r="8481" spans="1:12" x14ac:dyDescent="0.25">
      <c r="A8481" s="16"/>
      <c r="D8481" s="16"/>
      <c r="F8481" s="16"/>
      <c r="G8481" s="16"/>
      <c r="H8481" s="24"/>
      <c r="I8481" s="24"/>
      <c r="L8481"/>
    </row>
    <row r="8482" spans="1:12" x14ac:dyDescent="0.25">
      <c r="A8482" s="16"/>
      <c r="D8482" s="16"/>
      <c r="F8482" s="16"/>
      <c r="G8482" s="16"/>
      <c r="H8482" s="24"/>
      <c r="I8482" s="24"/>
      <c r="L8482"/>
    </row>
    <row r="8483" spans="1:12" x14ac:dyDescent="0.25">
      <c r="A8483" s="16"/>
      <c r="D8483" s="16"/>
      <c r="F8483" s="16"/>
      <c r="G8483" s="16"/>
      <c r="H8483" s="24"/>
      <c r="I8483" s="24"/>
      <c r="L8483"/>
    </row>
    <row r="8484" spans="1:12" x14ac:dyDescent="0.25">
      <c r="A8484" s="16"/>
      <c r="D8484" s="16"/>
      <c r="F8484" s="16"/>
      <c r="G8484" s="16"/>
      <c r="H8484" s="24"/>
      <c r="I8484" s="24"/>
      <c r="L8484"/>
    </row>
    <row r="8485" spans="1:12" x14ac:dyDescent="0.25">
      <c r="A8485" s="16"/>
      <c r="D8485" s="16"/>
      <c r="F8485" s="16"/>
      <c r="G8485" s="16"/>
      <c r="H8485" s="24"/>
      <c r="I8485" s="24"/>
      <c r="L8485"/>
    </row>
    <row r="8486" spans="1:12" x14ac:dyDescent="0.25">
      <c r="A8486" s="16"/>
      <c r="D8486" s="16"/>
      <c r="F8486" s="16"/>
      <c r="G8486" s="16"/>
      <c r="H8486" s="24"/>
      <c r="I8486" s="24"/>
      <c r="L8486"/>
    </row>
    <row r="8487" spans="1:12" x14ac:dyDescent="0.25">
      <c r="A8487" s="16"/>
      <c r="D8487" s="16"/>
      <c r="F8487" s="16"/>
      <c r="G8487" s="16"/>
      <c r="H8487" s="24"/>
      <c r="I8487" s="24"/>
      <c r="L8487"/>
    </row>
    <row r="8488" spans="1:12" x14ac:dyDescent="0.25">
      <c r="A8488" s="16"/>
      <c r="D8488" s="16"/>
      <c r="F8488" s="16"/>
      <c r="G8488" s="16"/>
      <c r="H8488" s="24"/>
      <c r="I8488" s="24"/>
      <c r="L8488"/>
    </row>
    <row r="8489" spans="1:12" x14ac:dyDescent="0.25">
      <c r="A8489" s="16"/>
      <c r="D8489" s="16"/>
      <c r="F8489" s="16"/>
      <c r="G8489" s="16"/>
      <c r="H8489" s="24"/>
      <c r="I8489" s="24"/>
      <c r="L8489"/>
    </row>
    <row r="8490" spans="1:12" x14ac:dyDescent="0.25">
      <c r="A8490" s="16"/>
      <c r="D8490" s="16"/>
      <c r="F8490" s="16"/>
      <c r="G8490" s="16"/>
      <c r="H8490" s="24"/>
      <c r="I8490" s="24"/>
      <c r="L8490"/>
    </row>
    <row r="8491" spans="1:12" x14ac:dyDescent="0.25">
      <c r="A8491" s="16"/>
      <c r="D8491" s="16"/>
      <c r="F8491" s="16"/>
      <c r="G8491" s="16"/>
      <c r="H8491" s="24"/>
      <c r="I8491" s="24"/>
      <c r="L8491"/>
    </row>
    <row r="8492" spans="1:12" x14ac:dyDescent="0.25">
      <c r="A8492" s="16"/>
      <c r="D8492" s="16"/>
      <c r="F8492" s="16"/>
      <c r="G8492" s="16"/>
      <c r="H8492" s="24"/>
      <c r="I8492" s="24"/>
      <c r="L8492"/>
    </row>
    <row r="8493" spans="1:12" x14ac:dyDescent="0.25">
      <c r="A8493" s="16"/>
      <c r="D8493" s="16"/>
      <c r="F8493" s="16"/>
      <c r="G8493" s="16"/>
      <c r="H8493" s="24"/>
      <c r="I8493" s="24"/>
      <c r="L8493"/>
    </row>
    <row r="8494" spans="1:12" x14ac:dyDescent="0.25">
      <c r="A8494" s="16"/>
      <c r="D8494" s="16"/>
      <c r="F8494" s="16"/>
      <c r="G8494" s="16"/>
      <c r="H8494" s="24"/>
      <c r="I8494" s="24"/>
      <c r="L8494"/>
    </row>
    <row r="8495" spans="1:12" x14ac:dyDescent="0.25">
      <c r="A8495" s="16"/>
      <c r="D8495" s="16"/>
      <c r="F8495" s="16"/>
      <c r="G8495" s="16"/>
      <c r="H8495" s="24"/>
      <c r="I8495" s="24"/>
      <c r="L8495"/>
    </row>
    <row r="8496" spans="1:12" x14ac:dyDescent="0.25">
      <c r="A8496" s="16"/>
      <c r="D8496" s="16"/>
      <c r="F8496" s="16"/>
      <c r="G8496" s="16"/>
      <c r="H8496" s="24"/>
      <c r="I8496" s="24"/>
      <c r="L8496"/>
    </row>
    <row r="8497" spans="1:12" x14ac:dyDescent="0.25">
      <c r="A8497" s="16"/>
      <c r="D8497" s="16"/>
      <c r="F8497" s="16"/>
      <c r="G8497" s="16"/>
      <c r="H8497" s="24"/>
      <c r="I8497" s="24"/>
      <c r="L8497"/>
    </row>
    <row r="8498" spans="1:12" x14ac:dyDescent="0.25">
      <c r="A8498" s="16"/>
      <c r="D8498" s="16"/>
      <c r="F8498" s="16"/>
      <c r="G8498" s="16"/>
      <c r="H8498" s="24"/>
      <c r="I8498" s="24"/>
      <c r="L8498"/>
    </row>
    <row r="8499" spans="1:12" x14ac:dyDescent="0.25">
      <c r="A8499" s="16"/>
      <c r="D8499" s="16"/>
      <c r="F8499" s="16"/>
      <c r="G8499" s="16"/>
      <c r="H8499" s="24"/>
      <c r="I8499" s="24"/>
      <c r="L8499"/>
    </row>
    <row r="8500" spans="1:12" x14ac:dyDescent="0.25">
      <c r="A8500" s="16"/>
      <c r="D8500" s="16"/>
      <c r="F8500" s="16"/>
      <c r="G8500" s="16"/>
      <c r="H8500" s="24"/>
      <c r="I8500" s="24"/>
      <c r="L8500"/>
    </row>
    <row r="8501" spans="1:12" x14ac:dyDescent="0.25">
      <c r="A8501" s="16"/>
      <c r="D8501" s="16"/>
      <c r="F8501" s="16"/>
      <c r="G8501" s="16"/>
      <c r="H8501" s="24"/>
      <c r="I8501" s="24"/>
      <c r="L8501"/>
    </row>
    <row r="8502" spans="1:12" x14ac:dyDescent="0.25">
      <c r="A8502" s="16"/>
      <c r="D8502" s="16"/>
      <c r="F8502" s="16"/>
      <c r="G8502" s="16"/>
      <c r="H8502" s="24"/>
      <c r="I8502" s="24"/>
      <c r="L8502"/>
    </row>
    <row r="8503" spans="1:12" x14ac:dyDescent="0.25">
      <c r="A8503" s="16"/>
      <c r="D8503" s="16"/>
      <c r="F8503" s="16"/>
      <c r="G8503" s="16"/>
      <c r="H8503" s="24"/>
      <c r="I8503" s="24"/>
      <c r="L8503"/>
    </row>
    <row r="8504" spans="1:12" x14ac:dyDescent="0.25">
      <c r="A8504" s="16"/>
      <c r="D8504" s="16"/>
      <c r="F8504" s="16"/>
      <c r="G8504" s="16"/>
      <c r="H8504" s="24"/>
      <c r="I8504" s="24"/>
      <c r="L8504"/>
    </row>
    <row r="8505" spans="1:12" x14ac:dyDescent="0.25">
      <c r="A8505" s="16"/>
      <c r="D8505" s="16"/>
      <c r="F8505" s="16"/>
      <c r="G8505" s="16"/>
      <c r="H8505" s="24"/>
      <c r="I8505" s="24"/>
      <c r="L8505"/>
    </row>
    <row r="8506" spans="1:12" x14ac:dyDescent="0.25">
      <c r="A8506" s="16"/>
      <c r="D8506" s="16"/>
      <c r="F8506" s="16"/>
      <c r="G8506" s="16"/>
      <c r="H8506" s="24"/>
      <c r="I8506" s="24"/>
      <c r="L8506"/>
    </row>
    <row r="8507" spans="1:12" x14ac:dyDescent="0.25">
      <c r="A8507" s="16"/>
      <c r="D8507" s="16"/>
      <c r="F8507" s="16"/>
      <c r="G8507" s="16"/>
      <c r="H8507" s="24"/>
      <c r="I8507" s="24"/>
      <c r="L8507"/>
    </row>
    <row r="8508" spans="1:12" x14ac:dyDescent="0.25">
      <c r="A8508" s="16"/>
      <c r="D8508" s="16"/>
      <c r="F8508" s="16"/>
      <c r="G8508" s="16"/>
      <c r="H8508" s="24"/>
      <c r="I8508" s="24"/>
      <c r="L8508"/>
    </row>
    <row r="8509" spans="1:12" x14ac:dyDescent="0.25">
      <c r="A8509" s="16"/>
      <c r="D8509" s="16"/>
      <c r="F8509" s="16"/>
      <c r="G8509" s="16"/>
      <c r="H8509" s="24"/>
      <c r="I8509" s="24"/>
      <c r="L8509"/>
    </row>
    <row r="8510" spans="1:12" x14ac:dyDescent="0.25">
      <c r="A8510" s="16"/>
      <c r="D8510" s="16"/>
      <c r="F8510" s="16"/>
      <c r="G8510" s="16"/>
      <c r="H8510" s="24"/>
      <c r="I8510" s="24"/>
      <c r="L8510"/>
    </row>
    <row r="8511" spans="1:12" x14ac:dyDescent="0.25">
      <c r="A8511" s="16"/>
      <c r="D8511" s="16"/>
      <c r="F8511" s="16"/>
      <c r="G8511" s="16"/>
      <c r="H8511" s="24"/>
      <c r="I8511" s="24"/>
      <c r="L8511"/>
    </row>
    <row r="8512" spans="1:12" x14ac:dyDescent="0.25">
      <c r="A8512" s="16"/>
      <c r="D8512" s="16"/>
      <c r="F8512" s="16"/>
      <c r="G8512" s="16"/>
      <c r="H8512" s="24"/>
      <c r="I8512" s="24"/>
      <c r="L8512"/>
    </row>
    <row r="8513" spans="1:12" x14ac:dyDescent="0.25">
      <c r="A8513" s="16"/>
      <c r="D8513" s="16"/>
      <c r="F8513" s="16"/>
      <c r="G8513" s="16"/>
      <c r="H8513" s="24"/>
      <c r="I8513" s="24"/>
      <c r="L8513"/>
    </row>
    <row r="8514" spans="1:12" x14ac:dyDescent="0.25">
      <c r="A8514" s="16"/>
      <c r="D8514" s="16"/>
      <c r="F8514" s="16"/>
      <c r="G8514" s="16"/>
      <c r="H8514" s="24"/>
      <c r="I8514" s="24"/>
      <c r="L8514"/>
    </row>
    <row r="8515" spans="1:12" x14ac:dyDescent="0.25">
      <c r="A8515" s="16"/>
      <c r="D8515" s="16"/>
      <c r="F8515" s="16"/>
      <c r="G8515" s="16"/>
      <c r="H8515" s="24"/>
      <c r="I8515" s="24"/>
      <c r="L8515"/>
    </row>
    <row r="8516" spans="1:12" x14ac:dyDescent="0.25">
      <c r="A8516" s="16"/>
      <c r="D8516" s="16"/>
      <c r="F8516" s="16"/>
      <c r="G8516" s="16"/>
      <c r="H8516" s="24"/>
      <c r="I8516" s="24"/>
      <c r="L8516"/>
    </row>
    <row r="8517" spans="1:12" x14ac:dyDescent="0.25">
      <c r="A8517" s="16"/>
      <c r="D8517" s="16"/>
      <c r="F8517" s="16"/>
      <c r="G8517" s="16"/>
      <c r="H8517" s="24"/>
      <c r="I8517" s="24"/>
      <c r="L8517"/>
    </row>
    <row r="8518" spans="1:12" x14ac:dyDescent="0.25">
      <c r="A8518" s="16"/>
      <c r="D8518" s="16"/>
      <c r="F8518" s="16"/>
      <c r="G8518" s="16"/>
      <c r="H8518" s="24"/>
      <c r="I8518" s="24"/>
      <c r="L8518"/>
    </row>
    <row r="8519" spans="1:12" x14ac:dyDescent="0.25">
      <c r="A8519" s="16"/>
      <c r="D8519" s="16"/>
      <c r="F8519" s="16"/>
      <c r="G8519" s="16"/>
      <c r="H8519" s="24"/>
      <c r="I8519" s="24"/>
      <c r="L8519"/>
    </row>
    <row r="8520" spans="1:12" x14ac:dyDescent="0.25">
      <c r="A8520" s="16"/>
      <c r="D8520" s="16"/>
      <c r="F8520" s="16"/>
      <c r="G8520" s="16"/>
      <c r="H8520" s="24"/>
      <c r="I8520" s="24"/>
      <c r="L8520"/>
    </row>
    <row r="8521" spans="1:12" x14ac:dyDescent="0.25">
      <c r="A8521" s="16"/>
      <c r="D8521" s="16"/>
      <c r="F8521" s="16"/>
      <c r="G8521" s="16"/>
      <c r="H8521" s="24"/>
      <c r="I8521" s="24"/>
      <c r="L8521"/>
    </row>
    <row r="8522" spans="1:12" x14ac:dyDescent="0.25">
      <c r="A8522" s="16"/>
      <c r="D8522" s="16"/>
      <c r="F8522" s="16"/>
      <c r="G8522" s="16"/>
      <c r="H8522" s="24"/>
      <c r="I8522" s="24"/>
      <c r="L8522"/>
    </row>
    <row r="8523" spans="1:12" x14ac:dyDescent="0.25">
      <c r="A8523" s="16"/>
      <c r="D8523" s="16"/>
      <c r="F8523" s="16"/>
      <c r="G8523" s="16"/>
      <c r="H8523" s="24"/>
      <c r="I8523" s="24"/>
      <c r="L8523"/>
    </row>
    <row r="8524" spans="1:12" x14ac:dyDescent="0.25">
      <c r="A8524" s="16"/>
      <c r="D8524" s="16"/>
      <c r="F8524" s="16"/>
      <c r="G8524" s="16"/>
      <c r="H8524" s="24"/>
      <c r="I8524" s="24"/>
      <c r="L8524"/>
    </row>
    <row r="8525" spans="1:12" x14ac:dyDescent="0.25">
      <c r="A8525" s="16"/>
      <c r="D8525" s="16"/>
      <c r="F8525" s="16"/>
      <c r="G8525" s="16"/>
      <c r="H8525" s="24"/>
      <c r="I8525" s="24"/>
      <c r="L8525"/>
    </row>
    <row r="8526" spans="1:12" x14ac:dyDescent="0.25">
      <c r="A8526" s="16"/>
      <c r="D8526" s="16"/>
      <c r="F8526" s="16"/>
      <c r="G8526" s="16"/>
      <c r="H8526" s="24"/>
      <c r="I8526" s="24"/>
      <c r="L8526"/>
    </row>
    <row r="8527" spans="1:12" x14ac:dyDescent="0.25">
      <c r="A8527" s="16"/>
      <c r="D8527" s="16"/>
      <c r="F8527" s="16"/>
      <c r="G8527" s="16"/>
      <c r="H8527" s="24"/>
      <c r="I8527" s="24"/>
      <c r="L8527"/>
    </row>
    <row r="8528" spans="1:12" x14ac:dyDescent="0.25">
      <c r="A8528" s="16"/>
      <c r="D8528" s="16"/>
      <c r="F8528" s="16"/>
      <c r="G8528" s="16"/>
      <c r="H8528" s="24"/>
      <c r="I8528" s="24"/>
      <c r="L8528"/>
    </row>
    <row r="8529" spans="1:12" x14ac:dyDescent="0.25">
      <c r="A8529" s="16"/>
      <c r="D8529" s="16"/>
      <c r="F8529" s="16"/>
      <c r="G8529" s="16"/>
      <c r="H8529" s="24"/>
      <c r="I8529" s="24"/>
      <c r="L8529"/>
    </row>
    <row r="8530" spans="1:12" x14ac:dyDescent="0.25">
      <c r="A8530" s="16"/>
      <c r="D8530" s="16"/>
      <c r="F8530" s="16"/>
      <c r="G8530" s="16"/>
      <c r="H8530" s="24"/>
      <c r="I8530" s="24"/>
      <c r="L8530"/>
    </row>
    <row r="8531" spans="1:12" x14ac:dyDescent="0.25">
      <c r="A8531" s="16"/>
      <c r="D8531" s="16"/>
      <c r="F8531" s="16"/>
      <c r="G8531" s="16"/>
      <c r="H8531" s="24"/>
      <c r="I8531" s="24"/>
      <c r="L8531"/>
    </row>
    <row r="8532" spans="1:12" x14ac:dyDescent="0.25">
      <c r="A8532" s="16"/>
      <c r="D8532" s="16"/>
      <c r="F8532" s="16"/>
      <c r="G8532" s="16"/>
      <c r="H8532" s="24"/>
      <c r="I8532" s="24"/>
      <c r="L8532"/>
    </row>
    <row r="8533" spans="1:12" x14ac:dyDescent="0.25">
      <c r="A8533" s="16"/>
      <c r="D8533" s="16"/>
      <c r="F8533" s="16"/>
      <c r="G8533" s="16"/>
      <c r="H8533" s="24"/>
      <c r="I8533" s="24"/>
      <c r="L8533"/>
    </row>
    <row r="8534" spans="1:12" x14ac:dyDescent="0.25">
      <c r="A8534" s="16"/>
      <c r="D8534" s="16"/>
      <c r="F8534" s="16"/>
      <c r="G8534" s="16"/>
      <c r="H8534" s="24"/>
      <c r="I8534" s="24"/>
      <c r="L8534"/>
    </row>
    <row r="8535" spans="1:12" x14ac:dyDescent="0.25">
      <c r="A8535" s="16"/>
      <c r="D8535" s="16"/>
      <c r="F8535" s="16"/>
      <c r="G8535" s="16"/>
      <c r="H8535" s="24"/>
      <c r="I8535" s="24"/>
      <c r="L8535"/>
    </row>
    <row r="8536" spans="1:12" x14ac:dyDescent="0.25">
      <c r="A8536" s="16"/>
      <c r="D8536" s="16"/>
      <c r="F8536" s="16"/>
      <c r="G8536" s="16"/>
      <c r="H8536" s="24"/>
      <c r="I8536" s="24"/>
      <c r="L8536"/>
    </row>
    <row r="8537" spans="1:12" x14ac:dyDescent="0.25">
      <c r="A8537" s="16"/>
      <c r="D8537" s="16"/>
      <c r="F8537" s="16"/>
      <c r="G8537" s="16"/>
      <c r="H8537" s="24"/>
      <c r="I8537" s="24"/>
      <c r="L8537"/>
    </row>
    <row r="8538" spans="1:12" x14ac:dyDescent="0.25">
      <c r="A8538" s="16"/>
      <c r="D8538" s="16"/>
      <c r="F8538" s="16"/>
      <c r="G8538" s="16"/>
      <c r="H8538" s="24"/>
      <c r="I8538" s="24"/>
      <c r="L8538"/>
    </row>
    <row r="8539" spans="1:12" x14ac:dyDescent="0.25">
      <c r="A8539" s="16"/>
      <c r="D8539" s="16"/>
      <c r="F8539" s="16"/>
      <c r="G8539" s="16"/>
      <c r="H8539" s="24"/>
      <c r="I8539" s="24"/>
      <c r="L8539"/>
    </row>
    <row r="8540" spans="1:12" x14ac:dyDescent="0.25">
      <c r="A8540" s="16"/>
      <c r="D8540" s="16"/>
      <c r="F8540" s="16"/>
      <c r="G8540" s="16"/>
      <c r="H8540" s="24"/>
      <c r="I8540" s="24"/>
      <c r="L8540"/>
    </row>
    <row r="8541" spans="1:12" x14ac:dyDescent="0.25">
      <c r="A8541" s="16"/>
      <c r="D8541" s="16"/>
      <c r="F8541" s="16"/>
      <c r="G8541" s="16"/>
      <c r="H8541" s="24"/>
      <c r="I8541" s="24"/>
      <c r="L8541"/>
    </row>
    <row r="8542" spans="1:12" x14ac:dyDescent="0.25">
      <c r="A8542" s="16"/>
      <c r="D8542" s="16"/>
      <c r="F8542" s="16"/>
      <c r="G8542" s="16"/>
      <c r="H8542" s="24"/>
      <c r="I8542" s="24"/>
      <c r="L8542"/>
    </row>
    <row r="8543" spans="1:12" x14ac:dyDescent="0.25">
      <c r="A8543" s="16"/>
      <c r="D8543" s="16"/>
      <c r="F8543" s="16"/>
      <c r="G8543" s="16"/>
      <c r="H8543" s="24"/>
      <c r="I8543" s="24"/>
      <c r="L8543"/>
    </row>
    <row r="8544" spans="1:12" x14ac:dyDescent="0.25">
      <c r="A8544" s="16"/>
      <c r="D8544" s="16"/>
      <c r="F8544" s="16"/>
      <c r="G8544" s="16"/>
      <c r="H8544" s="24"/>
      <c r="I8544" s="24"/>
      <c r="L8544"/>
    </row>
    <row r="8545" spans="1:12" x14ac:dyDescent="0.25">
      <c r="A8545" s="16"/>
      <c r="D8545" s="16"/>
      <c r="F8545" s="16"/>
      <c r="G8545" s="16"/>
      <c r="H8545" s="24"/>
      <c r="I8545" s="24"/>
      <c r="L8545"/>
    </row>
    <row r="8546" spans="1:12" x14ac:dyDescent="0.25">
      <c r="A8546" s="16"/>
      <c r="D8546" s="16"/>
      <c r="F8546" s="16"/>
      <c r="G8546" s="16"/>
      <c r="H8546" s="24"/>
      <c r="I8546" s="24"/>
      <c r="L8546"/>
    </row>
    <row r="8547" spans="1:12" x14ac:dyDescent="0.25">
      <c r="A8547" s="16"/>
      <c r="D8547" s="16"/>
      <c r="F8547" s="16"/>
      <c r="G8547" s="16"/>
      <c r="H8547" s="24"/>
      <c r="I8547" s="24"/>
      <c r="L8547"/>
    </row>
    <row r="8548" spans="1:12" x14ac:dyDescent="0.25">
      <c r="A8548" s="16"/>
      <c r="D8548" s="16"/>
      <c r="F8548" s="16"/>
      <c r="G8548" s="16"/>
      <c r="H8548" s="24"/>
      <c r="I8548" s="24"/>
      <c r="L8548"/>
    </row>
    <row r="8549" spans="1:12" x14ac:dyDescent="0.25">
      <c r="A8549" s="16"/>
      <c r="D8549" s="16"/>
      <c r="F8549" s="16"/>
      <c r="G8549" s="16"/>
      <c r="H8549" s="24"/>
      <c r="I8549" s="24"/>
      <c r="L8549"/>
    </row>
    <row r="8550" spans="1:12" x14ac:dyDescent="0.25">
      <c r="A8550" s="16"/>
      <c r="D8550" s="16"/>
      <c r="F8550" s="16"/>
      <c r="G8550" s="16"/>
      <c r="H8550" s="24"/>
      <c r="I8550" s="24"/>
      <c r="L8550"/>
    </row>
    <row r="8551" spans="1:12" x14ac:dyDescent="0.25">
      <c r="A8551" s="16"/>
      <c r="D8551" s="16"/>
      <c r="F8551" s="16"/>
      <c r="G8551" s="16"/>
      <c r="H8551" s="24"/>
      <c r="I8551" s="24"/>
      <c r="L8551"/>
    </row>
    <row r="8552" spans="1:12" x14ac:dyDescent="0.25">
      <c r="A8552" s="16"/>
      <c r="D8552" s="16"/>
      <c r="F8552" s="16"/>
      <c r="G8552" s="16"/>
      <c r="H8552" s="24"/>
      <c r="I8552" s="24"/>
      <c r="L8552"/>
    </row>
    <row r="8553" spans="1:12" x14ac:dyDescent="0.25">
      <c r="A8553" s="16"/>
      <c r="D8553" s="16"/>
      <c r="F8553" s="16"/>
      <c r="G8553" s="16"/>
      <c r="H8553" s="24"/>
      <c r="I8553" s="24"/>
      <c r="L8553"/>
    </row>
    <row r="8554" spans="1:12" x14ac:dyDescent="0.25">
      <c r="A8554" s="16"/>
      <c r="D8554" s="16"/>
      <c r="F8554" s="16"/>
      <c r="G8554" s="16"/>
      <c r="H8554" s="24"/>
      <c r="I8554" s="24"/>
      <c r="L8554"/>
    </row>
    <row r="8555" spans="1:12" x14ac:dyDescent="0.25">
      <c r="A8555" s="16"/>
      <c r="D8555" s="16"/>
      <c r="F8555" s="16"/>
      <c r="G8555" s="16"/>
      <c r="H8555" s="24"/>
      <c r="I8555" s="24"/>
      <c r="L8555"/>
    </row>
    <row r="8556" spans="1:12" x14ac:dyDescent="0.25">
      <c r="A8556" s="16"/>
      <c r="D8556" s="16"/>
      <c r="F8556" s="16"/>
      <c r="G8556" s="16"/>
      <c r="H8556" s="24"/>
      <c r="I8556" s="24"/>
      <c r="L8556"/>
    </row>
    <row r="8557" spans="1:12" x14ac:dyDescent="0.25">
      <c r="A8557" s="16"/>
      <c r="D8557" s="16"/>
      <c r="F8557" s="16"/>
      <c r="G8557" s="16"/>
      <c r="H8557" s="24"/>
      <c r="I8557" s="24"/>
      <c r="L8557"/>
    </row>
    <row r="8558" spans="1:12" x14ac:dyDescent="0.25">
      <c r="A8558" s="16"/>
      <c r="D8558" s="16"/>
      <c r="F8558" s="16"/>
      <c r="G8558" s="16"/>
      <c r="H8558" s="24"/>
      <c r="I8558" s="24"/>
      <c r="L8558"/>
    </row>
    <row r="8559" spans="1:12" x14ac:dyDescent="0.25">
      <c r="A8559" s="16"/>
      <c r="D8559" s="16"/>
      <c r="F8559" s="16"/>
      <c r="G8559" s="16"/>
      <c r="H8559" s="24"/>
      <c r="I8559" s="24"/>
      <c r="L8559"/>
    </row>
    <row r="8560" spans="1:12" x14ac:dyDescent="0.25">
      <c r="A8560" s="16"/>
      <c r="D8560" s="16"/>
      <c r="F8560" s="16"/>
      <c r="G8560" s="16"/>
      <c r="H8560" s="24"/>
      <c r="I8560" s="24"/>
      <c r="L8560"/>
    </row>
    <row r="8561" spans="1:12" x14ac:dyDescent="0.25">
      <c r="A8561" s="16"/>
      <c r="D8561" s="16"/>
      <c r="F8561" s="16"/>
      <c r="G8561" s="16"/>
      <c r="H8561" s="24"/>
      <c r="I8561" s="24"/>
      <c r="L8561"/>
    </row>
    <row r="8562" spans="1:12" x14ac:dyDescent="0.25">
      <c r="A8562" s="16"/>
      <c r="D8562" s="16"/>
      <c r="F8562" s="16"/>
      <c r="G8562" s="16"/>
      <c r="H8562" s="24"/>
      <c r="I8562" s="24"/>
      <c r="L8562"/>
    </row>
    <row r="8563" spans="1:12" x14ac:dyDescent="0.25">
      <c r="A8563" s="16"/>
      <c r="D8563" s="16"/>
      <c r="F8563" s="16"/>
      <c r="G8563" s="16"/>
      <c r="H8563" s="24"/>
      <c r="I8563" s="24"/>
      <c r="L8563"/>
    </row>
    <row r="8564" spans="1:12" x14ac:dyDescent="0.25">
      <c r="A8564" s="16"/>
      <c r="D8564" s="16"/>
      <c r="F8564" s="16"/>
      <c r="G8564" s="16"/>
      <c r="H8564" s="24"/>
      <c r="I8564" s="24"/>
      <c r="L8564"/>
    </row>
    <row r="8565" spans="1:12" x14ac:dyDescent="0.25">
      <c r="A8565" s="16"/>
      <c r="D8565" s="16"/>
      <c r="F8565" s="16"/>
      <c r="G8565" s="16"/>
      <c r="H8565" s="24"/>
      <c r="I8565" s="24"/>
      <c r="L8565"/>
    </row>
    <row r="8566" spans="1:12" x14ac:dyDescent="0.25">
      <c r="A8566" s="16"/>
      <c r="D8566" s="16"/>
      <c r="F8566" s="16"/>
      <c r="G8566" s="16"/>
      <c r="H8566" s="24"/>
      <c r="I8566" s="24"/>
      <c r="L8566"/>
    </row>
    <row r="8567" spans="1:12" x14ac:dyDescent="0.25">
      <c r="A8567" s="16"/>
      <c r="D8567" s="16"/>
      <c r="F8567" s="16"/>
      <c r="G8567" s="16"/>
      <c r="H8567" s="24"/>
      <c r="I8567" s="24"/>
      <c r="L8567"/>
    </row>
    <row r="8568" spans="1:12" x14ac:dyDescent="0.25">
      <c r="A8568" s="16"/>
      <c r="D8568" s="16"/>
      <c r="F8568" s="16"/>
      <c r="G8568" s="16"/>
      <c r="H8568" s="24"/>
      <c r="I8568" s="24"/>
      <c r="L8568"/>
    </row>
    <row r="8569" spans="1:12" x14ac:dyDescent="0.25">
      <c r="A8569" s="16"/>
      <c r="D8569" s="16"/>
      <c r="F8569" s="16"/>
      <c r="G8569" s="16"/>
      <c r="H8569" s="24"/>
      <c r="I8569" s="24"/>
      <c r="L8569"/>
    </row>
    <row r="8570" spans="1:12" x14ac:dyDescent="0.25">
      <c r="A8570" s="16"/>
      <c r="D8570" s="16"/>
      <c r="F8570" s="16"/>
      <c r="G8570" s="16"/>
      <c r="H8570" s="24"/>
      <c r="I8570" s="24"/>
      <c r="L8570"/>
    </row>
    <row r="8571" spans="1:12" x14ac:dyDescent="0.25">
      <c r="A8571" s="16"/>
      <c r="D8571" s="16"/>
      <c r="F8571" s="16"/>
      <c r="G8571" s="16"/>
      <c r="H8571" s="24"/>
      <c r="I8571" s="24"/>
      <c r="L8571"/>
    </row>
    <row r="8572" spans="1:12" x14ac:dyDescent="0.25">
      <c r="A8572" s="16"/>
      <c r="D8572" s="16"/>
      <c r="F8572" s="16"/>
      <c r="G8572" s="16"/>
      <c r="H8572" s="24"/>
      <c r="I8572" s="24"/>
      <c r="L8572"/>
    </row>
    <row r="8573" spans="1:12" x14ac:dyDescent="0.25">
      <c r="A8573" s="16"/>
      <c r="D8573" s="16"/>
      <c r="F8573" s="16"/>
      <c r="G8573" s="16"/>
      <c r="H8573" s="24"/>
      <c r="I8573" s="24"/>
      <c r="L8573"/>
    </row>
    <row r="8574" spans="1:12" x14ac:dyDescent="0.25">
      <c r="A8574" s="16"/>
      <c r="D8574" s="16"/>
      <c r="F8574" s="16"/>
      <c r="G8574" s="16"/>
      <c r="H8574" s="24"/>
      <c r="I8574" s="24"/>
      <c r="L8574"/>
    </row>
    <row r="8575" spans="1:12" x14ac:dyDescent="0.25">
      <c r="A8575" s="16"/>
      <c r="D8575" s="16"/>
      <c r="F8575" s="16"/>
      <c r="G8575" s="16"/>
      <c r="H8575" s="24"/>
      <c r="I8575" s="24"/>
      <c r="L8575"/>
    </row>
    <row r="8576" spans="1:12" x14ac:dyDescent="0.25">
      <c r="A8576" s="16"/>
      <c r="D8576" s="16"/>
      <c r="F8576" s="16"/>
      <c r="G8576" s="16"/>
      <c r="H8576" s="24"/>
      <c r="I8576" s="24"/>
      <c r="L8576"/>
    </row>
    <row r="8577" spans="1:12" x14ac:dyDescent="0.25">
      <c r="A8577" s="16"/>
      <c r="D8577" s="16"/>
      <c r="F8577" s="16"/>
      <c r="G8577" s="16"/>
      <c r="H8577" s="24"/>
      <c r="I8577" s="24"/>
      <c r="L8577"/>
    </row>
    <row r="8578" spans="1:12" x14ac:dyDescent="0.25">
      <c r="A8578" s="16"/>
      <c r="D8578" s="16"/>
      <c r="F8578" s="16"/>
      <c r="G8578" s="16"/>
      <c r="H8578" s="24"/>
      <c r="I8578" s="24"/>
      <c r="L8578"/>
    </row>
    <row r="8579" spans="1:12" x14ac:dyDescent="0.25">
      <c r="A8579" s="16"/>
      <c r="D8579" s="16"/>
      <c r="F8579" s="16"/>
      <c r="G8579" s="16"/>
      <c r="H8579" s="24"/>
      <c r="I8579" s="24"/>
      <c r="L8579"/>
    </row>
    <row r="8580" spans="1:12" x14ac:dyDescent="0.25">
      <c r="A8580" s="16"/>
      <c r="D8580" s="16"/>
      <c r="F8580" s="16"/>
      <c r="G8580" s="16"/>
      <c r="H8580" s="24"/>
      <c r="I8580" s="24"/>
      <c r="L8580"/>
    </row>
    <row r="8581" spans="1:12" x14ac:dyDescent="0.25">
      <c r="A8581" s="16"/>
      <c r="D8581" s="16"/>
      <c r="F8581" s="16"/>
      <c r="G8581" s="16"/>
      <c r="H8581" s="24"/>
      <c r="I8581" s="24"/>
      <c r="L8581"/>
    </row>
    <row r="8582" spans="1:12" x14ac:dyDescent="0.25">
      <c r="A8582" s="16"/>
      <c r="D8582" s="16"/>
      <c r="F8582" s="16"/>
      <c r="G8582" s="16"/>
      <c r="H8582" s="24"/>
      <c r="I8582" s="24"/>
      <c r="L8582"/>
    </row>
    <row r="8583" spans="1:12" x14ac:dyDescent="0.25">
      <c r="A8583" s="16"/>
      <c r="D8583" s="16"/>
      <c r="F8583" s="16"/>
      <c r="G8583" s="16"/>
      <c r="H8583" s="24"/>
      <c r="I8583" s="24"/>
      <c r="L8583"/>
    </row>
    <row r="8584" spans="1:12" x14ac:dyDescent="0.25">
      <c r="A8584" s="16"/>
      <c r="D8584" s="16"/>
      <c r="F8584" s="16"/>
      <c r="G8584" s="16"/>
      <c r="H8584" s="24"/>
      <c r="I8584" s="24"/>
      <c r="L8584"/>
    </row>
    <row r="8585" spans="1:12" x14ac:dyDescent="0.25">
      <c r="A8585" s="16"/>
      <c r="D8585" s="16"/>
      <c r="F8585" s="16"/>
      <c r="G8585" s="16"/>
      <c r="H8585" s="24"/>
      <c r="I8585" s="24"/>
      <c r="L8585"/>
    </row>
    <row r="8586" spans="1:12" x14ac:dyDescent="0.25">
      <c r="A8586" s="16"/>
      <c r="D8586" s="16"/>
      <c r="F8586" s="16"/>
      <c r="G8586" s="16"/>
      <c r="H8586" s="24"/>
      <c r="I8586" s="24"/>
      <c r="L8586"/>
    </row>
    <row r="8587" spans="1:12" x14ac:dyDescent="0.25">
      <c r="A8587" s="16"/>
      <c r="D8587" s="16"/>
      <c r="F8587" s="16"/>
      <c r="G8587" s="16"/>
      <c r="H8587" s="24"/>
      <c r="I8587" s="24"/>
      <c r="L8587"/>
    </row>
    <row r="8588" spans="1:12" x14ac:dyDescent="0.25">
      <c r="A8588" s="16"/>
      <c r="D8588" s="16"/>
      <c r="F8588" s="16"/>
      <c r="G8588" s="16"/>
      <c r="H8588" s="24"/>
      <c r="I8588" s="24"/>
      <c r="L8588"/>
    </row>
    <row r="8589" spans="1:12" x14ac:dyDescent="0.25">
      <c r="A8589" s="16"/>
      <c r="D8589" s="16"/>
      <c r="F8589" s="16"/>
      <c r="G8589" s="16"/>
      <c r="H8589" s="24"/>
      <c r="I8589" s="24"/>
      <c r="L8589"/>
    </row>
    <row r="8590" spans="1:12" x14ac:dyDescent="0.25">
      <c r="A8590" s="16"/>
      <c r="D8590" s="16"/>
      <c r="F8590" s="16"/>
      <c r="G8590" s="16"/>
      <c r="H8590" s="24"/>
      <c r="I8590" s="24"/>
      <c r="L8590"/>
    </row>
    <row r="8591" spans="1:12" x14ac:dyDescent="0.25">
      <c r="A8591" s="16"/>
      <c r="D8591" s="16"/>
      <c r="F8591" s="16"/>
      <c r="G8591" s="16"/>
      <c r="H8591" s="24"/>
      <c r="I8591" s="24"/>
      <c r="L8591"/>
    </row>
    <row r="8592" spans="1:12" x14ac:dyDescent="0.25">
      <c r="A8592" s="16"/>
      <c r="D8592" s="16"/>
      <c r="F8592" s="16"/>
      <c r="G8592" s="16"/>
      <c r="H8592" s="24"/>
      <c r="I8592" s="24"/>
      <c r="L8592"/>
    </row>
    <row r="8593" spans="1:12" x14ac:dyDescent="0.25">
      <c r="A8593" s="16"/>
      <c r="D8593" s="16"/>
      <c r="F8593" s="16"/>
      <c r="G8593" s="16"/>
      <c r="H8593" s="24"/>
      <c r="I8593" s="24"/>
      <c r="L8593"/>
    </row>
    <row r="8594" spans="1:12" x14ac:dyDescent="0.25">
      <c r="A8594" s="16"/>
      <c r="D8594" s="16"/>
      <c r="F8594" s="16"/>
      <c r="G8594" s="16"/>
      <c r="H8594" s="24"/>
      <c r="I8594" s="24"/>
      <c r="L8594"/>
    </row>
    <row r="8595" spans="1:12" x14ac:dyDescent="0.25">
      <c r="A8595" s="16"/>
      <c r="D8595" s="16"/>
      <c r="F8595" s="16"/>
      <c r="G8595" s="16"/>
      <c r="H8595" s="24"/>
      <c r="I8595" s="24"/>
      <c r="L8595"/>
    </row>
    <row r="8596" spans="1:12" x14ac:dyDescent="0.25">
      <c r="A8596" s="16"/>
      <c r="D8596" s="16"/>
      <c r="F8596" s="16"/>
      <c r="G8596" s="16"/>
      <c r="H8596" s="24"/>
      <c r="I8596" s="24"/>
      <c r="L8596"/>
    </row>
    <row r="8597" spans="1:12" x14ac:dyDescent="0.25">
      <c r="A8597" s="16"/>
      <c r="D8597" s="16"/>
      <c r="F8597" s="16"/>
      <c r="G8597" s="16"/>
      <c r="H8597" s="24"/>
      <c r="I8597" s="24"/>
      <c r="L8597"/>
    </row>
    <row r="8598" spans="1:12" x14ac:dyDescent="0.25">
      <c r="A8598" s="16"/>
      <c r="D8598" s="16"/>
      <c r="F8598" s="16"/>
      <c r="G8598" s="16"/>
      <c r="H8598" s="24"/>
      <c r="I8598" s="24"/>
      <c r="L8598"/>
    </row>
    <row r="8599" spans="1:12" x14ac:dyDescent="0.25">
      <c r="A8599" s="16"/>
      <c r="D8599" s="16"/>
      <c r="F8599" s="16"/>
      <c r="G8599" s="16"/>
      <c r="H8599" s="24"/>
      <c r="I8599" s="24"/>
      <c r="L8599"/>
    </row>
    <row r="8600" spans="1:12" x14ac:dyDescent="0.25">
      <c r="A8600" s="16"/>
      <c r="D8600" s="16"/>
      <c r="F8600" s="16"/>
      <c r="G8600" s="16"/>
      <c r="H8600" s="24"/>
      <c r="I8600" s="24"/>
      <c r="L8600"/>
    </row>
    <row r="8601" spans="1:12" x14ac:dyDescent="0.25">
      <c r="A8601" s="16"/>
      <c r="D8601" s="16"/>
      <c r="F8601" s="16"/>
      <c r="G8601" s="16"/>
      <c r="H8601" s="24"/>
      <c r="I8601" s="24"/>
      <c r="L8601"/>
    </row>
    <row r="8602" spans="1:12" x14ac:dyDescent="0.25">
      <c r="A8602" s="16"/>
      <c r="D8602" s="16"/>
      <c r="F8602" s="16"/>
      <c r="G8602" s="16"/>
      <c r="H8602" s="24"/>
      <c r="I8602" s="24"/>
      <c r="L8602"/>
    </row>
    <row r="8603" spans="1:12" x14ac:dyDescent="0.25">
      <c r="A8603" s="16"/>
      <c r="D8603" s="16"/>
      <c r="F8603" s="16"/>
      <c r="G8603" s="16"/>
      <c r="H8603" s="24"/>
      <c r="I8603" s="24"/>
      <c r="L8603"/>
    </row>
    <row r="8604" spans="1:12" x14ac:dyDescent="0.25">
      <c r="A8604" s="16"/>
      <c r="D8604" s="16"/>
      <c r="F8604" s="16"/>
      <c r="G8604" s="16"/>
      <c r="H8604" s="24"/>
      <c r="I8604" s="24"/>
      <c r="L8604"/>
    </row>
    <row r="8605" spans="1:12" x14ac:dyDescent="0.25">
      <c r="A8605" s="16"/>
      <c r="D8605" s="16"/>
      <c r="F8605" s="16"/>
      <c r="G8605" s="16"/>
      <c r="H8605" s="24"/>
      <c r="I8605" s="24"/>
      <c r="L8605"/>
    </row>
    <row r="8606" spans="1:12" x14ac:dyDescent="0.25">
      <c r="A8606" s="16"/>
      <c r="D8606" s="16"/>
      <c r="F8606" s="16"/>
      <c r="G8606" s="16"/>
      <c r="H8606" s="24"/>
      <c r="I8606" s="24"/>
      <c r="L8606"/>
    </row>
    <row r="8607" spans="1:12" x14ac:dyDescent="0.25">
      <c r="A8607" s="16"/>
      <c r="D8607" s="16"/>
      <c r="F8607" s="16"/>
      <c r="G8607" s="16"/>
      <c r="H8607" s="24"/>
      <c r="I8607" s="24"/>
      <c r="L8607"/>
    </row>
    <row r="8608" spans="1:12" x14ac:dyDescent="0.25">
      <c r="A8608" s="16"/>
      <c r="D8608" s="16"/>
      <c r="F8608" s="16"/>
      <c r="G8608" s="16"/>
      <c r="H8608" s="24"/>
      <c r="I8608" s="24"/>
      <c r="L8608"/>
    </row>
    <row r="8609" spans="1:12" x14ac:dyDescent="0.25">
      <c r="A8609" s="16"/>
      <c r="D8609" s="16"/>
      <c r="F8609" s="16"/>
      <c r="G8609" s="16"/>
      <c r="H8609" s="24"/>
      <c r="I8609" s="24"/>
      <c r="L8609"/>
    </row>
    <row r="8610" spans="1:12" x14ac:dyDescent="0.25">
      <c r="A8610" s="16"/>
      <c r="D8610" s="16"/>
      <c r="F8610" s="16"/>
      <c r="G8610" s="16"/>
      <c r="H8610" s="24"/>
      <c r="I8610" s="24"/>
      <c r="L8610"/>
    </row>
    <row r="8611" spans="1:12" x14ac:dyDescent="0.25">
      <c r="A8611" s="16"/>
      <c r="D8611" s="16"/>
      <c r="F8611" s="16"/>
      <c r="G8611" s="16"/>
      <c r="H8611" s="24"/>
      <c r="I8611" s="24"/>
      <c r="L8611"/>
    </row>
    <row r="8612" spans="1:12" x14ac:dyDescent="0.25">
      <c r="A8612" s="16"/>
      <c r="D8612" s="16"/>
      <c r="F8612" s="16"/>
      <c r="G8612" s="16"/>
      <c r="H8612" s="24"/>
      <c r="I8612" s="24"/>
      <c r="L8612"/>
    </row>
    <row r="8613" spans="1:12" x14ac:dyDescent="0.25">
      <c r="A8613" s="16"/>
      <c r="D8613" s="16"/>
      <c r="F8613" s="16"/>
      <c r="G8613" s="16"/>
      <c r="H8613" s="24"/>
      <c r="I8613" s="24"/>
      <c r="L8613"/>
    </row>
    <row r="8614" spans="1:12" x14ac:dyDescent="0.25">
      <c r="A8614" s="16"/>
      <c r="D8614" s="16"/>
      <c r="F8614" s="16"/>
      <c r="G8614" s="16"/>
      <c r="H8614" s="24"/>
      <c r="I8614" s="24"/>
      <c r="L8614"/>
    </row>
    <row r="8615" spans="1:12" x14ac:dyDescent="0.25">
      <c r="A8615" s="16"/>
      <c r="D8615" s="16"/>
      <c r="F8615" s="16"/>
      <c r="G8615" s="16"/>
      <c r="H8615" s="24"/>
      <c r="I8615" s="24"/>
      <c r="L8615"/>
    </row>
    <row r="8616" spans="1:12" x14ac:dyDescent="0.25">
      <c r="A8616" s="16"/>
      <c r="D8616" s="16"/>
      <c r="F8616" s="16"/>
      <c r="G8616" s="16"/>
      <c r="H8616" s="24"/>
      <c r="I8616" s="24"/>
      <c r="L8616"/>
    </row>
    <row r="8617" spans="1:12" x14ac:dyDescent="0.25">
      <c r="A8617" s="16"/>
      <c r="D8617" s="16"/>
      <c r="F8617" s="16"/>
      <c r="G8617" s="16"/>
      <c r="H8617" s="24"/>
      <c r="I8617" s="24"/>
      <c r="L8617"/>
    </row>
    <row r="8618" spans="1:12" x14ac:dyDescent="0.25">
      <c r="A8618" s="16"/>
      <c r="D8618" s="16"/>
      <c r="F8618" s="16"/>
      <c r="G8618" s="16"/>
      <c r="H8618" s="24"/>
      <c r="I8618" s="24"/>
      <c r="L8618"/>
    </row>
    <row r="8619" spans="1:12" x14ac:dyDescent="0.25">
      <c r="A8619" s="16"/>
      <c r="D8619" s="16"/>
      <c r="F8619" s="16"/>
      <c r="G8619" s="16"/>
      <c r="H8619" s="24"/>
      <c r="I8619" s="24"/>
      <c r="L8619"/>
    </row>
    <row r="8620" spans="1:12" x14ac:dyDescent="0.25">
      <c r="A8620" s="16"/>
      <c r="D8620" s="16"/>
      <c r="F8620" s="16"/>
      <c r="G8620" s="16"/>
      <c r="H8620" s="24"/>
      <c r="I8620" s="24"/>
      <c r="L8620"/>
    </row>
    <row r="8621" spans="1:12" x14ac:dyDescent="0.25">
      <c r="A8621" s="16"/>
      <c r="D8621" s="16"/>
      <c r="F8621" s="16"/>
      <c r="G8621" s="16"/>
      <c r="H8621" s="24"/>
      <c r="I8621" s="24"/>
      <c r="L8621"/>
    </row>
    <row r="8622" spans="1:12" x14ac:dyDescent="0.25">
      <c r="A8622" s="16"/>
      <c r="D8622" s="16"/>
      <c r="F8622" s="16"/>
      <c r="G8622" s="16"/>
      <c r="H8622" s="24"/>
      <c r="I8622" s="24"/>
      <c r="L8622"/>
    </row>
    <row r="8623" spans="1:12" x14ac:dyDescent="0.25">
      <c r="A8623" s="16"/>
      <c r="D8623" s="16"/>
      <c r="F8623" s="16"/>
      <c r="G8623" s="16"/>
      <c r="H8623" s="24"/>
      <c r="I8623" s="24"/>
      <c r="L8623"/>
    </row>
    <row r="8624" spans="1:12" x14ac:dyDescent="0.25">
      <c r="A8624" s="16"/>
      <c r="D8624" s="16"/>
      <c r="F8624" s="16"/>
      <c r="G8624" s="16"/>
      <c r="H8624" s="24"/>
      <c r="I8624" s="24"/>
      <c r="L8624"/>
    </row>
    <row r="8625" spans="1:12" x14ac:dyDescent="0.25">
      <c r="A8625" s="16"/>
      <c r="D8625" s="16"/>
      <c r="F8625" s="16"/>
      <c r="G8625" s="16"/>
      <c r="H8625" s="24"/>
      <c r="I8625" s="24"/>
      <c r="L8625"/>
    </row>
    <row r="8626" spans="1:12" x14ac:dyDescent="0.25">
      <c r="A8626" s="16"/>
      <c r="D8626" s="16"/>
      <c r="F8626" s="16"/>
      <c r="G8626" s="16"/>
      <c r="H8626" s="24"/>
      <c r="I8626" s="24"/>
      <c r="L8626"/>
    </row>
    <row r="8627" spans="1:12" x14ac:dyDescent="0.25">
      <c r="A8627" s="16"/>
      <c r="D8627" s="16"/>
      <c r="F8627" s="16"/>
      <c r="G8627" s="16"/>
      <c r="H8627" s="24"/>
      <c r="I8627" s="24"/>
      <c r="L8627"/>
    </row>
    <row r="8628" spans="1:12" x14ac:dyDescent="0.25">
      <c r="A8628" s="16"/>
      <c r="D8628" s="16"/>
      <c r="F8628" s="16"/>
      <c r="G8628" s="16"/>
      <c r="H8628" s="24"/>
      <c r="I8628" s="24"/>
      <c r="L8628"/>
    </row>
    <row r="8629" spans="1:12" x14ac:dyDescent="0.25">
      <c r="A8629" s="16"/>
      <c r="D8629" s="16"/>
      <c r="F8629" s="16"/>
      <c r="G8629" s="16"/>
      <c r="H8629" s="24"/>
      <c r="I8629" s="24"/>
      <c r="L8629"/>
    </row>
    <row r="8630" spans="1:12" x14ac:dyDescent="0.25">
      <c r="A8630" s="16"/>
      <c r="D8630" s="16"/>
      <c r="F8630" s="16"/>
      <c r="G8630" s="16"/>
      <c r="H8630" s="24"/>
      <c r="I8630" s="24"/>
      <c r="L8630"/>
    </row>
    <row r="8631" spans="1:12" x14ac:dyDescent="0.25">
      <c r="A8631" s="16"/>
      <c r="D8631" s="16"/>
      <c r="F8631" s="16"/>
      <c r="G8631" s="16"/>
      <c r="H8631" s="24"/>
      <c r="I8631" s="24"/>
      <c r="L8631"/>
    </row>
    <row r="8632" spans="1:12" x14ac:dyDescent="0.25">
      <c r="A8632" s="16"/>
      <c r="D8632" s="16"/>
      <c r="F8632" s="16"/>
      <c r="G8632" s="16"/>
      <c r="H8632" s="24"/>
      <c r="I8632" s="24"/>
      <c r="L8632"/>
    </row>
    <row r="8633" spans="1:12" x14ac:dyDescent="0.25">
      <c r="A8633" s="16"/>
      <c r="D8633" s="16"/>
      <c r="F8633" s="16"/>
      <c r="G8633" s="16"/>
      <c r="H8633" s="24"/>
      <c r="I8633" s="24"/>
      <c r="L8633"/>
    </row>
    <row r="8634" spans="1:12" x14ac:dyDescent="0.25">
      <c r="A8634" s="16"/>
      <c r="D8634" s="16"/>
      <c r="F8634" s="16"/>
      <c r="G8634" s="16"/>
      <c r="H8634" s="24"/>
      <c r="I8634" s="24"/>
      <c r="L8634"/>
    </row>
    <row r="8635" spans="1:12" x14ac:dyDescent="0.25">
      <c r="A8635" s="16"/>
      <c r="D8635" s="16"/>
      <c r="F8635" s="16"/>
      <c r="G8635" s="16"/>
      <c r="H8635" s="24"/>
      <c r="I8635" s="24"/>
      <c r="L8635"/>
    </row>
    <row r="8636" spans="1:12" x14ac:dyDescent="0.25">
      <c r="A8636" s="16"/>
      <c r="D8636" s="16"/>
      <c r="F8636" s="16"/>
      <c r="G8636" s="16"/>
      <c r="H8636" s="24"/>
      <c r="I8636" s="24"/>
      <c r="L8636"/>
    </row>
    <row r="8637" spans="1:12" x14ac:dyDescent="0.25">
      <c r="A8637" s="16"/>
      <c r="D8637" s="16"/>
      <c r="F8637" s="16"/>
      <c r="G8637" s="16"/>
      <c r="H8637" s="24"/>
      <c r="I8637" s="24"/>
      <c r="L8637"/>
    </row>
    <row r="8638" spans="1:12" x14ac:dyDescent="0.25">
      <c r="A8638" s="16"/>
      <c r="D8638" s="16"/>
      <c r="F8638" s="16"/>
      <c r="G8638" s="16"/>
      <c r="H8638" s="24"/>
      <c r="I8638" s="24"/>
      <c r="L8638"/>
    </row>
    <row r="8639" spans="1:12" x14ac:dyDescent="0.25">
      <c r="A8639" s="16"/>
      <c r="D8639" s="16"/>
      <c r="F8639" s="16"/>
      <c r="G8639" s="16"/>
      <c r="H8639" s="24"/>
      <c r="I8639" s="24"/>
      <c r="L8639"/>
    </row>
    <row r="8640" spans="1:12" x14ac:dyDescent="0.25">
      <c r="A8640" s="16"/>
      <c r="D8640" s="16"/>
      <c r="F8640" s="16"/>
      <c r="G8640" s="16"/>
      <c r="H8640" s="24"/>
      <c r="I8640" s="24"/>
      <c r="L8640"/>
    </row>
    <row r="8641" spans="1:12" x14ac:dyDescent="0.25">
      <c r="A8641" s="16"/>
      <c r="D8641" s="16"/>
      <c r="F8641" s="16"/>
      <c r="G8641" s="16"/>
      <c r="H8641" s="24"/>
      <c r="I8641" s="24"/>
      <c r="L8641"/>
    </row>
    <row r="8642" spans="1:12" x14ac:dyDescent="0.25">
      <c r="A8642" s="16"/>
      <c r="D8642" s="16"/>
      <c r="F8642" s="16"/>
      <c r="G8642" s="16"/>
      <c r="H8642" s="24"/>
      <c r="I8642" s="24"/>
      <c r="L8642"/>
    </row>
    <row r="8643" spans="1:12" x14ac:dyDescent="0.25">
      <c r="A8643" s="16"/>
      <c r="D8643" s="16"/>
      <c r="F8643" s="16"/>
      <c r="G8643" s="16"/>
      <c r="H8643" s="24"/>
      <c r="I8643" s="24"/>
      <c r="L8643"/>
    </row>
    <row r="8644" spans="1:12" x14ac:dyDescent="0.25">
      <c r="A8644" s="16"/>
      <c r="D8644" s="16"/>
      <c r="F8644" s="16"/>
      <c r="G8644" s="16"/>
      <c r="H8644" s="24"/>
      <c r="I8644" s="24"/>
      <c r="L8644"/>
    </row>
    <row r="8645" spans="1:12" x14ac:dyDescent="0.25">
      <c r="A8645" s="16"/>
      <c r="D8645" s="16"/>
      <c r="F8645" s="16"/>
      <c r="G8645" s="16"/>
      <c r="H8645" s="24"/>
      <c r="I8645" s="24"/>
      <c r="L8645"/>
    </row>
    <row r="8646" spans="1:12" x14ac:dyDescent="0.25">
      <c r="A8646" s="16"/>
      <c r="D8646" s="16"/>
      <c r="F8646" s="16"/>
      <c r="G8646" s="16"/>
      <c r="H8646" s="24"/>
      <c r="I8646" s="24"/>
      <c r="L8646"/>
    </row>
    <row r="8647" spans="1:12" x14ac:dyDescent="0.25">
      <c r="A8647" s="16"/>
      <c r="D8647" s="16"/>
      <c r="F8647" s="16"/>
      <c r="G8647" s="16"/>
      <c r="H8647" s="24"/>
      <c r="I8647" s="24"/>
      <c r="L8647"/>
    </row>
    <row r="8648" spans="1:12" x14ac:dyDescent="0.25">
      <c r="A8648" s="16"/>
      <c r="D8648" s="16"/>
      <c r="F8648" s="16"/>
      <c r="G8648" s="16"/>
      <c r="H8648" s="24"/>
      <c r="I8648" s="24"/>
      <c r="L8648"/>
    </row>
    <row r="8649" spans="1:12" x14ac:dyDescent="0.25">
      <c r="A8649" s="16"/>
      <c r="D8649" s="16"/>
      <c r="F8649" s="16"/>
      <c r="G8649" s="16"/>
      <c r="H8649" s="24"/>
      <c r="I8649" s="24"/>
      <c r="L8649"/>
    </row>
    <row r="8650" spans="1:12" x14ac:dyDescent="0.25">
      <c r="A8650" s="16"/>
      <c r="D8650" s="16"/>
      <c r="F8650" s="16"/>
      <c r="G8650" s="16"/>
      <c r="H8650" s="24"/>
      <c r="I8650" s="24"/>
      <c r="L8650"/>
    </row>
    <row r="8651" spans="1:12" x14ac:dyDescent="0.25">
      <c r="A8651" s="16"/>
      <c r="D8651" s="16"/>
      <c r="F8651" s="16"/>
      <c r="G8651" s="16"/>
      <c r="H8651" s="24"/>
      <c r="I8651" s="24"/>
      <c r="L8651"/>
    </row>
    <row r="8652" spans="1:12" x14ac:dyDescent="0.25">
      <c r="A8652" s="16"/>
      <c r="D8652" s="16"/>
      <c r="F8652" s="16"/>
      <c r="G8652" s="16"/>
      <c r="H8652" s="24"/>
      <c r="I8652" s="24"/>
      <c r="L8652"/>
    </row>
    <row r="8653" spans="1:12" x14ac:dyDescent="0.25">
      <c r="A8653" s="16"/>
      <c r="D8653" s="16"/>
      <c r="F8653" s="16"/>
      <c r="G8653" s="16"/>
      <c r="H8653" s="24"/>
      <c r="I8653" s="24"/>
      <c r="L8653"/>
    </row>
    <row r="8654" spans="1:12" x14ac:dyDescent="0.25">
      <c r="A8654" s="16"/>
      <c r="D8654" s="16"/>
      <c r="F8654" s="16"/>
      <c r="G8654" s="16"/>
      <c r="H8654" s="24"/>
      <c r="I8654" s="24"/>
      <c r="L8654"/>
    </row>
    <row r="8655" spans="1:12" x14ac:dyDescent="0.25">
      <c r="A8655" s="16"/>
      <c r="D8655" s="16"/>
      <c r="F8655" s="16"/>
      <c r="G8655" s="16"/>
      <c r="H8655" s="24"/>
      <c r="I8655" s="24"/>
      <c r="L8655"/>
    </row>
    <row r="8656" spans="1:12" x14ac:dyDescent="0.25">
      <c r="A8656" s="16"/>
      <c r="D8656" s="16"/>
      <c r="F8656" s="16"/>
      <c r="G8656" s="16"/>
      <c r="H8656" s="24"/>
      <c r="I8656" s="24"/>
      <c r="L8656"/>
    </row>
    <row r="8657" spans="1:12" x14ac:dyDescent="0.25">
      <c r="A8657" s="16"/>
      <c r="D8657" s="16"/>
      <c r="F8657" s="16"/>
      <c r="G8657" s="16"/>
      <c r="H8657" s="24"/>
      <c r="I8657" s="24"/>
      <c r="L8657"/>
    </row>
    <row r="8658" spans="1:12" x14ac:dyDescent="0.25">
      <c r="A8658" s="16"/>
      <c r="D8658" s="16"/>
      <c r="F8658" s="16"/>
      <c r="G8658" s="16"/>
      <c r="H8658" s="24"/>
      <c r="I8658" s="24"/>
      <c r="L8658"/>
    </row>
    <row r="8659" spans="1:12" x14ac:dyDescent="0.25">
      <c r="A8659" s="16"/>
      <c r="D8659" s="16"/>
      <c r="F8659" s="16"/>
      <c r="G8659" s="16"/>
      <c r="H8659" s="24"/>
      <c r="I8659" s="24"/>
      <c r="L8659"/>
    </row>
    <row r="8660" spans="1:12" x14ac:dyDescent="0.25">
      <c r="A8660" s="16"/>
      <c r="D8660" s="16"/>
      <c r="F8660" s="16"/>
      <c r="G8660" s="16"/>
      <c r="H8660" s="24"/>
      <c r="I8660" s="24"/>
      <c r="L8660"/>
    </row>
    <row r="8661" spans="1:12" x14ac:dyDescent="0.25">
      <c r="A8661" s="16"/>
      <c r="D8661" s="16"/>
      <c r="F8661" s="16"/>
      <c r="G8661" s="16"/>
      <c r="H8661" s="24"/>
      <c r="I8661" s="24"/>
      <c r="L8661"/>
    </row>
    <row r="8662" spans="1:12" x14ac:dyDescent="0.25">
      <c r="A8662" s="16"/>
      <c r="D8662" s="16"/>
      <c r="F8662" s="16"/>
      <c r="G8662" s="16"/>
      <c r="H8662" s="24"/>
      <c r="I8662" s="24"/>
      <c r="L8662"/>
    </row>
    <row r="8663" spans="1:12" x14ac:dyDescent="0.25">
      <c r="A8663" s="16"/>
      <c r="D8663" s="16"/>
      <c r="F8663" s="16"/>
      <c r="G8663" s="16"/>
      <c r="H8663" s="24"/>
      <c r="I8663" s="24"/>
      <c r="L8663"/>
    </row>
    <row r="8664" spans="1:12" x14ac:dyDescent="0.25">
      <c r="A8664" s="16"/>
      <c r="D8664" s="16"/>
      <c r="F8664" s="16"/>
      <c r="G8664" s="16"/>
      <c r="H8664" s="24"/>
      <c r="I8664" s="24"/>
      <c r="L8664"/>
    </row>
    <row r="8665" spans="1:12" x14ac:dyDescent="0.25">
      <c r="A8665" s="16"/>
      <c r="D8665" s="16"/>
      <c r="F8665" s="16"/>
      <c r="G8665" s="16"/>
      <c r="H8665" s="24"/>
      <c r="I8665" s="24"/>
      <c r="L8665"/>
    </row>
    <row r="8666" spans="1:12" x14ac:dyDescent="0.25">
      <c r="A8666" s="16"/>
      <c r="D8666" s="16"/>
      <c r="F8666" s="16"/>
      <c r="G8666" s="16"/>
      <c r="H8666" s="24"/>
      <c r="I8666" s="24"/>
      <c r="L8666"/>
    </row>
    <row r="8667" spans="1:12" x14ac:dyDescent="0.25">
      <c r="A8667" s="16"/>
      <c r="D8667" s="16"/>
      <c r="F8667" s="16"/>
      <c r="G8667" s="16"/>
      <c r="H8667" s="24"/>
      <c r="I8667" s="24"/>
      <c r="L8667"/>
    </row>
    <row r="8668" spans="1:12" x14ac:dyDescent="0.25">
      <c r="A8668" s="16"/>
      <c r="D8668" s="16"/>
      <c r="F8668" s="16"/>
      <c r="G8668" s="16"/>
      <c r="H8668" s="24"/>
      <c r="I8668" s="24"/>
      <c r="L8668"/>
    </row>
    <row r="8669" spans="1:12" x14ac:dyDescent="0.25">
      <c r="A8669" s="16"/>
      <c r="D8669" s="16"/>
      <c r="F8669" s="16"/>
      <c r="G8669" s="16"/>
      <c r="H8669" s="24"/>
      <c r="I8669" s="24"/>
      <c r="L8669"/>
    </row>
    <row r="8670" spans="1:12" x14ac:dyDescent="0.25">
      <c r="A8670" s="16"/>
      <c r="D8670" s="16"/>
      <c r="F8670" s="16"/>
      <c r="G8670" s="16"/>
      <c r="H8670" s="24"/>
      <c r="I8670" s="24"/>
      <c r="L8670"/>
    </row>
    <row r="8671" spans="1:12" x14ac:dyDescent="0.25">
      <c r="A8671" s="16"/>
      <c r="D8671" s="16"/>
      <c r="F8671" s="16"/>
      <c r="G8671" s="16"/>
      <c r="H8671" s="24"/>
      <c r="I8671" s="24"/>
      <c r="L8671"/>
    </row>
    <row r="8672" spans="1:12" x14ac:dyDescent="0.25">
      <c r="A8672" s="16"/>
      <c r="D8672" s="16"/>
      <c r="F8672" s="16"/>
      <c r="G8672" s="16"/>
      <c r="H8672" s="24"/>
      <c r="I8672" s="24"/>
      <c r="L8672"/>
    </row>
    <row r="8673" spans="1:12" x14ac:dyDescent="0.25">
      <c r="A8673" s="16"/>
      <c r="D8673" s="16"/>
      <c r="F8673" s="16"/>
      <c r="G8673" s="16"/>
      <c r="H8673" s="24"/>
      <c r="I8673" s="24"/>
      <c r="L8673"/>
    </row>
    <row r="8674" spans="1:12" x14ac:dyDescent="0.25">
      <c r="A8674" s="16"/>
      <c r="D8674" s="16"/>
      <c r="F8674" s="16"/>
      <c r="G8674" s="16"/>
      <c r="H8674" s="24"/>
      <c r="I8674" s="24"/>
      <c r="L8674"/>
    </row>
    <row r="8675" spans="1:12" x14ac:dyDescent="0.25">
      <c r="A8675" s="16"/>
      <c r="D8675" s="16"/>
      <c r="F8675" s="16"/>
      <c r="G8675" s="16"/>
      <c r="H8675" s="24"/>
      <c r="I8675" s="24"/>
      <c r="L8675"/>
    </row>
    <row r="8676" spans="1:12" x14ac:dyDescent="0.25">
      <c r="A8676" s="16"/>
      <c r="D8676" s="16"/>
      <c r="F8676" s="16"/>
      <c r="G8676" s="16"/>
      <c r="H8676" s="24"/>
      <c r="I8676" s="24"/>
      <c r="L8676"/>
    </row>
    <row r="8677" spans="1:12" x14ac:dyDescent="0.25">
      <c r="A8677" s="16"/>
      <c r="D8677" s="16"/>
      <c r="F8677" s="16"/>
      <c r="G8677" s="16"/>
      <c r="H8677" s="24"/>
      <c r="I8677" s="24"/>
      <c r="L8677"/>
    </row>
    <row r="8678" spans="1:12" x14ac:dyDescent="0.25">
      <c r="A8678" s="16"/>
      <c r="D8678" s="16"/>
      <c r="F8678" s="16"/>
      <c r="G8678" s="16"/>
      <c r="H8678" s="24"/>
      <c r="I8678" s="24"/>
      <c r="L8678"/>
    </row>
    <row r="8679" spans="1:12" x14ac:dyDescent="0.25">
      <c r="A8679" s="16"/>
      <c r="D8679" s="16"/>
      <c r="F8679" s="16"/>
      <c r="G8679" s="16"/>
      <c r="H8679" s="24"/>
      <c r="I8679" s="24"/>
      <c r="L8679"/>
    </row>
    <row r="8680" spans="1:12" x14ac:dyDescent="0.25">
      <c r="A8680" s="16"/>
      <c r="D8680" s="16"/>
      <c r="F8680" s="16"/>
      <c r="G8680" s="16"/>
      <c r="H8680" s="24"/>
      <c r="I8680" s="24"/>
      <c r="L8680"/>
    </row>
    <row r="8681" spans="1:12" x14ac:dyDescent="0.25">
      <c r="A8681" s="16"/>
      <c r="D8681" s="16"/>
      <c r="F8681" s="16"/>
      <c r="G8681" s="16"/>
      <c r="H8681" s="24"/>
      <c r="I8681" s="24"/>
      <c r="L8681"/>
    </row>
    <row r="8682" spans="1:12" x14ac:dyDescent="0.25">
      <c r="A8682" s="16"/>
      <c r="D8682" s="16"/>
      <c r="F8682" s="16"/>
      <c r="G8682" s="16"/>
      <c r="H8682" s="24"/>
      <c r="I8682" s="24"/>
      <c r="L8682"/>
    </row>
    <row r="8683" spans="1:12" x14ac:dyDescent="0.25">
      <c r="A8683" s="16"/>
      <c r="D8683" s="16"/>
      <c r="F8683" s="16"/>
      <c r="G8683" s="16"/>
      <c r="H8683" s="24"/>
      <c r="I8683" s="24"/>
      <c r="L8683"/>
    </row>
    <row r="8684" spans="1:12" x14ac:dyDescent="0.25">
      <c r="A8684" s="16"/>
      <c r="D8684" s="16"/>
      <c r="F8684" s="16"/>
      <c r="G8684" s="16"/>
      <c r="H8684" s="24"/>
      <c r="I8684" s="24"/>
      <c r="L8684"/>
    </row>
    <row r="8685" spans="1:12" x14ac:dyDescent="0.25">
      <c r="A8685" s="16"/>
      <c r="D8685" s="16"/>
      <c r="F8685" s="16"/>
      <c r="G8685" s="16"/>
      <c r="H8685" s="24"/>
      <c r="I8685" s="24"/>
      <c r="L8685"/>
    </row>
    <row r="8686" spans="1:12" x14ac:dyDescent="0.25">
      <c r="A8686" s="16"/>
      <c r="D8686" s="16"/>
      <c r="F8686" s="16"/>
      <c r="G8686" s="16"/>
      <c r="H8686" s="24"/>
      <c r="I8686" s="24"/>
      <c r="L8686"/>
    </row>
    <row r="8687" spans="1:12" x14ac:dyDescent="0.25">
      <c r="A8687" s="16"/>
      <c r="D8687" s="16"/>
      <c r="F8687" s="16"/>
      <c r="G8687" s="16"/>
      <c r="H8687" s="24"/>
      <c r="I8687" s="24"/>
      <c r="L8687"/>
    </row>
    <row r="8688" spans="1:12" x14ac:dyDescent="0.25">
      <c r="A8688" s="16"/>
      <c r="D8688" s="16"/>
      <c r="F8688" s="16"/>
      <c r="G8688" s="16"/>
      <c r="H8688" s="24"/>
      <c r="I8688" s="24"/>
      <c r="L8688"/>
    </row>
    <row r="8689" spans="1:12" x14ac:dyDescent="0.25">
      <c r="A8689" s="16"/>
      <c r="D8689" s="16"/>
      <c r="F8689" s="16"/>
      <c r="G8689" s="16"/>
      <c r="H8689" s="24"/>
      <c r="I8689" s="24"/>
      <c r="L8689"/>
    </row>
    <row r="8690" spans="1:12" x14ac:dyDescent="0.25">
      <c r="A8690" s="16"/>
      <c r="D8690" s="16"/>
      <c r="F8690" s="16"/>
      <c r="G8690" s="16"/>
      <c r="H8690" s="24"/>
      <c r="I8690" s="24"/>
      <c r="L8690"/>
    </row>
    <row r="8691" spans="1:12" x14ac:dyDescent="0.25">
      <c r="A8691" s="16"/>
      <c r="D8691" s="16"/>
      <c r="F8691" s="16"/>
      <c r="G8691" s="16"/>
      <c r="H8691" s="24"/>
      <c r="I8691" s="24"/>
      <c r="L8691"/>
    </row>
    <row r="8692" spans="1:12" x14ac:dyDescent="0.25">
      <c r="A8692" s="16"/>
      <c r="D8692" s="16"/>
      <c r="F8692" s="16"/>
      <c r="G8692" s="16"/>
      <c r="H8692" s="24"/>
      <c r="I8692" s="24"/>
      <c r="L8692"/>
    </row>
    <row r="8693" spans="1:12" x14ac:dyDescent="0.25">
      <c r="A8693" s="16"/>
      <c r="D8693" s="16"/>
      <c r="F8693" s="16"/>
      <c r="G8693" s="16"/>
      <c r="H8693" s="24"/>
      <c r="I8693" s="24"/>
      <c r="L8693"/>
    </row>
    <row r="8694" spans="1:12" x14ac:dyDescent="0.25">
      <c r="A8694" s="16"/>
      <c r="D8694" s="16"/>
      <c r="F8694" s="16"/>
      <c r="G8694" s="16"/>
      <c r="H8694" s="24"/>
      <c r="I8694" s="24"/>
      <c r="L8694"/>
    </row>
    <row r="8695" spans="1:12" x14ac:dyDescent="0.25">
      <c r="A8695" s="16"/>
      <c r="D8695" s="16"/>
      <c r="F8695" s="16"/>
      <c r="G8695" s="16"/>
      <c r="H8695" s="24"/>
      <c r="I8695" s="24"/>
      <c r="L8695"/>
    </row>
    <row r="8696" spans="1:12" x14ac:dyDescent="0.25">
      <c r="A8696" s="16"/>
      <c r="D8696" s="16"/>
      <c r="F8696" s="16"/>
      <c r="G8696" s="16"/>
      <c r="H8696" s="24"/>
      <c r="I8696" s="24"/>
      <c r="L8696"/>
    </row>
    <row r="8697" spans="1:12" x14ac:dyDescent="0.25">
      <c r="A8697" s="16"/>
      <c r="D8697" s="16"/>
      <c r="F8697" s="16"/>
      <c r="G8697" s="16"/>
      <c r="H8697" s="24"/>
      <c r="I8697" s="24"/>
      <c r="L8697"/>
    </row>
    <row r="8698" spans="1:12" x14ac:dyDescent="0.25">
      <c r="A8698" s="16"/>
      <c r="D8698" s="16"/>
      <c r="F8698" s="16"/>
      <c r="G8698" s="16"/>
      <c r="H8698" s="24"/>
      <c r="I8698" s="24"/>
      <c r="L8698"/>
    </row>
    <row r="8699" spans="1:12" x14ac:dyDescent="0.25">
      <c r="A8699" s="16"/>
      <c r="D8699" s="16"/>
      <c r="F8699" s="16"/>
      <c r="G8699" s="16"/>
      <c r="H8699" s="24"/>
      <c r="I8699" s="24"/>
      <c r="L8699"/>
    </row>
    <row r="8700" spans="1:12" x14ac:dyDescent="0.25">
      <c r="A8700" s="16"/>
      <c r="D8700" s="16"/>
      <c r="F8700" s="16"/>
      <c r="G8700" s="16"/>
      <c r="H8700" s="24"/>
      <c r="I8700" s="24"/>
      <c r="L8700"/>
    </row>
    <row r="8701" spans="1:12" x14ac:dyDescent="0.25">
      <c r="A8701" s="16"/>
      <c r="D8701" s="16"/>
      <c r="F8701" s="16"/>
      <c r="G8701" s="16"/>
      <c r="H8701" s="24"/>
      <c r="I8701" s="24"/>
      <c r="L8701"/>
    </row>
    <row r="8702" spans="1:12" x14ac:dyDescent="0.25">
      <c r="A8702" s="16"/>
      <c r="D8702" s="16"/>
      <c r="F8702" s="16"/>
      <c r="G8702" s="16"/>
      <c r="H8702" s="24"/>
      <c r="I8702" s="24"/>
      <c r="L8702"/>
    </row>
    <row r="8703" spans="1:12" x14ac:dyDescent="0.25">
      <c r="A8703" s="16"/>
      <c r="D8703" s="16"/>
      <c r="F8703" s="16"/>
      <c r="G8703" s="16"/>
      <c r="H8703" s="24"/>
      <c r="I8703" s="24"/>
      <c r="L8703"/>
    </row>
    <row r="8704" spans="1:12" x14ac:dyDescent="0.25">
      <c r="A8704" s="16"/>
      <c r="D8704" s="16"/>
      <c r="F8704" s="16"/>
      <c r="G8704" s="16"/>
      <c r="H8704" s="24"/>
      <c r="I8704" s="24"/>
      <c r="L8704"/>
    </row>
    <row r="8705" spans="1:12" x14ac:dyDescent="0.25">
      <c r="A8705" s="16"/>
      <c r="D8705" s="16"/>
      <c r="F8705" s="16"/>
      <c r="G8705" s="16"/>
      <c r="H8705" s="24"/>
      <c r="I8705" s="24"/>
      <c r="L8705"/>
    </row>
    <row r="8706" spans="1:12" x14ac:dyDescent="0.25">
      <c r="A8706" s="16"/>
      <c r="D8706" s="16"/>
      <c r="F8706" s="16"/>
      <c r="G8706" s="16"/>
      <c r="H8706" s="24"/>
      <c r="I8706" s="24"/>
      <c r="L8706"/>
    </row>
    <row r="8707" spans="1:12" x14ac:dyDescent="0.25">
      <c r="A8707" s="16"/>
      <c r="D8707" s="16"/>
      <c r="F8707" s="16"/>
      <c r="G8707" s="16"/>
      <c r="H8707" s="24"/>
      <c r="I8707" s="24"/>
      <c r="L8707"/>
    </row>
    <row r="8708" spans="1:12" x14ac:dyDescent="0.25">
      <c r="A8708" s="16"/>
      <c r="D8708" s="16"/>
      <c r="F8708" s="16"/>
      <c r="G8708" s="16"/>
      <c r="H8708" s="24"/>
      <c r="I8708" s="24"/>
      <c r="L8708"/>
    </row>
    <row r="8709" spans="1:12" x14ac:dyDescent="0.25">
      <c r="A8709" s="16"/>
      <c r="D8709" s="16"/>
      <c r="F8709" s="16"/>
      <c r="G8709" s="16"/>
      <c r="H8709" s="24"/>
      <c r="I8709" s="24"/>
      <c r="L8709"/>
    </row>
    <row r="8710" spans="1:12" x14ac:dyDescent="0.25">
      <c r="A8710" s="16"/>
      <c r="D8710" s="16"/>
      <c r="F8710" s="16"/>
      <c r="G8710" s="16"/>
      <c r="H8710" s="24"/>
      <c r="I8710" s="24"/>
      <c r="L8710"/>
    </row>
    <row r="8711" spans="1:12" x14ac:dyDescent="0.25">
      <c r="A8711" s="16"/>
      <c r="D8711" s="16"/>
      <c r="F8711" s="16"/>
      <c r="G8711" s="16"/>
      <c r="H8711" s="24"/>
      <c r="I8711" s="24"/>
      <c r="L8711"/>
    </row>
    <row r="8712" spans="1:12" x14ac:dyDescent="0.25">
      <c r="A8712" s="16"/>
      <c r="D8712" s="16"/>
      <c r="F8712" s="16"/>
      <c r="G8712" s="16"/>
      <c r="H8712" s="24"/>
      <c r="I8712" s="24"/>
      <c r="L8712"/>
    </row>
    <row r="8713" spans="1:12" x14ac:dyDescent="0.25">
      <c r="A8713" s="16"/>
      <c r="D8713" s="16"/>
      <c r="F8713" s="16"/>
      <c r="G8713" s="16"/>
      <c r="H8713" s="24"/>
      <c r="I8713" s="24"/>
      <c r="L8713"/>
    </row>
    <row r="8714" spans="1:12" x14ac:dyDescent="0.25">
      <c r="A8714" s="16"/>
      <c r="D8714" s="16"/>
      <c r="F8714" s="16"/>
      <c r="G8714" s="16"/>
      <c r="H8714" s="24"/>
      <c r="I8714" s="24"/>
      <c r="L8714"/>
    </row>
    <row r="8715" spans="1:12" x14ac:dyDescent="0.25">
      <c r="A8715" s="16"/>
      <c r="D8715" s="16"/>
      <c r="F8715" s="16"/>
      <c r="G8715" s="16"/>
      <c r="H8715" s="24"/>
      <c r="I8715" s="24"/>
      <c r="L8715"/>
    </row>
    <row r="8716" spans="1:12" x14ac:dyDescent="0.25">
      <c r="A8716" s="16"/>
      <c r="D8716" s="16"/>
      <c r="F8716" s="16"/>
      <c r="G8716" s="16"/>
      <c r="H8716" s="24"/>
      <c r="I8716" s="24"/>
      <c r="L8716"/>
    </row>
    <row r="8717" spans="1:12" x14ac:dyDescent="0.25">
      <c r="A8717" s="16"/>
      <c r="D8717" s="16"/>
      <c r="F8717" s="16"/>
      <c r="G8717" s="16"/>
      <c r="H8717" s="24"/>
      <c r="I8717" s="24"/>
      <c r="L8717"/>
    </row>
    <row r="8718" spans="1:12" x14ac:dyDescent="0.25">
      <c r="A8718" s="16"/>
      <c r="D8718" s="16"/>
      <c r="F8718" s="16"/>
      <c r="G8718" s="16"/>
      <c r="H8718" s="24"/>
      <c r="I8718" s="24"/>
      <c r="L8718"/>
    </row>
    <row r="8719" spans="1:12" x14ac:dyDescent="0.25">
      <c r="A8719" s="16"/>
      <c r="D8719" s="16"/>
      <c r="F8719" s="16"/>
      <c r="G8719" s="16"/>
      <c r="H8719" s="24"/>
      <c r="I8719" s="24"/>
      <c r="L8719"/>
    </row>
    <row r="8720" spans="1:12" x14ac:dyDescent="0.25">
      <c r="A8720" s="16"/>
      <c r="D8720" s="16"/>
      <c r="F8720" s="16"/>
      <c r="G8720" s="16"/>
      <c r="H8720" s="24"/>
      <c r="I8720" s="24"/>
      <c r="L8720"/>
    </row>
    <row r="8721" spans="1:12" x14ac:dyDescent="0.25">
      <c r="A8721" s="16"/>
      <c r="D8721" s="16"/>
      <c r="F8721" s="16"/>
      <c r="G8721" s="16"/>
      <c r="H8721" s="24"/>
      <c r="I8721" s="24"/>
      <c r="L8721"/>
    </row>
    <row r="8722" spans="1:12" x14ac:dyDescent="0.25">
      <c r="A8722" s="16"/>
      <c r="D8722" s="16"/>
      <c r="F8722" s="16"/>
      <c r="G8722" s="16"/>
      <c r="H8722" s="24"/>
      <c r="I8722" s="24"/>
      <c r="L8722"/>
    </row>
    <row r="8723" spans="1:12" x14ac:dyDescent="0.25">
      <c r="A8723" s="16"/>
      <c r="D8723" s="16"/>
      <c r="F8723" s="16"/>
      <c r="G8723" s="16"/>
      <c r="H8723" s="24"/>
      <c r="I8723" s="24"/>
      <c r="L8723"/>
    </row>
    <row r="8724" spans="1:12" x14ac:dyDescent="0.25">
      <c r="A8724" s="16"/>
      <c r="D8724" s="16"/>
      <c r="F8724" s="16"/>
      <c r="G8724" s="16"/>
      <c r="H8724" s="24"/>
      <c r="I8724" s="24"/>
      <c r="L8724"/>
    </row>
    <row r="8725" spans="1:12" x14ac:dyDescent="0.25">
      <c r="A8725" s="16"/>
      <c r="D8725" s="16"/>
      <c r="F8725" s="16"/>
      <c r="G8725" s="16"/>
      <c r="H8725" s="24"/>
      <c r="I8725" s="24"/>
      <c r="L8725"/>
    </row>
    <row r="8726" spans="1:12" x14ac:dyDescent="0.25">
      <c r="A8726" s="16"/>
      <c r="D8726" s="16"/>
      <c r="F8726" s="16"/>
      <c r="G8726" s="16"/>
      <c r="H8726" s="24"/>
      <c r="I8726" s="24"/>
      <c r="L8726"/>
    </row>
    <row r="8727" spans="1:12" x14ac:dyDescent="0.25">
      <c r="A8727" s="16"/>
      <c r="D8727" s="16"/>
      <c r="F8727" s="16"/>
      <c r="G8727" s="16"/>
      <c r="H8727" s="24"/>
      <c r="I8727" s="24"/>
      <c r="L8727"/>
    </row>
    <row r="8728" spans="1:12" x14ac:dyDescent="0.25">
      <c r="A8728" s="16"/>
      <c r="D8728" s="16"/>
      <c r="F8728" s="16"/>
      <c r="G8728" s="16"/>
      <c r="H8728" s="24"/>
      <c r="I8728" s="24"/>
      <c r="L8728"/>
    </row>
    <row r="8729" spans="1:12" x14ac:dyDescent="0.25">
      <c r="A8729" s="16"/>
      <c r="D8729" s="16"/>
      <c r="F8729" s="16"/>
      <c r="G8729" s="16"/>
      <c r="H8729" s="24"/>
      <c r="I8729" s="24"/>
      <c r="L8729"/>
    </row>
    <row r="8730" spans="1:12" x14ac:dyDescent="0.25">
      <c r="A8730" s="16"/>
      <c r="D8730" s="16"/>
      <c r="F8730" s="16"/>
      <c r="G8730" s="16"/>
      <c r="H8730" s="24"/>
      <c r="I8730" s="24"/>
      <c r="L8730"/>
    </row>
    <row r="8731" spans="1:12" x14ac:dyDescent="0.25">
      <c r="A8731" s="16"/>
      <c r="D8731" s="16"/>
      <c r="F8731" s="16"/>
      <c r="G8731" s="16"/>
      <c r="H8731" s="24"/>
      <c r="I8731" s="24"/>
      <c r="L8731"/>
    </row>
    <row r="8732" spans="1:12" x14ac:dyDescent="0.25">
      <c r="A8732" s="16"/>
      <c r="D8732" s="16"/>
      <c r="F8732" s="16"/>
      <c r="G8732" s="16"/>
      <c r="H8732" s="24"/>
      <c r="I8732" s="24"/>
      <c r="L8732"/>
    </row>
    <row r="8733" spans="1:12" x14ac:dyDescent="0.25">
      <c r="A8733" s="16"/>
      <c r="D8733" s="16"/>
      <c r="F8733" s="16"/>
      <c r="G8733" s="16"/>
      <c r="H8733" s="24"/>
      <c r="I8733" s="24"/>
      <c r="L8733"/>
    </row>
    <row r="8734" spans="1:12" x14ac:dyDescent="0.25">
      <c r="A8734" s="16"/>
      <c r="D8734" s="16"/>
      <c r="F8734" s="16"/>
      <c r="G8734" s="16"/>
      <c r="H8734" s="24"/>
      <c r="I8734" s="24"/>
      <c r="L8734"/>
    </row>
    <row r="8735" spans="1:12" x14ac:dyDescent="0.25">
      <c r="A8735" s="16"/>
      <c r="D8735" s="16"/>
      <c r="F8735" s="16"/>
      <c r="G8735" s="16"/>
      <c r="H8735" s="24"/>
      <c r="I8735" s="24"/>
      <c r="L8735"/>
    </row>
    <row r="8736" spans="1:12" x14ac:dyDescent="0.25">
      <c r="A8736" s="16"/>
      <c r="D8736" s="16"/>
      <c r="F8736" s="16"/>
      <c r="G8736" s="16"/>
      <c r="H8736" s="24"/>
      <c r="I8736" s="24"/>
      <c r="L8736"/>
    </row>
    <row r="8737" spans="1:12" x14ac:dyDescent="0.25">
      <c r="A8737" s="16"/>
      <c r="D8737" s="16"/>
      <c r="F8737" s="16"/>
      <c r="G8737" s="16"/>
      <c r="H8737" s="24"/>
      <c r="I8737" s="24"/>
      <c r="L8737"/>
    </row>
    <row r="8738" spans="1:12" x14ac:dyDescent="0.25">
      <c r="A8738" s="16"/>
      <c r="D8738" s="16"/>
      <c r="F8738" s="16"/>
      <c r="G8738" s="16"/>
      <c r="H8738" s="24"/>
      <c r="I8738" s="24"/>
      <c r="L8738"/>
    </row>
    <row r="8739" spans="1:12" x14ac:dyDescent="0.25">
      <c r="A8739" s="16"/>
      <c r="D8739" s="16"/>
      <c r="F8739" s="16"/>
      <c r="G8739" s="16"/>
      <c r="H8739" s="24"/>
      <c r="I8739" s="24"/>
      <c r="L8739"/>
    </row>
    <row r="8740" spans="1:12" x14ac:dyDescent="0.25">
      <c r="A8740" s="16"/>
      <c r="D8740" s="16"/>
      <c r="F8740" s="16"/>
      <c r="G8740" s="16"/>
      <c r="H8740" s="24"/>
      <c r="I8740" s="24"/>
      <c r="L8740"/>
    </row>
    <row r="8741" spans="1:12" x14ac:dyDescent="0.25">
      <c r="A8741" s="16"/>
      <c r="D8741" s="16"/>
      <c r="F8741" s="16"/>
      <c r="G8741" s="16"/>
      <c r="H8741" s="24"/>
      <c r="I8741" s="24"/>
      <c r="L8741"/>
    </row>
    <row r="8742" spans="1:12" x14ac:dyDescent="0.25">
      <c r="A8742" s="16"/>
      <c r="D8742" s="16"/>
      <c r="F8742" s="16"/>
      <c r="G8742" s="16"/>
      <c r="H8742" s="24"/>
      <c r="I8742" s="24"/>
      <c r="L8742"/>
    </row>
    <row r="8743" spans="1:12" x14ac:dyDescent="0.25">
      <c r="A8743" s="16"/>
      <c r="D8743" s="16"/>
      <c r="F8743" s="16"/>
      <c r="G8743" s="16"/>
      <c r="H8743" s="24"/>
      <c r="I8743" s="24"/>
      <c r="L8743"/>
    </row>
    <row r="8744" spans="1:12" x14ac:dyDescent="0.25">
      <c r="A8744" s="16"/>
      <c r="D8744" s="16"/>
      <c r="F8744" s="16"/>
      <c r="G8744" s="16"/>
      <c r="H8744" s="24"/>
      <c r="I8744" s="24"/>
      <c r="L8744"/>
    </row>
    <row r="8745" spans="1:12" x14ac:dyDescent="0.25">
      <c r="A8745" s="16"/>
      <c r="D8745" s="16"/>
      <c r="F8745" s="16"/>
      <c r="G8745" s="16"/>
      <c r="H8745" s="24"/>
      <c r="I8745" s="24"/>
      <c r="L8745"/>
    </row>
    <row r="8746" spans="1:12" x14ac:dyDescent="0.25">
      <c r="A8746" s="16"/>
      <c r="D8746" s="16"/>
      <c r="F8746" s="16"/>
      <c r="G8746" s="16"/>
      <c r="H8746" s="24"/>
      <c r="I8746" s="24"/>
      <c r="L8746"/>
    </row>
    <row r="8747" spans="1:12" x14ac:dyDescent="0.25">
      <c r="A8747" s="16"/>
      <c r="D8747" s="16"/>
      <c r="F8747" s="16"/>
      <c r="G8747" s="16"/>
      <c r="H8747" s="24"/>
      <c r="I8747" s="24"/>
      <c r="L8747"/>
    </row>
    <row r="8748" spans="1:12" x14ac:dyDescent="0.25">
      <c r="A8748" s="16"/>
      <c r="D8748" s="16"/>
      <c r="F8748" s="16"/>
      <c r="G8748" s="16"/>
      <c r="H8748" s="24"/>
      <c r="I8748" s="24"/>
      <c r="L8748"/>
    </row>
    <row r="8749" spans="1:12" x14ac:dyDescent="0.25">
      <c r="A8749" s="16"/>
      <c r="D8749" s="16"/>
      <c r="F8749" s="16"/>
      <c r="G8749" s="16"/>
      <c r="H8749" s="24"/>
      <c r="I8749" s="24"/>
      <c r="L8749"/>
    </row>
    <row r="8750" spans="1:12" x14ac:dyDescent="0.25">
      <c r="A8750" s="16"/>
      <c r="D8750" s="16"/>
      <c r="F8750" s="16"/>
      <c r="G8750" s="16"/>
      <c r="H8750" s="24"/>
      <c r="I8750" s="24"/>
      <c r="L8750"/>
    </row>
    <row r="8751" spans="1:12" x14ac:dyDescent="0.25">
      <c r="A8751" s="16"/>
      <c r="D8751" s="16"/>
      <c r="F8751" s="16"/>
      <c r="G8751" s="16"/>
      <c r="H8751" s="24"/>
      <c r="I8751" s="24"/>
      <c r="L8751"/>
    </row>
    <row r="8752" spans="1:12" x14ac:dyDescent="0.25">
      <c r="A8752" s="16"/>
      <c r="D8752" s="16"/>
      <c r="F8752" s="16"/>
      <c r="G8752" s="16"/>
      <c r="H8752" s="24"/>
      <c r="I8752" s="24"/>
      <c r="L8752"/>
    </row>
    <row r="8753" spans="1:12" x14ac:dyDescent="0.25">
      <c r="A8753" s="16"/>
      <c r="D8753" s="16"/>
      <c r="F8753" s="16"/>
      <c r="G8753" s="16"/>
      <c r="H8753" s="24"/>
      <c r="I8753" s="24"/>
      <c r="L8753"/>
    </row>
    <row r="8754" spans="1:12" x14ac:dyDescent="0.25">
      <c r="A8754" s="16"/>
      <c r="D8754" s="16"/>
      <c r="F8754" s="16"/>
      <c r="G8754" s="16"/>
      <c r="H8754" s="24"/>
      <c r="I8754" s="24"/>
      <c r="L8754"/>
    </row>
    <row r="8755" spans="1:12" x14ac:dyDescent="0.25">
      <c r="A8755" s="16"/>
      <c r="D8755" s="16"/>
      <c r="F8755" s="16"/>
      <c r="G8755" s="16"/>
      <c r="H8755" s="24"/>
      <c r="I8755" s="24"/>
      <c r="L8755"/>
    </row>
    <row r="8756" spans="1:12" x14ac:dyDescent="0.25">
      <c r="A8756" s="16"/>
      <c r="D8756" s="16"/>
      <c r="F8756" s="16"/>
      <c r="G8756" s="16"/>
      <c r="H8756" s="24"/>
      <c r="I8756" s="24"/>
      <c r="L8756"/>
    </row>
    <row r="8757" spans="1:12" x14ac:dyDescent="0.25">
      <c r="A8757" s="16"/>
      <c r="D8757" s="16"/>
      <c r="F8757" s="16"/>
      <c r="G8757" s="16"/>
      <c r="H8757" s="24"/>
      <c r="I8757" s="24"/>
      <c r="L8757"/>
    </row>
    <row r="8758" spans="1:12" x14ac:dyDescent="0.25">
      <c r="A8758" s="16"/>
      <c r="D8758" s="16"/>
      <c r="F8758" s="16"/>
      <c r="G8758" s="16"/>
      <c r="H8758" s="24"/>
      <c r="I8758" s="24"/>
      <c r="L8758"/>
    </row>
    <row r="8759" spans="1:12" x14ac:dyDescent="0.25">
      <c r="A8759" s="16"/>
      <c r="D8759" s="16"/>
      <c r="F8759" s="16"/>
      <c r="G8759" s="16"/>
      <c r="H8759" s="24"/>
      <c r="I8759" s="24"/>
      <c r="L8759"/>
    </row>
    <row r="8760" spans="1:12" x14ac:dyDescent="0.25">
      <c r="A8760" s="16"/>
      <c r="D8760" s="16"/>
      <c r="F8760" s="16"/>
      <c r="G8760" s="16"/>
      <c r="H8760" s="24"/>
      <c r="I8760" s="24"/>
      <c r="L8760"/>
    </row>
    <row r="8761" spans="1:12" x14ac:dyDescent="0.25">
      <c r="A8761" s="16"/>
      <c r="D8761" s="16"/>
      <c r="F8761" s="16"/>
      <c r="G8761" s="16"/>
      <c r="H8761" s="24"/>
      <c r="I8761" s="24"/>
      <c r="L8761"/>
    </row>
    <row r="8762" spans="1:12" x14ac:dyDescent="0.25">
      <c r="A8762" s="16"/>
      <c r="D8762" s="16"/>
      <c r="F8762" s="16"/>
      <c r="G8762" s="16"/>
      <c r="H8762" s="24"/>
      <c r="I8762" s="24"/>
      <c r="L8762"/>
    </row>
    <row r="8763" spans="1:12" x14ac:dyDescent="0.25">
      <c r="A8763" s="16"/>
      <c r="D8763" s="16"/>
      <c r="F8763" s="16"/>
      <c r="G8763" s="16"/>
      <c r="H8763" s="24"/>
      <c r="I8763" s="24"/>
      <c r="L8763"/>
    </row>
    <row r="8764" spans="1:12" x14ac:dyDescent="0.25">
      <c r="A8764" s="16"/>
      <c r="D8764" s="16"/>
      <c r="F8764" s="16"/>
      <c r="G8764" s="16"/>
      <c r="H8764" s="24"/>
      <c r="I8764" s="24"/>
      <c r="L8764"/>
    </row>
    <row r="8765" spans="1:12" x14ac:dyDescent="0.25">
      <c r="A8765" s="16"/>
      <c r="D8765" s="16"/>
      <c r="F8765" s="16"/>
      <c r="G8765" s="16"/>
      <c r="H8765" s="24"/>
      <c r="I8765" s="24"/>
      <c r="L8765"/>
    </row>
    <row r="8766" spans="1:12" x14ac:dyDescent="0.25">
      <c r="A8766" s="16"/>
      <c r="D8766" s="16"/>
      <c r="F8766" s="16"/>
      <c r="G8766" s="16"/>
      <c r="H8766" s="24"/>
      <c r="I8766" s="24"/>
      <c r="L8766"/>
    </row>
    <row r="8767" spans="1:12" x14ac:dyDescent="0.25">
      <c r="A8767" s="16"/>
      <c r="D8767" s="16"/>
      <c r="F8767" s="16"/>
      <c r="G8767" s="16"/>
      <c r="H8767" s="24"/>
      <c r="I8767" s="24"/>
      <c r="L8767"/>
    </row>
    <row r="8768" spans="1:12" x14ac:dyDescent="0.25">
      <c r="A8768" s="16"/>
      <c r="D8768" s="16"/>
      <c r="F8768" s="16"/>
      <c r="G8768" s="16"/>
      <c r="H8768" s="24"/>
      <c r="I8768" s="24"/>
      <c r="L8768"/>
    </row>
    <row r="8769" spans="1:12" x14ac:dyDescent="0.25">
      <c r="A8769" s="16"/>
      <c r="D8769" s="16"/>
      <c r="F8769" s="16"/>
      <c r="G8769" s="16"/>
      <c r="H8769" s="24"/>
      <c r="I8769" s="24"/>
      <c r="L8769"/>
    </row>
    <row r="8770" spans="1:12" x14ac:dyDescent="0.25">
      <c r="A8770" s="16"/>
      <c r="D8770" s="16"/>
      <c r="F8770" s="16"/>
      <c r="G8770" s="16"/>
      <c r="H8770" s="24"/>
      <c r="I8770" s="24"/>
      <c r="L8770"/>
    </row>
    <row r="8771" spans="1:12" x14ac:dyDescent="0.25">
      <c r="A8771" s="16"/>
      <c r="D8771" s="16"/>
      <c r="F8771" s="16"/>
      <c r="G8771" s="16"/>
      <c r="H8771" s="24"/>
      <c r="I8771" s="24"/>
      <c r="L8771"/>
    </row>
    <row r="8772" spans="1:12" x14ac:dyDescent="0.25">
      <c r="A8772" s="16"/>
      <c r="D8772" s="16"/>
      <c r="F8772" s="16"/>
      <c r="G8772" s="16"/>
      <c r="H8772" s="24"/>
      <c r="I8772" s="24"/>
      <c r="L8772"/>
    </row>
    <row r="8773" spans="1:12" x14ac:dyDescent="0.25">
      <c r="A8773" s="16"/>
      <c r="D8773" s="16"/>
      <c r="F8773" s="16"/>
      <c r="G8773" s="16"/>
      <c r="H8773" s="24"/>
      <c r="I8773" s="24"/>
      <c r="L8773"/>
    </row>
    <row r="8774" spans="1:12" x14ac:dyDescent="0.25">
      <c r="A8774" s="16"/>
      <c r="D8774" s="16"/>
      <c r="F8774" s="16"/>
      <c r="G8774" s="16"/>
      <c r="H8774" s="24"/>
      <c r="I8774" s="24"/>
      <c r="L8774"/>
    </row>
    <row r="8775" spans="1:12" x14ac:dyDescent="0.25">
      <c r="A8775" s="16"/>
      <c r="D8775" s="16"/>
      <c r="F8775" s="16"/>
      <c r="G8775" s="16"/>
      <c r="H8775" s="24"/>
      <c r="I8775" s="24"/>
      <c r="L8775"/>
    </row>
    <row r="8776" spans="1:12" x14ac:dyDescent="0.25">
      <c r="A8776" s="16"/>
      <c r="D8776" s="16"/>
      <c r="F8776" s="16"/>
      <c r="G8776" s="16"/>
      <c r="H8776" s="24"/>
      <c r="I8776" s="24"/>
      <c r="L8776"/>
    </row>
    <row r="8777" spans="1:12" x14ac:dyDescent="0.25">
      <c r="A8777" s="16"/>
      <c r="D8777" s="16"/>
      <c r="F8777" s="16"/>
      <c r="G8777" s="16"/>
      <c r="H8777" s="24"/>
      <c r="I8777" s="24"/>
      <c r="L8777"/>
    </row>
    <row r="8778" spans="1:12" x14ac:dyDescent="0.25">
      <c r="A8778" s="16"/>
      <c r="D8778" s="16"/>
      <c r="F8778" s="16"/>
      <c r="G8778" s="16"/>
      <c r="H8778" s="24"/>
      <c r="I8778" s="24"/>
      <c r="L8778"/>
    </row>
    <row r="8779" spans="1:12" x14ac:dyDescent="0.25">
      <c r="A8779" s="16"/>
      <c r="D8779" s="16"/>
      <c r="F8779" s="16"/>
      <c r="G8779" s="16"/>
      <c r="H8779" s="24"/>
      <c r="I8779" s="24"/>
      <c r="L8779"/>
    </row>
    <row r="8780" spans="1:12" x14ac:dyDescent="0.25">
      <c r="A8780" s="16"/>
      <c r="D8780" s="16"/>
      <c r="F8780" s="16"/>
      <c r="G8780" s="16"/>
      <c r="H8780" s="24"/>
      <c r="I8780" s="24"/>
      <c r="L8780"/>
    </row>
    <row r="8781" spans="1:12" x14ac:dyDescent="0.25">
      <c r="A8781" s="16"/>
      <c r="D8781" s="16"/>
      <c r="F8781" s="16"/>
      <c r="G8781" s="16"/>
      <c r="H8781" s="24"/>
      <c r="I8781" s="24"/>
      <c r="L8781"/>
    </row>
    <row r="8782" spans="1:12" x14ac:dyDescent="0.25">
      <c r="A8782" s="16"/>
      <c r="D8782" s="16"/>
      <c r="F8782" s="16"/>
      <c r="G8782" s="16"/>
      <c r="H8782" s="24"/>
      <c r="I8782" s="24"/>
      <c r="L8782"/>
    </row>
    <row r="8783" spans="1:12" x14ac:dyDescent="0.25">
      <c r="A8783" s="16"/>
      <c r="D8783" s="16"/>
      <c r="F8783" s="16"/>
      <c r="G8783" s="16"/>
      <c r="H8783" s="24"/>
      <c r="I8783" s="24"/>
      <c r="L8783"/>
    </row>
    <row r="8784" spans="1:12" x14ac:dyDescent="0.25">
      <c r="A8784" s="16"/>
      <c r="D8784" s="16"/>
      <c r="F8784" s="16"/>
      <c r="G8784" s="16"/>
      <c r="H8784" s="24"/>
      <c r="I8784" s="24"/>
      <c r="L8784"/>
    </row>
    <row r="8785" spans="1:12" x14ac:dyDescent="0.25">
      <c r="A8785" s="16"/>
      <c r="D8785" s="16"/>
      <c r="F8785" s="16"/>
      <c r="G8785" s="16"/>
      <c r="H8785" s="24"/>
      <c r="I8785" s="24"/>
      <c r="L8785"/>
    </row>
    <row r="8786" spans="1:12" x14ac:dyDescent="0.25">
      <c r="A8786" s="16"/>
      <c r="D8786" s="16"/>
      <c r="F8786" s="16"/>
      <c r="G8786" s="16"/>
      <c r="H8786" s="24"/>
      <c r="I8786" s="24"/>
      <c r="L8786"/>
    </row>
    <row r="8787" spans="1:12" x14ac:dyDescent="0.25">
      <c r="A8787" s="16"/>
      <c r="D8787" s="16"/>
      <c r="F8787" s="16"/>
      <c r="G8787" s="16"/>
      <c r="H8787" s="24"/>
      <c r="I8787" s="24"/>
      <c r="L8787"/>
    </row>
    <row r="8788" spans="1:12" x14ac:dyDescent="0.25">
      <c r="A8788" s="16"/>
      <c r="D8788" s="16"/>
      <c r="F8788" s="16"/>
      <c r="G8788" s="16"/>
      <c r="H8788" s="24"/>
      <c r="I8788" s="24"/>
      <c r="L8788"/>
    </row>
    <row r="8789" spans="1:12" x14ac:dyDescent="0.25">
      <c r="A8789" s="16"/>
      <c r="D8789" s="16"/>
      <c r="F8789" s="16"/>
      <c r="G8789" s="16"/>
      <c r="H8789" s="24"/>
      <c r="I8789" s="24"/>
      <c r="L8789"/>
    </row>
    <row r="8790" spans="1:12" x14ac:dyDescent="0.25">
      <c r="A8790" s="16"/>
      <c r="D8790" s="16"/>
      <c r="F8790" s="16"/>
      <c r="G8790" s="16"/>
      <c r="H8790" s="24"/>
      <c r="I8790" s="24"/>
      <c r="L8790"/>
    </row>
    <row r="8791" spans="1:12" x14ac:dyDescent="0.25">
      <c r="A8791" s="16"/>
      <c r="D8791" s="16"/>
      <c r="F8791" s="16"/>
      <c r="G8791" s="16"/>
      <c r="H8791" s="24"/>
      <c r="I8791" s="24"/>
      <c r="L8791"/>
    </row>
    <row r="8792" spans="1:12" x14ac:dyDescent="0.25">
      <c r="A8792" s="16"/>
      <c r="D8792" s="16"/>
      <c r="F8792" s="16"/>
      <c r="G8792" s="16"/>
      <c r="H8792" s="24"/>
      <c r="I8792" s="24"/>
      <c r="L8792"/>
    </row>
    <row r="8793" spans="1:12" x14ac:dyDescent="0.25">
      <c r="A8793" s="16"/>
      <c r="D8793" s="16"/>
      <c r="F8793" s="16"/>
      <c r="G8793" s="16"/>
      <c r="H8793" s="24"/>
      <c r="I8793" s="24"/>
      <c r="L8793"/>
    </row>
    <row r="8794" spans="1:12" x14ac:dyDescent="0.25">
      <c r="A8794" s="16"/>
      <c r="D8794" s="16"/>
      <c r="F8794" s="16"/>
      <c r="G8794" s="16"/>
      <c r="H8794" s="24"/>
      <c r="I8794" s="24"/>
      <c r="L8794"/>
    </row>
    <row r="8795" spans="1:12" x14ac:dyDescent="0.25">
      <c r="A8795" s="16"/>
      <c r="D8795" s="16"/>
      <c r="F8795" s="16"/>
      <c r="G8795" s="16"/>
      <c r="H8795" s="24"/>
      <c r="I8795" s="24"/>
      <c r="L8795"/>
    </row>
    <row r="8796" spans="1:12" x14ac:dyDescent="0.25">
      <c r="A8796" s="16"/>
      <c r="D8796" s="16"/>
      <c r="F8796" s="16"/>
      <c r="G8796" s="16"/>
      <c r="H8796" s="24"/>
      <c r="I8796" s="24"/>
      <c r="L8796"/>
    </row>
    <row r="8797" spans="1:12" x14ac:dyDescent="0.25">
      <c r="A8797" s="16"/>
      <c r="D8797" s="16"/>
      <c r="F8797" s="16"/>
      <c r="G8797" s="16"/>
      <c r="H8797" s="24"/>
      <c r="I8797" s="24"/>
      <c r="L8797"/>
    </row>
    <row r="8798" spans="1:12" x14ac:dyDescent="0.25">
      <c r="A8798" s="16"/>
      <c r="D8798" s="16"/>
      <c r="F8798" s="16"/>
      <c r="G8798" s="16"/>
      <c r="H8798" s="24"/>
      <c r="I8798" s="24"/>
      <c r="L8798"/>
    </row>
    <row r="8799" spans="1:12" x14ac:dyDescent="0.25">
      <c r="A8799" s="16"/>
      <c r="D8799" s="16"/>
      <c r="F8799" s="16"/>
      <c r="G8799" s="16"/>
      <c r="H8799" s="24"/>
      <c r="I8799" s="24"/>
      <c r="L8799"/>
    </row>
    <row r="8800" spans="1:12" x14ac:dyDescent="0.25">
      <c r="A8800" s="16"/>
      <c r="D8800" s="16"/>
      <c r="F8800" s="16"/>
      <c r="G8800" s="16"/>
      <c r="H8800" s="24"/>
      <c r="I8800" s="24"/>
      <c r="L8800"/>
    </row>
    <row r="8801" spans="1:12" x14ac:dyDescent="0.25">
      <c r="A8801" s="16"/>
      <c r="D8801" s="16"/>
      <c r="F8801" s="16"/>
      <c r="G8801" s="16"/>
      <c r="H8801" s="24"/>
      <c r="I8801" s="24"/>
      <c r="L8801"/>
    </row>
    <row r="8802" spans="1:12" x14ac:dyDescent="0.25">
      <c r="A8802" s="16"/>
      <c r="D8802" s="16"/>
      <c r="F8802" s="16"/>
      <c r="G8802" s="16"/>
      <c r="H8802" s="24"/>
      <c r="I8802" s="24"/>
      <c r="L8802"/>
    </row>
    <row r="8803" spans="1:12" x14ac:dyDescent="0.25">
      <c r="A8803" s="16"/>
      <c r="D8803" s="16"/>
      <c r="F8803" s="16"/>
      <c r="G8803" s="16"/>
      <c r="H8803" s="24"/>
      <c r="I8803" s="24"/>
      <c r="L8803"/>
    </row>
    <row r="8804" spans="1:12" x14ac:dyDescent="0.25">
      <c r="A8804" s="16"/>
      <c r="D8804" s="16"/>
      <c r="F8804" s="16"/>
      <c r="G8804" s="16"/>
      <c r="H8804" s="24"/>
      <c r="I8804" s="24"/>
      <c r="L8804"/>
    </row>
    <row r="8805" spans="1:12" x14ac:dyDescent="0.25">
      <c r="A8805" s="16"/>
      <c r="D8805" s="16"/>
      <c r="F8805" s="16"/>
      <c r="G8805" s="16"/>
      <c r="H8805" s="24"/>
      <c r="I8805" s="24"/>
      <c r="L8805"/>
    </row>
    <row r="8806" spans="1:12" x14ac:dyDescent="0.25">
      <c r="A8806" s="16"/>
      <c r="D8806" s="16"/>
      <c r="F8806" s="16"/>
      <c r="G8806" s="16"/>
      <c r="H8806" s="24"/>
      <c r="I8806" s="24"/>
      <c r="L8806"/>
    </row>
    <row r="8807" spans="1:12" x14ac:dyDescent="0.25">
      <c r="A8807" s="16"/>
      <c r="D8807" s="16"/>
      <c r="F8807" s="16"/>
      <c r="G8807" s="16"/>
      <c r="H8807" s="24"/>
      <c r="I8807" s="24"/>
      <c r="L8807"/>
    </row>
    <row r="8808" spans="1:12" x14ac:dyDescent="0.25">
      <c r="A8808" s="16"/>
      <c r="D8808" s="16"/>
      <c r="F8808" s="16"/>
      <c r="G8808" s="16"/>
      <c r="H8808" s="24"/>
      <c r="I8808" s="24"/>
      <c r="L8808"/>
    </row>
    <row r="8809" spans="1:12" x14ac:dyDescent="0.25">
      <c r="A8809" s="16"/>
      <c r="D8809" s="16"/>
      <c r="F8809" s="16"/>
      <c r="G8809" s="16"/>
      <c r="H8809" s="24"/>
      <c r="I8809" s="24"/>
      <c r="L8809"/>
    </row>
    <row r="8810" spans="1:12" x14ac:dyDescent="0.25">
      <c r="A8810" s="16"/>
      <c r="D8810" s="16"/>
      <c r="F8810" s="16"/>
      <c r="G8810" s="16"/>
      <c r="H8810" s="24"/>
      <c r="I8810" s="24"/>
      <c r="L8810"/>
    </row>
    <row r="8811" spans="1:12" x14ac:dyDescent="0.25">
      <c r="A8811" s="16"/>
      <c r="D8811" s="16"/>
      <c r="F8811" s="16"/>
      <c r="G8811" s="16"/>
      <c r="H8811" s="24"/>
      <c r="I8811" s="24"/>
      <c r="L8811"/>
    </row>
    <row r="8812" spans="1:12" x14ac:dyDescent="0.25">
      <c r="A8812" s="16"/>
      <c r="D8812" s="16"/>
      <c r="F8812" s="16"/>
      <c r="G8812" s="16"/>
      <c r="H8812" s="24"/>
      <c r="I8812" s="24"/>
      <c r="L8812"/>
    </row>
    <row r="8813" spans="1:12" x14ac:dyDescent="0.25">
      <c r="A8813" s="16"/>
      <c r="D8813" s="16"/>
      <c r="F8813" s="16"/>
      <c r="G8813" s="16"/>
      <c r="H8813" s="24"/>
      <c r="I8813" s="24"/>
      <c r="L8813"/>
    </row>
    <row r="8814" spans="1:12" x14ac:dyDescent="0.25">
      <c r="A8814" s="16"/>
      <c r="D8814" s="16"/>
      <c r="F8814" s="16"/>
      <c r="G8814" s="16"/>
      <c r="H8814" s="24"/>
      <c r="I8814" s="24"/>
      <c r="L8814"/>
    </row>
    <row r="8815" spans="1:12" x14ac:dyDescent="0.25">
      <c r="A8815" s="16"/>
      <c r="D8815" s="16"/>
      <c r="F8815" s="16"/>
      <c r="G8815" s="16"/>
      <c r="H8815" s="24"/>
      <c r="I8815" s="24"/>
      <c r="L8815"/>
    </row>
    <row r="8816" spans="1:12" x14ac:dyDescent="0.25">
      <c r="A8816" s="16"/>
      <c r="D8816" s="16"/>
      <c r="F8816" s="16"/>
      <c r="G8816" s="16"/>
      <c r="H8816" s="24"/>
      <c r="I8816" s="24"/>
      <c r="L8816"/>
    </row>
    <row r="8817" spans="1:12" x14ac:dyDescent="0.25">
      <c r="A8817" s="16"/>
      <c r="D8817" s="16"/>
      <c r="F8817" s="16"/>
      <c r="G8817" s="16"/>
      <c r="H8817" s="24"/>
      <c r="I8817" s="24"/>
      <c r="L8817"/>
    </row>
    <row r="8818" spans="1:12" x14ac:dyDescent="0.25">
      <c r="A8818" s="16"/>
      <c r="D8818" s="16"/>
      <c r="F8818" s="16"/>
      <c r="G8818" s="16"/>
      <c r="H8818" s="24"/>
      <c r="I8818" s="24"/>
      <c r="L8818"/>
    </row>
    <row r="8819" spans="1:12" x14ac:dyDescent="0.25">
      <c r="A8819" s="16"/>
      <c r="D8819" s="16"/>
      <c r="F8819" s="16"/>
      <c r="G8819" s="16"/>
      <c r="H8819" s="24"/>
      <c r="I8819" s="24"/>
      <c r="L8819"/>
    </row>
    <row r="8820" spans="1:12" x14ac:dyDescent="0.25">
      <c r="A8820" s="16"/>
      <c r="D8820" s="16"/>
      <c r="F8820" s="16"/>
      <c r="G8820" s="16"/>
      <c r="H8820" s="24"/>
      <c r="I8820" s="24"/>
      <c r="L8820"/>
    </row>
    <row r="8821" spans="1:12" x14ac:dyDescent="0.25">
      <c r="A8821" s="16"/>
      <c r="D8821" s="16"/>
      <c r="F8821" s="16"/>
      <c r="G8821" s="16"/>
      <c r="H8821" s="24"/>
      <c r="I8821" s="24"/>
      <c r="L8821"/>
    </row>
    <row r="8822" spans="1:12" x14ac:dyDescent="0.25">
      <c r="A8822" s="16"/>
      <c r="D8822" s="16"/>
      <c r="F8822" s="16"/>
      <c r="G8822" s="16"/>
      <c r="H8822" s="24"/>
      <c r="I8822" s="24"/>
      <c r="L8822"/>
    </row>
    <row r="8823" spans="1:12" x14ac:dyDescent="0.25">
      <c r="A8823" s="16"/>
      <c r="D8823" s="16"/>
      <c r="F8823" s="16"/>
      <c r="G8823" s="16"/>
      <c r="H8823" s="24"/>
      <c r="I8823" s="24"/>
      <c r="L8823"/>
    </row>
    <row r="8824" spans="1:12" x14ac:dyDescent="0.25">
      <c r="A8824" s="16"/>
      <c r="D8824" s="16"/>
      <c r="F8824" s="16"/>
      <c r="G8824" s="16"/>
      <c r="H8824" s="24"/>
      <c r="I8824" s="24"/>
      <c r="L8824"/>
    </row>
    <row r="8825" spans="1:12" x14ac:dyDescent="0.25">
      <c r="A8825" s="16"/>
      <c r="D8825" s="16"/>
      <c r="F8825" s="16"/>
      <c r="G8825" s="16"/>
      <c r="H8825" s="24"/>
      <c r="I8825" s="24"/>
      <c r="L8825"/>
    </row>
    <row r="8826" spans="1:12" x14ac:dyDescent="0.25">
      <c r="A8826" s="16"/>
      <c r="D8826" s="16"/>
      <c r="F8826" s="16"/>
      <c r="G8826" s="16"/>
      <c r="H8826" s="24"/>
      <c r="I8826" s="24"/>
      <c r="L8826"/>
    </row>
    <row r="8827" spans="1:12" x14ac:dyDescent="0.25">
      <c r="A8827" s="16"/>
      <c r="D8827" s="16"/>
      <c r="F8827" s="16"/>
      <c r="G8827" s="16"/>
      <c r="H8827" s="24"/>
      <c r="I8827" s="24"/>
      <c r="L8827"/>
    </row>
    <row r="8828" spans="1:12" x14ac:dyDescent="0.25">
      <c r="A8828" s="16"/>
      <c r="D8828" s="16"/>
      <c r="F8828" s="16"/>
      <c r="G8828" s="16"/>
      <c r="H8828" s="24"/>
      <c r="I8828" s="24"/>
      <c r="L8828"/>
    </row>
    <row r="8829" spans="1:12" x14ac:dyDescent="0.25">
      <c r="A8829" s="16"/>
      <c r="D8829" s="16"/>
      <c r="F8829" s="16"/>
      <c r="G8829" s="16"/>
      <c r="H8829" s="24"/>
      <c r="I8829" s="24"/>
      <c r="L8829"/>
    </row>
    <row r="8830" spans="1:12" x14ac:dyDescent="0.25">
      <c r="A8830" s="16"/>
      <c r="D8830" s="16"/>
      <c r="F8830" s="16"/>
      <c r="G8830" s="16"/>
      <c r="H8830" s="24"/>
      <c r="I8830" s="24"/>
      <c r="L8830"/>
    </row>
    <row r="8831" spans="1:12" x14ac:dyDescent="0.25">
      <c r="A8831" s="16"/>
      <c r="D8831" s="16"/>
      <c r="F8831" s="16"/>
      <c r="G8831" s="16"/>
      <c r="H8831" s="24"/>
      <c r="I8831" s="24"/>
      <c r="L8831"/>
    </row>
    <row r="8832" spans="1:12" x14ac:dyDescent="0.25">
      <c r="A8832" s="16"/>
      <c r="D8832" s="16"/>
      <c r="F8832" s="16"/>
      <c r="G8832" s="16"/>
      <c r="H8832" s="24"/>
      <c r="I8832" s="24"/>
      <c r="L8832"/>
    </row>
    <row r="8833" spans="1:12" x14ac:dyDescent="0.25">
      <c r="A8833" s="16"/>
      <c r="D8833" s="16"/>
      <c r="F8833" s="16"/>
      <c r="G8833" s="16"/>
      <c r="H8833" s="24"/>
      <c r="I8833" s="24"/>
      <c r="L8833"/>
    </row>
    <row r="8834" spans="1:12" x14ac:dyDescent="0.25">
      <c r="A8834" s="16"/>
      <c r="D8834" s="16"/>
      <c r="F8834" s="16"/>
      <c r="G8834" s="16"/>
      <c r="H8834" s="24"/>
      <c r="I8834" s="24"/>
      <c r="L8834"/>
    </row>
    <row r="8835" spans="1:12" x14ac:dyDescent="0.25">
      <c r="A8835" s="16"/>
      <c r="D8835" s="16"/>
      <c r="F8835" s="16"/>
      <c r="G8835" s="16"/>
      <c r="H8835" s="24"/>
      <c r="I8835" s="24"/>
      <c r="L8835"/>
    </row>
    <row r="8836" spans="1:12" x14ac:dyDescent="0.25">
      <c r="A8836" s="16"/>
      <c r="D8836" s="16"/>
      <c r="F8836" s="16"/>
      <c r="G8836" s="16"/>
      <c r="H8836" s="24"/>
      <c r="I8836" s="24"/>
      <c r="L8836"/>
    </row>
    <row r="8837" spans="1:12" x14ac:dyDescent="0.25">
      <c r="A8837" s="16"/>
      <c r="D8837" s="16"/>
      <c r="F8837" s="16"/>
      <c r="G8837" s="16"/>
      <c r="H8837" s="24"/>
      <c r="I8837" s="24"/>
      <c r="L8837"/>
    </row>
    <row r="8838" spans="1:12" x14ac:dyDescent="0.25">
      <c r="A8838" s="16"/>
      <c r="D8838" s="16"/>
      <c r="F8838" s="16"/>
      <c r="G8838" s="16"/>
      <c r="H8838" s="24"/>
      <c r="I8838" s="24"/>
      <c r="L8838"/>
    </row>
    <row r="8839" spans="1:12" x14ac:dyDescent="0.25">
      <c r="A8839" s="16"/>
      <c r="D8839" s="16"/>
      <c r="F8839" s="16"/>
      <c r="G8839" s="16"/>
      <c r="H8839" s="24"/>
      <c r="I8839" s="24"/>
      <c r="L8839"/>
    </row>
    <row r="8840" spans="1:12" x14ac:dyDescent="0.25">
      <c r="A8840" s="16"/>
      <c r="D8840" s="16"/>
      <c r="F8840" s="16"/>
      <c r="G8840" s="16"/>
      <c r="H8840" s="24"/>
      <c r="I8840" s="24"/>
      <c r="L8840"/>
    </row>
    <row r="8841" spans="1:12" x14ac:dyDescent="0.25">
      <c r="A8841" s="16"/>
      <c r="D8841" s="16"/>
      <c r="F8841" s="16"/>
      <c r="G8841" s="16"/>
      <c r="H8841" s="24"/>
      <c r="I8841" s="24"/>
      <c r="L8841"/>
    </row>
    <row r="8842" spans="1:12" x14ac:dyDescent="0.25">
      <c r="A8842" s="16"/>
      <c r="D8842" s="16"/>
      <c r="F8842" s="16"/>
      <c r="G8842" s="16"/>
      <c r="H8842" s="24"/>
      <c r="I8842" s="24"/>
      <c r="L8842"/>
    </row>
    <row r="8843" spans="1:12" x14ac:dyDescent="0.25">
      <c r="A8843" s="16"/>
      <c r="D8843" s="16"/>
      <c r="F8843" s="16"/>
      <c r="G8843" s="16"/>
      <c r="H8843" s="24"/>
      <c r="I8843" s="24"/>
      <c r="L8843"/>
    </row>
    <row r="8844" spans="1:12" x14ac:dyDescent="0.25">
      <c r="A8844" s="16"/>
      <c r="D8844" s="16"/>
      <c r="F8844" s="16"/>
      <c r="G8844" s="16"/>
      <c r="H8844" s="24"/>
      <c r="I8844" s="24"/>
      <c r="L8844"/>
    </row>
    <row r="8845" spans="1:12" x14ac:dyDescent="0.25">
      <c r="A8845" s="16"/>
      <c r="D8845" s="16"/>
      <c r="F8845" s="16"/>
      <c r="G8845" s="16"/>
      <c r="H8845" s="24"/>
      <c r="I8845" s="24"/>
      <c r="L8845"/>
    </row>
    <row r="8846" spans="1:12" x14ac:dyDescent="0.25">
      <c r="A8846" s="16"/>
      <c r="D8846" s="16"/>
      <c r="F8846" s="16"/>
      <c r="G8846" s="16"/>
      <c r="H8846" s="24"/>
      <c r="I8846" s="24"/>
      <c r="L8846"/>
    </row>
    <row r="8847" spans="1:12" x14ac:dyDescent="0.25">
      <c r="A8847" s="16"/>
      <c r="D8847" s="16"/>
      <c r="F8847" s="16"/>
      <c r="G8847" s="16"/>
      <c r="H8847" s="24"/>
      <c r="I8847" s="24"/>
      <c r="L8847"/>
    </row>
    <row r="8848" spans="1:12" x14ac:dyDescent="0.25">
      <c r="A8848" s="16"/>
      <c r="D8848" s="16"/>
      <c r="F8848" s="16"/>
      <c r="G8848" s="16"/>
      <c r="H8848" s="24"/>
      <c r="I8848" s="24"/>
      <c r="L8848"/>
    </row>
    <row r="8849" spans="1:12" x14ac:dyDescent="0.25">
      <c r="A8849" s="16"/>
      <c r="D8849" s="16"/>
      <c r="F8849" s="16"/>
      <c r="G8849" s="16"/>
      <c r="H8849" s="24"/>
      <c r="I8849" s="24"/>
      <c r="L8849"/>
    </row>
    <row r="8850" spans="1:12" x14ac:dyDescent="0.25">
      <c r="A8850" s="16"/>
      <c r="D8850" s="16"/>
      <c r="F8850" s="16"/>
      <c r="G8850" s="16"/>
      <c r="H8850" s="24"/>
      <c r="I8850" s="24"/>
      <c r="L8850"/>
    </row>
    <row r="8851" spans="1:12" x14ac:dyDescent="0.25">
      <c r="A8851" s="16"/>
      <c r="D8851" s="16"/>
      <c r="F8851" s="16"/>
      <c r="G8851" s="16"/>
      <c r="H8851" s="24"/>
      <c r="I8851" s="24"/>
      <c r="L8851"/>
    </row>
    <row r="8852" spans="1:12" x14ac:dyDescent="0.25">
      <c r="A8852" s="16"/>
      <c r="D8852" s="16"/>
      <c r="F8852" s="16"/>
      <c r="G8852" s="16"/>
      <c r="H8852" s="24"/>
      <c r="I8852" s="24"/>
      <c r="L8852"/>
    </row>
    <row r="8853" spans="1:12" x14ac:dyDescent="0.25">
      <c r="A8853" s="16"/>
      <c r="D8853" s="16"/>
      <c r="F8853" s="16"/>
      <c r="G8853" s="16"/>
      <c r="H8853" s="24"/>
      <c r="I8853" s="24"/>
      <c r="L8853"/>
    </row>
    <row r="8854" spans="1:12" x14ac:dyDescent="0.25">
      <c r="A8854" s="16"/>
      <c r="D8854" s="16"/>
      <c r="F8854" s="16"/>
      <c r="G8854" s="16"/>
      <c r="H8854" s="24"/>
      <c r="I8854" s="24"/>
      <c r="L8854"/>
    </row>
    <row r="8855" spans="1:12" x14ac:dyDescent="0.25">
      <c r="A8855" s="16"/>
      <c r="D8855" s="16"/>
      <c r="F8855" s="16"/>
      <c r="G8855" s="16"/>
      <c r="H8855" s="24"/>
      <c r="I8855" s="24"/>
      <c r="L8855"/>
    </row>
    <row r="8856" spans="1:12" x14ac:dyDescent="0.25">
      <c r="A8856" s="16"/>
      <c r="D8856" s="16"/>
      <c r="F8856" s="16"/>
      <c r="G8856" s="16"/>
      <c r="H8856" s="24"/>
      <c r="I8856" s="24"/>
      <c r="L8856"/>
    </row>
    <row r="8857" spans="1:12" x14ac:dyDescent="0.25">
      <c r="A8857" s="16"/>
      <c r="D8857" s="16"/>
      <c r="F8857" s="16"/>
      <c r="G8857" s="16"/>
      <c r="H8857" s="24"/>
      <c r="I8857" s="24"/>
      <c r="L8857"/>
    </row>
    <row r="8858" spans="1:12" x14ac:dyDescent="0.25">
      <c r="A8858" s="16"/>
      <c r="D8858" s="16"/>
      <c r="F8858" s="16"/>
      <c r="G8858" s="16"/>
      <c r="H8858" s="24"/>
      <c r="I8858" s="24"/>
      <c r="L8858"/>
    </row>
    <row r="8859" spans="1:12" x14ac:dyDescent="0.25">
      <c r="A8859" s="16"/>
      <c r="D8859" s="16"/>
      <c r="F8859" s="16"/>
      <c r="G8859" s="16"/>
      <c r="H8859" s="24"/>
      <c r="I8859" s="24"/>
      <c r="L8859"/>
    </row>
    <row r="8860" spans="1:12" x14ac:dyDescent="0.25">
      <c r="A8860" s="16"/>
      <c r="D8860" s="16"/>
      <c r="F8860" s="16"/>
      <c r="G8860" s="16"/>
      <c r="H8860" s="24"/>
      <c r="I8860" s="24"/>
      <c r="L8860"/>
    </row>
    <row r="8861" spans="1:12" x14ac:dyDescent="0.25">
      <c r="A8861" s="16"/>
      <c r="D8861" s="16"/>
      <c r="F8861" s="16"/>
      <c r="G8861" s="16"/>
      <c r="H8861" s="24"/>
      <c r="I8861" s="24"/>
      <c r="L8861"/>
    </row>
    <row r="8862" spans="1:12" x14ac:dyDescent="0.25">
      <c r="A8862" s="16"/>
      <c r="D8862" s="16"/>
      <c r="F8862" s="16"/>
      <c r="G8862" s="16"/>
      <c r="H8862" s="24"/>
      <c r="I8862" s="24"/>
      <c r="L8862"/>
    </row>
    <row r="8863" spans="1:12" x14ac:dyDescent="0.25">
      <c r="A8863" s="16"/>
      <c r="D8863" s="16"/>
      <c r="F8863" s="16"/>
      <c r="G8863" s="16"/>
      <c r="H8863" s="24"/>
      <c r="I8863" s="24"/>
      <c r="L8863"/>
    </row>
    <row r="8864" spans="1:12" x14ac:dyDescent="0.25">
      <c r="A8864" s="16"/>
      <c r="D8864" s="16"/>
      <c r="F8864" s="16"/>
      <c r="G8864" s="16"/>
      <c r="H8864" s="24"/>
      <c r="I8864" s="24"/>
      <c r="L8864"/>
    </row>
    <row r="8865" spans="1:12" x14ac:dyDescent="0.25">
      <c r="A8865" s="16"/>
      <c r="D8865" s="16"/>
      <c r="F8865" s="16"/>
      <c r="G8865" s="16"/>
      <c r="H8865" s="24"/>
      <c r="I8865" s="24"/>
      <c r="L8865"/>
    </row>
    <row r="8866" spans="1:12" x14ac:dyDescent="0.25">
      <c r="A8866" s="16"/>
      <c r="D8866" s="16"/>
      <c r="F8866" s="16"/>
      <c r="G8866" s="16"/>
      <c r="H8866" s="24"/>
      <c r="I8866" s="24"/>
      <c r="L8866"/>
    </row>
    <row r="8867" spans="1:12" x14ac:dyDescent="0.25">
      <c r="A8867" s="16"/>
      <c r="D8867" s="16"/>
      <c r="F8867" s="16"/>
      <c r="G8867" s="16"/>
      <c r="H8867" s="24"/>
      <c r="I8867" s="24"/>
      <c r="L8867"/>
    </row>
    <row r="8868" spans="1:12" x14ac:dyDescent="0.25">
      <c r="A8868" s="16"/>
      <c r="D8868" s="16"/>
      <c r="F8868" s="16"/>
      <c r="G8868" s="16"/>
      <c r="H8868" s="24"/>
      <c r="I8868" s="24"/>
      <c r="L8868"/>
    </row>
    <row r="8869" spans="1:12" x14ac:dyDescent="0.25">
      <c r="A8869" s="16"/>
      <c r="D8869" s="16"/>
      <c r="F8869" s="16"/>
      <c r="G8869" s="16"/>
      <c r="H8869" s="24"/>
      <c r="I8869" s="24"/>
      <c r="L8869"/>
    </row>
    <row r="8870" spans="1:12" x14ac:dyDescent="0.25">
      <c r="A8870" s="16"/>
      <c r="D8870" s="16"/>
      <c r="F8870" s="16"/>
      <c r="G8870" s="16"/>
      <c r="H8870" s="24"/>
      <c r="I8870" s="24"/>
      <c r="L8870"/>
    </row>
    <row r="8871" spans="1:12" x14ac:dyDescent="0.25">
      <c r="A8871" s="16"/>
      <c r="D8871" s="16"/>
      <c r="F8871" s="16"/>
      <c r="G8871" s="16"/>
      <c r="H8871" s="24"/>
      <c r="I8871" s="24"/>
      <c r="L8871"/>
    </row>
    <row r="8872" spans="1:12" x14ac:dyDescent="0.25">
      <c r="A8872" s="16"/>
      <c r="D8872" s="16"/>
      <c r="F8872" s="16"/>
      <c r="G8872" s="16"/>
      <c r="H8872" s="24"/>
      <c r="I8872" s="24"/>
      <c r="L8872"/>
    </row>
    <row r="8873" spans="1:12" x14ac:dyDescent="0.25">
      <c r="A8873" s="16"/>
      <c r="D8873" s="16"/>
      <c r="F8873" s="16"/>
      <c r="G8873" s="16"/>
      <c r="H8873" s="24"/>
      <c r="I8873" s="24"/>
      <c r="L8873"/>
    </row>
    <row r="8874" spans="1:12" x14ac:dyDescent="0.25">
      <c r="A8874" s="16"/>
      <c r="D8874" s="16"/>
      <c r="F8874" s="16"/>
      <c r="G8874" s="16"/>
      <c r="H8874" s="24"/>
      <c r="I8874" s="24"/>
      <c r="L8874"/>
    </row>
    <row r="8875" spans="1:12" x14ac:dyDescent="0.25">
      <c r="A8875" s="16"/>
      <c r="D8875" s="16"/>
      <c r="F8875" s="16"/>
      <c r="G8875" s="16"/>
      <c r="H8875" s="24"/>
      <c r="I8875" s="24"/>
      <c r="L8875"/>
    </row>
    <row r="8876" spans="1:12" x14ac:dyDescent="0.25">
      <c r="A8876" s="16"/>
      <c r="D8876" s="16"/>
      <c r="F8876" s="16"/>
      <c r="G8876" s="16"/>
      <c r="H8876" s="24"/>
      <c r="I8876" s="24"/>
      <c r="L8876"/>
    </row>
    <row r="8877" spans="1:12" x14ac:dyDescent="0.25">
      <c r="A8877" s="16"/>
      <c r="D8877" s="16"/>
      <c r="F8877" s="16"/>
      <c r="G8877" s="16"/>
      <c r="H8877" s="24"/>
      <c r="I8877" s="24"/>
      <c r="L8877"/>
    </row>
    <row r="8878" spans="1:12" x14ac:dyDescent="0.25">
      <c r="A8878" s="16"/>
      <c r="D8878" s="16"/>
      <c r="F8878" s="16"/>
      <c r="G8878" s="16"/>
      <c r="H8878" s="24"/>
      <c r="I8878" s="24"/>
      <c r="L8878"/>
    </row>
    <row r="8879" spans="1:12" x14ac:dyDescent="0.25">
      <c r="A8879" s="16"/>
      <c r="D8879" s="16"/>
      <c r="F8879" s="16"/>
      <c r="G8879" s="16"/>
      <c r="H8879" s="24"/>
      <c r="I8879" s="24"/>
      <c r="L8879"/>
    </row>
    <row r="8880" spans="1:12" x14ac:dyDescent="0.25">
      <c r="A8880" s="16"/>
      <c r="D8880" s="16"/>
      <c r="F8880" s="16"/>
      <c r="G8880" s="16"/>
      <c r="H8880" s="24"/>
      <c r="I8880" s="24"/>
      <c r="L8880"/>
    </row>
    <row r="8881" spans="1:12" x14ac:dyDescent="0.25">
      <c r="A8881" s="16"/>
      <c r="D8881" s="16"/>
      <c r="F8881" s="16"/>
      <c r="G8881" s="16"/>
      <c r="H8881" s="24"/>
      <c r="I8881" s="24"/>
      <c r="L8881"/>
    </row>
    <row r="8882" spans="1:12" x14ac:dyDescent="0.25">
      <c r="A8882" s="16"/>
      <c r="D8882" s="16"/>
      <c r="F8882" s="16"/>
      <c r="G8882" s="16"/>
      <c r="H8882" s="24"/>
      <c r="I8882" s="24"/>
      <c r="L8882"/>
    </row>
    <row r="8883" spans="1:12" x14ac:dyDescent="0.25">
      <c r="A8883" s="16"/>
      <c r="D8883" s="16"/>
      <c r="F8883" s="16"/>
      <c r="G8883" s="16"/>
      <c r="H8883" s="24"/>
      <c r="I8883" s="24"/>
      <c r="L8883"/>
    </row>
    <row r="8884" spans="1:12" x14ac:dyDescent="0.25">
      <c r="A8884" s="16"/>
      <c r="D8884" s="16"/>
      <c r="F8884" s="16"/>
      <c r="G8884" s="16"/>
      <c r="H8884" s="24"/>
      <c r="I8884" s="24"/>
      <c r="L8884"/>
    </row>
    <row r="8885" spans="1:12" x14ac:dyDescent="0.25">
      <c r="A8885" s="16"/>
      <c r="D8885" s="16"/>
      <c r="F8885" s="16"/>
      <c r="G8885" s="16"/>
      <c r="H8885" s="24"/>
      <c r="I8885" s="24"/>
      <c r="L8885"/>
    </row>
    <row r="8886" spans="1:12" x14ac:dyDescent="0.25">
      <c r="A8886" s="16"/>
      <c r="D8886" s="16"/>
      <c r="F8886" s="16"/>
      <c r="G8886" s="16"/>
      <c r="H8886" s="24"/>
      <c r="I8886" s="24"/>
      <c r="L8886"/>
    </row>
    <row r="8887" spans="1:12" x14ac:dyDescent="0.25">
      <c r="A8887" s="16"/>
      <c r="D8887" s="16"/>
      <c r="F8887" s="16"/>
      <c r="G8887" s="16"/>
      <c r="H8887" s="24"/>
      <c r="I8887" s="24"/>
      <c r="L8887"/>
    </row>
    <row r="8888" spans="1:12" x14ac:dyDescent="0.25">
      <c r="A8888" s="16"/>
      <c r="D8888" s="16"/>
      <c r="F8888" s="16"/>
      <c r="G8888" s="16"/>
      <c r="H8888" s="24"/>
      <c r="I8888" s="24"/>
      <c r="L8888"/>
    </row>
    <row r="8889" spans="1:12" x14ac:dyDescent="0.25">
      <c r="A8889" s="16"/>
      <c r="D8889" s="16"/>
      <c r="F8889" s="16"/>
      <c r="G8889" s="16"/>
      <c r="H8889" s="24"/>
      <c r="I8889" s="24"/>
      <c r="L8889"/>
    </row>
    <row r="8890" spans="1:12" x14ac:dyDescent="0.25">
      <c r="A8890" s="16"/>
      <c r="D8890" s="16"/>
      <c r="F8890" s="16"/>
      <c r="G8890" s="16"/>
      <c r="H8890" s="24"/>
      <c r="I8890" s="24"/>
      <c r="L8890"/>
    </row>
    <row r="8891" spans="1:12" x14ac:dyDescent="0.25">
      <c r="A8891" s="16"/>
      <c r="D8891" s="16"/>
      <c r="F8891" s="16"/>
      <c r="G8891" s="16"/>
      <c r="H8891" s="24"/>
      <c r="I8891" s="24"/>
      <c r="L8891"/>
    </row>
    <row r="8892" spans="1:12" x14ac:dyDescent="0.25">
      <c r="A8892" s="16"/>
      <c r="D8892" s="16"/>
      <c r="F8892" s="16"/>
      <c r="G8892" s="16"/>
      <c r="H8892" s="24"/>
      <c r="I8892" s="24"/>
      <c r="L8892"/>
    </row>
    <row r="8893" spans="1:12" x14ac:dyDescent="0.25">
      <c r="A8893" s="16"/>
      <c r="D8893" s="16"/>
      <c r="F8893" s="16"/>
      <c r="G8893" s="16"/>
      <c r="H8893" s="24"/>
      <c r="I8893" s="24"/>
      <c r="L8893"/>
    </row>
    <row r="8894" spans="1:12" x14ac:dyDescent="0.25">
      <c r="A8894" s="16"/>
      <c r="D8894" s="16"/>
      <c r="F8894" s="16"/>
      <c r="G8894" s="16"/>
      <c r="H8894" s="24"/>
      <c r="I8894" s="24"/>
      <c r="L8894"/>
    </row>
    <row r="8895" spans="1:12" x14ac:dyDescent="0.25">
      <c r="A8895" s="16"/>
      <c r="D8895" s="16"/>
      <c r="F8895" s="16"/>
      <c r="G8895" s="16"/>
      <c r="H8895" s="24"/>
      <c r="I8895" s="24"/>
      <c r="L8895"/>
    </row>
    <row r="8896" spans="1:12" x14ac:dyDescent="0.25">
      <c r="A8896" s="16"/>
      <c r="D8896" s="16"/>
      <c r="F8896" s="16"/>
      <c r="G8896" s="16"/>
      <c r="H8896" s="24"/>
      <c r="I8896" s="24"/>
      <c r="L8896"/>
    </row>
    <row r="8897" spans="1:12" x14ac:dyDescent="0.25">
      <c r="A8897" s="16"/>
      <c r="D8897" s="16"/>
      <c r="F8897" s="16"/>
      <c r="G8897" s="16"/>
      <c r="H8897" s="24"/>
      <c r="I8897" s="24"/>
      <c r="L8897"/>
    </row>
    <row r="8898" spans="1:12" x14ac:dyDescent="0.25">
      <c r="A8898" s="16"/>
      <c r="D8898" s="16"/>
      <c r="F8898" s="16"/>
      <c r="G8898" s="16"/>
      <c r="H8898" s="24"/>
      <c r="I8898" s="24"/>
      <c r="L8898"/>
    </row>
    <row r="8899" spans="1:12" x14ac:dyDescent="0.25">
      <c r="A8899" s="16"/>
      <c r="D8899" s="16"/>
      <c r="F8899" s="16"/>
      <c r="G8899" s="16"/>
      <c r="H8899" s="24"/>
      <c r="I8899" s="24"/>
      <c r="L8899"/>
    </row>
    <row r="8900" spans="1:12" x14ac:dyDescent="0.25">
      <c r="A8900" s="16"/>
      <c r="D8900" s="16"/>
      <c r="F8900" s="16"/>
      <c r="G8900" s="16"/>
      <c r="H8900" s="24"/>
      <c r="I8900" s="24"/>
      <c r="L8900"/>
    </row>
    <row r="8901" spans="1:12" x14ac:dyDescent="0.25">
      <c r="A8901" s="16"/>
      <c r="D8901" s="16"/>
      <c r="F8901" s="16"/>
      <c r="G8901" s="16"/>
      <c r="H8901" s="24"/>
      <c r="I8901" s="24"/>
      <c r="L8901"/>
    </row>
    <row r="8902" spans="1:12" x14ac:dyDescent="0.25">
      <c r="A8902" s="16"/>
      <c r="D8902" s="16"/>
      <c r="F8902" s="16"/>
      <c r="G8902" s="16"/>
      <c r="H8902" s="24"/>
      <c r="I8902" s="24"/>
      <c r="L8902"/>
    </row>
    <row r="8903" spans="1:12" x14ac:dyDescent="0.25">
      <c r="A8903" s="16"/>
      <c r="D8903" s="16"/>
      <c r="F8903" s="16"/>
      <c r="G8903" s="16"/>
      <c r="H8903" s="24"/>
      <c r="I8903" s="24"/>
      <c r="L8903"/>
    </row>
    <row r="8904" spans="1:12" x14ac:dyDescent="0.25">
      <c r="A8904" s="16"/>
      <c r="D8904" s="16"/>
      <c r="F8904" s="16"/>
      <c r="G8904" s="16"/>
      <c r="H8904" s="24"/>
      <c r="I8904" s="24"/>
      <c r="L8904"/>
    </row>
    <row r="8905" spans="1:12" x14ac:dyDescent="0.25">
      <c r="A8905" s="16"/>
      <c r="D8905" s="16"/>
      <c r="F8905" s="16"/>
      <c r="G8905" s="16"/>
      <c r="H8905" s="24"/>
      <c r="I8905" s="24"/>
      <c r="L8905"/>
    </row>
    <row r="8906" spans="1:12" x14ac:dyDescent="0.25">
      <c r="A8906" s="16"/>
      <c r="D8906" s="16"/>
      <c r="F8906" s="16"/>
      <c r="G8906" s="16"/>
      <c r="H8906" s="24"/>
      <c r="I8906" s="24"/>
      <c r="L8906"/>
    </row>
    <row r="8907" spans="1:12" x14ac:dyDescent="0.25">
      <c r="A8907" s="16"/>
      <c r="D8907" s="16"/>
      <c r="F8907" s="16"/>
      <c r="G8907" s="16"/>
      <c r="H8907" s="24"/>
      <c r="I8907" s="24"/>
      <c r="L8907"/>
    </row>
    <row r="8908" spans="1:12" x14ac:dyDescent="0.25">
      <c r="A8908" s="16"/>
      <c r="D8908" s="16"/>
      <c r="F8908" s="16"/>
      <c r="G8908" s="16"/>
      <c r="H8908" s="24"/>
      <c r="I8908" s="24"/>
      <c r="L8908"/>
    </row>
    <row r="8909" spans="1:12" x14ac:dyDescent="0.25">
      <c r="A8909" s="16"/>
      <c r="D8909" s="16"/>
      <c r="F8909" s="16"/>
      <c r="G8909" s="16"/>
      <c r="H8909" s="24"/>
      <c r="I8909" s="24"/>
      <c r="L8909"/>
    </row>
    <row r="8910" spans="1:12" x14ac:dyDescent="0.25">
      <c r="A8910" s="16"/>
      <c r="D8910" s="16"/>
      <c r="F8910" s="16"/>
      <c r="G8910" s="16"/>
      <c r="H8910" s="24"/>
      <c r="I8910" s="24"/>
      <c r="L8910"/>
    </row>
    <row r="8911" spans="1:12" x14ac:dyDescent="0.25">
      <c r="A8911" s="16"/>
      <c r="D8911" s="16"/>
      <c r="F8911" s="16"/>
      <c r="G8911" s="16"/>
      <c r="H8911" s="24"/>
      <c r="I8911" s="24"/>
      <c r="L8911"/>
    </row>
    <row r="8912" spans="1:12" x14ac:dyDescent="0.25">
      <c r="A8912" s="16"/>
      <c r="D8912" s="16"/>
      <c r="F8912" s="16"/>
      <c r="G8912" s="16"/>
      <c r="H8912" s="24"/>
      <c r="I8912" s="24"/>
      <c r="L8912"/>
    </row>
    <row r="8913" spans="1:12" x14ac:dyDescent="0.25">
      <c r="A8913" s="16"/>
      <c r="D8913" s="16"/>
      <c r="F8913" s="16"/>
      <c r="G8913" s="16"/>
      <c r="H8913" s="24"/>
      <c r="I8913" s="24"/>
      <c r="L8913"/>
    </row>
    <row r="8914" spans="1:12" x14ac:dyDescent="0.25">
      <c r="A8914" s="16"/>
      <c r="D8914" s="16"/>
      <c r="F8914" s="16"/>
      <c r="G8914" s="16"/>
      <c r="H8914" s="24"/>
      <c r="I8914" s="24"/>
      <c r="L8914"/>
    </row>
    <row r="8915" spans="1:12" x14ac:dyDescent="0.25">
      <c r="A8915" s="16"/>
      <c r="D8915" s="16"/>
      <c r="F8915" s="16"/>
      <c r="G8915" s="16"/>
      <c r="H8915" s="24"/>
      <c r="I8915" s="24"/>
      <c r="L8915"/>
    </row>
    <row r="8916" spans="1:12" x14ac:dyDescent="0.25">
      <c r="A8916" s="16"/>
      <c r="D8916" s="16"/>
      <c r="F8916" s="16"/>
      <c r="G8916" s="16"/>
      <c r="H8916" s="24"/>
      <c r="I8916" s="24"/>
      <c r="L8916"/>
    </row>
    <row r="8917" spans="1:12" x14ac:dyDescent="0.25">
      <c r="A8917" s="16"/>
      <c r="D8917" s="16"/>
      <c r="F8917" s="16"/>
      <c r="G8917" s="16"/>
      <c r="H8917" s="24"/>
      <c r="I8917" s="24"/>
      <c r="L8917"/>
    </row>
    <row r="8918" spans="1:12" x14ac:dyDescent="0.25">
      <c r="A8918" s="16"/>
      <c r="D8918" s="16"/>
      <c r="F8918" s="16"/>
      <c r="G8918" s="16"/>
      <c r="H8918" s="24"/>
      <c r="I8918" s="24"/>
      <c r="L8918"/>
    </row>
    <row r="8919" spans="1:12" x14ac:dyDescent="0.25">
      <c r="A8919" s="16"/>
      <c r="D8919" s="16"/>
      <c r="F8919" s="16"/>
      <c r="G8919" s="16"/>
      <c r="H8919" s="24"/>
      <c r="I8919" s="24"/>
      <c r="L8919"/>
    </row>
    <row r="8920" spans="1:12" x14ac:dyDescent="0.25">
      <c r="A8920" s="16"/>
      <c r="D8920" s="16"/>
      <c r="F8920" s="16"/>
      <c r="G8920" s="16"/>
      <c r="H8920" s="24"/>
      <c r="I8920" s="24"/>
      <c r="L8920"/>
    </row>
    <row r="8921" spans="1:12" x14ac:dyDescent="0.25">
      <c r="A8921" s="16"/>
      <c r="D8921" s="16"/>
      <c r="F8921" s="16"/>
      <c r="G8921" s="16"/>
      <c r="H8921" s="24"/>
      <c r="I8921" s="24"/>
      <c r="L8921"/>
    </row>
    <row r="8922" spans="1:12" x14ac:dyDescent="0.25">
      <c r="A8922" s="16"/>
      <c r="D8922" s="16"/>
      <c r="F8922" s="16"/>
      <c r="G8922" s="16"/>
      <c r="H8922" s="24"/>
      <c r="I8922" s="24"/>
      <c r="L8922"/>
    </row>
    <row r="8923" spans="1:12" x14ac:dyDescent="0.25">
      <c r="A8923" s="16"/>
      <c r="D8923" s="16"/>
      <c r="F8923" s="16"/>
      <c r="G8923" s="16"/>
      <c r="H8923" s="24"/>
      <c r="I8923" s="24"/>
      <c r="L8923"/>
    </row>
    <row r="8924" spans="1:12" x14ac:dyDescent="0.25">
      <c r="A8924" s="16"/>
      <c r="D8924" s="16"/>
      <c r="F8924" s="16"/>
      <c r="G8924" s="16"/>
      <c r="H8924" s="24"/>
      <c r="I8924" s="24"/>
      <c r="L8924"/>
    </row>
    <row r="8925" spans="1:12" x14ac:dyDescent="0.25">
      <c r="A8925" s="16"/>
      <c r="D8925" s="16"/>
      <c r="F8925" s="16"/>
      <c r="G8925" s="16"/>
      <c r="H8925" s="24"/>
      <c r="I8925" s="24"/>
      <c r="L8925"/>
    </row>
    <row r="8926" spans="1:12" x14ac:dyDescent="0.25">
      <c r="A8926" s="16"/>
      <c r="D8926" s="16"/>
      <c r="F8926" s="16"/>
      <c r="G8926" s="16"/>
      <c r="H8926" s="24"/>
      <c r="I8926" s="24"/>
      <c r="L8926"/>
    </row>
    <row r="8927" spans="1:12" x14ac:dyDescent="0.25">
      <c r="A8927" s="16"/>
      <c r="D8927" s="16"/>
      <c r="F8927" s="16"/>
      <c r="G8927" s="16"/>
      <c r="H8927" s="24"/>
      <c r="I8927" s="24"/>
      <c r="L8927"/>
    </row>
    <row r="8928" spans="1:12" x14ac:dyDescent="0.25">
      <c r="A8928" s="16"/>
      <c r="D8928" s="16"/>
      <c r="F8928" s="16"/>
      <c r="G8928" s="16"/>
      <c r="H8928" s="24"/>
      <c r="I8928" s="24"/>
      <c r="L8928"/>
    </row>
    <row r="8929" spans="1:12" x14ac:dyDescent="0.25">
      <c r="A8929" s="16"/>
      <c r="D8929" s="16"/>
      <c r="F8929" s="16"/>
      <c r="G8929" s="16"/>
      <c r="H8929" s="24"/>
      <c r="I8929" s="24"/>
      <c r="L8929"/>
    </row>
    <row r="8930" spans="1:12" x14ac:dyDescent="0.25">
      <c r="A8930" s="16"/>
      <c r="D8930" s="16"/>
      <c r="F8930" s="16"/>
      <c r="G8930" s="16"/>
      <c r="H8930" s="24"/>
      <c r="I8930" s="24"/>
      <c r="L8930"/>
    </row>
    <row r="8931" spans="1:12" x14ac:dyDescent="0.25">
      <c r="A8931" s="16"/>
      <c r="D8931" s="16"/>
      <c r="F8931" s="16"/>
      <c r="G8931" s="16"/>
      <c r="H8931" s="24"/>
      <c r="I8931" s="24"/>
      <c r="L8931"/>
    </row>
    <row r="8932" spans="1:12" x14ac:dyDescent="0.25">
      <c r="A8932" s="16"/>
      <c r="D8932" s="16"/>
      <c r="F8932" s="16"/>
      <c r="G8932" s="16"/>
      <c r="H8932" s="24"/>
      <c r="I8932" s="24"/>
      <c r="L8932"/>
    </row>
    <row r="8933" spans="1:12" x14ac:dyDescent="0.25">
      <c r="A8933" s="16"/>
      <c r="D8933" s="16"/>
      <c r="F8933" s="16"/>
      <c r="G8933" s="16"/>
      <c r="H8933" s="24"/>
      <c r="I8933" s="24"/>
      <c r="L8933"/>
    </row>
    <row r="8934" spans="1:12" x14ac:dyDescent="0.25">
      <c r="A8934" s="16"/>
      <c r="D8934" s="16"/>
      <c r="F8934" s="16"/>
      <c r="G8934" s="16"/>
      <c r="H8934" s="24"/>
      <c r="I8934" s="24"/>
      <c r="L8934"/>
    </row>
    <row r="8935" spans="1:12" x14ac:dyDescent="0.25">
      <c r="A8935" s="16"/>
      <c r="D8935" s="16"/>
      <c r="F8935" s="16"/>
      <c r="G8935" s="16"/>
      <c r="H8935" s="24"/>
      <c r="I8935" s="24"/>
      <c r="L8935"/>
    </row>
    <row r="8936" spans="1:12" x14ac:dyDescent="0.25">
      <c r="A8936" s="16"/>
      <c r="D8936" s="16"/>
      <c r="F8936" s="16"/>
      <c r="G8936" s="16"/>
      <c r="H8936" s="24"/>
      <c r="I8936" s="24"/>
      <c r="L8936"/>
    </row>
    <row r="8937" spans="1:12" x14ac:dyDescent="0.25">
      <c r="A8937" s="16"/>
      <c r="D8937" s="16"/>
      <c r="F8937" s="16"/>
      <c r="G8937" s="16"/>
      <c r="H8937" s="24"/>
      <c r="I8937" s="24"/>
      <c r="L8937"/>
    </row>
    <row r="8938" spans="1:12" x14ac:dyDescent="0.25">
      <c r="A8938" s="16"/>
      <c r="D8938" s="16"/>
      <c r="F8938" s="16"/>
      <c r="G8938" s="16"/>
      <c r="H8938" s="24"/>
      <c r="I8938" s="24"/>
      <c r="L8938"/>
    </row>
    <row r="8939" spans="1:12" x14ac:dyDescent="0.25">
      <c r="A8939" s="16"/>
      <c r="D8939" s="16"/>
      <c r="F8939" s="16"/>
      <c r="G8939" s="16"/>
      <c r="H8939" s="24"/>
      <c r="I8939" s="24"/>
      <c r="L8939"/>
    </row>
    <row r="8940" spans="1:12" x14ac:dyDescent="0.25">
      <c r="A8940" s="16"/>
      <c r="D8940" s="16"/>
      <c r="F8940" s="16"/>
      <c r="G8940" s="16"/>
      <c r="H8940" s="24"/>
      <c r="I8940" s="24"/>
      <c r="L8940"/>
    </row>
    <row r="8941" spans="1:12" x14ac:dyDescent="0.25">
      <c r="A8941" s="16"/>
      <c r="D8941" s="16"/>
      <c r="F8941" s="16"/>
      <c r="G8941" s="16"/>
      <c r="H8941" s="24"/>
      <c r="I8941" s="24"/>
      <c r="L8941"/>
    </row>
    <row r="8942" spans="1:12" x14ac:dyDescent="0.25">
      <c r="A8942" s="16"/>
      <c r="D8942" s="16"/>
      <c r="F8942" s="16"/>
      <c r="G8942" s="16"/>
      <c r="H8942" s="24"/>
      <c r="I8942" s="24"/>
      <c r="L8942"/>
    </row>
    <row r="8943" spans="1:12" x14ac:dyDescent="0.25">
      <c r="A8943" s="16"/>
      <c r="D8943" s="16"/>
      <c r="F8943" s="16"/>
      <c r="G8943" s="16"/>
      <c r="H8943" s="24"/>
      <c r="I8943" s="24"/>
      <c r="L8943"/>
    </row>
    <row r="8944" spans="1:12" x14ac:dyDescent="0.25">
      <c r="A8944" s="16"/>
      <c r="D8944" s="16"/>
      <c r="F8944" s="16"/>
      <c r="G8944" s="16"/>
      <c r="H8944" s="24"/>
      <c r="I8944" s="24"/>
      <c r="L8944"/>
    </row>
    <row r="8945" spans="1:12" x14ac:dyDescent="0.25">
      <c r="A8945" s="16"/>
      <c r="D8945" s="16"/>
      <c r="F8945" s="16"/>
      <c r="G8945" s="16"/>
      <c r="H8945" s="24"/>
      <c r="I8945" s="24"/>
      <c r="L8945"/>
    </row>
    <row r="8946" spans="1:12" x14ac:dyDescent="0.25">
      <c r="A8946" s="16"/>
      <c r="D8946" s="16"/>
      <c r="F8946" s="16"/>
      <c r="G8946" s="16"/>
      <c r="H8946" s="24"/>
      <c r="I8946" s="24"/>
      <c r="L8946"/>
    </row>
    <row r="8947" spans="1:12" x14ac:dyDescent="0.25">
      <c r="A8947" s="16"/>
      <c r="D8947" s="16"/>
      <c r="F8947" s="16"/>
      <c r="G8947" s="16"/>
      <c r="H8947" s="24"/>
      <c r="I8947" s="24"/>
      <c r="L8947"/>
    </row>
    <row r="8948" spans="1:12" x14ac:dyDescent="0.25">
      <c r="A8948" s="16"/>
      <c r="D8948" s="16"/>
      <c r="F8948" s="16"/>
      <c r="G8948" s="16"/>
      <c r="H8948" s="24"/>
      <c r="I8948" s="24"/>
      <c r="L8948"/>
    </row>
    <row r="8949" spans="1:12" x14ac:dyDescent="0.25">
      <c r="A8949" s="16"/>
      <c r="D8949" s="16"/>
      <c r="F8949" s="16"/>
      <c r="G8949" s="16"/>
      <c r="H8949" s="24"/>
      <c r="I8949" s="24"/>
      <c r="L8949"/>
    </row>
    <row r="8950" spans="1:12" x14ac:dyDescent="0.25">
      <c r="A8950" s="16"/>
      <c r="D8950" s="16"/>
      <c r="F8950" s="16"/>
      <c r="G8950" s="16"/>
      <c r="H8950" s="24"/>
      <c r="I8950" s="24"/>
      <c r="L8950"/>
    </row>
    <row r="8951" spans="1:12" x14ac:dyDescent="0.25">
      <c r="A8951" s="16"/>
      <c r="D8951" s="16"/>
      <c r="F8951" s="16"/>
      <c r="G8951" s="16"/>
      <c r="H8951" s="24"/>
      <c r="I8951" s="24"/>
      <c r="L8951"/>
    </row>
    <row r="8952" spans="1:12" x14ac:dyDescent="0.25">
      <c r="A8952" s="16"/>
      <c r="D8952" s="16"/>
      <c r="F8952" s="16"/>
      <c r="G8952" s="16"/>
      <c r="H8952" s="24"/>
      <c r="I8952" s="24"/>
      <c r="L8952"/>
    </row>
    <row r="8953" spans="1:12" x14ac:dyDescent="0.25">
      <c r="A8953" s="16"/>
      <c r="D8953" s="16"/>
      <c r="F8953" s="16"/>
      <c r="G8953" s="16"/>
      <c r="H8953" s="24"/>
      <c r="I8953" s="24"/>
      <c r="L8953"/>
    </row>
    <row r="8954" spans="1:12" x14ac:dyDescent="0.25">
      <c r="A8954" s="16"/>
      <c r="D8954" s="16"/>
      <c r="F8954" s="16"/>
      <c r="G8954" s="16"/>
      <c r="H8954" s="24"/>
      <c r="I8954" s="24"/>
      <c r="L8954"/>
    </row>
    <row r="8955" spans="1:12" x14ac:dyDescent="0.25">
      <c r="A8955" s="16"/>
      <c r="D8955" s="16"/>
      <c r="F8955" s="16"/>
      <c r="G8955" s="16"/>
      <c r="H8955" s="24"/>
      <c r="I8955" s="24"/>
      <c r="L8955"/>
    </row>
    <row r="8956" spans="1:12" x14ac:dyDescent="0.25">
      <c r="A8956" s="16"/>
      <c r="D8956" s="16"/>
      <c r="F8956" s="16"/>
      <c r="G8956" s="16"/>
      <c r="H8956" s="24"/>
      <c r="I8956" s="24"/>
      <c r="L8956"/>
    </row>
    <row r="8957" spans="1:12" x14ac:dyDescent="0.25">
      <c r="A8957" s="16"/>
      <c r="D8957" s="16"/>
      <c r="F8957" s="16"/>
      <c r="G8957" s="16"/>
      <c r="H8957" s="24"/>
      <c r="I8957" s="24"/>
      <c r="L8957"/>
    </row>
    <row r="8958" spans="1:12" x14ac:dyDescent="0.25">
      <c r="A8958" s="16"/>
      <c r="D8958" s="16"/>
      <c r="F8958" s="16"/>
      <c r="G8958" s="16"/>
      <c r="H8958" s="24"/>
      <c r="I8958" s="24"/>
      <c r="L8958"/>
    </row>
    <row r="8959" spans="1:12" x14ac:dyDescent="0.25">
      <c r="A8959" s="16"/>
      <c r="D8959" s="16"/>
      <c r="F8959" s="16"/>
      <c r="G8959" s="16"/>
      <c r="H8959" s="24"/>
      <c r="I8959" s="24"/>
      <c r="L8959"/>
    </row>
    <row r="8960" spans="1:12" x14ac:dyDescent="0.25">
      <c r="A8960" s="16"/>
      <c r="D8960" s="16"/>
      <c r="F8960" s="16"/>
      <c r="G8960" s="16"/>
      <c r="H8960" s="24"/>
      <c r="I8960" s="24"/>
      <c r="L8960"/>
    </row>
    <row r="8961" spans="1:12" x14ac:dyDescent="0.25">
      <c r="A8961" s="16"/>
      <c r="D8961" s="16"/>
      <c r="F8961" s="16"/>
      <c r="G8961" s="16"/>
      <c r="H8961" s="24"/>
      <c r="I8961" s="24"/>
      <c r="L8961"/>
    </row>
    <row r="8962" spans="1:12" x14ac:dyDescent="0.25">
      <c r="A8962" s="16"/>
      <c r="D8962" s="16"/>
      <c r="F8962" s="16"/>
      <c r="G8962" s="16"/>
      <c r="H8962" s="24"/>
      <c r="I8962" s="24"/>
      <c r="L8962"/>
    </row>
    <row r="8963" spans="1:12" x14ac:dyDescent="0.25">
      <c r="A8963" s="16"/>
      <c r="D8963" s="16"/>
      <c r="F8963" s="16"/>
      <c r="G8963" s="16"/>
      <c r="H8963" s="24"/>
      <c r="I8963" s="24"/>
      <c r="L8963"/>
    </row>
    <row r="8964" spans="1:12" x14ac:dyDescent="0.25">
      <c r="A8964" s="16"/>
      <c r="D8964" s="16"/>
      <c r="F8964" s="16"/>
      <c r="G8964" s="16"/>
      <c r="H8964" s="24"/>
      <c r="I8964" s="24"/>
      <c r="L8964"/>
    </row>
    <row r="8965" spans="1:12" x14ac:dyDescent="0.25">
      <c r="A8965" s="16"/>
      <c r="D8965" s="16"/>
      <c r="F8965" s="16"/>
      <c r="G8965" s="16"/>
      <c r="H8965" s="24"/>
      <c r="I8965" s="24"/>
      <c r="L8965"/>
    </row>
    <row r="8966" spans="1:12" x14ac:dyDescent="0.25">
      <c r="A8966" s="16"/>
      <c r="D8966" s="16"/>
      <c r="F8966" s="16"/>
      <c r="G8966" s="16"/>
      <c r="H8966" s="24"/>
      <c r="I8966" s="24"/>
      <c r="L8966"/>
    </row>
    <row r="8967" spans="1:12" x14ac:dyDescent="0.25">
      <c r="A8967" s="16"/>
      <c r="D8967" s="16"/>
      <c r="F8967" s="16"/>
      <c r="G8967" s="16"/>
      <c r="H8967" s="24"/>
      <c r="I8967" s="24"/>
      <c r="L8967"/>
    </row>
    <row r="8968" spans="1:12" x14ac:dyDescent="0.25">
      <c r="A8968" s="16"/>
      <c r="D8968" s="16"/>
      <c r="F8968" s="16"/>
      <c r="G8968" s="16"/>
      <c r="H8968" s="24"/>
      <c r="I8968" s="24"/>
      <c r="L8968"/>
    </row>
    <row r="8969" spans="1:12" x14ac:dyDescent="0.25">
      <c r="A8969" s="16"/>
      <c r="D8969" s="16"/>
      <c r="F8969" s="16"/>
      <c r="G8969" s="16"/>
      <c r="H8969" s="24"/>
      <c r="I8969" s="24"/>
      <c r="L8969"/>
    </row>
    <row r="8970" spans="1:12" x14ac:dyDescent="0.25">
      <c r="A8970" s="16"/>
      <c r="D8970" s="16"/>
      <c r="F8970" s="16"/>
      <c r="G8970" s="16"/>
      <c r="H8970" s="24"/>
      <c r="I8970" s="24"/>
      <c r="L8970"/>
    </row>
    <row r="8971" spans="1:12" x14ac:dyDescent="0.25">
      <c r="A8971" s="16"/>
      <c r="D8971" s="16"/>
      <c r="F8971" s="16"/>
      <c r="G8971" s="16"/>
      <c r="H8971" s="24"/>
      <c r="I8971" s="24"/>
      <c r="L8971"/>
    </row>
    <row r="8972" spans="1:12" x14ac:dyDescent="0.25">
      <c r="A8972" s="16"/>
      <c r="D8972" s="16"/>
      <c r="F8972" s="16"/>
      <c r="G8972" s="16"/>
      <c r="H8972" s="24"/>
      <c r="I8972" s="24"/>
      <c r="L8972"/>
    </row>
    <row r="8973" spans="1:12" x14ac:dyDescent="0.25">
      <c r="A8973" s="16"/>
      <c r="D8973" s="16"/>
      <c r="F8973" s="16"/>
      <c r="G8973" s="16"/>
      <c r="H8973" s="24"/>
      <c r="I8973" s="24"/>
      <c r="L8973"/>
    </row>
    <row r="8974" spans="1:12" x14ac:dyDescent="0.25">
      <c r="A8974" s="16"/>
      <c r="D8974" s="16"/>
      <c r="F8974" s="16"/>
      <c r="G8974" s="16"/>
      <c r="H8974" s="24"/>
      <c r="I8974" s="24"/>
      <c r="L8974"/>
    </row>
    <row r="8975" spans="1:12" x14ac:dyDescent="0.25">
      <c r="A8975" s="16"/>
      <c r="D8975" s="16"/>
      <c r="F8975" s="16"/>
      <c r="G8975" s="16"/>
      <c r="H8975" s="24"/>
      <c r="I8975" s="24"/>
      <c r="L8975"/>
    </row>
    <row r="8976" spans="1:12" x14ac:dyDescent="0.25">
      <c r="A8976" s="16"/>
      <c r="D8976" s="16"/>
      <c r="F8976" s="16"/>
      <c r="G8976" s="16"/>
      <c r="H8976" s="24"/>
      <c r="I8976" s="24"/>
      <c r="L8976"/>
    </row>
    <row r="8977" spans="1:12" x14ac:dyDescent="0.25">
      <c r="A8977" s="16"/>
      <c r="D8977" s="16"/>
      <c r="F8977" s="16"/>
      <c r="G8977" s="16"/>
      <c r="H8977" s="24"/>
      <c r="I8977" s="24"/>
      <c r="L8977"/>
    </row>
    <row r="8978" spans="1:12" x14ac:dyDescent="0.25">
      <c r="A8978" s="16"/>
      <c r="D8978" s="16"/>
      <c r="F8978" s="16"/>
      <c r="G8978" s="16"/>
      <c r="H8978" s="24"/>
      <c r="I8978" s="24"/>
      <c r="L8978"/>
    </row>
    <row r="8979" spans="1:12" x14ac:dyDescent="0.25">
      <c r="A8979" s="16"/>
      <c r="D8979" s="16"/>
      <c r="F8979" s="16"/>
      <c r="G8979" s="16"/>
      <c r="H8979" s="24"/>
      <c r="I8979" s="24"/>
      <c r="L8979"/>
    </row>
    <row r="8980" spans="1:12" x14ac:dyDescent="0.25">
      <c r="A8980" s="16"/>
      <c r="D8980" s="16"/>
      <c r="F8980" s="16"/>
      <c r="G8980" s="16"/>
      <c r="H8980" s="24"/>
      <c r="I8980" s="24"/>
      <c r="L8980"/>
    </row>
    <row r="8981" spans="1:12" x14ac:dyDescent="0.25">
      <c r="A8981" s="16"/>
      <c r="D8981" s="16"/>
      <c r="F8981" s="16"/>
      <c r="G8981" s="16"/>
      <c r="H8981" s="24"/>
      <c r="I8981" s="24"/>
      <c r="L8981"/>
    </row>
    <row r="8982" spans="1:12" x14ac:dyDescent="0.25">
      <c r="A8982" s="16"/>
      <c r="D8982" s="16"/>
      <c r="F8982" s="16"/>
      <c r="G8982" s="16"/>
      <c r="H8982" s="24"/>
      <c r="I8982" s="24"/>
      <c r="L8982"/>
    </row>
    <row r="8983" spans="1:12" x14ac:dyDescent="0.25">
      <c r="A8983" s="16"/>
      <c r="D8983" s="16"/>
      <c r="F8983" s="16"/>
      <c r="G8983" s="16"/>
      <c r="H8983" s="24"/>
      <c r="I8983" s="24"/>
      <c r="L8983"/>
    </row>
    <row r="8984" spans="1:12" x14ac:dyDescent="0.25">
      <c r="A8984" s="16"/>
      <c r="D8984" s="16"/>
      <c r="F8984" s="16"/>
      <c r="G8984" s="16"/>
      <c r="H8984" s="24"/>
      <c r="I8984" s="24"/>
      <c r="L8984"/>
    </row>
    <row r="8985" spans="1:12" x14ac:dyDescent="0.25">
      <c r="A8985" s="16"/>
      <c r="D8985" s="16"/>
      <c r="F8985" s="16"/>
      <c r="G8985" s="16"/>
      <c r="H8985" s="24"/>
      <c r="I8985" s="24"/>
      <c r="L8985"/>
    </row>
    <row r="8986" spans="1:12" x14ac:dyDescent="0.25">
      <c r="A8986" s="16"/>
      <c r="D8986" s="16"/>
      <c r="F8986" s="16"/>
      <c r="G8986" s="16"/>
      <c r="H8986" s="24"/>
      <c r="I8986" s="24"/>
      <c r="L8986"/>
    </row>
    <row r="8987" spans="1:12" x14ac:dyDescent="0.25">
      <c r="A8987" s="16"/>
      <c r="D8987" s="16"/>
      <c r="F8987" s="16"/>
      <c r="G8987" s="16"/>
      <c r="H8987" s="24"/>
      <c r="I8987" s="24"/>
      <c r="L8987"/>
    </row>
    <row r="8988" spans="1:12" x14ac:dyDescent="0.25">
      <c r="A8988" s="16"/>
      <c r="D8988" s="16"/>
      <c r="F8988" s="16"/>
      <c r="G8988" s="16"/>
      <c r="H8988" s="24"/>
      <c r="I8988" s="24"/>
      <c r="L8988"/>
    </row>
    <row r="8989" spans="1:12" x14ac:dyDescent="0.25">
      <c r="A8989" s="16"/>
      <c r="D8989" s="16"/>
      <c r="F8989" s="16"/>
      <c r="G8989" s="16"/>
      <c r="H8989" s="24"/>
      <c r="I8989" s="24"/>
      <c r="L8989"/>
    </row>
    <row r="8990" spans="1:12" x14ac:dyDescent="0.25">
      <c r="A8990" s="16"/>
      <c r="D8990" s="16"/>
      <c r="F8990" s="16"/>
      <c r="G8990" s="16"/>
      <c r="H8990" s="24"/>
      <c r="I8990" s="24"/>
      <c r="L8990"/>
    </row>
    <row r="8991" spans="1:12" x14ac:dyDescent="0.25">
      <c r="A8991" s="16"/>
      <c r="D8991" s="16"/>
      <c r="F8991" s="16"/>
      <c r="G8991" s="16"/>
      <c r="H8991" s="24"/>
      <c r="I8991" s="24"/>
      <c r="L8991"/>
    </row>
    <row r="8992" spans="1:12" x14ac:dyDescent="0.25">
      <c r="A8992" s="16"/>
      <c r="D8992" s="16"/>
      <c r="F8992" s="16"/>
      <c r="G8992" s="16"/>
      <c r="H8992" s="24"/>
      <c r="I8992" s="24"/>
      <c r="L8992"/>
    </row>
    <row r="8993" spans="1:12" x14ac:dyDescent="0.25">
      <c r="A8993" s="16"/>
      <c r="D8993" s="16"/>
      <c r="F8993" s="16"/>
      <c r="G8993" s="16"/>
      <c r="H8993" s="24"/>
      <c r="I8993" s="24"/>
      <c r="L8993"/>
    </row>
    <row r="8994" spans="1:12" x14ac:dyDescent="0.25">
      <c r="A8994" s="16"/>
      <c r="D8994" s="16"/>
      <c r="F8994" s="16"/>
      <c r="G8994" s="16"/>
      <c r="H8994" s="24"/>
      <c r="I8994" s="24"/>
      <c r="L8994"/>
    </row>
    <row r="8995" spans="1:12" x14ac:dyDescent="0.25">
      <c r="A8995" s="16"/>
      <c r="D8995" s="16"/>
      <c r="F8995" s="16"/>
      <c r="G8995" s="16"/>
      <c r="H8995" s="24"/>
      <c r="I8995" s="24"/>
      <c r="L8995"/>
    </row>
    <row r="8996" spans="1:12" x14ac:dyDescent="0.25">
      <c r="A8996" s="16"/>
      <c r="D8996" s="16"/>
      <c r="F8996" s="16"/>
      <c r="G8996" s="16"/>
      <c r="H8996" s="24"/>
      <c r="I8996" s="24"/>
      <c r="L8996"/>
    </row>
    <row r="8997" spans="1:12" x14ac:dyDescent="0.25">
      <c r="A8997" s="16"/>
      <c r="D8997" s="16"/>
      <c r="F8997" s="16"/>
      <c r="G8997" s="16"/>
      <c r="H8997" s="24"/>
      <c r="I8997" s="24"/>
      <c r="L8997"/>
    </row>
    <row r="8998" spans="1:12" x14ac:dyDescent="0.25">
      <c r="A8998" s="16"/>
      <c r="D8998" s="16"/>
      <c r="F8998" s="16"/>
      <c r="G8998" s="16"/>
      <c r="H8998" s="24"/>
      <c r="I8998" s="24"/>
      <c r="L8998"/>
    </row>
    <row r="8999" spans="1:12" x14ac:dyDescent="0.25">
      <c r="A8999" s="16"/>
      <c r="D8999" s="16"/>
      <c r="F8999" s="16"/>
      <c r="G8999" s="16"/>
      <c r="H8999" s="24"/>
      <c r="I8999" s="24"/>
      <c r="L8999"/>
    </row>
    <row r="9000" spans="1:12" x14ac:dyDescent="0.25">
      <c r="A9000" s="16"/>
      <c r="D9000" s="16"/>
      <c r="F9000" s="16"/>
      <c r="G9000" s="16"/>
      <c r="H9000" s="24"/>
      <c r="I9000" s="24"/>
      <c r="L9000"/>
    </row>
    <row r="9001" spans="1:12" x14ac:dyDescent="0.25">
      <c r="A9001" s="16"/>
      <c r="D9001" s="16"/>
      <c r="F9001" s="16"/>
      <c r="G9001" s="16"/>
      <c r="H9001" s="24"/>
      <c r="I9001" s="24"/>
      <c r="L9001"/>
    </row>
    <row r="9002" spans="1:12" x14ac:dyDescent="0.25">
      <c r="A9002" s="16"/>
      <c r="D9002" s="16"/>
      <c r="F9002" s="16"/>
      <c r="G9002" s="16"/>
      <c r="H9002" s="24"/>
      <c r="I9002" s="24"/>
      <c r="L9002"/>
    </row>
    <row r="9003" spans="1:12" x14ac:dyDescent="0.25">
      <c r="A9003" s="16"/>
      <c r="D9003" s="16"/>
      <c r="F9003" s="16"/>
      <c r="G9003" s="16"/>
      <c r="H9003" s="24"/>
      <c r="I9003" s="24"/>
      <c r="L9003"/>
    </row>
    <row r="9004" spans="1:12" x14ac:dyDescent="0.25">
      <c r="A9004" s="16"/>
      <c r="D9004" s="16"/>
      <c r="F9004" s="16"/>
      <c r="G9004" s="16"/>
      <c r="H9004" s="24"/>
      <c r="I9004" s="24"/>
      <c r="L9004"/>
    </row>
    <row r="9005" spans="1:12" x14ac:dyDescent="0.25">
      <c r="A9005" s="16"/>
      <c r="D9005" s="16"/>
      <c r="F9005" s="16"/>
      <c r="G9005" s="16"/>
      <c r="H9005" s="24"/>
      <c r="I9005" s="24"/>
      <c r="L9005"/>
    </row>
    <row r="9006" spans="1:12" x14ac:dyDescent="0.25">
      <c r="A9006" s="16"/>
      <c r="D9006" s="16"/>
      <c r="F9006" s="16"/>
      <c r="G9006" s="16"/>
      <c r="H9006" s="24"/>
      <c r="I9006" s="24"/>
      <c r="L9006"/>
    </row>
    <row r="9007" spans="1:12" x14ac:dyDescent="0.25">
      <c r="A9007" s="16"/>
      <c r="D9007" s="16"/>
      <c r="F9007" s="16"/>
      <c r="G9007" s="16"/>
      <c r="H9007" s="24"/>
      <c r="I9007" s="24"/>
      <c r="L9007"/>
    </row>
    <row r="9008" spans="1:12" x14ac:dyDescent="0.25">
      <c r="A9008" s="16"/>
      <c r="D9008" s="16"/>
      <c r="F9008" s="16"/>
      <c r="G9008" s="16"/>
      <c r="H9008" s="24"/>
      <c r="I9008" s="24"/>
      <c r="L9008"/>
    </row>
    <row r="9009" spans="1:12" x14ac:dyDescent="0.25">
      <c r="A9009" s="16"/>
      <c r="D9009" s="16"/>
      <c r="F9009" s="16"/>
      <c r="G9009" s="16"/>
      <c r="H9009" s="24"/>
      <c r="I9009" s="24"/>
      <c r="L9009"/>
    </row>
    <row r="9010" spans="1:12" x14ac:dyDescent="0.25">
      <c r="A9010" s="16"/>
      <c r="D9010" s="16"/>
      <c r="F9010" s="16"/>
      <c r="G9010" s="16"/>
      <c r="H9010" s="24"/>
      <c r="I9010" s="24"/>
      <c r="L9010"/>
    </row>
    <row r="9011" spans="1:12" x14ac:dyDescent="0.25">
      <c r="A9011" s="16"/>
      <c r="D9011" s="16"/>
      <c r="F9011" s="16"/>
      <c r="G9011" s="16"/>
      <c r="H9011" s="24"/>
      <c r="I9011" s="24"/>
      <c r="L9011"/>
    </row>
    <row r="9012" spans="1:12" x14ac:dyDescent="0.25">
      <c r="A9012" s="16"/>
      <c r="D9012" s="16"/>
      <c r="F9012" s="16"/>
      <c r="G9012" s="16"/>
      <c r="H9012" s="24"/>
      <c r="I9012" s="24"/>
      <c r="L9012"/>
    </row>
    <row r="9013" spans="1:12" x14ac:dyDescent="0.25">
      <c r="A9013" s="16"/>
      <c r="D9013" s="16"/>
      <c r="F9013" s="16"/>
      <c r="G9013" s="16"/>
      <c r="H9013" s="24"/>
      <c r="I9013" s="24"/>
      <c r="L9013"/>
    </row>
    <row r="9014" spans="1:12" x14ac:dyDescent="0.25">
      <c r="A9014" s="16"/>
      <c r="D9014" s="16"/>
      <c r="F9014" s="16"/>
      <c r="G9014" s="16"/>
      <c r="H9014" s="24"/>
      <c r="I9014" s="24"/>
      <c r="L9014"/>
    </row>
    <row r="9015" spans="1:12" x14ac:dyDescent="0.25">
      <c r="A9015" s="16"/>
      <c r="D9015" s="16"/>
      <c r="F9015" s="16"/>
      <c r="G9015" s="16"/>
      <c r="H9015" s="24"/>
      <c r="I9015" s="24"/>
      <c r="L9015"/>
    </row>
    <row r="9016" spans="1:12" x14ac:dyDescent="0.25">
      <c r="A9016" s="16"/>
      <c r="D9016" s="16"/>
      <c r="F9016" s="16"/>
      <c r="G9016" s="16"/>
      <c r="H9016" s="24"/>
      <c r="I9016" s="24"/>
      <c r="L9016"/>
    </row>
    <row r="9017" spans="1:12" x14ac:dyDescent="0.25">
      <c r="A9017" s="16"/>
      <c r="D9017" s="16"/>
      <c r="F9017" s="16"/>
      <c r="G9017" s="16"/>
      <c r="H9017" s="24"/>
      <c r="I9017" s="24"/>
      <c r="L9017"/>
    </row>
    <row r="9018" spans="1:12" x14ac:dyDescent="0.25">
      <c r="A9018" s="16"/>
      <c r="D9018" s="16"/>
      <c r="F9018" s="16"/>
      <c r="G9018" s="16"/>
      <c r="H9018" s="24"/>
      <c r="I9018" s="24"/>
      <c r="L9018"/>
    </row>
    <row r="9019" spans="1:12" x14ac:dyDescent="0.25">
      <c r="A9019" s="16"/>
      <c r="D9019" s="16"/>
      <c r="F9019" s="16"/>
      <c r="G9019" s="16"/>
      <c r="H9019" s="24"/>
      <c r="I9019" s="24"/>
      <c r="L9019"/>
    </row>
    <row r="9020" spans="1:12" x14ac:dyDescent="0.25">
      <c r="A9020" s="16"/>
      <c r="D9020" s="16"/>
      <c r="F9020" s="16"/>
      <c r="G9020" s="16"/>
      <c r="H9020" s="24"/>
      <c r="I9020" s="24"/>
      <c r="L9020"/>
    </row>
    <row r="9021" spans="1:12" x14ac:dyDescent="0.25">
      <c r="A9021" s="16"/>
      <c r="D9021" s="16"/>
      <c r="F9021" s="16"/>
      <c r="G9021" s="16"/>
      <c r="H9021" s="24"/>
      <c r="I9021" s="24"/>
      <c r="L9021"/>
    </row>
    <row r="9022" spans="1:12" x14ac:dyDescent="0.25">
      <c r="A9022" s="16"/>
      <c r="D9022" s="16"/>
      <c r="F9022" s="16"/>
      <c r="G9022" s="16"/>
      <c r="H9022" s="24"/>
      <c r="I9022" s="24"/>
      <c r="L9022"/>
    </row>
    <row r="9023" spans="1:12" x14ac:dyDescent="0.25">
      <c r="A9023" s="16"/>
      <c r="D9023" s="16"/>
      <c r="F9023" s="16"/>
      <c r="G9023" s="16"/>
      <c r="H9023" s="24"/>
      <c r="I9023" s="24"/>
      <c r="L9023"/>
    </row>
    <row r="9024" spans="1:12" x14ac:dyDescent="0.25">
      <c r="A9024" s="16"/>
      <c r="D9024" s="16"/>
      <c r="F9024" s="16"/>
      <c r="G9024" s="16"/>
      <c r="H9024" s="24"/>
      <c r="I9024" s="24"/>
      <c r="L9024"/>
    </row>
    <row r="9025" spans="1:12" x14ac:dyDescent="0.25">
      <c r="A9025" s="16"/>
      <c r="D9025" s="16"/>
      <c r="F9025" s="16"/>
      <c r="G9025" s="16"/>
      <c r="H9025" s="24"/>
      <c r="I9025" s="24"/>
      <c r="L9025"/>
    </row>
    <row r="9026" spans="1:12" x14ac:dyDescent="0.25">
      <c r="A9026" s="16"/>
      <c r="D9026" s="16"/>
      <c r="F9026" s="16"/>
      <c r="G9026" s="16"/>
      <c r="H9026" s="24"/>
      <c r="I9026" s="24"/>
      <c r="L9026"/>
    </row>
    <row r="9027" spans="1:12" x14ac:dyDescent="0.25">
      <c r="A9027" s="16"/>
      <c r="D9027" s="16"/>
      <c r="F9027" s="16"/>
      <c r="G9027" s="16"/>
      <c r="H9027" s="24"/>
      <c r="I9027" s="24"/>
      <c r="L9027"/>
    </row>
    <row r="9028" spans="1:12" x14ac:dyDescent="0.25">
      <c r="A9028" s="16"/>
      <c r="D9028" s="16"/>
      <c r="F9028" s="16"/>
      <c r="G9028" s="16"/>
      <c r="H9028" s="24"/>
      <c r="I9028" s="24"/>
      <c r="L9028"/>
    </row>
    <row r="9029" spans="1:12" x14ac:dyDescent="0.25">
      <c r="A9029" s="16"/>
      <c r="D9029" s="16"/>
      <c r="F9029" s="16"/>
      <c r="G9029" s="16"/>
      <c r="H9029" s="24"/>
      <c r="I9029" s="24"/>
      <c r="L9029"/>
    </row>
    <row r="9030" spans="1:12" x14ac:dyDescent="0.25">
      <c r="A9030" s="16"/>
      <c r="D9030" s="16"/>
      <c r="F9030" s="16"/>
      <c r="G9030" s="16"/>
      <c r="H9030" s="24"/>
      <c r="I9030" s="24"/>
      <c r="L9030"/>
    </row>
    <row r="9031" spans="1:12" x14ac:dyDescent="0.25">
      <c r="A9031" s="16"/>
      <c r="D9031" s="16"/>
      <c r="F9031" s="16"/>
      <c r="G9031" s="16"/>
      <c r="H9031" s="24"/>
      <c r="I9031" s="24"/>
      <c r="L9031"/>
    </row>
    <row r="9032" spans="1:12" x14ac:dyDescent="0.25">
      <c r="A9032" s="16"/>
      <c r="D9032" s="16"/>
      <c r="F9032" s="16"/>
      <c r="G9032" s="16"/>
      <c r="H9032" s="24"/>
      <c r="I9032" s="24"/>
      <c r="L9032"/>
    </row>
    <row r="9033" spans="1:12" x14ac:dyDescent="0.25">
      <c r="A9033" s="16"/>
      <c r="D9033" s="16"/>
      <c r="F9033" s="16"/>
      <c r="G9033" s="16"/>
      <c r="H9033" s="24"/>
      <c r="I9033" s="24"/>
      <c r="L9033"/>
    </row>
    <row r="9034" spans="1:12" x14ac:dyDescent="0.25">
      <c r="A9034" s="16"/>
      <c r="D9034" s="16"/>
      <c r="F9034" s="16"/>
      <c r="G9034" s="16"/>
      <c r="H9034" s="24"/>
      <c r="I9034" s="24"/>
      <c r="L9034"/>
    </row>
    <row r="9035" spans="1:12" x14ac:dyDescent="0.25">
      <c r="A9035" s="16"/>
      <c r="D9035" s="16"/>
      <c r="F9035" s="16"/>
      <c r="G9035" s="16"/>
      <c r="H9035" s="24"/>
      <c r="I9035" s="24"/>
      <c r="L9035"/>
    </row>
    <row r="9036" spans="1:12" x14ac:dyDescent="0.25">
      <c r="A9036" s="16"/>
      <c r="D9036" s="16"/>
      <c r="F9036" s="16"/>
      <c r="G9036" s="16"/>
      <c r="H9036" s="24"/>
      <c r="I9036" s="24"/>
      <c r="L9036"/>
    </row>
    <row r="9037" spans="1:12" x14ac:dyDescent="0.25">
      <c r="A9037" s="16"/>
      <c r="D9037" s="16"/>
      <c r="F9037" s="16"/>
      <c r="G9037" s="16"/>
      <c r="H9037" s="24"/>
      <c r="I9037" s="24"/>
      <c r="L9037"/>
    </row>
    <row r="9038" spans="1:12" x14ac:dyDescent="0.25">
      <c r="A9038" s="16"/>
      <c r="D9038" s="16"/>
      <c r="F9038" s="16"/>
      <c r="G9038" s="16"/>
      <c r="H9038" s="24"/>
      <c r="I9038" s="24"/>
      <c r="L9038"/>
    </row>
    <row r="9039" spans="1:12" x14ac:dyDescent="0.25">
      <c r="A9039" s="16"/>
      <c r="D9039" s="16"/>
      <c r="F9039" s="16"/>
      <c r="G9039" s="16"/>
      <c r="H9039" s="24"/>
      <c r="I9039" s="24"/>
      <c r="L9039"/>
    </row>
    <row r="9040" spans="1:12" x14ac:dyDescent="0.25">
      <c r="A9040" s="16"/>
      <c r="D9040" s="16"/>
      <c r="F9040" s="16"/>
      <c r="G9040" s="16"/>
      <c r="H9040" s="24"/>
      <c r="I9040" s="24"/>
      <c r="L9040"/>
    </row>
    <row r="9041" spans="1:12" x14ac:dyDescent="0.25">
      <c r="A9041" s="16"/>
      <c r="D9041" s="16"/>
      <c r="F9041" s="16"/>
      <c r="G9041" s="16"/>
      <c r="H9041" s="24"/>
      <c r="I9041" s="24"/>
      <c r="L9041"/>
    </row>
    <row r="9042" spans="1:12" x14ac:dyDescent="0.25">
      <c r="A9042" s="16"/>
      <c r="D9042" s="16"/>
      <c r="F9042" s="16"/>
      <c r="G9042" s="16"/>
      <c r="H9042" s="24"/>
      <c r="I9042" s="24"/>
      <c r="L9042"/>
    </row>
    <row r="9043" spans="1:12" x14ac:dyDescent="0.25">
      <c r="A9043" s="16"/>
      <c r="D9043" s="16"/>
      <c r="F9043" s="16"/>
      <c r="G9043" s="16"/>
      <c r="H9043" s="24"/>
      <c r="I9043" s="24"/>
      <c r="L9043"/>
    </row>
    <row r="9044" spans="1:12" x14ac:dyDescent="0.25">
      <c r="A9044" s="16"/>
      <c r="D9044" s="16"/>
      <c r="F9044" s="16"/>
      <c r="G9044" s="16"/>
      <c r="H9044" s="24"/>
      <c r="I9044" s="24"/>
      <c r="L9044"/>
    </row>
    <row r="9045" spans="1:12" x14ac:dyDescent="0.25">
      <c r="A9045" s="16"/>
      <c r="D9045" s="16"/>
      <c r="F9045" s="16"/>
      <c r="G9045" s="16"/>
      <c r="H9045" s="24"/>
      <c r="I9045" s="24"/>
      <c r="L9045"/>
    </row>
    <row r="9046" spans="1:12" x14ac:dyDescent="0.25">
      <c r="A9046" s="16"/>
      <c r="D9046" s="16"/>
      <c r="F9046" s="16"/>
      <c r="G9046" s="16"/>
      <c r="H9046" s="24"/>
      <c r="I9046" s="24"/>
      <c r="L9046"/>
    </row>
    <row r="9047" spans="1:12" x14ac:dyDescent="0.25">
      <c r="A9047" s="16"/>
      <c r="D9047" s="16"/>
      <c r="F9047" s="16"/>
      <c r="G9047" s="16"/>
      <c r="H9047" s="24"/>
      <c r="I9047" s="24"/>
      <c r="L9047"/>
    </row>
    <row r="9048" spans="1:12" x14ac:dyDescent="0.25">
      <c r="A9048" s="16"/>
      <c r="D9048" s="16"/>
      <c r="F9048" s="16"/>
      <c r="G9048" s="16"/>
      <c r="H9048" s="24"/>
      <c r="I9048" s="24"/>
      <c r="L9048"/>
    </row>
    <row r="9049" spans="1:12" x14ac:dyDescent="0.25">
      <c r="A9049" s="16"/>
      <c r="D9049" s="16"/>
      <c r="F9049" s="16"/>
      <c r="G9049" s="16"/>
      <c r="H9049" s="24"/>
      <c r="I9049" s="24"/>
      <c r="L9049"/>
    </row>
    <row r="9050" spans="1:12" x14ac:dyDescent="0.25">
      <c r="A9050" s="16"/>
      <c r="D9050" s="16"/>
      <c r="F9050" s="16"/>
      <c r="G9050" s="16"/>
      <c r="H9050" s="24"/>
      <c r="I9050" s="24"/>
      <c r="L9050"/>
    </row>
    <row r="9051" spans="1:12" x14ac:dyDescent="0.25">
      <c r="A9051" s="16"/>
      <c r="D9051" s="16"/>
      <c r="F9051" s="16"/>
      <c r="G9051" s="16"/>
      <c r="H9051" s="24"/>
      <c r="I9051" s="24"/>
      <c r="L9051"/>
    </row>
    <row r="9052" spans="1:12" x14ac:dyDescent="0.25">
      <c r="A9052" s="16"/>
      <c r="D9052" s="16"/>
      <c r="F9052" s="16"/>
      <c r="G9052" s="16"/>
      <c r="H9052" s="24"/>
      <c r="I9052" s="24"/>
      <c r="L9052"/>
    </row>
    <row r="9053" spans="1:12" x14ac:dyDescent="0.25">
      <c r="A9053" s="16"/>
      <c r="D9053" s="16"/>
      <c r="F9053" s="16"/>
      <c r="G9053" s="16"/>
      <c r="H9053" s="24"/>
      <c r="I9053" s="24"/>
      <c r="L9053"/>
    </row>
    <row r="9054" spans="1:12" x14ac:dyDescent="0.25">
      <c r="A9054" s="16"/>
      <c r="D9054" s="16"/>
      <c r="F9054" s="16"/>
      <c r="G9054" s="16"/>
      <c r="H9054" s="24"/>
      <c r="I9054" s="24"/>
      <c r="L9054"/>
    </row>
    <row r="9055" spans="1:12" x14ac:dyDescent="0.25">
      <c r="A9055" s="16"/>
      <c r="D9055" s="16"/>
      <c r="F9055" s="16"/>
      <c r="G9055" s="16"/>
      <c r="H9055" s="24"/>
      <c r="I9055" s="24"/>
      <c r="L9055"/>
    </row>
    <row r="9056" spans="1:12" x14ac:dyDescent="0.25">
      <c r="A9056" s="16"/>
      <c r="D9056" s="16"/>
      <c r="F9056" s="16"/>
      <c r="G9056" s="16"/>
      <c r="H9056" s="24"/>
      <c r="I9056" s="24"/>
      <c r="L9056"/>
    </row>
    <row r="9057" spans="1:12" x14ac:dyDescent="0.25">
      <c r="A9057" s="16"/>
      <c r="D9057" s="16"/>
      <c r="F9057" s="16"/>
      <c r="G9057" s="16"/>
      <c r="H9057" s="24"/>
      <c r="I9057" s="24"/>
      <c r="L9057"/>
    </row>
    <row r="9058" spans="1:12" x14ac:dyDescent="0.25">
      <c r="A9058" s="16"/>
      <c r="D9058" s="16"/>
      <c r="F9058" s="16"/>
      <c r="G9058" s="16"/>
      <c r="H9058" s="24"/>
      <c r="I9058" s="24"/>
      <c r="L9058"/>
    </row>
    <row r="9059" spans="1:12" x14ac:dyDescent="0.25">
      <c r="A9059" s="16"/>
      <c r="D9059" s="16"/>
      <c r="F9059" s="16"/>
      <c r="G9059" s="16"/>
      <c r="H9059" s="24"/>
      <c r="I9059" s="24"/>
      <c r="L9059"/>
    </row>
    <row r="9060" spans="1:12" x14ac:dyDescent="0.25">
      <c r="A9060" s="16"/>
      <c r="D9060" s="16"/>
      <c r="F9060" s="16"/>
      <c r="G9060" s="16"/>
      <c r="H9060" s="24"/>
      <c r="I9060" s="24"/>
      <c r="L9060"/>
    </row>
    <row r="9061" spans="1:12" x14ac:dyDescent="0.25">
      <c r="A9061" s="16"/>
      <c r="D9061" s="16"/>
      <c r="F9061" s="16"/>
      <c r="G9061" s="16"/>
      <c r="H9061" s="24"/>
      <c r="I9061" s="24"/>
      <c r="L9061"/>
    </row>
    <row r="9062" spans="1:12" x14ac:dyDescent="0.25">
      <c r="A9062" s="16"/>
      <c r="D9062" s="16"/>
      <c r="F9062" s="16"/>
      <c r="G9062" s="16"/>
      <c r="H9062" s="24"/>
      <c r="I9062" s="24"/>
      <c r="L9062"/>
    </row>
    <row r="9063" spans="1:12" x14ac:dyDescent="0.25">
      <c r="A9063" s="16"/>
      <c r="D9063" s="16"/>
      <c r="F9063" s="16"/>
      <c r="G9063" s="16"/>
      <c r="H9063" s="24"/>
      <c r="I9063" s="24"/>
      <c r="L9063"/>
    </row>
    <row r="9064" spans="1:12" x14ac:dyDescent="0.25">
      <c r="A9064" s="16"/>
      <c r="D9064" s="16"/>
      <c r="F9064" s="16"/>
      <c r="G9064" s="16"/>
      <c r="H9064" s="24"/>
      <c r="I9064" s="24"/>
      <c r="L9064"/>
    </row>
    <row r="9065" spans="1:12" x14ac:dyDescent="0.25">
      <c r="A9065" s="16"/>
      <c r="D9065" s="16"/>
      <c r="F9065" s="16"/>
      <c r="G9065" s="16"/>
      <c r="H9065" s="24"/>
      <c r="I9065" s="24"/>
      <c r="L9065"/>
    </row>
    <row r="9066" spans="1:12" x14ac:dyDescent="0.25">
      <c r="A9066" s="16"/>
      <c r="D9066" s="16"/>
      <c r="F9066" s="16"/>
      <c r="G9066" s="16"/>
      <c r="H9066" s="24"/>
      <c r="I9066" s="24"/>
      <c r="L9066"/>
    </row>
    <row r="9067" spans="1:12" x14ac:dyDescent="0.25">
      <c r="A9067" s="16"/>
      <c r="D9067" s="16"/>
      <c r="F9067" s="16"/>
      <c r="G9067" s="16"/>
      <c r="H9067" s="24"/>
      <c r="I9067" s="24"/>
      <c r="L9067"/>
    </row>
    <row r="9068" spans="1:12" x14ac:dyDescent="0.25">
      <c r="A9068" s="16"/>
      <c r="D9068" s="16"/>
      <c r="F9068" s="16"/>
      <c r="G9068" s="16"/>
      <c r="H9068" s="24"/>
      <c r="I9068" s="24"/>
      <c r="L9068"/>
    </row>
    <row r="9069" spans="1:12" x14ac:dyDescent="0.25">
      <c r="A9069" s="16"/>
      <c r="D9069" s="16"/>
      <c r="F9069" s="16"/>
      <c r="G9069" s="16"/>
      <c r="H9069" s="24"/>
      <c r="I9069" s="24"/>
      <c r="L9069"/>
    </row>
    <row r="9070" spans="1:12" x14ac:dyDescent="0.25">
      <c r="A9070" s="16"/>
      <c r="D9070" s="16"/>
      <c r="F9070" s="16"/>
      <c r="G9070" s="16"/>
      <c r="H9070" s="24"/>
      <c r="I9070" s="24"/>
      <c r="L9070"/>
    </row>
    <row r="9071" spans="1:12" x14ac:dyDescent="0.25">
      <c r="A9071" s="16"/>
      <c r="D9071" s="16"/>
      <c r="F9071" s="16"/>
      <c r="G9071" s="16"/>
      <c r="H9071" s="24"/>
      <c r="I9071" s="24"/>
      <c r="L9071"/>
    </row>
    <row r="9072" spans="1:12" x14ac:dyDescent="0.25">
      <c r="A9072" s="16"/>
      <c r="D9072" s="16"/>
      <c r="F9072" s="16"/>
      <c r="G9072" s="16"/>
      <c r="H9072" s="24"/>
      <c r="I9072" s="24"/>
      <c r="L9072"/>
    </row>
    <row r="9073" spans="1:12" x14ac:dyDescent="0.25">
      <c r="A9073" s="16"/>
      <c r="D9073" s="16"/>
      <c r="F9073" s="16"/>
      <c r="G9073" s="16"/>
      <c r="H9073" s="24"/>
      <c r="I9073" s="24"/>
      <c r="L9073"/>
    </row>
    <row r="9074" spans="1:12" x14ac:dyDescent="0.25">
      <c r="A9074" s="16"/>
      <c r="D9074" s="16"/>
      <c r="F9074" s="16"/>
      <c r="G9074" s="16"/>
      <c r="H9074" s="24"/>
      <c r="I9074" s="24"/>
      <c r="L9074"/>
    </row>
    <row r="9075" spans="1:12" x14ac:dyDescent="0.25">
      <c r="A9075" s="16"/>
      <c r="D9075" s="16"/>
      <c r="F9075" s="16"/>
      <c r="G9075" s="16"/>
      <c r="H9075" s="24"/>
      <c r="I9075" s="24"/>
      <c r="L9075"/>
    </row>
    <row r="9076" spans="1:12" x14ac:dyDescent="0.25">
      <c r="A9076" s="16"/>
      <c r="D9076" s="16"/>
      <c r="F9076" s="16"/>
      <c r="G9076" s="16"/>
      <c r="H9076" s="24"/>
      <c r="I9076" s="24"/>
      <c r="L9076"/>
    </row>
    <row r="9077" spans="1:12" x14ac:dyDescent="0.25">
      <c r="A9077" s="16"/>
      <c r="D9077" s="16"/>
      <c r="F9077" s="16"/>
      <c r="G9077" s="16"/>
      <c r="H9077" s="24"/>
      <c r="I9077" s="24"/>
      <c r="L9077"/>
    </row>
    <row r="9078" spans="1:12" x14ac:dyDescent="0.25">
      <c r="A9078" s="16"/>
      <c r="D9078" s="16"/>
      <c r="F9078" s="16"/>
      <c r="G9078" s="16"/>
      <c r="H9078" s="24"/>
      <c r="I9078" s="24"/>
      <c r="L9078"/>
    </row>
    <row r="9079" spans="1:12" x14ac:dyDescent="0.25">
      <c r="A9079" s="16"/>
      <c r="D9079" s="16"/>
      <c r="F9079" s="16"/>
      <c r="G9079" s="16"/>
      <c r="H9079" s="24"/>
      <c r="I9079" s="24"/>
      <c r="L9079"/>
    </row>
    <row r="9080" spans="1:12" x14ac:dyDescent="0.25">
      <c r="A9080" s="16"/>
      <c r="D9080" s="16"/>
      <c r="F9080" s="16"/>
      <c r="G9080" s="16"/>
      <c r="H9080" s="24"/>
      <c r="I9080" s="24"/>
      <c r="L9080"/>
    </row>
    <row r="9081" spans="1:12" x14ac:dyDescent="0.25">
      <c r="A9081" s="16"/>
      <c r="D9081" s="16"/>
      <c r="F9081" s="16"/>
      <c r="G9081" s="16"/>
      <c r="H9081" s="24"/>
      <c r="I9081" s="24"/>
      <c r="L9081"/>
    </row>
    <row r="9082" spans="1:12" x14ac:dyDescent="0.25">
      <c r="A9082" s="16"/>
      <c r="D9082" s="16"/>
      <c r="F9082" s="16"/>
      <c r="G9082" s="16"/>
      <c r="H9082" s="24"/>
      <c r="I9082" s="24"/>
      <c r="L9082"/>
    </row>
    <row r="9083" spans="1:12" x14ac:dyDescent="0.25">
      <c r="A9083" s="16"/>
      <c r="D9083" s="16"/>
      <c r="F9083" s="16"/>
      <c r="G9083" s="16"/>
      <c r="H9083" s="24"/>
      <c r="I9083" s="24"/>
      <c r="L9083"/>
    </row>
    <row r="9084" spans="1:12" x14ac:dyDescent="0.25">
      <c r="A9084" s="16"/>
      <c r="D9084" s="16"/>
      <c r="F9084" s="16"/>
      <c r="G9084" s="16"/>
      <c r="H9084" s="24"/>
      <c r="I9084" s="24"/>
      <c r="L9084"/>
    </row>
    <row r="9085" spans="1:12" x14ac:dyDescent="0.25">
      <c r="A9085" s="16"/>
      <c r="D9085" s="16"/>
      <c r="F9085" s="16"/>
      <c r="G9085" s="16"/>
      <c r="H9085" s="24"/>
      <c r="I9085" s="24"/>
      <c r="L9085"/>
    </row>
    <row r="9086" spans="1:12" x14ac:dyDescent="0.25">
      <c r="A9086" s="16"/>
      <c r="D9086" s="16"/>
      <c r="F9086" s="16"/>
      <c r="G9086" s="16"/>
      <c r="H9086" s="24"/>
      <c r="I9086" s="24"/>
      <c r="L9086"/>
    </row>
    <row r="9087" spans="1:12" x14ac:dyDescent="0.25">
      <c r="A9087" s="16"/>
      <c r="D9087" s="16"/>
      <c r="F9087" s="16"/>
      <c r="G9087" s="16"/>
      <c r="H9087" s="24"/>
      <c r="I9087" s="24"/>
      <c r="L9087"/>
    </row>
    <row r="9088" spans="1:12" x14ac:dyDescent="0.25">
      <c r="A9088" s="16"/>
      <c r="D9088" s="16"/>
      <c r="F9088" s="16"/>
      <c r="G9088" s="16"/>
      <c r="H9088" s="24"/>
      <c r="I9088" s="24"/>
      <c r="L9088"/>
    </row>
    <row r="9089" spans="1:12" x14ac:dyDescent="0.25">
      <c r="A9089" s="16"/>
      <c r="D9089" s="16"/>
      <c r="F9089" s="16"/>
      <c r="G9089" s="16"/>
      <c r="H9089" s="24"/>
      <c r="I9089" s="24"/>
      <c r="L9089"/>
    </row>
    <row r="9090" spans="1:12" x14ac:dyDescent="0.25">
      <c r="A9090" s="16"/>
      <c r="D9090" s="16"/>
      <c r="F9090" s="16"/>
      <c r="G9090" s="16"/>
      <c r="H9090" s="24"/>
      <c r="I9090" s="24"/>
      <c r="L9090"/>
    </row>
    <row r="9091" spans="1:12" x14ac:dyDescent="0.25">
      <c r="A9091" s="16"/>
      <c r="D9091" s="16"/>
      <c r="F9091" s="16"/>
      <c r="G9091" s="16"/>
      <c r="H9091" s="24"/>
      <c r="I9091" s="24"/>
      <c r="L9091"/>
    </row>
    <row r="9092" spans="1:12" x14ac:dyDescent="0.25">
      <c r="A9092" s="16"/>
      <c r="D9092" s="16"/>
      <c r="F9092" s="16"/>
      <c r="G9092" s="16"/>
      <c r="H9092" s="24"/>
      <c r="I9092" s="24"/>
      <c r="L9092"/>
    </row>
    <row r="9093" spans="1:12" x14ac:dyDescent="0.25">
      <c r="A9093" s="16"/>
      <c r="D9093" s="16"/>
      <c r="F9093" s="16"/>
      <c r="G9093" s="16"/>
      <c r="H9093" s="24"/>
      <c r="I9093" s="24"/>
      <c r="L9093"/>
    </row>
    <row r="9094" spans="1:12" x14ac:dyDescent="0.25">
      <c r="A9094" s="16"/>
      <c r="D9094" s="16"/>
      <c r="F9094" s="16"/>
      <c r="G9094" s="16"/>
      <c r="H9094" s="24"/>
      <c r="I9094" s="24"/>
      <c r="L9094"/>
    </row>
    <row r="9095" spans="1:12" x14ac:dyDescent="0.25">
      <c r="A9095" s="16"/>
      <c r="D9095" s="16"/>
      <c r="F9095" s="16"/>
      <c r="G9095" s="16"/>
      <c r="H9095" s="24"/>
      <c r="I9095" s="24"/>
      <c r="L9095"/>
    </row>
    <row r="9096" spans="1:12" x14ac:dyDescent="0.25">
      <c r="A9096" s="16"/>
      <c r="D9096" s="16"/>
      <c r="F9096" s="16"/>
      <c r="G9096" s="16"/>
      <c r="H9096" s="24"/>
      <c r="I9096" s="24"/>
      <c r="L9096"/>
    </row>
    <row r="9097" spans="1:12" x14ac:dyDescent="0.25">
      <c r="A9097" s="16"/>
      <c r="D9097" s="16"/>
      <c r="F9097" s="16"/>
      <c r="G9097" s="16"/>
      <c r="H9097" s="24"/>
      <c r="I9097" s="24"/>
      <c r="L9097"/>
    </row>
    <row r="9098" spans="1:12" x14ac:dyDescent="0.25">
      <c r="A9098" s="16"/>
      <c r="D9098" s="16"/>
      <c r="F9098" s="16"/>
      <c r="G9098" s="16"/>
      <c r="H9098" s="24"/>
      <c r="I9098" s="24"/>
      <c r="L9098"/>
    </row>
    <row r="9099" spans="1:12" x14ac:dyDescent="0.25">
      <c r="A9099" s="16"/>
      <c r="D9099" s="16"/>
      <c r="F9099" s="16"/>
      <c r="G9099" s="16"/>
      <c r="H9099" s="24"/>
      <c r="I9099" s="24"/>
      <c r="L9099"/>
    </row>
    <row r="9100" spans="1:12" x14ac:dyDescent="0.25">
      <c r="A9100" s="16"/>
      <c r="D9100" s="16"/>
      <c r="F9100" s="16"/>
      <c r="G9100" s="16"/>
      <c r="H9100" s="24"/>
      <c r="I9100" s="24"/>
      <c r="L9100"/>
    </row>
    <row r="9101" spans="1:12" x14ac:dyDescent="0.25">
      <c r="A9101" s="16"/>
      <c r="D9101" s="16"/>
      <c r="F9101" s="16"/>
      <c r="G9101" s="16"/>
      <c r="H9101" s="24"/>
      <c r="I9101" s="24"/>
      <c r="L9101"/>
    </row>
    <row r="9102" spans="1:12" x14ac:dyDescent="0.25">
      <c r="A9102" s="16"/>
      <c r="D9102" s="16"/>
      <c r="F9102" s="16"/>
      <c r="G9102" s="16"/>
      <c r="H9102" s="24"/>
      <c r="I9102" s="24"/>
      <c r="L9102"/>
    </row>
    <row r="9103" spans="1:12" x14ac:dyDescent="0.25">
      <c r="A9103" s="16"/>
      <c r="D9103" s="16"/>
      <c r="F9103" s="16"/>
      <c r="G9103" s="16"/>
      <c r="H9103" s="24"/>
      <c r="I9103" s="24"/>
      <c r="L9103"/>
    </row>
    <row r="9104" spans="1:12" x14ac:dyDescent="0.25">
      <c r="A9104" s="16"/>
      <c r="D9104" s="16"/>
      <c r="F9104" s="16"/>
      <c r="G9104" s="16"/>
      <c r="H9104" s="24"/>
      <c r="I9104" s="24"/>
      <c r="L9104"/>
    </row>
    <row r="9105" spans="1:12" x14ac:dyDescent="0.25">
      <c r="A9105" s="16"/>
      <c r="D9105" s="16"/>
      <c r="F9105" s="16"/>
      <c r="G9105" s="16"/>
      <c r="H9105" s="24"/>
      <c r="I9105" s="24"/>
      <c r="L9105"/>
    </row>
    <row r="9106" spans="1:12" x14ac:dyDescent="0.25">
      <c r="A9106" s="16"/>
      <c r="D9106" s="16"/>
      <c r="F9106" s="16"/>
      <c r="G9106" s="16"/>
      <c r="H9106" s="24"/>
      <c r="I9106" s="24"/>
      <c r="L9106"/>
    </row>
    <row r="9107" spans="1:12" x14ac:dyDescent="0.25">
      <c r="A9107" s="16"/>
      <c r="D9107" s="16"/>
      <c r="F9107" s="16"/>
      <c r="G9107" s="16"/>
      <c r="H9107" s="24"/>
      <c r="I9107" s="24"/>
      <c r="L9107"/>
    </row>
    <row r="9108" spans="1:12" x14ac:dyDescent="0.25">
      <c r="A9108" s="16"/>
      <c r="D9108" s="16"/>
      <c r="F9108" s="16"/>
      <c r="G9108" s="16"/>
      <c r="H9108" s="24"/>
      <c r="I9108" s="24"/>
      <c r="L9108"/>
    </row>
    <row r="9109" spans="1:12" x14ac:dyDescent="0.25">
      <c r="A9109" s="16"/>
      <c r="D9109" s="16"/>
      <c r="F9109" s="16"/>
      <c r="G9109" s="16"/>
      <c r="H9109" s="24"/>
      <c r="I9109" s="24"/>
      <c r="L9109"/>
    </row>
    <row r="9110" spans="1:12" x14ac:dyDescent="0.25">
      <c r="A9110" s="16"/>
      <c r="D9110" s="16"/>
      <c r="F9110" s="16"/>
      <c r="G9110" s="16"/>
      <c r="H9110" s="24"/>
      <c r="I9110" s="24"/>
      <c r="L9110"/>
    </row>
    <row r="9111" spans="1:12" x14ac:dyDescent="0.25">
      <c r="A9111" s="16"/>
      <c r="D9111" s="16"/>
      <c r="F9111" s="16"/>
      <c r="G9111" s="16"/>
      <c r="H9111" s="24"/>
      <c r="I9111" s="24"/>
      <c r="L9111"/>
    </row>
    <row r="9112" spans="1:12" x14ac:dyDescent="0.25">
      <c r="A9112" s="16"/>
      <c r="D9112" s="16"/>
      <c r="F9112" s="16"/>
      <c r="G9112" s="16"/>
      <c r="H9112" s="24"/>
      <c r="I9112" s="24"/>
      <c r="L9112"/>
    </row>
    <row r="9113" spans="1:12" x14ac:dyDescent="0.25">
      <c r="A9113" s="16"/>
      <c r="D9113" s="16"/>
      <c r="F9113" s="16"/>
      <c r="G9113" s="16"/>
      <c r="H9113" s="24"/>
      <c r="I9113" s="24"/>
      <c r="L9113"/>
    </row>
    <row r="9114" spans="1:12" x14ac:dyDescent="0.25">
      <c r="A9114" s="16"/>
      <c r="D9114" s="16"/>
      <c r="F9114" s="16"/>
      <c r="G9114" s="16"/>
      <c r="H9114" s="24"/>
      <c r="I9114" s="24"/>
      <c r="L9114"/>
    </row>
    <row r="9115" spans="1:12" x14ac:dyDescent="0.25">
      <c r="A9115" s="16"/>
      <c r="D9115" s="16"/>
      <c r="F9115" s="16"/>
      <c r="G9115" s="16"/>
      <c r="H9115" s="24"/>
      <c r="I9115" s="24"/>
      <c r="L9115"/>
    </row>
    <row r="9116" spans="1:12" x14ac:dyDescent="0.25">
      <c r="A9116" s="16"/>
      <c r="D9116" s="16"/>
      <c r="F9116" s="16"/>
      <c r="G9116" s="16"/>
      <c r="H9116" s="24"/>
      <c r="I9116" s="24"/>
      <c r="L9116"/>
    </row>
    <row r="9117" spans="1:12" x14ac:dyDescent="0.25">
      <c r="A9117" s="16"/>
      <c r="D9117" s="16"/>
      <c r="F9117" s="16"/>
      <c r="G9117" s="16"/>
      <c r="H9117" s="24"/>
      <c r="I9117" s="24"/>
      <c r="L9117"/>
    </row>
    <row r="9118" spans="1:12" x14ac:dyDescent="0.25">
      <c r="A9118" s="16"/>
      <c r="D9118" s="16"/>
      <c r="F9118" s="16"/>
      <c r="G9118" s="16"/>
      <c r="H9118" s="24"/>
      <c r="I9118" s="24"/>
      <c r="L9118"/>
    </row>
    <row r="9119" spans="1:12" x14ac:dyDescent="0.25">
      <c r="A9119" s="16"/>
      <c r="D9119" s="16"/>
      <c r="F9119" s="16"/>
      <c r="G9119" s="16"/>
      <c r="H9119" s="24"/>
      <c r="I9119" s="24"/>
      <c r="L9119"/>
    </row>
    <row r="9120" spans="1:12" x14ac:dyDescent="0.25">
      <c r="A9120" s="16"/>
      <c r="D9120" s="16"/>
      <c r="F9120" s="16"/>
      <c r="G9120" s="16"/>
      <c r="H9120" s="24"/>
      <c r="I9120" s="24"/>
      <c r="L9120"/>
    </row>
    <row r="9121" spans="1:12" x14ac:dyDescent="0.25">
      <c r="A9121" s="16"/>
      <c r="D9121" s="16"/>
      <c r="F9121" s="16"/>
      <c r="G9121" s="16"/>
      <c r="H9121" s="24"/>
      <c r="I9121" s="24"/>
      <c r="L9121"/>
    </row>
    <row r="9122" spans="1:12" x14ac:dyDescent="0.25">
      <c r="A9122" s="16"/>
      <c r="D9122" s="16"/>
      <c r="F9122" s="16"/>
      <c r="G9122" s="16"/>
      <c r="H9122" s="24"/>
      <c r="I9122" s="24"/>
      <c r="L9122"/>
    </row>
    <row r="9123" spans="1:12" x14ac:dyDescent="0.25">
      <c r="A9123" s="16"/>
      <c r="D9123" s="16"/>
      <c r="F9123" s="16"/>
      <c r="G9123" s="16"/>
      <c r="H9123" s="24"/>
      <c r="I9123" s="24"/>
      <c r="L9123"/>
    </row>
    <row r="9124" spans="1:12" x14ac:dyDescent="0.25">
      <c r="A9124" s="16"/>
      <c r="D9124" s="16"/>
      <c r="F9124" s="16"/>
      <c r="G9124" s="16"/>
      <c r="H9124" s="24"/>
      <c r="I9124" s="24"/>
      <c r="L9124"/>
    </row>
    <row r="9125" spans="1:12" x14ac:dyDescent="0.25">
      <c r="A9125" s="16"/>
      <c r="D9125" s="16"/>
      <c r="F9125" s="16"/>
      <c r="G9125" s="16"/>
      <c r="H9125" s="24"/>
      <c r="I9125" s="24"/>
      <c r="L9125"/>
    </row>
    <row r="9126" spans="1:12" x14ac:dyDescent="0.25">
      <c r="A9126" s="16"/>
      <c r="D9126" s="16"/>
      <c r="F9126" s="16"/>
      <c r="G9126" s="16"/>
      <c r="H9126" s="24"/>
      <c r="I9126" s="24"/>
      <c r="L9126"/>
    </row>
    <row r="9127" spans="1:12" x14ac:dyDescent="0.25">
      <c r="A9127" s="16"/>
      <c r="D9127" s="16"/>
      <c r="F9127" s="16"/>
      <c r="G9127" s="16"/>
      <c r="H9127" s="24"/>
      <c r="I9127" s="24"/>
      <c r="L9127"/>
    </row>
    <row r="9128" spans="1:12" x14ac:dyDescent="0.25">
      <c r="A9128" s="16"/>
      <c r="D9128" s="16"/>
      <c r="F9128" s="16"/>
      <c r="G9128" s="16"/>
      <c r="H9128" s="24"/>
      <c r="I9128" s="24"/>
      <c r="L9128"/>
    </row>
    <row r="9129" spans="1:12" x14ac:dyDescent="0.25">
      <c r="A9129" s="16"/>
      <c r="D9129" s="16"/>
      <c r="F9129" s="16"/>
      <c r="G9129" s="16"/>
      <c r="H9129" s="24"/>
      <c r="I9129" s="24"/>
      <c r="L9129"/>
    </row>
    <row r="9130" spans="1:12" x14ac:dyDescent="0.25">
      <c r="A9130" s="16"/>
      <c r="D9130" s="16"/>
      <c r="F9130" s="16"/>
      <c r="G9130" s="16"/>
      <c r="H9130" s="24"/>
      <c r="I9130" s="24"/>
      <c r="L9130"/>
    </row>
    <row r="9131" spans="1:12" x14ac:dyDescent="0.25">
      <c r="A9131" s="16"/>
      <c r="D9131" s="16"/>
      <c r="F9131" s="16"/>
      <c r="G9131" s="16"/>
      <c r="H9131" s="24"/>
      <c r="I9131" s="24"/>
      <c r="L9131"/>
    </row>
    <row r="9132" spans="1:12" x14ac:dyDescent="0.25">
      <c r="A9132" s="16"/>
      <c r="D9132" s="16"/>
      <c r="F9132" s="16"/>
      <c r="G9132" s="16"/>
      <c r="H9132" s="24"/>
      <c r="I9132" s="24"/>
      <c r="L9132"/>
    </row>
    <row r="9133" spans="1:12" x14ac:dyDescent="0.25">
      <c r="A9133" s="16"/>
      <c r="D9133" s="16"/>
      <c r="F9133" s="16"/>
      <c r="G9133" s="16"/>
      <c r="H9133" s="24"/>
      <c r="I9133" s="24"/>
      <c r="L9133"/>
    </row>
    <row r="9134" spans="1:12" x14ac:dyDescent="0.25">
      <c r="A9134" s="16"/>
      <c r="D9134" s="16"/>
      <c r="F9134" s="16"/>
      <c r="G9134" s="16"/>
      <c r="H9134" s="24"/>
      <c r="I9134" s="24"/>
      <c r="L9134"/>
    </row>
    <row r="9135" spans="1:12" x14ac:dyDescent="0.25">
      <c r="A9135" s="16"/>
      <c r="D9135" s="16"/>
      <c r="F9135" s="16"/>
      <c r="G9135" s="16"/>
      <c r="H9135" s="24"/>
      <c r="I9135" s="24"/>
      <c r="L9135"/>
    </row>
    <row r="9136" spans="1:12" x14ac:dyDescent="0.25">
      <c r="A9136" s="16"/>
      <c r="D9136" s="16"/>
      <c r="F9136" s="16"/>
      <c r="G9136" s="16"/>
      <c r="H9136" s="24"/>
      <c r="I9136" s="24"/>
      <c r="L9136"/>
    </row>
    <row r="9137" spans="1:12" x14ac:dyDescent="0.25">
      <c r="A9137" s="16"/>
      <c r="D9137" s="16"/>
      <c r="F9137" s="16"/>
      <c r="G9137" s="16"/>
      <c r="H9137" s="24"/>
      <c r="I9137" s="24"/>
      <c r="L9137"/>
    </row>
    <row r="9138" spans="1:12" x14ac:dyDescent="0.25">
      <c r="A9138" s="16"/>
      <c r="D9138" s="16"/>
      <c r="F9138" s="16"/>
      <c r="G9138" s="16"/>
      <c r="H9138" s="24"/>
      <c r="I9138" s="24"/>
      <c r="L9138"/>
    </row>
    <row r="9139" spans="1:12" x14ac:dyDescent="0.25">
      <c r="A9139" s="16"/>
      <c r="D9139" s="16"/>
      <c r="F9139" s="16"/>
      <c r="G9139" s="16"/>
      <c r="H9139" s="24"/>
      <c r="I9139" s="24"/>
      <c r="L9139"/>
    </row>
    <row r="9140" spans="1:12" x14ac:dyDescent="0.25">
      <c r="A9140" s="16"/>
      <c r="D9140" s="16"/>
      <c r="F9140" s="16"/>
      <c r="G9140" s="16"/>
      <c r="H9140" s="24"/>
      <c r="I9140" s="24"/>
      <c r="L9140"/>
    </row>
    <row r="9141" spans="1:12" x14ac:dyDescent="0.25">
      <c r="A9141" s="16"/>
      <c r="D9141" s="16"/>
      <c r="F9141" s="16"/>
      <c r="G9141" s="16"/>
      <c r="H9141" s="24"/>
      <c r="I9141" s="24"/>
      <c r="L9141"/>
    </row>
    <row r="9142" spans="1:12" x14ac:dyDescent="0.25">
      <c r="A9142" s="16"/>
      <c r="D9142" s="16"/>
      <c r="F9142" s="16"/>
      <c r="G9142" s="16"/>
      <c r="H9142" s="24"/>
      <c r="I9142" s="24"/>
      <c r="L9142"/>
    </row>
    <row r="9143" spans="1:12" x14ac:dyDescent="0.25">
      <c r="A9143" s="16"/>
      <c r="D9143" s="16"/>
      <c r="F9143" s="16"/>
      <c r="G9143" s="16"/>
      <c r="H9143" s="24"/>
      <c r="I9143" s="24"/>
      <c r="L9143"/>
    </row>
    <row r="9144" spans="1:12" x14ac:dyDescent="0.25">
      <c r="A9144" s="16"/>
      <c r="D9144" s="16"/>
      <c r="F9144" s="16"/>
      <c r="G9144" s="16"/>
      <c r="H9144" s="24"/>
      <c r="I9144" s="24"/>
      <c r="L9144"/>
    </row>
    <row r="9145" spans="1:12" x14ac:dyDescent="0.25">
      <c r="A9145" s="16"/>
      <c r="D9145" s="16"/>
      <c r="F9145" s="16"/>
      <c r="G9145" s="16"/>
      <c r="H9145" s="24"/>
      <c r="I9145" s="24"/>
      <c r="L9145"/>
    </row>
    <row r="9146" spans="1:12" x14ac:dyDescent="0.25">
      <c r="A9146" s="16"/>
      <c r="D9146" s="16"/>
      <c r="F9146" s="16"/>
      <c r="G9146" s="16"/>
      <c r="H9146" s="24"/>
      <c r="I9146" s="24"/>
      <c r="L9146"/>
    </row>
    <row r="9147" spans="1:12" x14ac:dyDescent="0.25">
      <c r="A9147" s="16"/>
      <c r="D9147" s="16"/>
      <c r="F9147" s="16"/>
      <c r="G9147" s="16"/>
      <c r="H9147" s="24"/>
      <c r="I9147" s="24"/>
      <c r="L9147"/>
    </row>
    <row r="9148" spans="1:12" x14ac:dyDescent="0.25">
      <c r="A9148" s="16"/>
      <c r="D9148" s="16"/>
      <c r="F9148" s="16"/>
      <c r="G9148" s="16"/>
      <c r="H9148" s="24"/>
      <c r="I9148" s="24"/>
      <c r="L9148"/>
    </row>
    <row r="9149" spans="1:12" x14ac:dyDescent="0.25">
      <c r="A9149" s="16"/>
      <c r="D9149" s="16"/>
      <c r="F9149" s="16"/>
      <c r="G9149" s="16"/>
      <c r="H9149" s="24"/>
      <c r="I9149" s="24"/>
      <c r="L9149"/>
    </row>
    <row r="9150" spans="1:12" x14ac:dyDescent="0.25">
      <c r="A9150" s="16"/>
      <c r="D9150" s="16"/>
      <c r="F9150" s="16"/>
      <c r="G9150" s="16"/>
      <c r="H9150" s="24"/>
      <c r="I9150" s="24"/>
      <c r="L9150"/>
    </row>
    <row r="9151" spans="1:12" x14ac:dyDescent="0.25">
      <c r="A9151" s="16"/>
      <c r="D9151" s="16"/>
      <c r="F9151" s="16"/>
      <c r="G9151" s="16"/>
      <c r="H9151" s="24"/>
      <c r="I9151" s="24"/>
      <c r="L9151"/>
    </row>
    <row r="9152" spans="1:12" x14ac:dyDescent="0.25">
      <c r="A9152" s="16"/>
      <c r="D9152" s="16"/>
      <c r="F9152" s="16"/>
      <c r="G9152" s="16"/>
      <c r="H9152" s="24"/>
      <c r="I9152" s="24"/>
      <c r="L9152"/>
    </row>
    <row r="9153" spans="1:12" x14ac:dyDescent="0.25">
      <c r="A9153" s="16"/>
      <c r="D9153" s="16"/>
      <c r="F9153" s="16"/>
      <c r="G9153" s="16"/>
      <c r="H9153" s="24"/>
      <c r="I9153" s="24"/>
      <c r="L9153"/>
    </row>
    <row r="9154" spans="1:12" x14ac:dyDescent="0.25">
      <c r="A9154" s="16"/>
      <c r="D9154" s="16"/>
      <c r="F9154" s="16"/>
      <c r="G9154" s="16"/>
      <c r="H9154" s="24"/>
      <c r="I9154" s="24"/>
      <c r="L9154"/>
    </row>
    <row r="9155" spans="1:12" x14ac:dyDescent="0.25">
      <c r="A9155" s="16"/>
      <c r="D9155" s="16"/>
      <c r="F9155" s="16"/>
      <c r="G9155" s="16"/>
      <c r="H9155" s="24"/>
      <c r="I9155" s="24"/>
      <c r="L9155"/>
    </row>
    <row r="9156" spans="1:12" x14ac:dyDescent="0.25">
      <c r="A9156" s="16"/>
      <c r="D9156" s="16"/>
      <c r="F9156" s="16"/>
      <c r="G9156" s="16"/>
      <c r="H9156" s="24"/>
      <c r="I9156" s="24"/>
      <c r="L9156"/>
    </row>
    <row r="9157" spans="1:12" x14ac:dyDescent="0.25">
      <c r="A9157" s="16"/>
      <c r="D9157" s="16"/>
      <c r="F9157" s="16"/>
      <c r="G9157" s="16"/>
      <c r="H9157" s="24"/>
      <c r="I9157" s="24"/>
      <c r="L9157"/>
    </row>
    <row r="9158" spans="1:12" x14ac:dyDescent="0.25">
      <c r="A9158" s="16"/>
      <c r="D9158" s="16"/>
      <c r="F9158" s="16"/>
      <c r="G9158" s="16"/>
      <c r="H9158" s="24"/>
      <c r="I9158" s="24"/>
      <c r="L9158"/>
    </row>
    <row r="9159" spans="1:12" x14ac:dyDescent="0.25">
      <c r="A9159" s="16"/>
      <c r="D9159" s="16"/>
      <c r="F9159" s="16"/>
      <c r="G9159" s="16"/>
      <c r="H9159" s="24"/>
      <c r="I9159" s="24"/>
      <c r="L9159"/>
    </row>
    <row r="9160" spans="1:12" x14ac:dyDescent="0.25">
      <c r="A9160" s="16"/>
      <c r="D9160" s="16"/>
      <c r="F9160" s="16"/>
      <c r="G9160" s="16"/>
      <c r="H9160" s="24"/>
      <c r="I9160" s="24"/>
      <c r="L9160"/>
    </row>
    <row r="9161" spans="1:12" x14ac:dyDescent="0.25">
      <c r="A9161" s="16"/>
      <c r="D9161" s="16"/>
      <c r="F9161" s="16"/>
      <c r="G9161" s="16"/>
      <c r="H9161" s="24"/>
      <c r="I9161" s="24"/>
      <c r="L9161"/>
    </row>
    <row r="9162" spans="1:12" x14ac:dyDescent="0.25">
      <c r="A9162" s="16"/>
      <c r="D9162" s="16"/>
      <c r="F9162" s="16"/>
      <c r="G9162" s="16"/>
      <c r="H9162" s="24"/>
      <c r="I9162" s="24"/>
      <c r="L9162"/>
    </row>
    <row r="9163" spans="1:12" x14ac:dyDescent="0.25">
      <c r="A9163" s="16"/>
      <c r="D9163" s="16"/>
      <c r="F9163" s="16"/>
      <c r="G9163" s="16"/>
      <c r="H9163" s="24"/>
      <c r="I9163" s="24"/>
      <c r="L9163"/>
    </row>
    <row r="9164" spans="1:12" x14ac:dyDescent="0.25">
      <c r="A9164" s="16"/>
      <c r="D9164" s="16"/>
      <c r="F9164" s="16"/>
      <c r="G9164" s="16"/>
      <c r="H9164" s="24"/>
      <c r="I9164" s="24"/>
      <c r="L9164"/>
    </row>
    <row r="9165" spans="1:12" x14ac:dyDescent="0.25">
      <c r="A9165" s="16"/>
      <c r="D9165" s="16"/>
      <c r="F9165" s="16"/>
      <c r="G9165" s="16"/>
      <c r="H9165" s="24"/>
      <c r="I9165" s="24"/>
      <c r="L9165"/>
    </row>
    <row r="9166" spans="1:12" x14ac:dyDescent="0.25">
      <c r="A9166" s="16"/>
      <c r="D9166" s="16"/>
      <c r="F9166" s="16"/>
      <c r="G9166" s="16"/>
      <c r="H9166" s="24"/>
      <c r="I9166" s="24"/>
      <c r="L9166"/>
    </row>
    <row r="9167" spans="1:12" x14ac:dyDescent="0.25">
      <c r="A9167" s="16"/>
      <c r="D9167" s="16"/>
      <c r="F9167" s="16"/>
      <c r="G9167" s="16"/>
      <c r="H9167" s="24"/>
      <c r="I9167" s="24"/>
      <c r="L9167"/>
    </row>
    <row r="9168" spans="1:12" x14ac:dyDescent="0.25">
      <c r="A9168" s="16"/>
      <c r="D9168" s="16"/>
      <c r="F9168" s="16"/>
      <c r="G9168" s="16"/>
      <c r="H9168" s="24"/>
      <c r="I9168" s="24"/>
      <c r="L9168"/>
    </row>
    <row r="9169" spans="1:12" x14ac:dyDescent="0.25">
      <c r="A9169" s="16"/>
      <c r="D9169" s="16"/>
      <c r="F9169" s="16"/>
      <c r="G9169" s="16"/>
      <c r="H9169" s="24"/>
      <c r="I9169" s="24"/>
      <c r="L9169"/>
    </row>
    <row r="9170" spans="1:12" x14ac:dyDescent="0.25">
      <c r="A9170" s="16"/>
      <c r="D9170" s="16"/>
      <c r="F9170" s="16"/>
      <c r="G9170" s="16"/>
      <c r="H9170" s="24"/>
      <c r="I9170" s="24"/>
      <c r="L9170"/>
    </row>
    <row r="9171" spans="1:12" x14ac:dyDescent="0.25">
      <c r="A9171" s="16"/>
      <c r="D9171" s="16"/>
      <c r="F9171" s="16"/>
      <c r="G9171" s="16"/>
      <c r="H9171" s="24"/>
      <c r="I9171" s="24"/>
      <c r="L9171"/>
    </row>
    <row r="9172" spans="1:12" x14ac:dyDescent="0.25">
      <c r="A9172" s="16"/>
      <c r="D9172" s="16"/>
      <c r="F9172" s="16"/>
      <c r="G9172" s="16"/>
      <c r="H9172" s="24"/>
      <c r="I9172" s="24"/>
      <c r="L9172"/>
    </row>
    <row r="9173" spans="1:12" x14ac:dyDescent="0.25">
      <c r="A9173" s="16"/>
      <c r="D9173" s="16"/>
      <c r="F9173" s="16"/>
      <c r="G9173" s="16"/>
      <c r="H9173" s="24"/>
      <c r="I9173" s="24"/>
      <c r="L9173"/>
    </row>
    <row r="9174" spans="1:12" x14ac:dyDescent="0.25">
      <c r="A9174" s="16"/>
      <c r="D9174" s="16"/>
      <c r="F9174" s="16"/>
      <c r="G9174" s="16"/>
      <c r="H9174" s="24"/>
      <c r="I9174" s="24"/>
      <c r="L9174"/>
    </row>
    <row r="9175" spans="1:12" x14ac:dyDescent="0.25">
      <c r="A9175" s="16"/>
      <c r="D9175" s="16"/>
      <c r="F9175" s="16"/>
      <c r="G9175" s="16"/>
      <c r="H9175" s="24"/>
      <c r="I9175" s="24"/>
      <c r="L9175"/>
    </row>
    <row r="9176" spans="1:12" x14ac:dyDescent="0.25">
      <c r="A9176" s="16"/>
      <c r="D9176" s="16"/>
      <c r="F9176" s="16"/>
      <c r="G9176" s="16"/>
      <c r="H9176" s="24"/>
      <c r="I9176" s="24"/>
      <c r="L9176"/>
    </row>
    <row r="9177" spans="1:12" x14ac:dyDescent="0.25">
      <c r="A9177" s="16"/>
      <c r="D9177" s="16"/>
      <c r="F9177" s="16"/>
      <c r="G9177" s="16"/>
      <c r="H9177" s="24"/>
      <c r="I9177" s="24"/>
      <c r="L9177"/>
    </row>
    <row r="9178" spans="1:12" x14ac:dyDescent="0.25">
      <c r="A9178" s="16"/>
      <c r="D9178" s="16"/>
      <c r="F9178" s="16"/>
      <c r="G9178" s="16"/>
      <c r="H9178" s="24"/>
      <c r="I9178" s="24"/>
      <c r="L9178"/>
    </row>
    <row r="9179" spans="1:12" x14ac:dyDescent="0.25">
      <c r="A9179" s="16"/>
      <c r="D9179" s="16"/>
      <c r="F9179" s="16"/>
      <c r="G9179" s="16"/>
      <c r="H9179" s="24"/>
      <c r="I9179" s="24"/>
      <c r="L9179"/>
    </row>
    <row r="9180" spans="1:12" x14ac:dyDescent="0.25">
      <c r="A9180" s="16"/>
      <c r="D9180" s="16"/>
      <c r="F9180" s="16"/>
      <c r="G9180" s="16"/>
      <c r="H9180" s="24"/>
      <c r="I9180" s="24"/>
      <c r="L9180"/>
    </row>
    <row r="9181" spans="1:12" x14ac:dyDescent="0.25">
      <c r="A9181" s="16"/>
      <c r="D9181" s="16"/>
      <c r="F9181" s="16"/>
      <c r="G9181" s="16"/>
      <c r="H9181" s="24"/>
      <c r="I9181" s="24"/>
      <c r="L9181"/>
    </row>
    <row r="9182" spans="1:12" x14ac:dyDescent="0.25">
      <c r="A9182" s="16"/>
      <c r="D9182" s="16"/>
      <c r="F9182" s="16"/>
      <c r="G9182" s="16"/>
      <c r="H9182" s="24"/>
      <c r="I9182" s="24"/>
      <c r="L9182"/>
    </row>
    <row r="9183" spans="1:12" x14ac:dyDescent="0.25">
      <c r="A9183" s="16"/>
      <c r="D9183" s="16"/>
      <c r="F9183" s="16"/>
      <c r="G9183" s="16"/>
      <c r="H9183" s="24"/>
      <c r="I9183" s="24"/>
      <c r="L9183"/>
    </row>
    <row r="9184" spans="1:12" x14ac:dyDescent="0.25">
      <c r="A9184" s="16"/>
      <c r="D9184" s="16"/>
      <c r="F9184" s="16"/>
      <c r="G9184" s="16"/>
      <c r="H9184" s="24"/>
      <c r="I9184" s="24"/>
      <c r="L9184"/>
    </row>
    <row r="9185" spans="1:12" x14ac:dyDescent="0.25">
      <c r="A9185" s="16"/>
      <c r="D9185" s="16"/>
      <c r="F9185" s="16"/>
      <c r="G9185" s="16"/>
      <c r="H9185" s="24"/>
      <c r="I9185" s="24"/>
      <c r="L9185"/>
    </row>
    <row r="9186" spans="1:12" x14ac:dyDescent="0.25">
      <c r="A9186" s="16"/>
      <c r="D9186" s="16"/>
      <c r="F9186" s="16"/>
      <c r="G9186" s="16"/>
      <c r="H9186" s="24"/>
      <c r="I9186" s="24"/>
      <c r="L9186"/>
    </row>
    <row r="9187" spans="1:12" x14ac:dyDescent="0.25">
      <c r="A9187" s="16"/>
      <c r="D9187" s="16"/>
      <c r="F9187" s="16"/>
      <c r="G9187" s="16"/>
      <c r="H9187" s="24"/>
      <c r="I9187" s="24"/>
      <c r="L9187"/>
    </row>
    <row r="9188" spans="1:12" x14ac:dyDescent="0.25">
      <c r="A9188" s="16"/>
      <c r="D9188" s="16"/>
      <c r="F9188" s="16"/>
      <c r="G9188" s="16"/>
      <c r="H9188" s="24"/>
      <c r="I9188" s="24"/>
      <c r="L9188"/>
    </row>
    <row r="9189" spans="1:12" x14ac:dyDescent="0.25">
      <c r="A9189" s="16"/>
      <c r="D9189" s="16"/>
      <c r="F9189" s="16"/>
      <c r="G9189" s="16"/>
      <c r="H9189" s="24"/>
      <c r="I9189" s="24"/>
      <c r="L9189"/>
    </row>
    <row r="9190" spans="1:12" x14ac:dyDescent="0.25">
      <c r="A9190" s="16"/>
      <c r="D9190" s="16"/>
      <c r="F9190" s="16"/>
      <c r="G9190" s="16"/>
      <c r="H9190" s="24"/>
      <c r="I9190" s="24"/>
      <c r="L9190"/>
    </row>
    <row r="9191" spans="1:12" x14ac:dyDescent="0.25">
      <c r="A9191" s="16"/>
      <c r="D9191" s="16"/>
      <c r="F9191" s="16"/>
      <c r="G9191" s="16"/>
      <c r="H9191" s="24"/>
      <c r="I9191" s="24"/>
      <c r="L9191"/>
    </row>
    <row r="9192" spans="1:12" x14ac:dyDescent="0.25">
      <c r="A9192" s="16"/>
      <c r="D9192" s="16"/>
      <c r="F9192" s="16"/>
      <c r="G9192" s="16"/>
      <c r="H9192" s="24"/>
      <c r="I9192" s="24"/>
      <c r="L9192"/>
    </row>
    <row r="9193" spans="1:12" x14ac:dyDescent="0.25">
      <c r="A9193" s="16"/>
      <c r="D9193" s="16"/>
      <c r="F9193" s="16"/>
      <c r="G9193" s="16"/>
      <c r="H9193" s="24"/>
      <c r="I9193" s="24"/>
      <c r="L9193"/>
    </row>
    <row r="9194" spans="1:12" x14ac:dyDescent="0.25">
      <c r="A9194" s="16"/>
      <c r="D9194" s="16"/>
      <c r="F9194" s="16"/>
      <c r="G9194" s="16"/>
      <c r="H9194" s="24"/>
      <c r="I9194" s="24"/>
      <c r="L9194"/>
    </row>
    <row r="9195" spans="1:12" x14ac:dyDescent="0.25">
      <c r="A9195" s="16"/>
      <c r="D9195" s="16"/>
      <c r="F9195" s="16"/>
      <c r="G9195" s="16"/>
      <c r="H9195" s="24"/>
      <c r="I9195" s="24"/>
      <c r="L9195"/>
    </row>
    <row r="9196" spans="1:12" x14ac:dyDescent="0.25">
      <c r="A9196" s="16"/>
      <c r="D9196" s="16"/>
      <c r="F9196" s="16"/>
      <c r="G9196" s="16"/>
      <c r="H9196" s="24"/>
      <c r="I9196" s="24"/>
      <c r="L9196"/>
    </row>
    <row r="9197" spans="1:12" x14ac:dyDescent="0.25">
      <c r="A9197" s="16"/>
      <c r="D9197" s="16"/>
      <c r="F9197" s="16"/>
      <c r="G9197" s="16"/>
      <c r="H9197" s="24"/>
      <c r="I9197" s="24"/>
      <c r="L9197"/>
    </row>
    <row r="9198" spans="1:12" x14ac:dyDescent="0.25">
      <c r="A9198" s="16"/>
      <c r="D9198" s="16"/>
      <c r="F9198" s="16"/>
      <c r="G9198" s="16"/>
      <c r="H9198" s="24"/>
      <c r="I9198" s="24"/>
      <c r="L9198"/>
    </row>
    <row r="9199" spans="1:12" x14ac:dyDescent="0.25">
      <c r="A9199" s="16"/>
      <c r="D9199" s="16"/>
      <c r="F9199" s="16"/>
      <c r="G9199" s="16"/>
      <c r="H9199" s="24"/>
      <c r="I9199" s="24"/>
      <c r="L9199"/>
    </row>
    <row r="9200" spans="1:12" x14ac:dyDescent="0.25">
      <c r="A9200" s="16"/>
      <c r="D9200" s="16"/>
      <c r="F9200" s="16"/>
      <c r="G9200" s="16"/>
      <c r="H9200" s="24"/>
      <c r="I9200" s="24"/>
      <c r="L9200"/>
    </row>
    <row r="9201" spans="1:12" x14ac:dyDescent="0.25">
      <c r="A9201" s="16"/>
      <c r="D9201" s="16"/>
      <c r="F9201" s="16"/>
      <c r="G9201" s="16"/>
      <c r="H9201" s="24"/>
      <c r="I9201" s="24"/>
      <c r="L9201"/>
    </row>
    <row r="9202" spans="1:12" x14ac:dyDescent="0.25">
      <c r="A9202" s="16"/>
      <c r="D9202" s="16"/>
      <c r="F9202" s="16"/>
      <c r="G9202" s="16"/>
      <c r="H9202" s="24"/>
      <c r="I9202" s="24"/>
      <c r="L9202"/>
    </row>
    <row r="9203" spans="1:12" x14ac:dyDescent="0.25">
      <c r="A9203" s="16"/>
      <c r="D9203" s="16"/>
      <c r="F9203" s="16"/>
      <c r="G9203" s="16"/>
      <c r="H9203" s="24"/>
      <c r="I9203" s="24"/>
      <c r="L9203"/>
    </row>
    <row r="9204" spans="1:12" x14ac:dyDescent="0.25">
      <c r="A9204" s="16"/>
      <c r="D9204" s="16"/>
      <c r="F9204" s="16"/>
      <c r="G9204" s="16"/>
      <c r="H9204" s="24"/>
      <c r="I9204" s="24"/>
      <c r="L9204"/>
    </row>
    <row r="9205" spans="1:12" x14ac:dyDescent="0.25">
      <c r="A9205" s="16"/>
      <c r="D9205" s="16"/>
      <c r="F9205" s="16"/>
      <c r="G9205" s="16"/>
      <c r="H9205" s="24"/>
      <c r="I9205" s="24"/>
      <c r="L9205"/>
    </row>
    <row r="9206" spans="1:12" x14ac:dyDescent="0.25">
      <c r="A9206" s="16"/>
      <c r="D9206" s="16"/>
      <c r="F9206" s="16"/>
      <c r="G9206" s="16"/>
      <c r="H9206" s="24"/>
      <c r="I9206" s="24"/>
      <c r="L9206"/>
    </row>
    <row r="9207" spans="1:12" x14ac:dyDescent="0.25">
      <c r="A9207" s="16"/>
      <c r="D9207" s="16"/>
      <c r="F9207" s="16"/>
      <c r="G9207" s="16"/>
      <c r="H9207" s="24"/>
      <c r="I9207" s="24"/>
      <c r="L9207"/>
    </row>
    <row r="9208" spans="1:12" x14ac:dyDescent="0.25">
      <c r="A9208" s="16"/>
      <c r="D9208" s="16"/>
      <c r="F9208" s="16"/>
      <c r="G9208" s="16"/>
      <c r="H9208" s="24"/>
      <c r="I9208" s="24"/>
      <c r="L9208"/>
    </row>
    <row r="9209" spans="1:12" x14ac:dyDescent="0.25">
      <c r="A9209" s="16"/>
      <c r="D9209" s="16"/>
      <c r="F9209" s="16"/>
      <c r="G9209" s="16"/>
      <c r="H9209" s="24"/>
      <c r="I9209" s="24"/>
      <c r="L9209"/>
    </row>
    <row r="9210" spans="1:12" x14ac:dyDescent="0.25">
      <c r="A9210" s="16"/>
      <c r="D9210" s="16"/>
      <c r="F9210" s="16"/>
      <c r="G9210" s="16"/>
      <c r="H9210" s="24"/>
      <c r="I9210" s="24"/>
      <c r="L9210"/>
    </row>
    <row r="9211" spans="1:12" x14ac:dyDescent="0.25">
      <c r="A9211" s="16"/>
      <c r="D9211" s="16"/>
      <c r="F9211" s="16"/>
      <c r="G9211" s="16"/>
      <c r="H9211" s="24"/>
      <c r="I9211" s="24"/>
      <c r="L9211"/>
    </row>
    <row r="9212" spans="1:12" x14ac:dyDescent="0.25">
      <c r="A9212" s="16"/>
      <c r="D9212" s="16"/>
      <c r="F9212" s="16"/>
      <c r="G9212" s="16"/>
      <c r="H9212" s="24"/>
      <c r="I9212" s="24"/>
      <c r="L9212"/>
    </row>
    <row r="9213" spans="1:12" x14ac:dyDescent="0.25">
      <c r="A9213" s="16"/>
      <c r="D9213" s="16"/>
      <c r="F9213" s="16"/>
      <c r="G9213" s="16"/>
      <c r="H9213" s="24"/>
      <c r="I9213" s="24"/>
      <c r="L9213"/>
    </row>
    <row r="9214" spans="1:12" x14ac:dyDescent="0.25">
      <c r="A9214" s="16"/>
      <c r="D9214" s="16"/>
      <c r="F9214" s="16"/>
      <c r="G9214" s="16"/>
      <c r="H9214" s="24"/>
      <c r="I9214" s="24"/>
      <c r="L9214"/>
    </row>
    <row r="9215" spans="1:12" x14ac:dyDescent="0.25">
      <c r="A9215" s="16"/>
      <c r="D9215" s="16"/>
      <c r="F9215" s="16"/>
      <c r="G9215" s="16"/>
      <c r="H9215" s="24"/>
      <c r="I9215" s="24"/>
      <c r="L9215"/>
    </row>
    <row r="9216" spans="1:12" x14ac:dyDescent="0.25">
      <c r="A9216" s="16"/>
      <c r="D9216" s="16"/>
      <c r="F9216" s="16"/>
      <c r="G9216" s="16"/>
      <c r="H9216" s="24"/>
      <c r="I9216" s="24"/>
      <c r="L9216"/>
    </row>
    <row r="9217" spans="1:12" x14ac:dyDescent="0.25">
      <c r="A9217" s="16"/>
      <c r="D9217" s="16"/>
      <c r="F9217" s="16"/>
      <c r="G9217" s="16"/>
      <c r="H9217" s="24"/>
      <c r="I9217" s="24"/>
      <c r="L9217"/>
    </row>
    <row r="9218" spans="1:12" x14ac:dyDescent="0.25">
      <c r="A9218" s="16"/>
      <c r="D9218" s="16"/>
      <c r="F9218" s="16"/>
      <c r="G9218" s="16"/>
      <c r="H9218" s="24"/>
      <c r="I9218" s="24"/>
      <c r="L9218"/>
    </row>
    <row r="9219" spans="1:12" x14ac:dyDescent="0.25">
      <c r="A9219" s="16"/>
      <c r="D9219" s="16"/>
      <c r="F9219" s="16"/>
      <c r="G9219" s="16"/>
      <c r="H9219" s="24"/>
      <c r="I9219" s="24"/>
      <c r="L9219"/>
    </row>
    <row r="9220" spans="1:12" x14ac:dyDescent="0.25">
      <c r="A9220" s="16"/>
      <c r="D9220" s="16"/>
      <c r="F9220" s="16"/>
      <c r="G9220" s="16"/>
      <c r="H9220" s="24"/>
      <c r="I9220" s="24"/>
      <c r="L9220"/>
    </row>
    <row r="9221" spans="1:12" x14ac:dyDescent="0.25">
      <c r="A9221" s="16"/>
      <c r="D9221" s="16"/>
      <c r="F9221" s="16"/>
      <c r="G9221" s="16"/>
      <c r="H9221" s="24"/>
      <c r="I9221" s="24"/>
      <c r="L9221"/>
    </row>
    <row r="9222" spans="1:12" x14ac:dyDescent="0.25">
      <c r="A9222" s="16"/>
      <c r="D9222" s="16"/>
      <c r="F9222" s="16"/>
      <c r="G9222" s="16"/>
      <c r="H9222" s="24"/>
      <c r="I9222" s="24"/>
      <c r="L9222"/>
    </row>
    <row r="9223" spans="1:12" x14ac:dyDescent="0.25">
      <c r="A9223" s="16"/>
      <c r="D9223" s="16"/>
      <c r="F9223" s="16"/>
      <c r="G9223" s="16"/>
      <c r="H9223" s="24"/>
      <c r="I9223" s="24"/>
      <c r="L9223"/>
    </row>
    <row r="9224" spans="1:12" x14ac:dyDescent="0.25">
      <c r="A9224" s="16"/>
      <c r="D9224" s="16"/>
      <c r="F9224" s="16"/>
      <c r="G9224" s="16"/>
      <c r="H9224" s="24"/>
      <c r="I9224" s="24"/>
      <c r="L9224"/>
    </row>
    <row r="9225" spans="1:12" x14ac:dyDescent="0.25">
      <c r="A9225" s="16"/>
      <c r="D9225" s="16"/>
      <c r="F9225" s="16"/>
      <c r="G9225" s="16"/>
      <c r="H9225" s="24"/>
      <c r="I9225" s="24"/>
      <c r="L9225"/>
    </row>
    <row r="9226" spans="1:12" x14ac:dyDescent="0.25">
      <c r="A9226" s="16"/>
      <c r="D9226" s="16"/>
      <c r="F9226" s="16"/>
      <c r="G9226" s="16"/>
      <c r="H9226" s="24"/>
      <c r="I9226" s="24"/>
      <c r="L9226"/>
    </row>
    <row r="9227" spans="1:12" x14ac:dyDescent="0.25">
      <c r="A9227" s="16"/>
      <c r="D9227" s="16"/>
      <c r="F9227" s="16"/>
      <c r="G9227" s="16"/>
      <c r="H9227" s="24"/>
      <c r="I9227" s="24"/>
      <c r="L9227"/>
    </row>
    <row r="9228" spans="1:12" x14ac:dyDescent="0.25">
      <c r="A9228" s="16"/>
      <c r="D9228" s="16"/>
      <c r="F9228" s="16"/>
      <c r="G9228" s="16"/>
      <c r="H9228" s="24"/>
      <c r="I9228" s="24"/>
      <c r="L9228"/>
    </row>
    <row r="9229" spans="1:12" x14ac:dyDescent="0.25">
      <c r="A9229" s="16"/>
      <c r="D9229" s="16"/>
      <c r="F9229" s="16"/>
      <c r="G9229" s="16"/>
      <c r="H9229" s="24"/>
      <c r="I9229" s="24"/>
      <c r="L9229"/>
    </row>
    <row r="9230" spans="1:12" x14ac:dyDescent="0.25">
      <c r="A9230" s="16"/>
      <c r="D9230" s="16"/>
      <c r="F9230" s="16"/>
      <c r="G9230" s="16"/>
      <c r="H9230" s="24"/>
      <c r="I9230" s="24"/>
      <c r="L9230"/>
    </row>
    <row r="9231" spans="1:12" x14ac:dyDescent="0.25">
      <c r="A9231" s="16"/>
      <c r="D9231" s="16"/>
      <c r="F9231" s="16"/>
      <c r="G9231" s="16"/>
      <c r="H9231" s="24"/>
      <c r="I9231" s="24"/>
      <c r="L9231"/>
    </row>
    <row r="9232" spans="1:12" x14ac:dyDescent="0.25">
      <c r="A9232" s="16"/>
      <c r="D9232" s="16"/>
      <c r="F9232" s="16"/>
      <c r="G9232" s="16"/>
      <c r="H9232" s="24"/>
      <c r="I9232" s="24"/>
      <c r="L9232"/>
    </row>
    <row r="9233" spans="1:12" x14ac:dyDescent="0.25">
      <c r="A9233" s="16"/>
      <c r="D9233" s="16"/>
      <c r="F9233" s="16"/>
      <c r="G9233" s="16"/>
      <c r="H9233" s="24"/>
      <c r="I9233" s="24"/>
      <c r="L9233"/>
    </row>
    <row r="9234" spans="1:12" x14ac:dyDescent="0.25">
      <c r="A9234" s="16"/>
      <c r="D9234" s="16"/>
      <c r="F9234" s="16"/>
      <c r="G9234" s="16"/>
      <c r="H9234" s="24"/>
      <c r="I9234" s="24"/>
      <c r="L9234"/>
    </row>
    <row r="9235" spans="1:12" x14ac:dyDescent="0.25">
      <c r="A9235" s="16"/>
      <c r="D9235" s="16"/>
      <c r="F9235" s="16"/>
      <c r="G9235" s="16"/>
      <c r="H9235" s="24"/>
      <c r="I9235" s="24"/>
      <c r="L9235"/>
    </row>
    <row r="9236" spans="1:12" x14ac:dyDescent="0.25">
      <c r="A9236" s="16"/>
      <c r="D9236" s="16"/>
      <c r="F9236" s="16"/>
      <c r="G9236" s="16"/>
      <c r="H9236" s="24"/>
      <c r="I9236" s="24"/>
      <c r="L9236"/>
    </row>
    <row r="9237" spans="1:12" x14ac:dyDescent="0.25">
      <c r="A9237" s="16"/>
      <c r="D9237" s="16"/>
      <c r="F9237" s="16"/>
      <c r="G9237" s="16"/>
      <c r="H9237" s="24"/>
      <c r="I9237" s="24"/>
      <c r="L9237"/>
    </row>
    <row r="9238" spans="1:12" x14ac:dyDescent="0.25">
      <c r="A9238" s="16"/>
      <c r="D9238" s="16"/>
      <c r="F9238" s="16"/>
      <c r="G9238" s="16"/>
      <c r="H9238" s="24"/>
      <c r="I9238" s="24"/>
      <c r="L9238"/>
    </row>
    <row r="9239" spans="1:12" x14ac:dyDescent="0.25">
      <c r="A9239" s="16"/>
      <c r="D9239" s="16"/>
      <c r="F9239" s="16"/>
      <c r="G9239" s="16"/>
      <c r="H9239" s="24"/>
      <c r="I9239" s="24"/>
      <c r="L9239"/>
    </row>
    <row r="9240" spans="1:12" x14ac:dyDescent="0.25">
      <c r="A9240" s="16"/>
      <c r="D9240" s="16"/>
      <c r="F9240" s="16"/>
      <c r="G9240" s="16"/>
      <c r="H9240" s="24"/>
      <c r="I9240" s="24"/>
      <c r="L9240"/>
    </row>
    <row r="9241" spans="1:12" x14ac:dyDescent="0.25">
      <c r="A9241" s="16"/>
      <c r="D9241" s="16"/>
      <c r="F9241" s="16"/>
      <c r="G9241" s="16"/>
      <c r="H9241" s="24"/>
      <c r="I9241" s="24"/>
      <c r="L9241"/>
    </row>
    <row r="9242" spans="1:12" x14ac:dyDescent="0.25">
      <c r="A9242" s="16"/>
      <c r="D9242" s="16"/>
      <c r="F9242" s="16"/>
      <c r="G9242" s="16"/>
      <c r="H9242" s="24"/>
      <c r="I9242" s="24"/>
      <c r="L9242"/>
    </row>
    <row r="9243" spans="1:12" x14ac:dyDescent="0.25">
      <c r="A9243" s="16"/>
      <c r="D9243" s="16"/>
      <c r="F9243" s="16"/>
      <c r="G9243" s="16"/>
      <c r="H9243" s="24"/>
      <c r="I9243" s="24"/>
      <c r="L9243"/>
    </row>
    <row r="9244" spans="1:12" x14ac:dyDescent="0.25">
      <c r="A9244" s="16"/>
      <c r="D9244" s="16"/>
      <c r="F9244" s="16"/>
      <c r="G9244" s="16"/>
      <c r="H9244" s="24"/>
      <c r="I9244" s="24"/>
      <c r="L9244"/>
    </row>
    <row r="9245" spans="1:12" x14ac:dyDescent="0.25">
      <c r="A9245" s="16"/>
      <c r="D9245" s="16"/>
      <c r="F9245" s="16"/>
      <c r="G9245" s="16"/>
      <c r="H9245" s="24"/>
      <c r="I9245" s="24"/>
      <c r="L9245"/>
    </row>
    <row r="9246" spans="1:12" x14ac:dyDescent="0.25">
      <c r="A9246" s="16"/>
      <c r="D9246" s="16"/>
      <c r="F9246" s="16"/>
      <c r="G9246" s="16"/>
      <c r="H9246" s="24"/>
      <c r="I9246" s="24"/>
      <c r="L9246"/>
    </row>
    <row r="9247" spans="1:12" x14ac:dyDescent="0.25">
      <c r="A9247" s="16"/>
      <c r="D9247" s="16"/>
      <c r="F9247" s="16"/>
      <c r="G9247" s="16"/>
      <c r="H9247" s="24"/>
      <c r="I9247" s="24"/>
      <c r="L9247"/>
    </row>
    <row r="9248" spans="1:12" x14ac:dyDescent="0.25">
      <c r="A9248" s="16"/>
      <c r="D9248" s="16"/>
      <c r="F9248" s="16"/>
      <c r="G9248" s="16"/>
      <c r="H9248" s="24"/>
      <c r="I9248" s="24"/>
      <c r="L9248"/>
    </row>
    <row r="9249" spans="1:12" x14ac:dyDescent="0.25">
      <c r="A9249" s="16"/>
      <c r="D9249" s="16"/>
      <c r="F9249" s="16"/>
      <c r="G9249" s="16"/>
      <c r="H9249" s="24"/>
      <c r="I9249" s="24"/>
      <c r="L9249"/>
    </row>
    <row r="9250" spans="1:12" x14ac:dyDescent="0.25">
      <c r="A9250" s="16"/>
      <c r="D9250" s="16"/>
      <c r="F9250" s="16"/>
      <c r="G9250" s="16"/>
      <c r="H9250" s="24"/>
      <c r="I9250" s="24"/>
      <c r="L9250"/>
    </row>
    <row r="9251" spans="1:12" x14ac:dyDescent="0.25">
      <c r="A9251" s="16"/>
      <c r="D9251" s="16"/>
      <c r="F9251" s="16"/>
      <c r="G9251" s="16"/>
      <c r="H9251" s="24"/>
      <c r="I9251" s="24"/>
      <c r="L9251"/>
    </row>
    <row r="9252" spans="1:12" x14ac:dyDescent="0.25">
      <c r="A9252" s="16"/>
      <c r="D9252" s="16"/>
      <c r="F9252" s="16"/>
      <c r="G9252" s="16"/>
      <c r="H9252" s="24"/>
      <c r="I9252" s="24"/>
      <c r="L9252"/>
    </row>
    <row r="9253" spans="1:12" x14ac:dyDescent="0.25">
      <c r="A9253" s="16"/>
      <c r="D9253" s="16"/>
      <c r="F9253" s="16"/>
      <c r="G9253" s="16"/>
      <c r="H9253" s="24"/>
      <c r="I9253" s="24"/>
      <c r="L9253"/>
    </row>
    <row r="9254" spans="1:12" x14ac:dyDescent="0.25">
      <c r="A9254" s="16"/>
      <c r="D9254" s="16"/>
      <c r="F9254" s="16"/>
      <c r="G9254" s="16"/>
      <c r="H9254" s="24"/>
      <c r="I9254" s="24"/>
      <c r="L9254"/>
    </row>
    <row r="9255" spans="1:12" x14ac:dyDescent="0.25">
      <c r="A9255" s="16"/>
      <c r="D9255" s="16"/>
      <c r="F9255" s="16"/>
      <c r="G9255" s="16"/>
      <c r="H9255" s="24"/>
      <c r="I9255" s="24"/>
      <c r="L9255"/>
    </row>
    <row r="9256" spans="1:12" x14ac:dyDescent="0.25">
      <c r="A9256" s="16"/>
      <c r="D9256" s="16"/>
      <c r="F9256" s="16"/>
      <c r="G9256" s="16"/>
      <c r="H9256" s="24"/>
      <c r="I9256" s="24"/>
      <c r="L9256"/>
    </row>
    <row r="9257" spans="1:12" x14ac:dyDescent="0.25">
      <c r="A9257" s="16"/>
      <c r="D9257" s="16"/>
      <c r="F9257" s="16"/>
      <c r="G9257" s="16"/>
      <c r="H9257" s="24"/>
      <c r="I9257" s="24"/>
      <c r="L9257"/>
    </row>
    <row r="9258" spans="1:12" x14ac:dyDescent="0.25">
      <c r="A9258" s="16"/>
      <c r="D9258" s="16"/>
      <c r="F9258" s="16"/>
      <c r="G9258" s="16"/>
      <c r="H9258" s="24"/>
      <c r="I9258" s="24"/>
      <c r="L9258"/>
    </row>
    <row r="9259" spans="1:12" x14ac:dyDescent="0.25">
      <c r="A9259" s="16"/>
      <c r="D9259" s="16"/>
      <c r="F9259" s="16"/>
      <c r="G9259" s="16"/>
      <c r="H9259" s="24"/>
      <c r="I9259" s="24"/>
      <c r="L9259"/>
    </row>
    <row r="9260" spans="1:12" x14ac:dyDescent="0.25">
      <c r="A9260" s="16"/>
      <c r="D9260" s="16"/>
      <c r="F9260" s="16"/>
      <c r="G9260" s="16"/>
      <c r="H9260" s="24"/>
      <c r="I9260" s="24"/>
      <c r="L9260"/>
    </row>
    <row r="9261" spans="1:12" x14ac:dyDescent="0.25">
      <c r="A9261" s="16"/>
      <c r="D9261" s="16"/>
      <c r="F9261" s="16"/>
      <c r="G9261" s="16"/>
      <c r="H9261" s="24"/>
      <c r="I9261" s="24"/>
      <c r="L9261"/>
    </row>
    <row r="9262" spans="1:12" x14ac:dyDescent="0.25">
      <c r="A9262" s="16"/>
      <c r="D9262" s="16"/>
      <c r="F9262" s="16"/>
      <c r="G9262" s="16"/>
      <c r="H9262" s="24"/>
      <c r="I9262" s="24"/>
      <c r="L9262"/>
    </row>
    <row r="9263" spans="1:12" x14ac:dyDescent="0.25">
      <c r="A9263" s="16"/>
      <c r="D9263" s="16"/>
      <c r="F9263" s="16"/>
      <c r="G9263" s="16"/>
      <c r="H9263" s="24"/>
      <c r="I9263" s="24"/>
      <c r="L9263"/>
    </row>
    <row r="9264" spans="1:12" x14ac:dyDescent="0.25">
      <c r="A9264" s="16"/>
      <c r="D9264" s="16"/>
      <c r="F9264" s="16"/>
      <c r="G9264" s="16"/>
      <c r="H9264" s="24"/>
      <c r="I9264" s="24"/>
      <c r="L9264"/>
    </row>
    <row r="9265" spans="1:12" x14ac:dyDescent="0.25">
      <c r="A9265" s="16"/>
      <c r="D9265" s="16"/>
      <c r="F9265" s="16"/>
      <c r="G9265" s="16"/>
      <c r="H9265" s="24"/>
      <c r="I9265" s="24"/>
      <c r="L9265"/>
    </row>
    <row r="9266" spans="1:12" x14ac:dyDescent="0.25">
      <c r="A9266" s="16"/>
      <c r="D9266" s="16"/>
      <c r="F9266" s="16"/>
      <c r="G9266" s="16"/>
      <c r="H9266" s="24"/>
      <c r="I9266" s="24"/>
      <c r="L9266"/>
    </row>
    <row r="9267" spans="1:12" x14ac:dyDescent="0.25">
      <c r="A9267" s="16"/>
      <c r="D9267" s="16"/>
      <c r="F9267" s="16"/>
      <c r="G9267" s="16"/>
      <c r="H9267" s="24"/>
      <c r="I9267" s="24"/>
      <c r="L9267"/>
    </row>
    <row r="9268" spans="1:12" x14ac:dyDescent="0.25">
      <c r="A9268" s="16"/>
      <c r="D9268" s="16"/>
      <c r="F9268" s="16"/>
      <c r="G9268" s="16"/>
      <c r="H9268" s="24"/>
      <c r="I9268" s="24"/>
      <c r="L9268"/>
    </row>
    <row r="9269" spans="1:12" x14ac:dyDescent="0.25">
      <c r="A9269" s="16"/>
      <c r="D9269" s="16"/>
      <c r="F9269" s="16"/>
      <c r="G9269" s="16"/>
      <c r="H9269" s="24"/>
      <c r="I9269" s="24"/>
      <c r="L9269"/>
    </row>
    <row r="9270" spans="1:12" x14ac:dyDescent="0.25">
      <c r="A9270" s="16"/>
      <c r="D9270" s="16"/>
      <c r="F9270" s="16"/>
      <c r="G9270" s="16"/>
      <c r="H9270" s="24"/>
      <c r="I9270" s="24"/>
      <c r="L9270"/>
    </row>
    <row r="9271" spans="1:12" x14ac:dyDescent="0.25">
      <c r="A9271" s="16"/>
      <c r="D9271" s="16"/>
      <c r="F9271" s="16"/>
      <c r="G9271" s="16"/>
      <c r="H9271" s="24"/>
      <c r="I9271" s="24"/>
      <c r="L9271"/>
    </row>
    <row r="9272" spans="1:12" x14ac:dyDescent="0.25">
      <c r="A9272" s="16"/>
      <c r="D9272" s="16"/>
      <c r="F9272" s="16"/>
      <c r="G9272" s="16"/>
      <c r="H9272" s="24"/>
      <c r="I9272" s="24"/>
      <c r="L9272"/>
    </row>
    <row r="9273" spans="1:12" x14ac:dyDescent="0.25">
      <c r="A9273" s="16"/>
      <c r="D9273" s="16"/>
      <c r="F9273" s="16"/>
      <c r="G9273" s="16"/>
      <c r="H9273" s="24"/>
      <c r="I9273" s="24"/>
      <c r="L9273"/>
    </row>
    <row r="9274" spans="1:12" x14ac:dyDescent="0.25">
      <c r="A9274" s="16"/>
      <c r="D9274" s="16"/>
      <c r="F9274" s="16"/>
      <c r="G9274" s="16"/>
      <c r="H9274" s="24"/>
      <c r="I9274" s="24"/>
      <c r="L9274"/>
    </row>
    <row r="9275" spans="1:12" x14ac:dyDescent="0.25">
      <c r="A9275" s="16"/>
      <c r="D9275" s="16"/>
      <c r="F9275" s="16"/>
      <c r="G9275" s="16"/>
      <c r="H9275" s="24"/>
      <c r="I9275" s="24"/>
      <c r="L9275"/>
    </row>
    <row r="9276" spans="1:12" x14ac:dyDescent="0.25">
      <c r="A9276" s="16"/>
      <c r="D9276" s="16"/>
      <c r="F9276" s="16"/>
      <c r="G9276" s="16"/>
      <c r="H9276" s="24"/>
      <c r="I9276" s="24"/>
      <c r="L9276"/>
    </row>
    <row r="9277" spans="1:12" x14ac:dyDescent="0.25">
      <c r="A9277" s="16"/>
      <c r="D9277" s="16"/>
      <c r="F9277" s="16"/>
      <c r="G9277" s="16"/>
      <c r="H9277" s="24"/>
      <c r="I9277" s="24"/>
      <c r="L9277"/>
    </row>
    <row r="9278" spans="1:12" x14ac:dyDescent="0.25">
      <c r="A9278" s="16"/>
      <c r="D9278" s="16"/>
      <c r="F9278" s="16"/>
      <c r="G9278" s="16"/>
      <c r="H9278" s="24"/>
      <c r="I9278" s="24"/>
      <c r="L9278"/>
    </row>
    <row r="9279" spans="1:12" x14ac:dyDescent="0.25">
      <c r="A9279" s="16"/>
      <c r="D9279" s="16"/>
      <c r="F9279" s="16"/>
      <c r="G9279" s="16"/>
      <c r="H9279" s="24"/>
      <c r="I9279" s="24"/>
      <c r="L9279"/>
    </row>
    <row r="9280" spans="1:12" x14ac:dyDescent="0.25">
      <c r="A9280" s="16"/>
      <c r="D9280" s="16"/>
      <c r="F9280" s="16"/>
      <c r="G9280" s="16"/>
      <c r="H9280" s="24"/>
      <c r="I9280" s="24"/>
      <c r="L9280"/>
    </row>
    <row r="9281" spans="1:12" x14ac:dyDescent="0.25">
      <c r="A9281" s="16"/>
      <c r="D9281" s="16"/>
      <c r="F9281" s="16"/>
      <c r="G9281" s="16"/>
      <c r="H9281" s="24"/>
      <c r="I9281" s="24"/>
      <c r="L9281"/>
    </row>
    <row r="9282" spans="1:12" x14ac:dyDescent="0.25">
      <c r="A9282" s="16"/>
      <c r="D9282" s="16"/>
      <c r="F9282" s="16"/>
      <c r="G9282" s="16"/>
      <c r="H9282" s="24"/>
      <c r="I9282" s="24"/>
      <c r="L9282"/>
    </row>
    <row r="9283" spans="1:12" x14ac:dyDescent="0.25">
      <c r="A9283" s="16"/>
      <c r="D9283" s="16"/>
      <c r="F9283" s="16"/>
      <c r="G9283" s="16"/>
      <c r="H9283" s="24"/>
      <c r="I9283" s="24"/>
      <c r="L9283"/>
    </row>
    <row r="9284" spans="1:12" x14ac:dyDescent="0.25">
      <c r="A9284" s="16"/>
      <c r="D9284" s="16"/>
      <c r="F9284" s="16"/>
      <c r="G9284" s="16"/>
      <c r="H9284" s="24"/>
      <c r="I9284" s="24"/>
      <c r="L9284"/>
    </row>
    <row r="9285" spans="1:12" x14ac:dyDescent="0.25">
      <c r="A9285" s="16"/>
      <c r="D9285" s="16"/>
      <c r="F9285" s="16"/>
      <c r="G9285" s="16"/>
      <c r="H9285" s="24"/>
      <c r="I9285" s="24"/>
      <c r="L9285"/>
    </row>
    <row r="9286" spans="1:12" x14ac:dyDescent="0.25">
      <c r="A9286" s="16"/>
      <c r="D9286" s="16"/>
      <c r="F9286" s="16"/>
      <c r="G9286" s="16"/>
      <c r="H9286" s="24"/>
      <c r="I9286" s="24"/>
      <c r="L9286"/>
    </row>
    <row r="9287" spans="1:12" x14ac:dyDescent="0.25">
      <c r="A9287" s="16"/>
      <c r="D9287" s="16"/>
      <c r="F9287" s="16"/>
      <c r="G9287" s="16"/>
      <c r="H9287" s="24"/>
      <c r="I9287" s="24"/>
      <c r="L9287"/>
    </row>
    <row r="9288" spans="1:12" x14ac:dyDescent="0.25">
      <c r="A9288" s="16"/>
      <c r="D9288" s="16"/>
      <c r="F9288" s="16"/>
      <c r="G9288" s="16"/>
      <c r="H9288" s="24"/>
      <c r="I9288" s="24"/>
      <c r="L9288"/>
    </row>
    <row r="9289" spans="1:12" x14ac:dyDescent="0.25">
      <c r="A9289" s="16"/>
      <c r="D9289" s="16"/>
      <c r="F9289" s="16"/>
      <c r="G9289" s="16"/>
      <c r="H9289" s="24"/>
      <c r="I9289" s="24"/>
      <c r="L9289"/>
    </row>
    <row r="9290" spans="1:12" x14ac:dyDescent="0.25">
      <c r="A9290" s="16"/>
      <c r="D9290" s="16"/>
      <c r="F9290" s="16"/>
      <c r="G9290" s="16"/>
      <c r="H9290" s="24"/>
      <c r="I9290" s="24"/>
      <c r="L9290"/>
    </row>
    <row r="9291" spans="1:12" x14ac:dyDescent="0.25">
      <c r="A9291" s="16"/>
      <c r="D9291" s="16"/>
      <c r="F9291" s="16"/>
      <c r="G9291" s="16"/>
      <c r="H9291" s="24"/>
      <c r="I9291" s="24"/>
      <c r="L9291"/>
    </row>
    <row r="9292" spans="1:12" x14ac:dyDescent="0.25">
      <c r="A9292" s="16"/>
      <c r="D9292" s="16"/>
      <c r="F9292" s="16"/>
      <c r="G9292" s="16"/>
      <c r="H9292" s="24"/>
      <c r="I9292" s="24"/>
      <c r="L9292"/>
    </row>
    <row r="9293" spans="1:12" x14ac:dyDescent="0.25">
      <c r="A9293" s="16"/>
      <c r="D9293" s="16"/>
      <c r="F9293" s="16"/>
      <c r="G9293" s="16"/>
      <c r="H9293" s="24"/>
      <c r="I9293" s="24"/>
      <c r="L9293"/>
    </row>
    <row r="9294" spans="1:12" x14ac:dyDescent="0.25">
      <c r="A9294" s="16"/>
      <c r="D9294" s="16"/>
      <c r="F9294" s="16"/>
      <c r="G9294" s="16"/>
      <c r="H9294" s="24"/>
      <c r="I9294" s="24"/>
      <c r="L9294"/>
    </row>
    <row r="9295" spans="1:12" x14ac:dyDescent="0.25">
      <c r="A9295" s="16"/>
      <c r="D9295" s="16"/>
      <c r="F9295" s="16"/>
      <c r="G9295" s="16"/>
      <c r="H9295" s="24"/>
      <c r="I9295" s="24"/>
      <c r="L9295"/>
    </row>
    <row r="9296" spans="1:12" x14ac:dyDescent="0.25">
      <c r="A9296" s="16"/>
      <c r="D9296" s="16"/>
      <c r="F9296" s="16"/>
      <c r="G9296" s="16"/>
      <c r="H9296" s="24"/>
      <c r="I9296" s="24"/>
      <c r="L9296"/>
    </row>
    <row r="9297" spans="1:12" x14ac:dyDescent="0.25">
      <c r="A9297" s="16"/>
      <c r="D9297" s="16"/>
      <c r="F9297" s="16"/>
      <c r="G9297" s="16"/>
      <c r="H9297" s="24"/>
      <c r="I9297" s="24"/>
      <c r="L9297"/>
    </row>
    <row r="9298" spans="1:12" x14ac:dyDescent="0.25">
      <c r="A9298" s="16"/>
      <c r="D9298" s="16"/>
      <c r="F9298" s="16"/>
      <c r="G9298" s="16"/>
      <c r="H9298" s="24"/>
      <c r="I9298" s="24"/>
      <c r="L9298"/>
    </row>
    <row r="9299" spans="1:12" x14ac:dyDescent="0.25">
      <c r="A9299" s="16"/>
      <c r="D9299" s="16"/>
      <c r="F9299" s="16"/>
      <c r="G9299" s="16"/>
      <c r="H9299" s="24"/>
      <c r="I9299" s="24"/>
      <c r="L9299"/>
    </row>
    <row r="9300" spans="1:12" x14ac:dyDescent="0.25">
      <c r="A9300" s="16"/>
      <c r="D9300" s="16"/>
      <c r="F9300" s="16"/>
      <c r="G9300" s="16"/>
      <c r="H9300" s="24"/>
      <c r="I9300" s="24"/>
      <c r="L9300"/>
    </row>
    <row r="9301" spans="1:12" x14ac:dyDescent="0.25">
      <c r="A9301" s="16"/>
      <c r="D9301" s="16"/>
      <c r="F9301" s="16"/>
      <c r="G9301" s="16"/>
      <c r="H9301" s="24"/>
      <c r="I9301" s="24"/>
      <c r="L9301"/>
    </row>
    <row r="9302" spans="1:12" x14ac:dyDescent="0.25">
      <c r="A9302" s="16"/>
      <c r="D9302" s="16"/>
      <c r="F9302" s="16"/>
      <c r="G9302" s="16"/>
      <c r="H9302" s="24"/>
      <c r="I9302" s="24"/>
      <c r="L9302"/>
    </row>
    <row r="9303" spans="1:12" x14ac:dyDescent="0.25">
      <c r="A9303" s="16"/>
      <c r="D9303" s="16"/>
      <c r="F9303" s="16"/>
      <c r="G9303" s="16"/>
      <c r="H9303" s="24"/>
      <c r="I9303" s="24"/>
      <c r="L9303"/>
    </row>
    <row r="9304" spans="1:12" x14ac:dyDescent="0.25">
      <c r="A9304" s="16"/>
      <c r="D9304" s="16"/>
      <c r="F9304" s="16"/>
      <c r="G9304" s="16"/>
      <c r="H9304" s="24"/>
      <c r="I9304" s="24"/>
      <c r="L9304"/>
    </row>
    <row r="9305" spans="1:12" x14ac:dyDescent="0.25">
      <c r="A9305" s="16"/>
      <c r="D9305" s="16"/>
      <c r="F9305" s="16"/>
      <c r="G9305" s="16"/>
      <c r="H9305" s="24"/>
      <c r="I9305" s="24"/>
      <c r="L9305"/>
    </row>
    <row r="9306" spans="1:12" x14ac:dyDescent="0.25">
      <c r="A9306" s="16"/>
      <c r="D9306" s="16"/>
      <c r="F9306" s="16"/>
      <c r="G9306" s="16"/>
      <c r="H9306" s="24"/>
      <c r="I9306" s="24"/>
      <c r="L9306"/>
    </row>
    <row r="9307" spans="1:12" x14ac:dyDescent="0.25">
      <c r="A9307" s="16"/>
      <c r="D9307" s="16"/>
      <c r="F9307" s="16"/>
      <c r="G9307" s="16"/>
      <c r="H9307" s="24"/>
      <c r="I9307" s="24"/>
      <c r="L9307"/>
    </row>
    <row r="9308" spans="1:12" x14ac:dyDescent="0.25">
      <c r="A9308" s="16"/>
      <c r="D9308" s="16"/>
      <c r="F9308" s="16"/>
      <c r="G9308" s="16"/>
      <c r="H9308" s="24"/>
      <c r="I9308" s="24"/>
      <c r="L9308"/>
    </row>
    <row r="9309" spans="1:12" x14ac:dyDescent="0.25">
      <c r="A9309" s="16"/>
      <c r="D9309" s="16"/>
      <c r="F9309" s="16"/>
      <c r="G9309" s="16"/>
      <c r="H9309" s="24"/>
      <c r="I9309" s="24"/>
      <c r="L9309"/>
    </row>
    <row r="9310" spans="1:12" x14ac:dyDescent="0.25">
      <c r="A9310" s="16"/>
      <c r="D9310" s="16"/>
      <c r="F9310" s="16"/>
      <c r="G9310" s="16"/>
      <c r="H9310" s="24"/>
      <c r="I9310" s="24"/>
      <c r="L9310"/>
    </row>
    <row r="9311" spans="1:12" x14ac:dyDescent="0.25">
      <c r="A9311" s="16"/>
      <c r="D9311" s="16"/>
      <c r="F9311" s="16"/>
      <c r="G9311" s="16"/>
      <c r="H9311" s="24"/>
      <c r="I9311" s="24"/>
      <c r="L9311"/>
    </row>
    <row r="9312" spans="1:12" x14ac:dyDescent="0.25">
      <c r="A9312" s="16"/>
      <c r="D9312" s="16"/>
      <c r="F9312" s="16"/>
      <c r="G9312" s="16"/>
      <c r="H9312" s="24"/>
      <c r="I9312" s="24"/>
      <c r="L9312"/>
    </row>
    <row r="9313" spans="1:12" x14ac:dyDescent="0.25">
      <c r="A9313" s="16"/>
      <c r="D9313" s="16"/>
      <c r="F9313" s="16"/>
      <c r="G9313" s="16"/>
      <c r="H9313" s="24"/>
      <c r="I9313" s="24"/>
      <c r="L9313"/>
    </row>
    <row r="9314" spans="1:12" x14ac:dyDescent="0.25">
      <c r="A9314" s="16"/>
      <c r="D9314" s="16"/>
      <c r="F9314" s="16"/>
      <c r="G9314" s="16"/>
      <c r="H9314" s="24"/>
      <c r="I9314" s="24"/>
      <c r="L9314"/>
    </row>
    <row r="9315" spans="1:12" x14ac:dyDescent="0.25">
      <c r="A9315" s="16"/>
      <c r="D9315" s="16"/>
      <c r="F9315" s="16"/>
      <c r="G9315" s="16"/>
      <c r="H9315" s="24"/>
      <c r="I9315" s="24"/>
      <c r="L9315"/>
    </row>
    <row r="9316" spans="1:12" x14ac:dyDescent="0.25">
      <c r="A9316" s="16"/>
      <c r="D9316" s="16"/>
      <c r="F9316" s="16"/>
      <c r="G9316" s="16"/>
      <c r="H9316" s="24"/>
      <c r="I9316" s="24"/>
      <c r="L9316"/>
    </row>
    <row r="9317" spans="1:12" x14ac:dyDescent="0.25">
      <c r="A9317" s="16"/>
      <c r="D9317" s="16"/>
      <c r="F9317" s="16"/>
      <c r="G9317" s="16"/>
      <c r="H9317" s="24"/>
      <c r="I9317" s="24"/>
      <c r="L9317"/>
    </row>
    <row r="9318" spans="1:12" x14ac:dyDescent="0.25">
      <c r="A9318" s="16"/>
      <c r="D9318" s="16"/>
      <c r="F9318" s="16"/>
      <c r="G9318" s="16"/>
      <c r="H9318" s="24"/>
      <c r="I9318" s="24"/>
      <c r="L9318"/>
    </row>
    <row r="9319" spans="1:12" x14ac:dyDescent="0.25">
      <c r="A9319" s="16"/>
      <c r="D9319" s="16"/>
      <c r="F9319" s="16"/>
      <c r="G9319" s="16"/>
      <c r="H9319" s="24"/>
      <c r="I9319" s="24"/>
      <c r="L9319"/>
    </row>
    <row r="9320" spans="1:12" x14ac:dyDescent="0.25">
      <c r="A9320" s="16"/>
      <c r="D9320" s="16"/>
      <c r="F9320" s="16"/>
      <c r="G9320" s="16"/>
      <c r="H9320" s="24"/>
      <c r="I9320" s="24"/>
      <c r="L9320"/>
    </row>
    <row r="9321" spans="1:12" x14ac:dyDescent="0.25">
      <c r="A9321" s="16"/>
      <c r="D9321" s="16"/>
      <c r="F9321" s="16"/>
      <c r="G9321" s="16"/>
      <c r="H9321" s="24"/>
      <c r="I9321" s="24"/>
      <c r="L9321"/>
    </row>
    <row r="9322" spans="1:12" x14ac:dyDescent="0.25">
      <c r="A9322" s="16"/>
      <c r="D9322" s="16"/>
      <c r="F9322" s="16"/>
      <c r="G9322" s="16"/>
      <c r="H9322" s="24"/>
      <c r="I9322" s="24"/>
      <c r="L9322"/>
    </row>
    <row r="9323" spans="1:12" x14ac:dyDescent="0.25">
      <c r="A9323" s="16"/>
      <c r="D9323" s="16"/>
      <c r="F9323" s="16"/>
      <c r="G9323" s="16"/>
      <c r="H9323" s="24"/>
      <c r="I9323" s="24"/>
      <c r="L9323"/>
    </row>
    <row r="9324" spans="1:12" x14ac:dyDescent="0.25">
      <c r="A9324" s="16"/>
      <c r="D9324" s="16"/>
      <c r="F9324" s="16"/>
      <c r="G9324" s="16"/>
      <c r="H9324" s="24"/>
      <c r="I9324" s="24"/>
      <c r="L9324"/>
    </row>
    <row r="9325" spans="1:12" x14ac:dyDescent="0.25">
      <c r="A9325" s="16"/>
      <c r="D9325" s="16"/>
      <c r="F9325" s="16"/>
      <c r="G9325" s="16"/>
      <c r="H9325" s="24"/>
      <c r="I9325" s="24"/>
      <c r="L9325"/>
    </row>
    <row r="9326" spans="1:12" x14ac:dyDescent="0.25">
      <c r="A9326" s="16"/>
      <c r="D9326" s="16"/>
      <c r="F9326" s="16"/>
      <c r="G9326" s="16"/>
      <c r="H9326" s="24"/>
      <c r="I9326" s="24"/>
      <c r="L9326"/>
    </row>
    <row r="9327" spans="1:12" x14ac:dyDescent="0.25">
      <c r="A9327" s="16"/>
      <c r="D9327" s="16"/>
      <c r="F9327" s="16"/>
      <c r="G9327" s="16"/>
      <c r="H9327" s="24"/>
      <c r="I9327" s="24"/>
      <c r="L9327"/>
    </row>
    <row r="9328" spans="1:12" x14ac:dyDescent="0.25">
      <c r="A9328" s="16"/>
      <c r="D9328" s="16"/>
      <c r="F9328" s="16"/>
      <c r="G9328" s="16"/>
      <c r="H9328" s="24"/>
      <c r="I9328" s="24"/>
      <c r="L9328"/>
    </row>
    <row r="9329" spans="1:12" x14ac:dyDescent="0.25">
      <c r="A9329" s="16"/>
      <c r="D9329" s="16"/>
      <c r="F9329" s="16"/>
      <c r="G9329" s="16"/>
      <c r="H9329" s="24"/>
      <c r="I9329" s="24"/>
      <c r="L9329"/>
    </row>
    <row r="9330" spans="1:12" x14ac:dyDescent="0.25">
      <c r="A9330" s="16"/>
      <c r="D9330" s="16"/>
      <c r="F9330" s="16"/>
      <c r="G9330" s="16"/>
      <c r="H9330" s="24"/>
      <c r="I9330" s="24"/>
      <c r="L9330"/>
    </row>
    <row r="9331" spans="1:12" x14ac:dyDescent="0.25">
      <c r="A9331" s="16"/>
      <c r="D9331" s="16"/>
      <c r="F9331" s="16"/>
      <c r="G9331" s="16"/>
      <c r="H9331" s="24"/>
      <c r="I9331" s="24"/>
      <c r="L9331"/>
    </row>
    <row r="9332" spans="1:12" x14ac:dyDescent="0.25">
      <c r="A9332" s="16"/>
      <c r="D9332" s="16"/>
      <c r="F9332" s="16"/>
      <c r="G9332" s="16"/>
      <c r="H9332" s="24"/>
      <c r="I9332" s="24"/>
      <c r="L9332"/>
    </row>
    <row r="9333" spans="1:12" x14ac:dyDescent="0.25">
      <c r="A9333" s="16"/>
      <c r="D9333" s="16"/>
      <c r="F9333" s="16"/>
      <c r="G9333" s="16"/>
      <c r="H9333" s="24"/>
      <c r="I9333" s="24"/>
      <c r="L9333"/>
    </row>
    <row r="9334" spans="1:12" x14ac:dyDescent="0.25">
      <c r="A9334" s="16"/>
      <c r="D9334" s="16"/>
      <c r="F9334" s="16"/>
      <c r="G9334" s="16"/>
      <c r="H9334" s="24"/>
      <c r="I9334" s="24"/>
      <c r="L9334"/>
    </row>
    <row r="9335" spans="1:12" x14ac:dyDescent="0.25">
      <c r="A9335" s="16"/>
      <c r="D9335" s="16"/>
      <c r="F9335" s="16"/>
      <c r="G9335" s="16"/>
      <c r="H9335" s="24"/>
      <c r="I9335" s="24"/>
      <c r="L9335"/>
    </row>
    <row r="9336" spans="1:12" x14ac:dyDescent="0.25">
      <c r="A9336" s="16"/>
      <c r="D9336" s="16"/>
      <c r="F9336" s="16"/>
      <c r="G9336" s="16"/>
      <c r="H9336" s="24"/>
      <c r="I9336" s="24"/>
      <c r="L9336"/>
    </row>
    <row r="9337" spans="1:12" x14ac:dyDescent="0.25">
      <c r="A9337" s="16"/>
      <c r="D9337" s="16"/>
      <c r="F9337" s="16"/>
      <c r="G9337" s="16"/>
      <c r="H9337" s="24"/>
      <c r="I9337" s="24"/>
      <c r="L9337"/>
    </row>
    <row r="9338" spans="1:12" x14ac:dyDescent="0.25">
      <c r="A9338" s="16"/>
      <c r="D9338" s="16"/>
      <c r="F9338" s="16"/>
      <c r="G9338" s="16"/>
      <c r="H9338" s="24"/>
      <c r="I9338" s="24"/>
      <c r="L9338"/>
    </row>
    <row r="9339" spans="1:12" x14ac:dyDescent="0.25">
      <c r="A9339" s="16"/>
      <c r="D9339" s="16"/>
      <c r="F9339" s="16"/>
      <c r="G9339" s="16"/>
      <c r="H9339" s="24"/>
      <c r="I9339" s="24"/>
      <c r="L9339"/>
    </row>
    <row r="9340" spans="1:12" x14ac:dyDescent="0.25">
      <c r="A9340" s="16"/>
      <c r="D9340" s="16"/>
      <c r="F9340" s="16"/>
      <c r="G9340" s="16"/>
      <c r="H9340" s="24"/>
      <c r="I9340" s="24"/>
      <c r="L9340"/>
    </row>
    <row r="9341" spans="1:12" x14ac:dyDescent="0.25">
      <c r="A9341" s="16"/>
      <c r="D9341" s="16"/>
      <c r="F9341" s="16"/>
      <c r="G9341" s="16"/>
      <c r="H9341" s="24"/>
      <c r="I9341" s="24"/>
      <c r="L9341"/>
    </row>
    <row r="9342" spans="1:12" x14ac:dyDescent="0.25">
      <c r="A9342" s="16"/>
      <c r="D9342" s="16"/>
      <c r="F9342" s="16"/>
      <c r="G9342" s="16"/>
      <c r="H9342" s="24"/>
      <c r="I9342" s="24"/>
      <c r="L9342"/>
    </row>
    <row r="9343" spans="1:12" x14ac:dyDescent="0.25">
      <c r="A9343" s="16"/>
      <c r="D9343" s="16"/>
      <c r="F9343" s="16"/>
      <c r="G9343" s="16"/>
      <c r="H9343" s="24"/>
      <c r="I9343" s="24"/>
      <c r="L9343"/>
    </row>
    <row r="9344" spans="1:12" x14ac:dyDescent="0.25">
      <c r="A9344" s="16"/>
      <c r="D9344" s="16"/>
      <c r="F9344" s="16"/>
      <c r="G9344" s="16"/>
      <c r="H9344" s="24"/>
      <c r="I9344" s="24"/>
      <c r="L9344"/>
    </row>
    <row r="9345" spans="1:12" x14ac:dyDescent="0.25">
      <c r="A9345" s="16"/>
      <c r="D9345" s="16"/>
      <c r="F9345" s="16"/>
      <c r="G9345" s="16"/>
      <c r="H9345" s="24"/>
      <c r="I9345" s="24"/>
      <c r="L9345"/>
    </row>
    <row r="9346" spans="1:12" x14ac:dyDescent="0.25">
      <c r="A9346" s="16"/>
      <c r="D9346" s="16"/>
      <c r="F9346" s="16"/>
      <c r="G9346" s="16"/>
      <c r="H9346" s="24"/>
      <c r="I9346" s="24"/>
      <c r="L9346"/>
    </row>
    <row r="9347" spans="1:12" x14ac:dyDescent="0.25">
      <c r="A9347" s="16"/>
      <c r="D9347" s="16"/>
      <c r="F9347" s="16"/>
      <c r="G9347" s="16"/>
      <c r="H9347" s="24"/>
      <c r="I9347" s="24"/>
      <c r="L9347"/>
    </row>
    <row r="9348" spans="1:12" x14ac:dyDescent="0.25">
      <c r="A9348" s="16"/>
      <c r="D9348" s="16"/>
      <c r="F9348" s="16"/>
      <c r="G9348" s="16"/>
      <c r="H9348" s="24"/>
      <c r="I9348" s="24"/>
      <c r="L9348"/>
    </row>
    <row r="9349" spans="1:12" x14ac:dyDescent="0.25">
      <c r="A9349" s="16"/>
      <c r="D9349" s="16"/>
      <c r="F9349" s="16"/>
      <c r="G9349" s="16"/>
      <c r="H9349" s="24"/>
      <c r="I9349" s="24"/>
      <c r="L9349"/>
    </row>
    <row r="9350" spans="1:12" x14ac:dyDescent="0.25">
      <c r="A9350" s="16"/>
      <c r="D9350" s="16"/>
      <c r="F9350" s="16"/>
      <c r="G9350" s="16"/>
      <c r="H9350" s="24"/>
      <c r="I9350" s="24"/>
      <c r="L9350"/>
    </row>
    <row r="9351" spans="1:12" x14ac:dyDescent="0.25">
      <c r="A9351" s="16"/>
      <c r="D9351" s="16"/>
      <c r="F9351" s="16"/>
      <c r="G9351" s="16"/>
      <c r="H9351" s="24"/>
      <c r="I9351" s="24"/>
      <c r="L9351"/>
    </row>
    <row r="9352" spans="1:12" x14ac:dyDescent="0.25">
      <c r="A9352" s="16"/>
      <c r="D9352" s="16"/>
      <c r="F9352" s="16"/>
      <c r="G9352" s="16"/>
      <c r="H9352" s="24"/>
      <c r="I9352" s="24"/>
      <c r="L9352"/>
    </row>
    <row r="9353" spans="1:12" x14ac:dyDescent="0.25">
      <c r="A9353" s="16"/>
      <c r="D9353" s="16"/>
      <c r="F9353" s="16"/>
      <c r="G9353" s="16"/>
      <c r="H9353" s="24"/>
      <c r="I9353" s="24"/>
      <c r="L9353"/>
    </row>
    <row r="9354" spans="1:12" x14ac:dyDescent="0.25">
      <c r="A9354" s="16"/>
      <c r="D9354" s="16"/>
      <c r="F9354" s="16"/>
      <c r="G9354" s="16"/>
      <c r="H9354" s="24"/>
      <c r="I9354" s="24"/>
      <c r="L9354"/>
    </row>
    <row r="9355" spans="1:12" x14ac:dyDescent="0.25">
      <c r="A9355" s="16"/>
      <c r="D9355" s="16"/>
      <c r="F9355" s="16"/>
      <c r="G9355" s="16"/>
      <c r="H9355" s="24"/>
      <c r="I9355" s="24"/>
      <c r="L9355"/>
    </row>
    <row r="9356" spans="1:12" x14ac:dyDescent="0.25">
      <c r="A9356" s="16"/>
      <c r="D9356" s="16"/>
      <c r="F9356" s="16"/>
      <c r="G9356" s="16"/>
      <c r="H9356" s="24"/>
      <c r="I9356" s="24"/>
      <c r="L9356"/>
    </row>
    <row r="9357" spans="1:12" x14ac:dyDescent="0.25">
      <c r="A9357" s="16"/>
      <c r="D9357" s="16"/>
      <c r="F9357" s="16"/>
      <c r="G9357" s="16"/>
      <c r="H9357" s="24"/>
      <c r="I9357" s="24"/>
      <c r="L9357"/>
    </row>
    <row r="9358" spans="1:12" x14ac:dyDescent="0.25">
      <c r="A9358" s="16"/>
      <c r="D9358" s="16"/>
      <c r="F9358" s="16"/>
      <c r="G9358" s="16"/>
      <c r="H9358" s="24"/>
      <c r="I9358" s="24"/>
      <c r="L9358"/>
    </row>
    <row r="9359" spans="1:12" x14ac:dyDescent="0.25">
      <c r="A9359" s="16"/>
      <c r="D9359" s="16"/>
      <c r="F9359" s="16"/>
      <c r="G9359" s="16"/>
      <c r="H9359" s="24"/>
      <c r="I9359" s="24"/>
      <c r="L9359"/>
    </row>
    <row r="9360" spans="1:12" x14ac:dyDescent="0.25">
      <c r="A9360" s="16"/>
      <c r="D9360" s="16"/>
      <c r="F9360" s="16"/>
      <c r="G9360" s="16"/>
      <c r="H9360" s="24"/>
      <c r="I9360" s="24"/>
      <c r="L9360"/>
    </row>
    <row r="9361" spans="1:12" x14ac:dyDescent="0.25">
      <c r="A9361" s="16"/>
      <c r="D9361" s="16"/>
      <c r="F9361" s="16"/>
      <c r="G9361" s="16"/>
      <c r="H9361" s="24"/>
      <c r="I9361" s="24"/>
      <c r="L9361"/>
    </row>
    <row r="9362" spans="1:12" x14ac:dyDescent="0.25">
      <c r="A9362" s="16"/>
      <c r="D9362" s="16"/>
      <c r="F9362" s="16"/>
      <c r="G9362" s="16"/>
      <c r="H9362" s="24"/>
      <c r="I9362" s="24"/>
      <c r="L9362"/>
    </row>
    <row r="9363" spans="1:12" x14ac:dyDescent="0.25">
      <c r="A9363" s="16"/>
      <c r="D9363" s="16"/>
      <c r="F9363" s="16"/>
      <c r="G9363" s="16"/>
      <c r="H9363" s="24"/>
      <c r="I9363" s="24"/>
      <c r="L9363"/>
    </row>
    <row r="9364" spans="1:12" x14ac:dyDescent="0.25">
      <c r="A9364" s="16"/>
      <c r="D9364" s="16"/>
      <c r="F9364" s="16"/>
      <c r="G9364" s="16"/>
      <c r="H9364" s="24"/>
      <c r="I9364" s="24"/>
      <c r="L9364"/>
    </row>
    <row r="9365" spans="1:12" x14ac:dyDescent="0.25">
      <c r="A9365" s="16"/>
      <c r="D9365" s="16"/>
      <c r="F9365" s="16"/>
      <c r="G9365" s="16"/>
      <c r="H9365" s="24"/>
      <c r="I9365" s="24"/>
      <c r="L9365"/>
    </row>
    <row r="9366" spans="1:12" x14ac:dyDescent="0.25">
      <c r="A9366" s="16"/>
      <c r="D9366" s="16"/>
      <c r="F9366" s="16"/>
      <c r="G9366" s="16"/>
      <c r="H9366" s="24"/>
      <c r="I9366" s="24"/>
      <c r="L9366"/>
    </row>
    <row r="9367" spans="1:12" x14ac:dyDescent="0.25">
      <c r="A9367" s="16"/>
      <c r="D9367" s="16"/>
      <c r="F9367" s="16"/>
      <c r="G9367" s="16"/>
      <c r="H9367" s="24"/>
      <c r="I9367" s="24"/>
      <c r="L9367"/>
    </row>
    <row r="9368" spans="1:12" x14ac:dyDescent="0.25">
      <c r="A9368" s="16"/>
      <c r="D9368" s="16"/>
      <c r="F9368" s="16"/>
      <c r="G9368" s="16"/>
      <c r="H9368" s="24"/>
      <c r="I9368" s="24"/>
      <c r="L9368"/>
    </row>
    <row r="9369" spans="1:12" x14ac:dyDescent="0.25">
      <c r="A9369" s="16"/>
      <c r="D9369" s="16"/>
      <c r="F9369" s="16"/>
      <c r="G9369" s="16"/>
      <c r="H9369" s="24"/>
      <c r="I9369" s="24"/>
      <c r="L9369"/>
    </row>
    <row r="9370" spans="1:12" x14ac:dyDescent="0.25">
      <c r="A9370" s="16"/>
      <c r="D9370" s="16"/>
      <c r="F9370" s="16"/>
      <c r="G9370" s="16"/>
      <c r="H9370" s="24"/>
      <c r="I9370" s="24"/>
      <c r="L9370"/>
    </row>
    <row r="9371" spans="1:12" x14ac:dyDescent="0.25">
      <c r="A9371" s="16"/>
      <c r="D9371" s="16"/>
      <c r="F9371" s="16"/>
      <c r="G9371" s="16"/>
      <c r="H9371" s="24"/>
      <c r="I9371" s="24"/>
      <c r="L9371"/>
    </row>
    <row r="9372" spans="1:12" x14ac:dyDescent="0.25">
      <c r="A9372" s="16"/>
      <c r="D9372" s="16"/>
      <c r="F9372" s="16"/>
      <c r="G9372" s="16"/>
      <c r="H9372" s="24"/>
      <c r="I9372" s="24"/>
      <c r="L9372"/>
    </row>
    <row r="9373" spans="1:12" x14ac:dyDescent="0.25">
      <c r="A9373" s="16"/>
      <c r="D9373" s="16"/>
      <c r="F9373" s="16"/>
      <c r="G9373" s="16"/>
      <c r="H9373" s="24"/>
      <c r="I9373" s="24"/>
      <c r="L9373"/>
    </row>
    <row r="9374" spans="1:12" x14ac:dyDescent="0.25">
      <c r="A9374" s="16"/>
      <c r="D9374" s="16"/>
      <c r="F9374" s="16"/>
      <c r="G9374" s="16"/>
      <c r="H9374" s="24"/>
      <c r="I9374" s="24"/>
      <c r="L9374"/>
    </row>
    <row r="9375" spans="1:12" x14ac:dyDescent="0.25">
      <c r="A9375" s="16"/>
      <c r="D9375" s="16"/>
      <c r="F9375" s="16"/>
      <c r="G9375" s="16"/>
      <c r="H9375" s="24"/>
      <c r="I9375" s="24"/>
      <c r="L9375"/>
    </row>
    <row r="9376" spans="1:12" x14ac:dyDescent="0.25">
      <c r="A9376" s="16"/>
      <c r="D9376" s="16"/>
      <c r="F9376" s="16"/>
      <c r="G9376" s="16"/>
      <c r="H9376" s="24"/>
      <c r="I9376" s="24"/>
      <c r="L9376"/>
    </row>
    <row r="9377" spans="1:12" x14ac:dyDescent="0.25">
      <c r="A9377" s="16"/>
      <c r="D9377" s="16"/>
      <c r="F9377" s="16"/>
      <c r="G9377" s="16"/>
      <c r="H9377" s="24"/>
      <c r="I9377" s="24"/>
      <c r="L9377"/>
    </row>
    <row r="9378" spans="1:12" x14ac:dyDescent="0.25">
      <c r="A9378" s="16"/>
      <c r="D9378" s="16"/>
      <c r="F9378" s="16"/>
      <c r="G9378" s="16"/>
      <c r="H9378" s="24"/>
      <c r="I9378" s="24"/>
      <c r="L9378"/>
    </row>
    <row r="9379" spans="1:12" x14ac:dyDescent="0.25">
      <c r="A9379" s="16"/>
      <c r="D9379" s="16"/>
      <c r="F9379" s="16"/>
      <c r="G9379" s="16"/>
      <c r="H9379" s="24"/>
      <c r="I9379" s="24"/>
      <c r="L9379"/>
    </row>
    <row r="9380" spans="1:12" x14ac:dyDescent="0.25">
      <c r="A9380" s="16"/>
      <c r="D9380" s="16"/>
      <c r="F9380" s="16"/>
      <c r="G9380" s="16"/>
      <c r="H9380" s="24"/>
      <c r="I9380" s="24"/>
      <c r="L9380"/>
    </row>
    <row r="9381" spans="1:12" x14ac:dyDescent="0.25">
      <c r="A9381" s="16"/>
      <c r="D9381" s="16"/>
      <c r="F9381" s="16"/>
      <c r="G9381" s="16"/>
      <c r="H9381" s="24"/>
      <c r="I9381" s="24"/>
      <c r="L9381"/>
    </row>
    <row r="9382" spans="1:12" x14ac:dyDescent="0.25">
      <c r="A9382" s="16"/>
      <c r="D9382" s="16"/>
      <c r="F9382" s="16"/>
      <c r="G9382" s="16"/>
      <c r="H9382" s="24"/>
      <c r="I9382" s="24"/>
      <c r="L9382"/>
    </row>
    <row r="9383" spans="1:12" x14ac:dyDescent="0.25">
      <c r="A9383" s="16"/>
      <c r="D9383" s="16"/>
      <c r="F9383" s="16"/>
      <c r="G9383" s="16"/>
      <c r="H9383" s="24"/>
      <c r="I9383" s="24"/>
      <c r="L9383"/>
    </row>
    <row r="9384" spans="1:12" x14ac:dyDescent="0.25">
      <c r="A9384" s="16"/>
      <c r="D9384" s="16"/>
      <c r="F9384" s="16"/>
      <c r="G9384" s="16"/>
      <c r="H9384" s="24"/>
      <c r="I9384" s="24"/>
      <c r="L9384"/>
    </row>
    <row r="9385" spans="1:12" x14ac:dyDescent="0.25">
      <c r="A9385" s="16"/>
      <c r="D9385" s="16"/>
      <c r="F9385" s="16"/>
      <c r="G9385" s="16"/>
      <c r="H9385" s="24"/>
      <c r="I9385" s="24"/>
      <c r="L9385"/>
    </row>
    <row r="9386" spans="1:12" x14ac:dyDescent="0.25">
      <c r="A9386" s="16"/>
      <c r="D9386" s="16"/>
      <c r="F9386" s="16"/>
      <c r="G9386" s="16"/>
      <c r="H9386" s="24"/>
      <c r="I9386" s="24"/>
      <c r="L9386"/>
    </row>
    <row r="9387" spans="1:12" x14ac:dyDescent="0.25">
      <c r="A9387" s="16"/>
      <c r="D9387" s="16"/>
      <c r="F9387" s="16"/>
      <c r="G9387" s="16"/>
      <c r="H9387" s="24"/>
      <c r="I9387" s="24"/>
      <c r="L9387"/>
    </row>
    <row r="9388" spans="1:12" x14ac:dyDescent="0.25">
      <c r="A9388" s="16"/>
      <c r="D9388" s="16"/>
      <c r="F9388" s="16"/>
      <c r="G9388" s="16"/>
      <c r="H9388" s="24"/>
      <c r="I9388" s="24"/>
      <c r="L9388"/>
    </row>
    <row r="9389" spans="1:12" x14ac:dyDescent="0.25">
      <c r="A9389" s="16"/>
      <c r="D9389" s="16"/>
      <c r="F9389" s="16"/>
      <c r="G9389" s="16"/>
      <c r="H9389" s="24"/>
      <c r="I9389" s="24"/>
      <c r="L9389"/>
    </row>
    <row r="9390" spans="1:12" x14ac:dyDescent="0.25">
      <c r="A9390" s="16"/>
      <c r="D9390" s="16"/>
      <c r="F9390" s="16"/>
      <c r="G9390" s="16"/>
      <c r="H9390" s="24"/>
      <c r="I9390" s="24"/>
      <c r="L9390"/>
    </row>
    <row r="9391" spans="1:12" x14ac:dyDescent="0.25">
      <c r="A9391" s="16"/>
      <c r="D9391" s="16"/>
      <c r="F9391" s="16"/>
      <c r="G9391" s="16"/>
      <c r="H9391" s="24"/>
      <c r="I9391" s="24"/>
      <c r="L9391"/>
    </row>
    <row r="9392" spans="1:12" x14ac:dyDescent="0.25">
      <c r="A9392" s="16"/>
      <c r="D9392" s="16"/>
      <c r="F9392" s="16"/>
      <c r="G9392" s="16"/>
      <c r="H9392" s="24"/>
      <c r="I9392" s="24"/>
      <c r="L9392"/>
    </row>
    <row r="9393" spans="1:12" x14ac:dyDescent="0.25">
      <c r="A9393" s="16"/>
      <c r="D9393" s="16"/>
      <c r="F9393" s="16"/>
      <c r="G9393" s="16"/>
      <c r="H9393" s="24"/>
      <c r="I9393" s="24"/>
      <c r="L9393"/>
    </row>
    <row r="9394" spans="1:12" x14ac:dyDescent="0.25">
      <c r="A9394" s="16"/>
      <c r="D9394" s="16"/>
      <c r="F9394" s="16"/>
      <c r="G9394" s="16"/>
      <c r="H9394" s="24"/>
      <c r="I9394" s="24"/>
      <c r="L9394"/>
    </row>
    <row r="9395" spans="1:12" x14ac:dyDescent="0.25">
      <c r="A9395" s="16"/>
      <c r="D9395" s="16"/>
      <c r="F9395" s="16"/>
      <c r="G9395" s="16"/>
      <c r="H9395" s="24"/>
      <c r="I9395" s="24"/>
      <c r="L9395"/>
    </row>
    <row r="9396" spans="1:12" x14ac:dyDescent="0.25">
      <c r="A9396" s="16"/>
      <c r="D9396" s="16"/>
      <c r="F9396" s="16"/>
      <c r="G9396" s="16"/>
      <c r="H9396" s="24"/>
      <c r="I9396" s="24"/>
      <c r="L9396"/>
    </row>
    <row r="9397" spans="1:12" x14ac:dyDescent="0.25">
      <c r="A9397" s="16"/>
      <c r="D9397" s="16"/>
      <c r="F9397" s="16"/>
      <c r="G9397" s="16"/>
      <c r="H9397" s="24"/>
      <c r="I9397" s="24"/>
      <c r="L9397"/>
    </row>
    <row r="9398" spans="1:12" x14ac:dyDescent="0.25">
      <c r="A9398" s="16"/>
      <c r="D9398" s="16"/>
      <c r="F9398" s="16"/>
      <c r="G9398" s="16"/>
      <c r="H9398" s="24"/>
      <c r="I9398" s="24"/>
      <c r="L9398"/>
    </row>
    <row r="9399" spans="1:12" x14ac:dyDescent="0.25">
      <c r="A9399" s="16"/>
      <c r="D9399" s="16"/>
      <c r="F9399" s="16"/>
      <c r="G9399" s="16"/>
      <c r="H9399" s="24"/>
      <c r="I9399" s="24"/>
      <c r="L9399"/>
    </row>
    <row r="9400" spans="1:12" x14ac:dyDescent="0.25">
      <c r="A9400" s="16"/>
      <c r="D9400" s="16"/>
      <c r="F9400" s="16"/>
      <c r="G9400" s="16"/>
      <c r="H9400" s="24"/>
      <c r="I9400" s="24"/>
      <c r="L9400"/>
    </row>
    <row r="9401" spans="1:12" x14ac:dyDescent="0.25">
      <c r="A9401" s="16"/>
      <c r="D9401" s="16"/>
      <c r="F9401" s="16"/>
      <c r="G9401" s="16"/>
      <c r="H9401" s="24"/>
      <c r="I9401" s="24"/>
      <c r="L9401"/>
    </row>
    <row r="9402" spans="1:12" x14ac:dyDescent="0.25">
      <c r="A9402" s="16"/>
      <c r="D9402" s="16"/>
      <c r="F9402" s="16"/>
      <c r="G9402" s="16"/>
      <c r="H9402" s="24"/>
      <c r="I9402" s="24"/>
      <c r="L9402"/>
    </row>
    <row r="9403" spans="1:12" x14ac:dyDescent="0.25">
      <c r="A9403" s="16"/>
      <c r="D9403" s="16"/>
      <c r="F9403" s="16"/>
      <c r="G9403" s="16"/>
      <c r="H9403" s="24"/>
      <c r="I9403" s="24"/>
      <c r="L9403"/>
    </row>
    <row r="9404" spans="1:12" x14ac:dyDescent="0.25">
      <c r="A9404" s="16"/>
      <c r="D9404" s="16"/>
      <c r="F9404" s="16"/>
      <c r="G9404" s="16"/>
      <c r="H9404" s="24"/>
      <c r="I9404" s="24"/>
      <c r="L9404"/>
    </row>
    <row r="9405" spans="1:12" x14ac:dyDescent="0.25">
      <c r="A9405" s="16"/>
      <c r="D9405" s="16"/>
      <c r="F9405" s="16"/>
      <c r="G9405" s="16"/>
      <c r="H9405" s="24"/>
      <c r="I9405" s="24"/>
      <c r="L9405"/>
    </row>
    <row r="9406" spans="1:12" x14ac:dyDescent="0.25">
      <c r="A9406" s="16"/>
      <c r="D9406" s="16"/>
      <c r="F9406" s="16"/>
      <c r="G9406" s="16"/>
      <c r="H9406" s="24"/>
      <c r="I9406" s="24"/>
      <c r="L9406"/>
    </row>
    <row r="9407" spans="1:12" x14ac:dyDescent="0.25">
      <c r="A9407" s="16"/>
      <c r="D9407" s="16"/>
      <c r="F9407" s="16"/>
      <c r="G9407" s="16"/>
      <c r="H9407" s="24"/>
      <c r="I9407" s="24"/>
      <c r="L9407"/>
    </row>
    <row r="9408" spans="1:12" x14ac:dyDescent="0.25">
      <c r="A9408" s="16"/>
      <c r="D9408" s="16"/>
      <c r="F9408" s="16"/>
      <c r="G9408" s="16"/>
      <c r="H9408" s="24"/>
      <c r="I9408" s="24"/>
      <c r="L9408"/>
    </row>
    <row r="9409" spans="1:12" x14ac:dyDescent="0.25">
      <c r="A9409" s="16"/>
      <c r="D9409" s="16"/>
      <c r="F9409" s="16"/>
      <c r="G9409" s="16"/>
      <c r="H9409" s="24"/>
      <c r="I9409" s="24"/>
      <c r="L9409"/>
    </row>
    <row r="9410" spans="1:12" x14ac:dyDescent="0.25">
      <c r="A9410" s="16"/>
      <c r="D9410" s="16"/>
      <c r="F9410" s="16"/>
      <c r="G9410" s="16"/>
      <c r="H9410" s="24"/>
      <c r="I9410" s="24"/>
      <c r="L9410"/>
    </row>
    <row r="9411" spans="1:12" x14ac:dyDescent="0.25">
      <c r="A9411" s="16"/>
      <c r="D9411" s="16"/>
      <c r="F9411" s="16"/>
      <c r="G9411" s="16"/>
      <c r="H9411" s="24"/>
      <c r="I9411" s="24"/>
      <c r="L9411"/>
    </row>
    <row r="9412" spans="1:12" x14ac:dyDescent="0.25">
      <c r="A9412" s="16"/>
      <c r="D9412" s="16"/>
      <c r="F9412" s="16"/>
      <c r="G9412" s="16"/>
      <c r="H9412" s="24"/>
      <c r="I9412" s="24"/>
      <c r="L9412"/>
    </row>
    <row r="9413" spans="1:12" x14ac:dyDescent="0.25">
      <c r="A9413" s="16"/>
      <c r="D9413" s="16"/>
      <c r="F9413" s="16"/>
      <c r="G9413" s="16"/>
      <c r="H9413" s="24"/>
      <c r="I9413" s="24"/>
      <c r="L9413"/>
    </row>
    <row r="9414" spans="1:12" x14ac:dyDescent="0.25">
      <c r="A9414" s="16"/>
      <c r="D9414" s="16"/>
      <c r="F9414" s="16"/>
      <c r="G9414" s="16"/>
      <c r="H9414" s="24"/>
      <c r="I9414" s="24"/>
      <c r="L9414"/>
    </row>
    <row r="9415" spans="1:12" x14ac:dyDescent="0.25">
      <c r="A9415" s="16"/>
      <c r="D9415" s="16"/>
      <c r="F9415" s="16"/>
      <c r="G9415" s="16"/>
      <c r="H9415" s="24"/>
      <c r="I9415" s="24"/>
      <c r="L9415"/>
    </row>
    <row r="9416" spans="1:12" x14ac:dyDescent="0.25">
      <c r="A9416" s="16"/>
      <c r="D9416" s="16"/>
      <c r="F9416" s="16"/>
      <c r="G9416" s="16"/>
      <c r="H9416" s="24"/>
      <c r="I9416" s="24"/>
      <c r="L9416"/>
    </row>
    <row r="9417" spans="1:12" x14ac:dyDescent="0.25">
      <c r="A9417" s="16"/>
      <c r="D9417" s="16"/>
      <c r="F9417" s="16"/>
      <c r="G9417" s="16"/>
      <c r="H9417" s="24"/>
      <c r="I9417" s="24"/>
      <c r="L9417"/>
    </row>
    <row r="9418" spans="1:12" x14ac:dyDescent="0.25">
      <c r="A9418" s="16"/>
      <c r="D9418" s="16"/>
      <c r="F9418" s="16"/>
      <c r="G9418" s="16"/>
      <c r="H9418" s="24"/>
      <c r="I9418" s="24"/>
      <c r="L9418"/>
    </row>
    <row r="9419" spans="1:12" x14ac:dyDescent="0.25">
      <c r="A9419" s="16"/>
      <c r="D9419" s="16"/>
      <c r="F9419" s="16"/>
      <c r="G9419" s="16"/>
      <c r="H9419" s="24"/>
      <c r="I9419" s="24"/>
      <c r="L9419"/>
    </row>
    <row r="9420" spans="1:12" x14ac:dyDescent="0.25">
      <c r="A9420" s="16"/>
      <c r="D9420" s="16"/>
      <c r="F9420" s="16"/>
      <c r="G9420" s="16"/>
      <c r="H9420" s="24"/>
      <c r="I9420" s="24"/>
      <c r="L9420"/>
    </row>
    <row r="9421" spans="1:12" x14ac:dyDescent="0.25">
      <c r="A9421" s="16"/>
      <c r="D9421" s="16"/>
      <c r="F9421" s="16"/>
      <c r="G9421" s="16"/>
      <c r="H9421" s="24"/>
      <c r="I9421" s="24"/>
      <c r="L9421"/>
    </row>
    <row r="9422" spans="1:12" x14ac:dyDescent="0.25">
      <c r="A9422" s="16"/>
      <c r="D9422" s="16"/>
      <c r="F9422" s="16"/>
      <c r="G9422" s="16"/>
      <c r="H9422" s="24"/>
      <c r="I9422" s="24"/>
      <c r="L9422"/>
    </row>
    <row r="9423" spans="1:12" x14ac:dyDescent="0.25">
      <c r="A9423" s="16"/>
      <c r="D9423" s="16"/>
      <c r="F9423" s="16"/>
      <c r="G9423" s="16"/>
      <c r="H9423" s="24"/>
      <c r="I9423" s="24"/>
      <c r="L9423"/>
    </row>
    <row r="9424" spans="1:12" x14ac:dyDescent="0.25">
      <c r="A9424" s="16"/>
      <c r="D9424" s="16"/>
      <c r="F9424" s="16"/>
      <c r="G9424" s="16"/>
      <c r="H9424" s="24"/>
      <c r="I9424" s="24"/>
      <c r="L9424"/>
    </row>
    <row r="9425" spans="1:12" x14ac:dyDescent="0.25">
      <c r="A9425" s="16"/>
      <c r="D9425" s="16"/>
      <c r="F9425" s="16"/>
      <c r="G9425" s="16"/>
      <c r="H9425" s="24"/>
      <c r="I9425" s="24"/>
      <c r="L9425"/>
    </row>
    <row r="9426" spans="1:12" x14ac:dyDescent="0.25">
      <c r="A9426" s="16"/>
      <c r="D9426" s="16"/>
      <c r="F9426" s="16"/>
      <c r="G9426" s="16"/>
      <c r="H9426" s="24"/>
      <c r="I9426" s="24"/>
      <c r="L9426"/>
    </row>
    <row r="9427" spans="1:12" x14ac:dyDescent="0.25">
      <c r="A9427" s="16"/>
      <c r="D9427" s="16"/>
      <c r="F9427" s="16"/>
      <c r="G9427" s="16"/>
      <c r="H9427" s="24"/>
      <c r="I9427" s="24"/>
      <c r="L9427"/>
    </row>
    <row r="9428" spans="1:12" x14ac:dyDescent="0.25">
      <c r="A9428" s="16"/>
      <c r="D9428" s="16"/>
      <c r="F9428" s="16"/>
      <c r="G9428" s="16"/>
      <c r="H9428" s="24"/>
      <c r="I9428" s="24"/>
      <c r="L9428"/>
    </row>
    <row r="9429" spans="1:12" x14ac:dyDescent="0.25">
      <c r="A9429" s="16"/>
      <c r="D9429" s="16"/>
      <c r="F9429" s="16"/>
      <c r="G9429" s="16"/>
      <c r="H9429" s="24"/>
      <c r="I9429" s="24"/>
      <c r="L9429"/>
    </row>
    <row r="9430" spans="1:12" x14ac:dyDescent="0.25">
      <c r="A9430" s="16"/>
      <c r="D9430" s="16"/>
      <c r="F9430" s="16"/>
      <c r="G9430" s="16"/>
      <c r="H9430" s="24"/>
      <c r="I9430" s="24"/>
      <c r="L9430"/>
    </row>
    <row r="9431" spans="1:12" x14ac:dyDescent="0.25">
      <c r="A9431" s="16"/>
      <c r="D9431" s="16"/>
      <c r="F9431" s="16"/>
      <c r="G9431" s="16"/>
      <c r="H9431" s="24"/>
      <c r="I9431" s="24"/>
      <c r="L9431"/>
    </row>
    <row r="9432" spans="1:12" x14ac:dyDescent="0.25">
      <c r="A9432" s="16"/>
      <c r="D9432" s="16"/>
      <c r="F9432" s="16"/>
      <c r="G9432" s="16"/>
      <c r="H9432" s="24"/>
      <c r="I9432" s="24"/>
      <c r="L9432"/>
    </row>
    <row r="9433" spans="1:12" x14ac:dyDescent="0.25">
      <c r="A9433" s="16"/>
      <c r="D9433" s="16"/>
      <c r="F9433" s="16"/>
      <c r="G9433" s="16"/>
      <c r="H9433" s="24"/>
      <c r="I9433" s="24"/>
      <c r="L9433"/>
    </row>
    <row r="9434" spans="1:12" x14ac:dyDescent="0.25">
      <c r="A9434" s="16"/>
      <c r="D9434" s="16"/>
      <c r="F9434" s="16"/>
      <c r="G9434" s="16"/>
      <c r="H9434" s="24"/>
      <c r="I9434" s="24"/>
      <c r="L9434"/>
    </row>
    <row r="9435" spans="1:12" x14ac:dyDescent="0.25">
      <c r="A9435" s="16"/>
      <c r="D9435" s="16"/>
      <c r="F9435" s="16"/>
      <c r="G9435" s="16"/>
      <c r="H9435" s="24"/>
      <c r="I9435" s="24"/>
      <c r="L9435"/>
    </row>
    <row r="9436" spans="1:12" x14ac:dyDescent="0.25">
      <c r="A9436" s="16"/>
      <c r="D9436" s="16"/>
      <c r="F9436" s="16"/>
      <c r="G9436" s="16"/>
      <c r="H9436" s="24"/>
      <c r="I9436" s="24"/>
      <c r="L9436"/>
    </row>
    <row r="9437" spans="1:12" x14ac:dyDescent="0.25">
      <c r="A9437" s="16"/>
      <c r="D9437" s="16"/>
      <c r="F9437" s="16"/>
      <c r="G9437" s="16"/>
      <c r="H9437" s="24"/>
      <c r="I9437" s="24"/>
      <c r="L9437"/>
    </row>
    <row r="9438" spans="1:12" x14ac:dyDescent="0.25">
      <c r="A9438" s="16"/>
      <c r="D9438" s="16"/>
      <c r="F9438" s="16"/>
      <c r="G9438" s="16"/>
      <c r="H9438" s="24"/>
      <c r="I9438" s="24"/>
      <c r="L9438"/>
    </row>
    <row r="9439" spans="1:12" x14ac:dyDescent="0.25">
      <c r="A9439" s="16"/>
      <c r="D9439" s="16"/>
      <c r="F9439" s="16"/>
      <c r="G9439" s="16"/>
      <c r="H9439" s="24"/>
      <c r="I9439" s="24"/>
      <c r="L9439"/>
    </row>
    <row r="9440" spans="1:12" x14ac:dyDescent="0.25">
      <c r="A9440" s="16"/>
      <c r="D9440" s="16"/>
      <c r="F9440" s="16"/>
      <c r="G9440" s="16"/>
      <c r="H9440" s="24"/>
      <c r="I9440" s="24"/>
      <c r="L9440"/>
    </row>
    <row r="9441" spans="1:12" x14ac:dyDescent="0.25">
      <c r="A9441" s="16"/>
      <c r="D9441" s="16"/>
      <c r="F9441" s="16"/>
      <c r="G9441" s="16"/>
      <c r="H9441" s="24"/>
      <c r="I9441" s="24"/>
      <c r="L9441"/>
    </row>
    <row r="9442" spans="1:12" x14ac:dyDescent="0.25">
      <c r="A9442" s="16"/>
      <c r="D9442" s="16"/>
      <c r="F9442" s="16"/>
      <c r="G9442" s="16"/>
      <c r="H9442" s="24"/>
      <c r="I9442" s="24"/>
      <c r="L9442"/>
    </row>
    <row r="9443" spans="1:12" x14ac:dyDescent="0.25">
      <c r="A9443" s="16"/>
      <c r="D9443" s="16"/>
      <c r="F9443" s="16"/>
      <c r="G9443" s="16"/>
      <c r="H9443" s="24"/>
      <c r="I9443" s="24"/>
      <c r="L9443"/>
    </row>
    <row r="9444" spans="1:12" x14ac:dyDescent="0.25">
      <c r="A9444" s="16"/>
      <c r="D9444" s="16"/>
      <c r="F9444" s="16"/>
      <c r="G9444" s="16"/>
      <c r="H9444" s="24"/>
      <c r="I9444" s="24"/>
      <c r="L9444"/>
    </row>
    <row r="9445" spans="1:12" x14ac:dyDescent="0.25">
      <c r="A9445" s="16"/>
      <c r="D9445" s="16"/>
      <c r="F9445" s="16"/>
      <c r="G9445" s="16"/>
      <c r="H9445" s="24"/>
      <c r="I9445" s="24"/>
      <c r="L9445"/>
    </row>
    <row r="9446" spans="1:12" x14ac:dyDescent="0.25">
      <c r="A9446" s="16"/>
      <c r="D9446" s="16"/>
      <c r="F9446" s="16"/>
      <c r="G9446" s="16"/>
      <c r="H9446" s="24"/>
      <c r="I9446" s="24"/>
      <c r="L9446"/>
    </row>
    <row r="9447" spans="1:12" x14ac:dyDescent="0.25">
      <c r="A9447" s="16"/>
      <c r="D9447" s="16"/>
      <c r="F9447" s="16"/>
      <c r="G9447" s="16"/>
      <c r="H9447" s="24"/>
      <c r="I9447" s="24"/>
      <c r="L9447"/>
    </row>
    <row r="9448" spans="1:12" x14ac:dyDescent="0.25">
      <c r="A9448" s="16"/>
      <c r="D9448" s="16"/>
      <c r="F9448" s="16"/>
      <c r="G9448" s="16"/>
      <c r="H9448" s="24"/>
      <c r="I9448" s="24"/>
      <c r="L9448"/>
    </row>
    <row r="9449" spans="1:12" x14ac:dyDescent="0.25">
      <c r="A9449" s="16"/>
      <c r="D9449" s="16"/>
      <c r="F9449" s="16"/>
      <c r="G9449" s="16"/>
      <c r="H9449" s="24"/>
      <c r="I9449" s="24"/>
      <c r="L9449"/>
    </row>
    <row r="9450" spans="1:12" x14ac:dyDescent="0.25">
      <c r="A9450" s="16"/>
      <c r="D9450" s="16"/>
      <c r="F9450" s="16"/>
      <c r="G9450" s="16"/>
      <c r="H9450" s="24"/>
      <c r="I9450" s="24"/>
      <c r="L9450"/>
    </row>
    <row r="9451" spans="1:12" x14ac:dyDescent="0.25">
      <c r="A9451" s="16"/>
      <c r="D9451" s="16"/>
      <c r="F9451" s="16"/>
      <c r="G9451" s="16"/>
      <c r="H9451" s="24"/>
      <c r="I9451" s="24"/>
      <c r="L9451"/>
    </row>
    <row r="9452" spans="1:12" x14ac:dyDescent="0.25">
      <c r="A9452" s="16"/>
      <c r="D9452" s="16"/>
      <c r="F9452" s="16"/>
      <c r="G9452" s="16"/>
      <c r="H9452" s="24"/>
      <c r="I9452" s="24"/>
      <c r="L9452"/>
    </row>
    <row r="9453" spans="1:12" x14ac:dyDescent="0.25">
      <c r="A9453" s="16"/>
      <c r="D9453" s="16"/>
      <c r="F9453" s="16"/>
      <c r="G9453" s="16"/>
      <c r="H9453" s="24"/>
      <c r="I9453" s="24"/>
      <c r="L9453"/>
    </row>
    <row r="9454" spans="1:12" x14ac:dyDescent="0.25">
      <c r="A9454" s="16"/>
      <c r="D9454" s="16"/>
      <c r="F9454" s="16"/>
      <c r="G9454" s="16"/>
      <c r="H9454" s="24"/>
      <c r="I9454" s="24"/>
      <c r="L9454"/>
    </row>
    <row r="9455" spans="1:12" x14ac:dyDescent="0.25">
      <c r="A9455" s="16"/>
      <c r="D9455" s="16"/>
      <c r="F9455" s="16"/>
      <c r="G9455" s="16"/>
      <c r="H9455" s="24"/>
      <c r="I9455" s="24"/>
      <c r="L9455"/>
    </row>
    <row r="9456" spans="1:12" x14ac:dyDescent="0.25">
      <c r="A9456" s="16"/>
      <c r="D9456" s="16"/>
      <c r="F9456" s="16"/>
      <c r="G9456" s="16"/>
      <c r="H9456" s="24"/>
      <c r="I9456" s="24"/>
      <c r="L9456"/>
    </row>
    <row r="9457" spans="1:12" x14ac:dyDescent="0.25">
      <c r="A9457" s="16"/>
      <c r="D9457" s="16"/>
      <c r="F9457" s="16"/>
      <c r="G9457" s="16"/>
      <c r="H9457" s="24"/>
      <c r="I9457" s="24"/>
      <c r="L9457"/>
    </row>
    <row r="9458" spans="1:12" x14ac:dyDescent="0.25">
      <c r="A9458" s="16"/>
      <c r="D9458" s="16"/>
      <c r="F9458" s="16"/>
      <c r="G9458" s="16"/>
      <c r="H9458" s="24"/>
      <c r="I9458" s="24"/>
      <c r="L9458"/>
    </row>
    <row r="9459" spans="1:12" x14ac:dyDescent="0.25">
      <c r="A9459" s="16"/>
      <c r="D9459" s="16"/>
      <c r="F9459" s="16"/>
      <c r="G9459" s="16"/>
      <c r="H9459" s="24"/>
      <c r="I9459" s="24"/>
      <c r="L9459"/>
    </row>
    <row r="9460" spans="1:12" x14ac:dyDescent="0.25">
      <c r="A9460" s="16"/>
      <c r="D9460" s="16"/>
      <c r="F9460" s="16"/>
      <c r="G9460" s="16"/>
      <c r="H9460" s="24"/>
      <c r="I9460" s="24"/>
      <c r="L9460"/>
    </row>
    <row r="9461" spans="1:12" x14ac:dyDescent="0.25">
      <c r="A9461" s="16"/>
      <c r="D9461" s="16"/>
      <c r="F9461" s="16"/>
      <c r="G9461" s="16"/>
      <c r="H9461" s="24"/>
      <c r="I9461" s="24"/>
      <c r="L9461"/>
    </row>
    <row r="9462" spans="1:12" x14ac:dyDescent="0.25">
      <c r="A9462" s="16"/>
      <c r="D9462" s="16"/>
      <c r="F9462" s="16"/>
      <c r="G9462" s="16"/>
      <c r="H9462" s="24"/>
      <c r="I9462" s="24"/>
      <c r="L9462"/>
    </row>
    <row r="9463" spans="1:12" x14ac:dyDescent="0.25">
      <c r="A9463" s="16"/>
      <c r="D9463" s="16"/>
      <c r="F9463" s="16"/>
      <c r="G9463" s="16"/>
      <c r="H9463" s="24"/>
      <c r="I9463" s="24"/>
      <c r="L9463"/>
    </row>
    <row r="9464" spans="1:12" x14ac:dyDescent="0.25">
      <c r="A9464" s="16"/>
      <c r="D9464" s="16"/>
      <c r="F9464" s="16"/>
      <c r="G9464" s="16"/>
      <c r="H9464" s="24"/>
      <c r="I9464" s="24"/>
      <c r="L9464"/>
    </row>
    <row r="9465" spans="1:12" x14ac:dyDescent="0.25">
      <c r="A9465" s="16"/>
      <c r="D9465" s="16"/>
      <c r="F9465" s="16"/>
      <c r="G9465" s="16"/>
      <c r="H9465" s="24"/>
      <c r="I9465" s="24"/>
      <c r="L9465"/>
    </row>
    <row r="9466" spans="1:12" x14ac:dyDescent="0.25">
      <c r="A9466" s="16"/>
      <c r="D9466" s="16"/>
      <c r="F9466" s="16"/>
      <c r="G9466" s="16"/>
      <c r="H9466" s="24"/>
      <c r="I9466" s="24"/>
      <c r="L9466"/>
    </row>
    <row r="9467" spans="1:12" x14ac:dyDescent="0.25">
      <c r="A9467" s="16"/>
      <c r="D9467" s="16"/>
      <c r="F9467" s="16"/>
      <c r="G9467" s="16"/>
      <c r="H9467" s="24"/>
      <c r="I9467" s="24"/>
      <c r="L9467"/>
    </row>
    <row r="9468" spans="1:12" x14ac:dyDescent="0.25">
      <c r="A9468" s="16"/>
      <c r="D9468" s="16"/>
      <c r="F9468" s="16"/>
      <c r="G9468" s="16"/>
      <c r="H9468" s="24"/>
      <c r="I9468" s="24"/>
      <c r="L9468"/>
    </row>
    <row r="9469" spans="1:12" x14ac:dyDescent="0.25">
      <c r="A9469" s="16"/>
      <c r="D9469" s="16"/>
      <c r="F9469" s="16"/>
      <c r="G9469" s="16"/>
      <c r="H9469" s="24"/>
      <c r="I9469" s="24"/>
      <c r="L9469"/>
    </row>
    <row r="9470" spans="1:12" x14ac:dyDescent="0.25">
      <c r="A9470" s="16"/>
      <c r="D9470" s="16"/>
      <c r="F9470" s="16"/>
      <c r="G9470" s="16"/>
      <c r="H9470" s="24"/>
      <c r="I9470" s="24"/>
      <c r="L9470"/>
    </row>
    <row r="9471" spans="1:12" x14ac:dyDescent="0.25">
      <c r="A9471" s="16"/>
      <c r="D9471" s="16"/>
      <c r="F9471" s="16"/>
      <c r="G9471" s="16"/>
      <c r="H9471" s="24"/>
      <c r="I9471" s="24"/>
      <c r="L9471"/>
    </row>
    <row r="9472" spans="1:12" x14ac:dyDescent="0.25">
      <c r="A9472" s="16"/>
      <c r="D9472" s="16"/>
      <c r="F9472" s="16"/>
      <c r="G9472" s="16"/>
      <c r="H9472" s="24"/>
      <c r="I9472" s="24"/>
      <c r="L9472"/>
    </row>
    <row r="9473" spans="1:12" x14ac:dyDescent="0.25">
      <c r="A9473" s="16"/>
      <c r="D9473" s="16"/>
      <c r="F9473" s="16"/>
      <c r="G9473" s="16"/>
      <c r="H9473" s="24"/>
      <c r="I9473" s="24"/>
      <c r="L9473"/>
    </row>
    <row r="9474" spans="1:12" x14ac:dyDescent="0.25">
      <c r="A9474" s="16"/>
      <c r="D9474" s="16"/>
      <c r="F9474" s="16"/>
      <c r="G9474" s="16"/>
      <c r="H9474" s="24"/>
      <c r="I9474" s="24"/>
      <c r="L9474"/>
    </row>
    <row r="9475" spans="1:12" x14ac:dyDescent="0.25">
      <c r="A9475" s="16"/>
      <c r="D9475" s="16"/>
      <c r="F9475" s="16"/>
      <c r="G9475" s="16"/>
      <c r="H9475" s="24"/>
      <c r="I9475" s="24"/>
      <c r="L9475"/>
    </row>
    <row r="9476" spans="1:12" x14ac:dyDescent="0.25">
      <c r="A9476" s="16"/>
      <c r="D9476" s="16"/>
      <c r="F9476" s="16"/>
      <c r="G9476" s="16"/>
      <c r="H9476" s="24"/>
      <c r="I9476" s="24"/>
      <c r="L9476"/>
    </row>
    <row r="9477" spans="1:12" x14ac:dyDescent="0.25">
      <c r="A9477" s="16"/>
      <c r="D9477" s="16"/>
      <c r="F9477" s="16"/>
      <c r="G9477" s="16"/>
      <c r="H9477" s="24"/>
      <c r="I9477" s="24"/>
      <c r="L9477"/>
    </row>
    <row r="9478" spans="1:12" x14ac:dyDescent="0.25">
      <c r="A9478" s="16"/>
      <c r="D9478" s="16"/>
      <c r="F9478" s="16"/>
      <c r="G9478" s="16"/>
      <c r="H9478" s="24"/>
      <c r="I9478" s="24"/>
      <c r="L9478"/>
    </row>
    <row r="9479" spans="1:12" x14ac:dyDescent="0.25">
      <c r="A9479" s="16"/>
      <c r="D9479" s="16"/>
      <c r="F9479" s="16"/>
      <c r="G9479" s="16"/>
      <c r="H9479" s="24"/>
      <c r="I9479" s="24"/>
      <c r="L9479"/>
    </row>
    <row r="9480" spans="1:12" x14ac:dyDescent="0.25">
      <c r="A9480" s="16"/>
      <c r="D9480" s="16"/>
      <c r="F9480" s="16"/>
      <c r="G9480" s="16"/>
      <c r="H9480" s="24"/>
      <c r="I9480" s="24"/>
      <c r="L9480"/>
    </row>
    <row r="9481" spans="1:12" x14ac:dyDescent="0.25">
      <c r="A9481" s="16"/>
      <c r="D9481" s="16"/>
      <c r="F9481" s="16"/>
      <c r="G9481" s="16"/>
      <c r="H9481" s="24"/>
      <c r="I9481" s="24"/>
      <c r="L9481"/>
    </row>
    <row r="9482" spans="1:12" x14ac:dyDescent="0.25">
      <c r="A9482" s="16"/>
      <c r="D9482" s="16"/>
      <c r="F9482" s="16"/>
      <c r="G9482" s="16"/>
      <c r="H9482" s="24"/>
      <c r="I9482" s="24"/>
      <c r="L9482"/>
    </row>
    <row r="9483" spans="1:12" x14ac:dyDescent="0.25">
      <c r="A9483" s="16"/>
      <c r="D9483" s="16"/>
      <c r="F9483" s="16"/>
      <c r="G9483" s="16"/>
      <c r="H9483" s="24"/>
      <c r="I9483" s="24"/>
      <c r="L9483"/>
    </row>
    <row r="9484" spans="1:12" x14ac:dyDescent="0.25">
      <c r="A9484" s="16"/>
      <c r="D9484" s="16"/>
      <c r="F9484" s="16"/>
      <c r="G9484" s="16"/>
      <c r="H9484" s="24"/>
      <c r="I9484" s="24"/>
      <c r="L9484"/>
    </row>
    <row r="9485" spans="1:12" x14ac:dyDescent="0.25">
      <c r="A9485" s="16"/>
      <c r="D9485" s="16"/>
      <c r="F9485" s="16"/>
      <c r="G9485" s="16"/>
      <c r="H9485" s="24"/>
      <c r="I9485" s="24"/>
      <c r="L9485"/>
    </row>
    <row r="9486" spans="1:12" x14ac:dyDescent="0.25">
      <c r="A9486" s="16"/>
      <c r="D9486" s="16"/>
      <c r="F9486" s="16"/>
      <c r="G9486" s="16"/>
      <c r="H9486" s="24"/>
      <c r="I9486" s="24"/>
      <c r="L9486"/>
    </row>
    <row r="9487" spans="1:12" x14ac:dyDescent="0.25">
      <c r="A9487" s="16"/>
      <c r="D9487" s="16"/>
      <c r="F9487" s="16"/>
      <c r="G9487" s="16"/>
      <c r="H9487" s="24"/>
      <c r="I9487" s="24"/>
      <c r="L9487"/>
    </row>
    <row r="9488" spans="1:12" x14ac:dyDescent="0.25">
      <c r="A9488" s="16"/>
      <c r="D9488" s="16"/>
      <c r="F9488" s="16"/>
      <c r="G9488" s="16"/>
      <c r="H9488" s="24"/>
      <c r="I9488" s="24"/>
      <c r="L9488"/>
    </row>
    <row r="9489" spans="1:12" x14ac:dyDescent="0.25">
      <c r="A9489" s="16"/>
      <c r="D9489" s="16"/>
      <c r="F9489" s="16"/>
      <c r="G9489" s="16"/>
      <c r="H9489" s="24"/>
      <c r="I9489" s="24"/>
      <c r="L9489"/>
    </row>
    <row r="9490" spans="1:12" x14ac:dyDescent="0.25">
      <c r="A9490" s="16"/>
      <c r="D9490" s="16"/>
      <c r="F9490" s="16"/>
      <c r="G9490" s="16"/>
      <c r="H9490" s="24"/>
      <c r="I9490" s="24"/>
      <c r="L9490"/>
    </row>
    <row r="9491" spans="1:12" x14ac:dyDescent="0.25">
      <c r="A9491" s="16"/>
      <c r="D9491" s="16"/>
      <c r="F9491" s="16"/>
      <c r="G9491" s="16"/>
      <c r="H9491" s="24"/>
      <c r="I9491" s="24"/>
      <c r="L9491"/>
    </row>
    <row r="9492" spans="1:12" x14ac:dyDescent="0.25">
      <c r="A9492" s="16"/>
      <c r="D9492" s="16"/>
      <c r="F9492" s="16"/>
      <c r="G9492" s="16"/>
      <c r="H9492" s="24"/>
      <c r="I9492" s="24"/>
      <c r="L9492"/>
    </row>
    <row r="9493" spans="1:12" x14ac:dyDescent="0.25">
      <c r="A9493" s="16"/>
      <c r="D9493" s="16"/>
      <c r="F9493" s="16"/>
      <c r="G9493" s="16"/>
      <c r="H9493" s="24"/>
      <c r="I9493" s="24"/>
      <c r="L9493"/>
    </row>
    <row r="9494" spans="1:12" x14ac:dyDescent="0.25">
      <c r="A9494" s="16"/>
      <c r="D9494" s="16"/>
      <c r="F9494" s="16"/>
      <c r="G9494" s="16"/>
      <c r="H9494" s="24"/>
      <c r="I9494" s="24"/>
      <c r="L9494"/>
    </row>
    <row r="9495" spans="1:12" x14ac:dyDescent="0.25">
      <c r="A9495" s="16"/>
      <c r="D9495" s="16"/>
      <c r="F9495" s="16"/>
      <c r="G9495" s="16"/>
      <c r="H9495" s="24"/>
      <c r="I9495" s="24"/>
      <c r="L9495"/>
    </row>
    <row r="9496" spans="1:12" x14ac:dyDescent="0.25">
      <c r="A9496" s="16"/>
      <c r="D9496" s="16"/>
      <c r="F9496" s="16"/>
      <c r="G9496" s="16"/>
      <c r="H9496" s="24"/>
      <c r="I9496" s="24"/>
      <c r="L9496"/>
    </row>
    <row r="9497" spans="1:12" x14ac:dyDescent="0.25">
      <c r="A9497" s="16"/>
      <c r="D9497" s="16"/>
      <c r="F9497" s="16"/>
      <c r="G9497" s="16"/>
      <c r="H9497" s="24"/>
      <c r="I9497" s="24"/>
      <c r="L9497"/>
    </row>
    <row r="9498" spans="1:12" x14ac:dyDescent="0.25">
      <c r="A9498" s="16"/>
      <c r="D9498" s="16"/>
      <c r="F9498" s="16"/>
      <c r="G9498" s="16"/>
      <c r="H9498" s="24"/>
      <c r="I9498" s="24"/>
      <c r="L9498"/>
    </row>
    <row r="9499" spans="1:12" x14ac:dyDescent="0.25">
      <c r="A9499" s="16"/>
      <c r="D9499" s="16"/>
      <c r="F9499" s="16"/>
      <c r="G9499" s="16"/>
      <c r="H9499" s="24"/>
      <c r="I9499" s="24"/>
      <c r="L9499"/>
    </row>
    <row r="9500" spans="1:12" x14ac:dyDescent="0.25">
      <c r="A9500" s="16"/>
      <c r="D9500" s="16"/>
      <c r="F9500" s="16"/>
      <c r="G9500" s="16"/>
      <c r="H9500" s="24"/>
      <c r="I9500" s="24"/>
      <c r="L9500"/>
    </row>
    <row r="9501" spans="1:12" x14ac:dyDescent="0.25">
      <c r="A9501" s="16"/>
      <c r="D9501" s="16"/>
      <c r="F9501" s="16"/>
      <c r="G9501" s="16"/>
      <c r="H9501" s="24"/>
      <c r="I9501" s="24"/>
      <c r="L9501"/>
    </row>
    <row r="9502" spans="1:12" x14ac:dyDescent="0.25">
      <c r="A9502" s="16"/>
      <c r="D9502" s="16"/>
      <c r="F9502" s="16"/>
      <c r="G9502" s="16"/>
      <c r="H9502" s="24"/>
      <c r="I9502" s="24"/>
      <c r="L9502"/>
    </row>
    <row r="9503" spans="1:12" x14ac:dyDescent="0.25">
      <c r="A9503" s="16"/>
      <c r="D9503" s="16"/>
      <c r="F9503" s="16"/>
      <c r="G9503" s="16"/>
      <c r="H9503" s="24"/>
      <c r="I9503" s="24"/>
      <c r="L9503"/>
    </row>
    <row r="9504" spans="1:12" x14ac:dyDescent="0.25">
      <c r="A9504" s="16"/>
      <c r="D9504" s="16"/>
      <c r="F9504" s="16"/>
      <c r="G9504" s="16"/>
      <c r="H9504" s="24"/>
      <c r="I9504" s="24"/>
      <c r="L9504"/>
    </row>
    <row r="9505" spans="1:12" x14ac:dyDescent="0.25">
      <c r="A9505" s="16"/>
      <c r="D9505" s="16"/>
      <c r="F9505" s="16"/>
      <c r="G9505" s="16"/>
      <c r="H9505" s="24"/>
      <c r="I9505" s="24"/>
      <c r="L9505"/>
    </row>
    <row r="9506" spans="1:12" x14ac:dyDescent="0.25">
      <c r="A9506" s="16"/>
      <c r="D9506" s="16"/>
      <c r="F9506" s="16"/>
      <c r="G9506" s="16"/>
      <c r="H9506" s="24"/>
      <c r="I9506" s="24"/>
      <c r="L9506"/>
    </row>
    <row r="9507" spans="1:12" x14ac:dyDescent="0.25">
      <c r="A9507" s="16"/>
      <c r="D9507" s="16"/>
      <c r="F9507" s="16"/>
      <c r="G9507" s="16"/>
      <c r="H9507" s="24"/>
      <c r="I9507" s="24"/>
      <c r="L9507"/>
    </row>
    <row r="9508" spans="1:12" x14ac:dyDescent="0.25">
      <c r="A9508" s="16"/>
      <c r="D9508" s="16"/>
      <c r="F9508" s="16"/>
      <c r="G9508" s="16"/>
      <c r="H9508" s="24"/>
      <c r="I9508" s="24"/>
      <c r="L9508"/>
    </row>
    <row r="9509" spans="1:12" x14ac:dyDescent="0.25">
      <c r="A9509" s="16"/>
      <c r="D9509" s="16"/>
      <c r="F9509" s="16"/>
      <c r="G9509" s="16"/>
      <c r="H9509" s="24"/>
      <c r="I9509" s="24"/>
      <c r="L9509"/>
    </row>
    <row r="9510" spans="1:12" x14ac:dyDescent="0.25">
      <c r="A9510" s="16"/>
      <c r="D9510" s="16"/>
      <c r="F9510" s="16"/>
      <c r="G9510" s="16"/>
      <c r="H9510" s="24"/>
      <c r="I9510" s="24"/>
      <c r="L9510"/>
    </row>
    <row r="9511" spans="1:12" x14ac:dyDescent="0.25">
      <c r="A9511" s="16"/>
      <c r="D9511" s="16"/>
      <c r="F9511" s="16"/>
      <c r="G9511" s="16"/>
      <c r="H9511" s="24"/>
      <c r="I9511" s="24"/>
      <c r="L9511"/>
    </row>
    <row r="9512" spans="1:12" x14ac:dyDescent="0.25">
      <c r="A9512" s="16"/>
      <c r="D9512" s="16"/>
      <c r="F9512" s="16"/>
      <c r="G9512" s="16"/>
      <c r="H9512" s="24"/>
      <c r="I9512" s="24"/>
      <c r="L9512"/>
    </row>
    <row r="9513" spans="1:12" x14ac:dyDescent="0.25">
      <c r="A9513" s="16"/>
      <c r="D9513" s="16"/>
      <c r="F9513" s="16"/>
      <c r="G9513" s="16"/>
      <c r="H9513" s="24"/>
      <c r="I9513" s="24"/>
      <c r="L9513"/>
    </row>
    <row r="9514" spans="1:12" x14ac:dyDescent="0.25">
      <c r="A9514" s="16"/>
      <c r="D9514" s="16"/>
      <c r="F9514" s="16"/>
      <c r="G9514" s="16"/>
      <c r="H9514" s="24"/>
      <c r="I9514" s="24"/>
      <c r="L9514"/>
    </row>
    <row r="9515" spans="1:12" x14ac:dyDescent="0.25">
      <c r="A9515" s="16"/>
      <c r="D9515" s="16"/>
      <c r="F9515" s="16"/>
      <c r="G9515" s="16"/>
      <c r="H9515" s="24"/>
      <c r="I9515" s="24"/>
      <c r="L9515"/>
    </row>
    <row r="9516" spans="1:12" x14ac:dyDescent="0.25">
      <c r="A9516" s="16"/>
      <c r="D9516" s="16"/>
      <c r="F9516" s="16"/>
      <c r="G9516" s="16"/>
      <c r="H9516" s="24"/>
      <c r="I9516" s="24"/>
      <c r="L9516"/>
    </row>
    <row r="9517" spans="1:12" x14ac:dyDescent="0.25">
      <c r="A9517" s="16"/>
      <c r="D9517" s="16"/>
      <c r="F9517" s="16"/>
      <c r="G9517" s="16"/>
      <c r="H9517" s="24"/>
      <c r="I9517" s="24"/>
      <c r="L9517"/>
    </row>
    <row r="9518" spans="1:12" x14ac:dyDescent="0.25">
      <c r="A9518" s="16"/>
      <c r="D9518" s="16"/>
      <c r="F9518" s="16"/>
      <c r="G9518" s="16"/>
      <c r="H9518" s="24"/>
      <c r="I9518" s="24"/>
      <c r="L9518"/>
    </row>
    <row r="9519" spans="1:12" x14ac:dyDescent="0.25">
      <c r="A9519" s="16"/>
      <c r="D9519" s="16"/>
      <c r="F9519" s="16"/>
      <c r="G9519" s="16"/>
      <c r="H9519" s="24"/>
      <c r="I9519" s="24"/>
      <c r="L9519"/>
    </row>
    <row r="9520" spans="1:12" x14ac:dyDescent="0.25">
      <c r="A9520" s="16"/>
      <c r="D9520" s="16"/>
      <c r="F9520" s="16"/>
      <c r="G9520" s="16"/>
      <c r="H9520" s="24"/>
      <c r="I9520" s="24"/>
      <c r="L9520"/>
    </row>
    <row r="9521" spans="1:12" x14ac:dyDescent="0.25">
      <c r="A9521" s="16"/>
      <c r="D9521" s="16"/>
      <c r="F9521" s="16"/>
      <c r="G9521" s="16"/>
      <c r="H9521" s="24"/>
      <c r="I9521" s="24"/>
      <c r="L9521"/>
    </row>
    <row r="9522" spans="1:12" x14ac:dyDescent="0.25">
      <c r="A9522" s="16"/>
      <c r="D9522" s="16"/>
      <c r="F9522" s="16"/>
      <c r="G9522" s="16"/>
      <c r="H9522" s="24"/>
      <c r="I9522" s="24"/>
      <c r="L9522"/>
    </row>
    <row r="9523" spans="1:12" x14ac:dyDescent="0.25">
      <c r="A9523" s="16"/>
      <c r="D9523" s="16"/>
      <c r="F9523" s="16"/>
      <c r="G9523" s="16"/>
      <c r="H9523" s="24"/>
      <c r="I9523" s="24"/>
      <c r="L9523"/>
    </row>
    <row r="9524" spans="1:12" x14ac:dyDescent="0.25">
      <c r="A9524" s="16"/>
      <c r="D9524" s="16"/>
      <c r="F9524" s="16"/>
      <c r="G9524" s="16"/>
      <c r="H9524" s="24"/>
      <c r="I9524" s="24"/>
      <c r="L9524"/>
    </row>
    <row r="9525" spans="1:12" x14ac:dyDescent="0.25">
      <c r="A9525" s="16"/>
      <c r="D9525" s="16"/>
      <c r="F9525" s="16"/>
      <c r="G9525" s="16"/>
      <c r="H9525" s="24"/>
      <c r="I9525" s="24"/>
      <c r="L9525"/>
    </row>
    <row r="9526" spans="1:12" x14ac:dyDescent="0.25">
      <c r="A9526" s="16"/>
      <c r="D9526" s="16"/>
      <c r="F9526" s="16"/>
      <c r="G9526" s="16"/>
      <c r="H9526" s="24"/>
      <c r="I9526" s="24"/>
      <c r="L9526"/>
    </row>
    <row r="9527" spans="1:12" x14ac:dyDescent="0.25">
      <c r="A9527" s="16"/>
      <c r="D9527" s="16"/>
      <c r="F9527" s="16"/>
      <c r="G9527" s="16"/>
      <c r="H9527" s="24"/>
      <c r="I9527" s="24"/>
      <c r="L9527"/>
    </row>
    <row r="9528" spans="1:12" x14ac:dyDescent="0.25">
      <c r="A9528" s="16"/>
      <c r="D9528" s="16"/>
      <c r="F9528" s="16"/>
      <c r="G9528" s="16"/>
      <c r="H9528" s="24"/>
      <c r="I9528" s="24"/>
      <c r="L9528"/>
    </row>
    <row r="9529" spans="1:12" x14ac:dyDescent="0.25">
      <c r="A9529" s="16"/>
      <c r="D9529" s="16"/>
      <c r="F9529" s="16"/>
      <c r="G9529" s="16"/>
      <c r="H9529" s="24"/>
      <c r="I9529" s="24"/>
      <c r="L9529"/>
    </row>
    <row r="9530" spans="1:12" x14ac:dyDescent="0.25">
      <c r="A9530" s="16"/>
      <c r="D9530" s="16"/>
      <c r="F9530" s="16"/>
      <c r="G9530" s="16"/>
      <c r="H9530" s="24"/>
      <c r="I9530" s="24"/>
      <c r="L9530"/>
    </row>
    <row r="9531" spans="1:12" x14ac:dyDescent="0.25">
      <c r="A9531" s="16"/>
      <c r="D9531" s="16"/>
      <c r="F9531" s="16"/>
      <c r="G9531" s="16"/>
      <c r="H9531" s="24"/>
      <c r="I9531" s="24"/>
      <c r="L9531"/>
    </row>
    <row r="9532" spans="1:12" x14ac:dyDescent="0.25">
      <c r="A9532" s="16"/>
      <c r="D9532" s="16"/>
      <c r="F9532" s="16"/>
      <c r="G9532" s="16"/>
      <c r="H9532" s="24"/>
      <c r="I9532" s="24"/>
      <c r="L9532"/>
    </row>
    <row r="9533" spans="1:12" x14ac:dyDescent="0.25">
      <c r="A9533" s="16"/>
      <c r="D9533" s="16"/>
      <c r="F9533" s="16"/>
      <c r="G9533" s="16"/>
      <c r="H9533" s="24"/>
      <c r="I9533" s="24"/>
      <c r="L9533"/>
    </row>
    <row r="9534" spans="1:12" x14ac:dyDescent="0.25">
      <c r="A9534" s="16"/>
      <c r="D9534" s="16"/>
      <c r="F9534" s="16"/>
      <c r="G9534" s="16"/>
      <c r="H9534" s="24"/>
      <c r="I9534" s="24"/>
      <c r="L9534"/>
    </row>
    <row r="9535" spans="1:12" x14ac:dyDescent="0.25">
      <c r="A9535" s="16"/>
      <c r="D9535" s="16"/>
      <c r="F9535" s="16"/>
      <c r="G9535" s="16"/>
      <c r="H9535" s="24"/>
      <c r="I9535" s="24"/>
      <c r="L9535"/>
    </row>
    <row r="9536" spans="1:12" x14ac:dyDescent="0.25">
      <c r="A9536" s="16"/>
      <c r="D9536" s="16"/>
      <c r="F9536" s="16"/>
      <c r="G9536" s="16"/>
      <c r="H9536" s="24"/>
      <c r="I9536" s="24"/>
      <c r="L9536"/>
    </row>
    <row r="9537" spans="1:12" x14ac:dyDescent="0.25">
      <c r="A9537" s="16"/>
      <c r="D9537" s="16"/>
      <c r="F9537" s="16"/>
      <c r="G9537" s="16"/>
      <c r="H9537" s="24"/>
      <c r="I9537" s="24"/>
      <c r="L9537"/>
    </row>
    <row r="9538" spans="1:12" x14ac:dyDescent="0.25">
      <c r="A9538" s="16"/>
      <c r="D9538" s="16"/>
      <c r="F9538" s="16"/>
      <c r="G9538" s="16"/>
      <c r="H9538" s="24"/>
      <c r="I9538" s="24"/>
      <c r="L9538"/>
    </row>
    <row r="9539" spans="1:12" x14ac:dyDescent="0.25">
      <c r="A9539" s="16"/>
      <c r="D9539" s="16"/>
      <c r="F9539" s="16"/>
      <c r="G9539" s="16"/>
      <c r="H9539" s="24"/>
      <c r="I9539" s="24"/>
      <c r="L9539"/>
    </row>
    <row r="9540" spans="1:12" x14ac:dyDescent="0.25">
      <c r="A9540" s="16"/>
      <c r="D9540" s="16"/>
      <c r="F9540" s="16"/>
      <c r="G9540" s="16"/>
      <c r="H9540" s="24"/>
      <c r="I9540" s="24"/>
      <c r="L9540"/>
    </row>
    <row r="9541" spans="1:12" x14ac:dyDescent="0.25">
      <c r="A9541" s="16"/>
      <c r="D9541" s="16"/>
      <c r="F9541" s="16"/>
      <c r="G9541" s="16"/>
      <c r="H9541" s="24"/>
      <c r="I9541" s="24"/>
      <c r="L9541"/>
    </row>
    <row r="9542" spans="1:12" x14ac:dyDescent="0.25">
      <c r="A9542" s="16"/>
      <c r="D9542" s="16"/>
      <c r="F9542" s="16"/>
      <c r="G9542" s="16"/>
      <c r="H9542" s="24"/>
      <c r="I9542" s="24"/>
      <c r="L9542"/>
    </row>
    <row r="9543" spans="1:12" x14ac:dyDescent="0.25">
      <c r="A9543" s="16"/>
      <c r="D9543" s="16"/>
      <c r="F9543" s="16"/>
      <c r="G9543" s="16"/>
      <c r="H9543" s="24"/>
      <c r="I9543" s="24"/>
      <c r="L9543"/>
    </row>
    <row r="9544" spans="1:12" x14ac:dyDescent="0.25">
      <c r="A9544" s="16"/>
      <c r="D9544" s="16"/>
      <c r="F9544" s="16"/>
      <c r="G9544" s="16"/>
      <c r="H9544" s="24"/>
      <c r="I9544" s="24"/>
      <c r="L9544"/>
    </row>
    <row r="9545" spans="1:12" x14ac:dyDescent="0.25">
      <c r="A9545" s="16"/>
      <c r="D9545" s="16"/>
      <c r="F9545" s="16"/>
      <c r="G9545" s="16"/>
      <c r="H9545" s="24"/>
      <c r="I9545" s="24"/>
      <c r="L9545"/>
    </row>
    <row r="9546" spans="1:12" x14ac:dyDescent="0.25">
      <c r="A9546" s="16"/>
      <c r="D9546" s="16"/>
      <c r="F9546" s="16"/>
      <c r="G9546" s="16"/>
      <c r="H9546" s="24"/>
      <c r="I9546" s="24"/>
      <c r="L9546"/>
    </row>
    <row r="9547" spans="1:12" x14ac:dyDescent="0.25">
      <c r="A9547" s="16"/>
      <c r="D9547" s="16"/>
      <c r="F9547" s="16"/>
      <c r="G9547" s="16"/>
      <c r="H9547" s="24"/>
      <c r="I9547" s="24"/>
      <c r="L9547"/>
    </row>
    <row r="9548" spans="1:12" x14ac:dyDescent="0.25">
      <c r="A9548" s="16"/>
      <c r="D9548" s="16"/>
      <c r="F9548" s="16"/>
      <c r="G9548" s="16"/>
      <c r="H9548" s="24"/>
      <c r="I9548" s="24"/>
      <c r="L9548"/>
    </row>
    <row r="9549" spans="1:12" x14ac:dyDescent="0.25">
      <c r="A9549" s="16"/>
      <c r="D9549" s="16"/>
      <c r="F9549" s="16"/>
      <c r="G9549" s="16"/>
      <c r="H9549" s="24"/>
      <c r="I9549" s="24"/>
      <c r="L9549"/>
    </row>
    <row r="9550" spans="1:12" x14ac:dyDescent="0.25">
      <c r="A9550" s="16"/>
      <c r="D9550" s="16"/>
      <c r="F9550" s="16"/>
      <c r="G9550" s="16"/>
      <c r="H9550" s="24"/>
      <c r="I9550" s="24"/>
      <c r="L9550"/>
    </row>
    <row r="9551" spans="1:12" x14ac:dyDescent="0.25">
      <c r="A9551" s="16"/>
      <c r="D9551" s="16"/>
      <c r="F9551" s="16"/>
      <c r="G9551" s="16"/>
      <c r="H9551" s="24"/>
      <c r="I9551" s="24"/>
      <c r="L9551"/>
    </row>
    <row r="9552" spans="1:12" x14ac:dyDescent="0.25">
      <c r="A9552" s="16"/>
      <c r="D9552" s="16"/>
      <c r="F9552" s="16"/>
      <c r="G9552" s="16"/>
      <c r="H9552" s="24"/>
      <c r="I9552" s="24"/>
      <c r="L9552"/>
    </row>
    <row r="9553" spans="1:12" x14ac:dyDescent="0.25">
      <c r="A9553" s="16"/>
      <c r="D9553" s="16"/>
      <c r="F9553" s="16"/>
      <c r="G9553" s="16"/>
      <c r="H9553" s="24"/>
      <c r="I9553" s="24"/>
      <c r="L9553"/>
    </row>
    <row r="9554" spans="1:12" x14ac:dyDescent="0.25">
      <c r="A9554" s="16"/>
      <c r="D9554" s="16"/>
      <c r="F9554" s="16"/>
      <c r="G9554" s="16"/>
      <c r="H9554" s="24"/>
      <c r="I9554" s="24"/>
      <c r="L9554"/>
    </row>
    <row r="9555" spans="1:12" x14ac:dyDescent="0.25">
      <c r="A9555" s="16"/>
      <c r="D9555" s="16"/>
      <c r="F9555" s="16"/>
      <c r="G9555" s="16"/>
      <c r="H9555" s="24"/>
      <c r="I9555" s="24"/>
      <c r="L9555"/>
    </row>
    <row r="9556" spans="1:12" x14ac:dyDescent="0.25">
      <c r="A9556" s="16"/>
      <c r="D9556" s="16"/>
      <c r="F9556" s="16"/>
      <c r="G9556" s="16"/>
      <c r="H9556" s="24"/>
      <c r="I9556" s="24"/>
      <c r="L9556"/>
    </row>
    <row r="9557" spans="1:12" x14ac:dyDescent="0.25">
      <c r="A9557" s="16"/>
      <c r="D9557" s="16"/>
      <c r="F9557" s="16"/>
      <c r="G9557" s="16"/>
      <c r="H9557" s="24"/>
      <c r="I9557" s="24"/>
      <c r="L9557"/>
    </row>
    <row r="9558" spans="1:12" x14ac:dyDescent="0.25">
      <c r="A9558" s="16"/>
      <c r="D9558" s="16"/>
      <c r="F9558" s="16"/>
      <c r="G9558" s="16"/>
      <c r="H9558" s="24"/>
      <c r="I9558" s="24"/>
      <c r="L9558"/>
    </row>
    <row r="9559" spans="1:12" x14ac:dyDescent="0.25">
      <c r="A9559" s="16"/>
      <c r="D9559" s="16"/>
      <c r="F9559" s="16"/>
      <c r="G9559" s="16"/>
      <c r="H9559" s="24"/>
      <c r="I9559" s="24"/>
      <c r="L9559"/>
    </row>
    <row r="9560" spans="1:12" x14ac:dyDescent="0.25">
      <c r="A9560" s="16"/>
      <c r="D9560" s="16"/>
      <c r="F9560" s="16"/>
      <c r="G9560" s="16"/>
      <c r="H9560" s="24"/>
      <c r="I9560" s="24"/>
      <c r="L9560"/>
    </row>
    <row r="9561" spans="1:12" x14ac:dyDescent="0.25">
      <c r="A9561" s="16"/>
      <c r="D9561" s="16"/>
      <c r="F9561" s="16"/>
      <c r="G9561" s="16"/>
      <c r="H9561" s="24"/>
      <c r="I9561" s="24"/>
      <c r="L9561"/>
    </row>
    <row r="9562" spans="1:12" x14ac:dyDescent="0.25">
      <c r="A9562" s="16"/>
      <c r="D9562" s="16"/>
      <c r="F9562" s="16"/>
      <c r="G9562" s="16"/>
      <c r="H9562" s="24"/>
      <c r="I9562" s="24"/>
      <c r="L9562"/>
    </row>
    <row r="9563" spans="1:12" x14ac:dyDescent="0.25">
      <c r="A9563" s="16"/>
      <c r="D9563" s="16"/>
      <c r="F9563" s="16"/>
      <c r="G9563" s="16"/>
      <c r="H9563" s="24"/>
      <c r="I9563" s="24"/>
      <c r="L9563"/>
    </row>
    <row r="9564" spans="1:12" x14ac:dyDescent="0.25">
      <c r="A9564" s="16"/>
      <c r="D9564" s="16"/>
      <c r="F9564" s="16"/>
      <c r="G9564" s="16"/>
      <c r="H9564" s="24"/>
      <c r="I9564" s="24"/>
      <c r="L9564"/>
    </row>
    <row r="9565" spans="1:12" x14ac:dyDescent="0.25">
      <c r="A9565" s="16"/>
      <c r="D9565" s="16"/>
      <c r="F9565" s="16"/>
      <c r="G9565" s="16"/>
      <c r="H9565" s="24"/>
      <c r="I9565" s="24"/>
      <c r="L9565"/>
    </row>
    <row r="9566" spans="1:12" x14ac:dyDescent="0.25">
      <c r="A9566" s="16"/>
      <c r="D9566" s="16"/>
      <c r="F9566" s="16"/>
      <c r="G9566" s="16"/>
      <c r="H9566" s="24"/>
      <c r="I9566" s="24"/>
      <c r="L9566"/>
    </row>
    <row r="9567" spans="1:12" x14ac:dyDescent="0.25">
      <c r="A9567" s="16"/>
      <c r="D9567" s="16"/>
      <c r="F9567" s="16"/>
      <c r="G9567" s="16"/>
      <c r="H9567" s="24"/>
      <c r="I9567" s="24"/>
      <c r="L9567"/>
    </row>
    <row r="9568" spans="1:12" x14ac:dyDescent="0.25">
      <c r="A9568" s="16"/>
      <c r="D9568" s="16"/>
      <c r="F9568" s="16"/>
      <c r="G9568" s="16"/>
      <c r="H9568" s="24"/>
      <c r="I9568" s="24"/>
      <c r="L9568"/>
    </row>
    <row r="9569" spans="1:12" x14ac:dyDescent="0.25">
      <c r="A9569" s="16"/>
      <c r="D9569" s="16"/>
      <c r="F9569" s="16"/>
      <c r="G9569" s="16"/>
      <c r="H9569" s="24"/>
      <c r="I9569" s="24"/>
      <c r="L9569"/>
    </row>
    <row r="9570" spans="1:12" x14ac:dyDescent="0.25">
      <c r="A9570" s="16"/>
      <c r="D9570" s="16"/>
      <c r="F9570" s="16"/>
      <c r="G9570" s="16"/>
      <c r="H9570" s="24"/>
      <c r="I9570" s="24"/>
      <c r="L9570"/>
    </row>
    <row r="9571" spans="1:12" x14ac:dyDescent="0.25">
      <c r="A9571" s="16"/>
      <c r="D9571" s="16"/>
      <c r="F9571" s="16"/>
      <c r="G9571" s="16"/>
      <c r="H9571" s="24"/>
      <c r="I9571" s="24"/>
      <c r="L9571"/>
    </row>
    <row r="9572" spans="1:12" x14ac:dyDescent="0.25">
      <c r="A9572" s="16"/>
      <c r="D9572" s="16"/>
      <c r="F9572" s="16"/>
      <c r="G9572" s="16"/>
      <c r="H9572" s="24"/>
      <c r="I9572" s="24"/>
      <c r="L9572"/>
    </row>
    <row r="9573" spans="1:12" x14ac:dyDescent="0.25">
      <c r="A9573" s="16"/>
      <c r="D9573" s="16"/>
      <c r="F9573" s="16"/>
      <c r="G9573" s="16"/>
      <c r="H9573" s="24"/>
      <c r="I9573" s="24"/>
      <c r="L9573"/>
    </row>
    <row r="9574" spans="1:12" x14ac:dyDescent="0.25">
      <c r="A9574" s="16"/>
      <c r="D9574" s="16"/>
      <c r="F9574" s="16"/>
      <c r="G9574" s="16"/>
      <c r="H9574" s="24"/>
      <c r="I9574" s="24"/>
      <c r="L9574"/>
    </row>
    <row r="9575" spans="1:12" x14ac:dyDescent="0.25">
      <c r="A9575" s="16"/>
      <c r="D9575" s="16"/>
      <c r="F9575" s="16"/>
      <c r="G9575" s="16"/>
      <c r="H9575" s="24"/>
      <c r="I9575" s="24"/>
      <c r="L9575"/>
    </row>
    <row r="9576" spans="1:12" x14ac:dyDescent="0.25">
      <c r="A9576" s="16"/>
      <c r="D9576" s="16"/>
      <c r="F9576" s="16"/>
      <c r="G9576" s="16"/>
      <c r="H9576" s="24"/>
      <c r="I9576" s="24"/>
      <c r="L9576"/>
    </row>
    <row r="9577" spans="1:12" x14ac:dyDescent="0.25">
      <c r="A9577" s="16"/>
      <c r="D9577" s="16"/>
      <c r="F9577" s="16"/>
      <c r="G9577" s="16"/>
      <c r="H9577" s="24"/>
      <c r="I9577" s="24"/>
      <c r="L9577"/>
    </row>
    <row r="9578" spans="1:12" x14ac:dyDescent="0.25">
      <c r="A9578" s="16"/>
      <c r="D9578" s="16"/>
      <c r="F9578" s="16"/>
      <c r="G9578" s="16"/>
      <c r="H9578" s="24"/>
      <c r="I9578" s="24"/>
      <c r="L9578"/>
    </row>
    <row r="9579" spans="1:12" x14ac:dyDescent="0.25">
      <c r="A9579" s="16"/>
      <c r="D9579" s="16"/>
      <c r="F9579" s="16"/>
      <c r="G9579" s="16"/>
      <c r="H9579" s="24"/>
      <c r="I9579" s="24"/>
      <c r="L9579"/>
    </row>
    <row r="9580" spans="1:12" x14ac:dyDescent="0.25">
      <c r="A9580" s="16"/>
      <c r="D9580" s="16"/>
      <c r="F9580" s="16"/>
      <c r="G9580" s="16"/>
      <c r="H9580" s="24"/>
      <c r="I9580" s="24"/>
      <c r="L9580"/>
    </row>
    <row r="9581" spans="1:12" x14ac:dyDescent="0.25">
      <c r="A9581" s="16"/>
      <c r="D9581" s="16"/>
      <c r="F9581" s="16"/>
      <c r="G9581" s="16"/>
      <c r="H9581" s="24"/>
      <c r="I9581" s="24"/>
      <c r="L9581"/>
    </row>
    <row r="9582" spans="1:12" x14ac:dyDescent="0.25">
      <c r="A9582" s="16"/>
      <c r="D9582" s="16"/>
      <c r="F9582" s="16"/>
      <c r="G9582" s="16"/>
      <c r="H9582" s="24"/>
      <c r="I9582" s="24"/>
      <c r="L9582"/>
    </row>
    <row r="9583" spans="1:12" x14ac:dyDescent="0.25">
      <c r="A9583" s="16"/>
      <c r="D9583" s="16"/>
      <c r="F9583" s="16"/>
      <c r="G9583" s="16"/>
      <c r="H9583" s="24"/>
      <c r="I9583" s="24"/>
      <c r="L9583"/>
    </row>
    <row r="9584" spans="1:12" x14ac:dyDescent="0.25">
      <c r="A9584" s="16"/>
      <c r="D9584" s="16"/>
      <c r="F9584" s="16"/>
      <c r="G9584" s="16"/>
      <c r="H9584" s="24"/>
      <c r="I9584" s="24"/>
      <c r="L9584"/>
    </row>
    <row r="9585" spans="1:12" x14ac:dyDescent="0.25">
      <c r="A9585" s="16"/>
      <c r="D9585" s="16"/>
      <c r="F9585" s="16"/>
      <c r="G9585" s="16"/>
      <c r="H9585" s="24"/>
      <c r="I9585" s="24"/>
      <c r="L9585"/>
    </row>
    <row r="9586" spans="1:12" x14ac:dyDescent="0.25">
      <c r="A9586" s="16"/>
      <c r="D9586" s="16"/>
      <c r="F9586" s="16"/>
      <c r="G9586" s="16"/>
      <c r="H9586" s="24"/>
      <c r="I9586" s="24"/>
      <c r="L9586"/>
    </row>
    <row r="9587" spans="1:12" x14ac:dyDescent="0.25">
      <c r="A9587" s="16"/>
      <c r="D9587" s="16"/>
      <c r="F9587" s="16"/>
      <c r="G9587" s="16"/>
      <c r="H9587" s="24"/>
      <c r="I9587" s="24"/>
      <c r="L9587"/>
    </row>
    <row r="9588" spans="1:12" x14ac:dyDescent="0.25">
      <c r="A9588" s="16"/>
      <c r="D9588" s="16"/>
      <c r="F9588" s="16"/>
      <c r="G9588" s="16"/>
      <c r="H9588" s="24"/>
      <c r="I9588" s="24"/>
      <c r="L9588"/>
    </row>
    <row r="9589" spans="1:12" x14ac:dyDescent="0.25">
      <c r="A9589" s="16"/>
      <c r="D9589" s="16"/>
      <c r="F9589" s="16"/>
      <c r="G9589" s="16"/>
      <c r="H9589" s="24"/>
      <c r="I9589" s="24"/>
      <c r="L9589"/>
    </row>
    <row r="9590" spans="1:12" x14ac:dyDescent="0.25">
      <c r="A9590" s="16"/>
      <c r="D9590" s="16"/>
      <c r="F9590" s="16"/>
      <c r="G9590" s="16"/>
      <c r="H9590" s="24"/>
      <c r="I9590" s="24"/>
      <c r="L9590"/>
    </row>
    <row r="9591" spans="1:12" x14ac:dyDescent="0.25">
      <c r="A9591" s="16"/>
      <c r="D9591" s="16"/>
      <c r="F9591" s="16"/>
      <c r="G9591" s="16"/>
      <c r="H9591" s="24"/>
      <c r="I9591" s="24"/>
      <c r="L9591"/>
    </row>
    <row r="9592" spans="1:12" x14ac:dyDescent="0.25">
      <c r="A9592" s="16"/>
      <c r="D9592" s="16"/>
      <c r="F9592" s="16"/>
      <c r="G9592" s="16"/>
      <c r="H9592" s="24"/>
      <c r="I9592" s="24"/>
      <c r="L9592"/>
    </row>
    <row r="9593" spans="1:12" x14ac:dyDescent="0.25">
      <c r="A9593" s="16"/>
      <c r="D9593" s="16"/>
      <c r="F9593" s="16"/>
      <c r="G9593" s="16"/>
      <c r="H9593" s="24"/>
      <c r="I9593" s="24"/>
      <c r="L9593"/>
    </row>
    <row r="9594" spans="1:12" x14ac:dyDescent="0.25">
      <c r="A9594" s="16"/>
      <c r="D9594" s="16"/>
      <c r="F9594" s="16"/>
      <c r="G9594" s="16"/>
      <c r="H9594" s="24"/>
      <c r="I9594" s="24"/>
      <c r="L9594"/>
    </row>
    <row r="9595" spans="1:12" x14ac:dyDescent="0.25">
      <c r="A9595" s="16"/>
      <c r="D9595" s="16"/>
      <c r="F9595" s="16"/>
      <c r="G9595" s="16"/>
      <c r="H9595" s="24"/>
      <c r="I9595" s="24"/>
      <c r="L9595"/>
    </row>
    <row r="9596" spans="1:12" x14ac:dyDescent="0.25">
      <c r="A9596" s="16"/>
      <c r="D9596" s="16"/>
      <c r="F9596" s="16"/>
      <c r="G9596" s="16"/>
      <c r="H9596" s="24"/>
      <c r="I9596" s="24"/>
      <c r="L9596"/>
    </row>
    <row r="9597" spans="1:12" x14ac:dyDescent="0.25">
      <c r="A9597" s="16"/>
      <c r="D9597" s="16"/>
      <c r="F9597" s="16"/>
      <c r="G9597" s="16"/>
      <c r="H9597" s="24"/>
      <c r="I9597" s="24"/>
      <c r="L9597"/>
    </row>
    <row r="9598" spans="1:12" x14ac:dyDescent="0.25">
      <c r="A9598" s="16"/>
      <c r="D9598" s="16"/>
      <c r="F9598" s="16"/>
      <c r="G9598" s="16"/>
      <c r="H9598" s="24"/>
      <c r="I9598" s="24"/>
      <c r="L9598"/>
    </row>
    <row r="9599" spans="1:12" x14ac:dyDescent="0.25">
      <c r="A9599" s="16"/>
      <c r="D9599" s="16"/>
      <c r="F9599" s="16"/>
      <c r="G9599" s="16"/>
      <c r="H9599" s="24"/>
      <c r="I9599" s="24"/>
      <c r="L9599"/>
    </row>
    <row r="9600" spans="1:12" x14ac:dyDescent="0.25">
      <c r="A9600" s="16"/>
      <c r="D9600" s="16"/>
      <c r="F9600" s="16"/>
      <c r="G9600" s="16"/>
      <c r="H9600" s="24"/>
      <c r="I9600" s="24"/>
      <c r="L9600"/>
    </row>
    <row r="9601" spans="1:12" x14ac:dyDescent="0.25">
      <c r="A9601" s="16"/>
      <c r="D9601" s="16"/>
      <c r="F9601" s="16"/>
      <c r="G9601" s="16"/>
      <c r="H9601" s="24"/>
      <c r="I9601" s="24"/>
      <c r="L9601"/>
    </row>
    <row r="9602" spans="1:12" x14ac:dyDescent="0.25">
      <c r="A9602" s="16"/>
      <c r="D9602" s="16"/>
      <c r="F9602" s="16"/>
      <c r="G9602" s="16"/>
      <c r="H9602" s="24"/>
      <c r="I9602" s="24"/>
      <c r="L9602"/>
    </row>
    <row r="9603" spans="1:12" x14ac:dyDescent="0.25">
      <c r="A9603" s="16"/>
      <c r="D9603" s="16"/>
      <c r="F9603" s="16"/>
      <c r="G9603" s="16"/>
      <c r="H9603" s="24"/>
      <c r="I9603" s="24"/>
      <c r="L9603"/>
    </row>
    <row r="9604" spans="1:12" x14ac:dyDescent="0.25">
      <c r="A9604" s="16"/>
      <c r="D9604" s="16"/>
      <c r="F9604" s="16"/>
      <c r="G9604" s="16"/>
      <c r="H9604" s="24"/>
      <c r="I9604" s="24"/>
      <c r="L9604"/>
    </row>
    <row r="9605" spans="1:12" x14ac:dyDescent="0.25">
      <c r="A9605" s="16"/>
      <c r="D9605" s="16"/>
      <c r="F9605" s="16"/>
      <c r="G9605" s="16"/>
      <c r="H9605" s="24"/>
      <c r="I9605" s="24"/>
      <c r="L9605"/>
    </row>
    <row r="9606" spans="1:12" x14ac:dyDescent="0.25">
      <c r="A9606" s="16"/>
      <c r="D9606" s="16"/>
      <c r="F9606" s="16"/>
      <c r="G9606" s="16"/>
      <c r="H9606" s="24"/>
      <c r="I9606" s="24"/>
      <c r="L9606"/>
    </row>
    <row r="9607" spans="1:12" x14ac:dyDescent="0.25">
      <c r="A9607" s="16"/>
      <c r="D9607" s="16"/>
      <c r="F9607" s="16"/>
      <c r="G9607" s="16"/>
      <c r="H9607" s="24"/>
      <c r="I9607" s="24"/>
      <c r="L9607"/>
    </row>
    <row r="9608" spans="1:12" x14ac:dyDescent="0.25">
      <c r="A9608" s="16"/>
      <c r="D9608" s="16"/>
      <c r="F9608" s="16"/>
      <c r="G9608" s="16"/>
      <c r="H9608" s="24"/>
      <c r="I9608" s="24"/>
      <c r="L9608"/>
    </row>
    <row r="9609" spans="1:12" x14ac:dyDescent="0.25">
      <c r="A9609" s="16"/>
      <c r="D9609" s="16"/>
      <c r="F9609" s="16"/>
      <c r="G9609" s="16"/>
      <c r="H9609" s="24"/>
      <c r="I9609" s="24"/>
      <c r="L9609"/>
    </row>
    <row r="9610" spans="1:12" x14ac:dyDescent="0.25">
      <c r="A9610" s="16"/>
      <c r="D9610" s="16"/>
      <c r="F9610" s="16"/>
      <c r="G9610" s="16"/>
      <c r="H9610" s="24"/>
      <c r="I9610" s="24"/>
      <c r="L9610"/>
    </row>
    <row r="9611" spans="1:12" x14ac:dyDescent="0.25">
      <c r="A9611" s="16"/>
      <c r="D9611" s="16"/>
      <c r="F9611" s="16"/>
      <c r="G9611" s="16"/>
      <c r="H9611" s="24"/>
      <c r="I9611" s="24"/>
      <c r="L9611"/>
    </row>
    <row r="9612" spans="1:12" x14ac:dyDescent="0.25">
      <c r="A9612" s="16"/>
      <c r="D9612" s="16"/>
      <c r="F9612" s="16"/>
      <c r="G9612" s="16"/>
      <c r="H9612" s="24"/>
      <c r="I9612" s="24"/>
      <c r="L9612"/>
    </row>
    <row r="9613" spans="1:12" x14ac:dyDescent="0.25">
      <c r="A9613" s="16"/>
      <c r="D9613" s="16"/>
      <c r="F9613" s="16"/>
      <c r="G9613" s="16"/>
      <c r="H9613" s="24"/>
      <c r="I9613" s="24"/>
      <c r="L9613"/>
    </row>
    <row r="9614" spans="1:12" x14ac:dyDescent="0.25">
      <c r="A9614" s="16"/>
      <c r="D9614" s="16"/>
      <c r="F9614" s="16"/>
      <c r="G9614" s="16"/>
      <c r="H9614" s="24"/>
      <c r="I9614" s="24"/>
      <c r="L9614"/>
    </row>
    <row r="9615" spans="1:12" x14ac:dyDescent="0.25">
      <c r="A9615" s="16"/>
      <c r="D9615" s="16"/>
      <c r="F9615" s="16"/>
      <c r="G9615" s="16"/>
      <c r="H9615" s="24"/>
      <c r="I9615" s="24"/>
      <c r="L9615"/>
    </row>
    <row r="9616" spans="1:12" x14ac:dyDescent="0.25">
      <c r="A9616" s="16"/>
      <c r="D9616" s="16"/>
      <c r="F9616" s="16"/>
      <c r="G9616" s="16"/>
      <c r="H9616" s="24"/>
      <c r="I9616" s="24"/>
      <c r="L9616"/>
    </row>
    <row r="9617" spans="1:12" x14ac:dyDescent="0.25">
      <c r="A9617" s="16"/>
      <c r="D9617" s="16"/>
      <c r="F9617" s="16"/>
      <c r="G9617" s="16"/>
      <c r="H9617" s="24"/>
      <c r="I9617" s="24"/>
      <c r="L9617"/>
    </row>
    <row r="9618" spans="1:12" x14ac:dyDescent="0.25">
      <c r="A9618" s="16"/>
      <c r="D9618" s="16"/>
      <c r="F9618" s="16"/>
      <c r="G9618" s="16"/>
      <c r="H9618" s="24"/>
      <c r="I9618" s="24"/>
      <c r="L9618"/>
    </row>
    <row r="9619" spans="1:12" x14ac:dyDescent="0.25">
      <c r="A9619" s="16"/>
      <c r="D9619" s="16"/>
      <c r="F9619" s="16"/>
      <c r="G9619" s="16"/>
      <c r="H9619" s="24"/>
      <c r="I9619" s="24"/>
      <c r="L9619"/>
    </row>
    <row r="9620" spans="1:12" x14ac:dyDescent="0.25">
      <c r="A9620" s="16"/>
      <c r="D9620" s="16"/>
      <c r="F9620" s="16"/>
      <c r="G9620" s="16"/>
      <c r="H9620" s="24"/>
      <c r="I9620" s="24"/>
      <c r="L9620"/>
    </row>
    <row r="9621" spans="1:12" x14ac:dyDescent="0.25">
      <c r="A9621" s="16"/>
      <c r="D9621" s="16"/>
      <c r="F9621" s="16"/>
      <c r="G9621" s="16"/>
      <c r="H9621" s="24"/>
      <c r="I9621" s="24"/>
      <c r="L9621"/>
    </row>
    <row r="9622" spans="1:12" x14ac:dyDescent="0.25">
      <c r="A9622" s="16"/>
      <c r="D9622" s="16"/>
      <c r="F9622" s="16"/>
      <c r="G9622" s="16"/>
      <c r="H9622" s="24"/>
      <c r="I9622" s="24"/>
      <c r="L9622"/>
    </row>
    <row r="9623" spans="1:12" x14ac:dyDescent="0.25">
      <c r="A9623" s="16"/>
      <c r="D9623" s="16"/>
      <c r="F9623" s="16"/>
      <c r="G9623" s="16"/>
      <c r="H9623" s="24"/>
      <c r="I9623" s="24"/>
      <c r="L9623"/>
    </row>
    <row r="9624" spans="1:12" x14ac:dyDescent="0.25">
      <c r="A9624" s="16"/>
      <c r="D9624" s="16"/>
      <c r="F9624" s="16"/>
      <c r="G9624" s="16"/>
      <c r="H9624" s="24"/>
      <c r="I9624" s="24"/>
      <c r="L9624"/>
    </row>
    <row r="9625" spans="1:12" x14ac:dyDescent="0.25">
      <c r="A9625" s="16"/>
      <c r="D9625" s="16"/>
      <c r="F9625" s="16"/>
      <c r="G9625" s="16"/>
      <c r="H9625" s="24"/>
      <c r="I9625" s="24"/>
      <c r="L9625"/>
    </row>
    <row r="9626" spans="1:12" x14ac:dyDescent="0.25">
      <c r="A9626" s="16"/>
      <c r="D9626" s="16"/>
      <c r="F9626" s="16"/>
      <c r="G9626" s="16"/>
      <c r="H9626" s="24"/>
      <c r="I9626" s="24"/>
      <c r="L9626"/>
    </row>
    <row r="9627" spans="1:12" x14ac:dyDescent="0.25">
      <c r="A9627" s="16"/>
      <c r="D9627" s="16"/>
      <c r="F9627" s="16"/>
      <c r="G9627" s="16"/>
      <c r="H9627" s="24"/>
      <c r="I9627" s="24"/>
      <c r="L9627"/>
    </row>
    <row r="9628" spans="1:12" x14ac:dyDescent="0.25">
      <c r="A9628" s="16"/>
      <c r="D9628" s="16"/>
      <c r="F9628" s="16"/>
      <c r="G9628" s="16"/>
      <c r="H9628" s="24"/>
      <c r="I9628" s="24"/>
      <c r="L9628"/>
    </row>
    <row r="9629" spans="1:12" x14ac:dyDescent="0.25">
      <c r="A9629" s="16"/>
      <c r="D9629" s="16"/>
      <c r="F9629" s="16"/>
      <c r="G9629" s="16"/>
      <c r="H9629" s="24"/>
      <c r="I9629" s="24"/>
      <c r="L9629"/>
    </row>
    <row r="9630" spans="1:12" x14ac:dyDescent="0.25">
      <c r="A9630" s="16"/>
      <c r="D9630" s="16"/>
      <c r="F9630" s="16"/>
      <c r="G9630" s="16"/>
      <c r="H9630" s="24"/>
      <c r="I9630" s="24"/>
      <c r="L9630"/>
    </row>
    <row r="9631" spans="1:12" x14ac:dyDescent="0.25">
      <c r="A9631" s="16"/>
      <c r="D9631" s="16"/>
      <c r="F9631" s="16"/>
      <c r="G9631" s="16"/>
      <c r="H9631" s="24"/>
      <c r="I9631" s="24"/>
      <c r="L9631"/>
    </row>
    <row r="9632" spans="1:12" x14ac:dyDescent="0.25">
      <c r="A9632" s="16"/>
      <c r="D9632" s="16"/>
      <c r="F9632" s="16"/>
      <c r="G9632" s="16"/>
      <c r="H9632" s="24"/>
      <c r="I9632" s="24"/>
      <c r="L9632"/>
    </row>
    <row r="9633" spans="1:12" x14ac:dyDescent="0.25">
      <c r="A9633" s="16"/>
      <c r="D9633" s="16"/>
      <c r="F9633" s="16"/>
      <c r="G9633" s="16"/>
      <c r="H9633" s="24"/>
      <c r="I9633" s="24"/>
      <c r="L9633"/>
    </row>
    <row r="9634" spans="1:12" x14ac:dyDescent="0.25">
      <c r="A9634" s="16"/>
      <c r="D9634" s="16"/>
      <c r="F9634" s="16"/>
      <c r="G9634" s="16"/>
      <c r="H9634" s="24"/>
      <c r="I9634" s="24"/>
      <c r="L9634"/>
    </row>
    <row r="9635" spans="1:12" x14ac:dyDescent="0.25">
      <c r="A9635" s="16"/>
      <c r="D9635" s="16"/>
      <c r="F9635" s="16"/>
      <c r="G9635" s="16"/>
      <c r="H9635" s="24"/>
      <c r="I9635" s="24"/>
      <c r="L9635"/>
    </row>
    <row r="9636" spans="1:12" x14ac:dyDescent="0.25">
      <c r="A9636" s="16"/>
      <c r="D9636" s="16"/>
      <c r="F9636" s="16"/>
      <c r="G9636" s="16"/>
      <c r="H9636" s="24"/>
      <c r="I9636" s="24"/>
      <c r="L9636"/>
    </row>
    <row r="9637" spans="1:12" x14ac:dyDescent="0.25">
      <c r="A9637" s="16"/>
      <c r="D9637" s="16"/>
      <c r="F9637" s="16"/>
      <c r="G9637" s="16"/>
      <c r="H9637" s="24"/>
      <c r="I9637" s="24"/>
      <c r="L9637"/>
    </row>
    <row r="9638" spans="1:12" x14ac:dyDescent="0.25">
      <c r="A9638" s="16"/>
      <c r="D9638" s="16"/>
      <c r="F9638" s="16"/>
      <c r="G9638" s="16"/>
      <c r="H9638" s="24"/>
      <c r="I9638" s="24"/>
      <c r="L9638"/>
    </row>
    <row r="9639" spans="1:12" x14ac:dyDescent="0.25">
      <c r="A9639" s="16"/>
      <c r="D9639" s="16"/>
      <c r="F9639" s="16"/>
      <c r="G9639" s="16"/>
      <c r="H9639" s="24"/>
      <c r="I9639" s="24"/>
      <c r="L9639"/>
    </row>
    <row r="9640" spans="1:12" x14ac:dyDescent="0.25">
      <c r="A9640" s="16"/>
      <c r="D9640" s="16"/>
      <c r="F9640" s="16"/>
      <c r="G9640" s="16"/>
      <c r="H9640" s="24"/>
      <c r="I9640" s="24"/>
      <c r="L9640"/>
    </row>
    <row r="9641" spans="1:12" x14ac:dyDescent="0.25">
      <c r="A9641" s="16"/>
      <c r="D9641" s="16"/>
      <c r="F9641" s="16"/>
      <c r="G9641" s="16"/>
      <c r="H9641" s="24"/>
      <c r="I9641" s="24"/>
      <c r="L9641"/>
    </row>
    <row r="9642" spans="1:12" x14ac:dyDescent="0.25">
      <c r="A9642" s="16"/>
      <c r="D9642" s="16"/>
      <c r="F9642" s="16"/>
      <c r="G9642" s="16"/>
      <c r="H9642" s="24"/>
      <c r="I9642" s="24"/>
      <c r="L9642"/>
    </row>
    <row r="9643" spans="1:12" x14ac:dyDescent="0.25">
      <c r="A9643" s="16"/>
      <c r="D9643" s="16"/>
      <c r="F9643" s="16"/>
      <c r="G9643" s="16"/>
      <c r="H9643" s="24"/>
      <c r="I9643" s="24"/>
      <c r="L9643"/>
    </row>
    <row r="9644" spans="1:12" x14ac:dyDescent="0.25">
      <c r="A9644" s="16"/>
      <c r="D9644" s="16"/>
      <c r="F9644" s="16"/>
      <c r="G9644" s="16"/>
      <c r="H9644" s="24"/>
      <c r="I9644" s="24"/>
      <c r="L9644"/>
    </row>
    <row r="9645" spans="1:12" x14ac:dyDescent="0.25">
      <c r="A9645" s="16"/>
      <c r="D9645" s="16"/>
      <c r="F9645" s="16"/>
      <c r="G9645" s="16"/>
      <c r="H9645" s="24"/>
      <c r="I9645" s="24"/>
      <c r="L9645"/>
    </row>
    <row r="9646" spans="1:12" x14ac:dyDescent="0.25">
      <c r="A9646" s="16"/>
      <c r="D9646" s="16"/>
      <c r="F9646" s="16"/>
      <c r="G9646" s="16"/>
      <c r="H9646" s="24"/>
      <c r="I9646" s="24"/>
      <c r="L9646"/>
    </row>
    <row r="9647" spans="1:12" x14ac:dyDescent="0.25">
      <c r="A9647" s="16"/>
      <c r="D9647" s="16"/>
      <c r="F9647" s="16"/>
      <c r="G9647" s="16"/>
      <c r="H9647" s="24"/>
      <c r="I9647" s="24"/>
      <c r="L9647"/>
    </row>
    <row r="9648" spans="1:12" x14ac:dyDescent="0.25">
      <c r="A9648" s="16"/>
      <c r="D9648" s="16"/>
      <c r="F9648" s="16"/>
      <c r="G9648" s="16"/>
      <c r="H9648" s="24"/>
      <c r="I9648" s="24"/>
      <c r="L9648"/>
    </row>
    <row r="9649" spans="1:12" x14ac:dyDescent="0.25">
      <c r="A9649" s="16"/>
      <c r="D9649" s="16"/>
      <c r="F9649" s="16"/>
      <c r="G9649" s="16"/>
      <c r="H9649" s="24"/>
      <c r="I9649" s="24"/>
      <c r="L9649"/>
    </row>
    <row r="9650" spans="1:12" x14ac:dyDescent="0.25">
      <c r="A9650" s="16"/>
      <c r="D9650" s="16"/>
      <c r="F9650" s="16"/>
      <c r="G9650" s="16"/>
      <c r="H9650" s="24"/>
      <c r="I9650" s="24"/>
      <c r="L9650"/>
    </row>
    <row r="9651" spans="1:12" x14ac:dyDescent="0.25">
      <c r="A9651" s="16"/>
      <c r="D9651" s="16"/>
      <c r="F9651" s="16"/>
      <c r="G9651" s="16"/>
      <c r="H9651" s="24"/>
      <c r="I9651" s="24"/>
      <c r="L9651"/>
    </row>
    <row r="9652" spans="1:12" x14ac:dyDescent="0.25">
      <c r="A9652" s="16"/>
      <c r="D9652" s="16"/>
      <c r="F9652" s="16"/>
      <c r="G9652" s="16"/>
      <c r="H9652" s="24"/>
      <c r="I9652" s="24"/>
      <c r="L9652"/>
    </row>
    <row r="9653" spans="1:12" x14ac:dyDescent="0.25">
      <c r="A9653" s="16"/>
      <c r="D9653" s="16"/>
      <c r="F9653" s="16"/>
      <c r="G9653" s="16"/>
      <c r="H9653" s="24"/>
      <c r="I9653" s="24"/>
      <c r="L9653"/>
    </row>
    <row r="9654" spans="1:12" x14ac:dyDescent="0.25">
      <c r="A9654" s="16"/>
      <c r="D9654" s="16"/>
      <c r="F9654" s="16"/>
      <c r="G9654" s="16"/>
      <c r="H9654" s="24"/>
      <c r="I9654" s="24"/>
      <c r="L9654"/>
    </row>
    <row r="9655" spans="1:12" x14ac:dyDescent="0.25">
      <c r="A9655" s="16"/>
      <c r="D9655" s="16"/>
      <c r="F9655" s="16"/>
      <c r="G9655" s="16"/>
      <c r="H9655" s="24"/>
      <c r="I9655" s="24"/>
      <c r="L9655"/>
    </row>
    <row r="9656" spans="1:12" x14ac:dyDescent="0.25">
      <c r="A9656" s="16"/>
      <c r="D9656" s="16"/>
      <c r="F9656" s="16"/>
      <c r="G9656" s="16"/>
      <c r="H9656" s="24"/>
      <c r="I9656" s="24"/>
      <c r="L9656"/>
    </row>
    <row r="9657" spans="1:12" x14ac:dyDescent="0.25">
      <c r="A9657" s="16"/>
      <c r="D9657" s="16"/>
      <c r="F9657" s="16"/>
      <c r="G9657" s="16"/>
      <c r="H9657" s="24"/>
      <c r="I9657" s="24"/>
      <c r="L9657"/>
    </row>
    <row r="9658" spans="1:12" x14ac:dyDescent="0.25">
      <c r="A9658" s="16"/>
      <c r="D9658" s="16"/>
      <c r="F9658" s="16"/>
      <c r="G9658" s="16"/>
      <c r="H9658" s="24"/>
      <c r="I9658" s="24"/>
      <c r="L9658"/>
    </row>
    <row r="9659" spans="1:12" x14ac:dyDescent="0.25">
      <c r="A9659" s="16"/>
      <c r="D9659" s="16"/>
      <c r="F9659" s="16"/>
      <c r="G9659" s="16"/>
      <c r="H9659" s="24"/>
      <c r="I9659" s="24"/>
      <c r="L9659"/>
    </row>
    <row r="9660" spans="1:12" x14ac:dyDescent="0.25">
      <c r="A9660" s="16"/>
      <c r="D9660" s="16"/>
      <c r="F9660" s="16"/>
      <c r="G9660" s="16"/>
      <c r="H9660" s="24"/>
      <c r="I9660" s="24"/>
      <c r="L9660"/>
    </row>
    <row r="9661" spans="1:12" x14ac:dyDescent="0.25">
      <c r="A9661" s="16"/>
      <c r="D9661" s="16"/>
      <c r="F9661" s="16"/>
      <c r="G9661" s="16"/>
      <c r="H9661" s="24"/>
      <c r="I9661" s="24"/>
      <c r="L9661"/>
    </row>
    <row r="9662" spans="1:12" x14ac:dyDescent="0.25">
      <c r="A9662" s="16"/>
      <c r="D9662" s="16"/>
      <c r="F9662" s="16"/>
      <c r="G9662" s="16"/>
      <c r="H9662" s="24"/>
      <c r="I9662" s="24"/>
      <c r="L9662"/>
    </row>
    <row r="9663" spans="1:12" x14ac:dyDescent="0.25">
      <c r="A9663" s="16"/>
      <c r="D9663" s="16"/>
      <c r="F9663" s="16"/>
      <c r="G9663" s="16"/>
      <c r="H9663" s="24"/>
      <c r="I9663" s="24"/>
      <c r="L9663"/>
    </row>
    <row r="9664" spans="1:12" x14ac:dyDescent="0.25">
      <c r="A9664" s="16"/>
      <c r="D9664" s="16"/>
      <c r="F9664" s="16"/>
      <c r="G9664" s="16"/>
      <c r="H9664" s="24"/>
      <c r="I9664" s="24"/>
      <c r="L9664"/>
    </row>
    <row r="9665" spans="1:12" x14ac:dyDescent="0.25">
      <c r="A9665" s="16"/>
      <c r="D9665" s="16"/>
      <c r="F9665" s="16"/>
      <c r="G9665" s="16"/>
      <c r="H9665" s="24"/>
      <c r="I9665" s="24"/>
      <c r="L9665"/>
    </row>
    <row r="9666" spans="1:12" x14ac:dyDescent="0.25">
      <c r="A9666" s="16"/>
      <c r="D9666" s="16"/>
      <c r="F9666" s="16"/>
      <c r="G9666" s="16"/>
      <c r="H9666" s="24"/>
      <c r="I9666" s="24"/>
      <c r="L9666"/>
    </row>
    <row r="9667" spans="1:12" x14ac:dyDescent="0.25">
      <c r="A9667" s="16"/>
      <c r="D9667" s="16"/>
      <c r="F9667" s="16"/>
      <c r="G9667" s="16"/>
      <c r="H9667" s="24"/>
      <c r="I9667" s="24"/>
      <c r="L9667"/>
    </row>
    <row r="9668" spans="1:12" x14ac:dyDescent="0.25">
      <c r="A9668" s="16"/>
      <c r="D9668" s="16"/>
      <c r="F9668" s="16"/>
      <c r="G9668" s="16"/>
      <c r="H9668" s="24"/>
      <c r="I9668" s="24"/>
      <c r="L9668"/>
    </row>
    <row r="9669" spans="1:12" x14ac:dyDescent="0.25">
      <c r="A9669" s="16"/>
      <c r="D9669" s="16"/>
      <c r="F9669" s="16"/>
      <c r="G9669" s="16"/>
      <c r="H9669" s="24"/>
      <c r="I9669" s="24"/>
      <c r="L9669"/>
    </row>
    <row r="9670" spans="1:12" x14ac:dyDescent="0.25">
      <c r="A9670" s="16"/>
      <c r="D9670" s="16"/>
      <c r="F9670" s="16"/>
      <c r="G9670" s="16"/>
      <c r="H9670" s="24"/>
      <c r="I9670" s="24"/>
      <c r="L9670"/>
    </row>
    <row r="9671" spans="1:12" x14ac:dyDescent="0.25">
      <c r="A9671" s="16"/>
      <c r="D9671" s="16"/>
      <c r="F9671" s="16"/>
      <c r="G9671" s="16"/>
      <c r="H9671" s="24"/>
      <c r="I9671" s="24"/>
      <c r="L9671"/>
    </row>
    <row r="9672" spans="1:12" x14ac:dyDescent="0.25">
      <c r="A9672" s="16"/>
      <c r="D9672" s="16"/>
      <c r="F9672" s="16"/>
      <c r="G9672" s="16"/>
      <c r="H9672" s="24"/>
      <c r="I9672" s="24"/>
      <c r="L9672"/>
    </row>
    <row r="9673" spans="1:12" x14ac:dyDescent="0.25">
      <c r="A9673" s="16"/>
      <c r="D9673" s="16"/>
      <c r="F9673" s="16"/>
      <c r="G9673" s="16"/>
      <c r="H9673" s="24"/>
      <c r="I9673" s="24"/>
      <c r="L9673"/>
    </row>
    <row r="9674" spans="1:12" x14ac:dyDescent="0.25">
      <c r="A9674" s="16"/>
      <c r="D9674" s="16"/>
      <c r="F9674" s="16"/>
      <c r="G9674" s="16"/>
      <c r="H9674" s="24"/>
      <c r="I9674" s="24"/>
      <c r="L9674"/>
    </row>
    <row r="9675" spans="1:12" x14ac:dyDescent="0.25">
      <c r="A9675" s="16"/>
      <c r="D9675" s="16"/>
      <c r="F9675" s="16"/>
      <c r="G9675" s="16"/>
      <c r="H9675" s="24"/>
      <c r="I9675" s="24"/>
      <c r="L9675"/>
    </row>
    <row r="9676" spans="1:12" x14ac:dyDescent="0.25">
      <c r="A9676" s="16"/>
      <c r="D9676" s="16"/>
      <c r="F9676" s="16"/>
      <c r="G9676" s="16"/>
      <c r="H9676" s="24"/>
      <c r="I9676" s="24"/>
      <c r="L9676"/>
    </row>
    <row r="9677" spans="1:12" x14ac:dyDescent="0.25">
      <c r="A9677" s="16"/>
      <c r="D9677" s="16"/>
      <c r="F9677" s="16"/>
      <c r="G9677" s="16"/>
      <c r="H9677" s="24"/>
      <c r="I9677" s="24"/>
      <c r="L9677"/>
    </row>
    <row r="9678" spans="1:12" x14ac:dyDescent="0.25">
      <c r="A9678" s="16"/>
      <c r="D9678" s="16"/>
      <c r="F9678" s="16"/>
      <c r="G9678" s="16"/>
      <c r="H9678" s="24"/>
      <c r="I9678" s="24"/>
      <c r="L9678"/>
    </row>
    <row r="9679" spans="1:12" x14ac:dyDescent="0.25">
      <c r="A9679" s="16"/>
      <c r="D9679" s="16"/>
      <c r="F9679" s="16"/>
      <c r="G9679" s="16"/>
      <c r="H9679" s="24"/>
      <c r="I9679" s="24"/>
      <c r="L9679"/>
    </row>
    <row r="9680" spans="1:12" x14ac:dyDescent="0.25">
      <c r="A9680" s="16"/>
      <c r="D9680" s="16"/>
      <c r="F9680" s="16"/>
      <c r="G9680" s="16"/>
      <c r="H9680" s="24"/>
      <c r="I9680" s="24"/>
      <c r="L9680"/>
    </row>
    <row r="9681" spans="1:12" x14ac:dyDescent="0.25">
      <c r="A9681" s="16"/>
      <c r="D9681" s="16"/>
      <c r="F9681" s="16"/>
      <c r="G9681" s="16"/>
      <c r="H9681" s="24"/>
      <c r="I9681" s="24"/>
      <c r="L9681"/>
    </row>
    <row r="9682" spans="1:12" x14ac:dyDescent="0.25">
      <c r="A9682" s="16"/>
      <c r="D9682" s="16"/>
      <c r="F9682" s="16"/>
      <c r="G9682" s="16"/>
      <c r="H9682" s="24"/>
      <c r="I9682" s="24"/>
      <c r="L9682"/>
    </row>
    <row r="9683" spans="1:12" x14ac:dyDescent="0.25">
      <c r="A9683" s="16"/>
      <c r="D9683" s="16"/>
      <c r="F9683" s="16"/>
      <c r="G9683" s="16"/>
      <c r="H9683" s="24"/>
      <c r="I9683" s="24"/>
      <c r="L9683"/>
    </row>
    <row r="9684" spans="1:12" x14ac:dyDescent="0.25">
      <c r="A9684" s="16"/>
      <c r="D9684" s="16"/>
      <c r="F9684" s="16"/>
      <c r="G9684" s="16"/>
      <c r="H9684" s="24"/>
      <c r="I9684" s="24"/>
      <c r="L9684"/>
    </row>
    <row r="9685" spans="1:12" x14ac:dyDescent="0.25">
      <c r="A9685" s="16"/>
      <c r="D9685" s="16"/>
      <c r="F9685" s="16"/>
      <c r="G9685" s="16"/>
      <c r="H9685" s="24"/>
      <c r="I9685" s="24"/>
      <c r="L9685"/>
    </row>
    <row r="9686" spans="1:12" x14ac:dyDescent="0.25">
      <c r="A9686" s="16"/>
      <c r="D9686" s="16"/>
      <c r="F9686" s="16"/>
      <c r="G9686" s="16"/>
      <c r="H9686" s="24"/>
      <c r="I9686" s="24"/>
      <c r="L9686"/>
    </row>
    <row r="9687" spans="1:12" x14ac:dyDescent="0.25">
      <c r="A9687" s="16"/>
      <c r="D9687" s="16"/>
      <c r="F9687" s="16"/>
      <c r="G9687" s="16"/>
      <c r="H9687" s="24"/>
      <c r="I9687" s="24"/>
      <c r="L9687"/>
    </row>
    <row r="9688" spans="1:12" x14ac:dyDescent="0.25">
      <c r="A9688" s="16"/>
      <c r="D9688" s="16"/>
      <c r="F9688" s="16"/>
      <c r="G9688" s="16"/>
      <c r="H9688" s="24"/>
      <c r="I9688" s="24"/>
      <c r="L9688"/>
    </row>
    <row r="9689" spans="1:12" x14ac:dyDescent="0.25">
      <c r="A9689" s="16"/>
      <c r="D9689" s="16"/>
      <c r="F9689" s="16"/>
      <c r="G9689" s="16"/>
      <c r="H9689" s="24"/>
      <c r="I9689" s="24"/>
      <c r="L9689"/>
    </row>
    <row r="9690" spans="1:12" x14ac:dyDescent="0.25">
      <c r="A9690" s="16"/>
      <c r="D9690" s="16"/>
      <c r="F9690" s="16"/>
      <c r="G9690" s="16"/>
      <c r="H9690" s="24"/>
      <c r="I9690" s="24"/>
      <c r="L9690"/>
    </row>
    <row r="9691" spans="1:12" x14ac:dyDescent="0.25">
      <c r="A9691" s="16"/>
      <c r="D9691" s="16"/>
      <c r="F9691" s="16"/>
      <c r="G9691" s="16"/>
      <c r="H9691" s="24"/>
      <c r="I9691" s="24"/>
      <c r="L9691"/>
    </row>
    <row r="9692" spans="1:12" x14ac:dyDescent="0.25">
      <c r="A9692" s="16"/>
      <c r="D9692" s="16"/>
      <c r="F9692" s="16"/>
      <c r="G9692" s="16"/>
      <c r="H9692" s="24"/>
      <c r="I9692" s="24"/>
      <c r="L9692"/>
    </row>
    <row r="9693" spans="1:12" x14ac:dyDescent="0.25">
      <c r="A9693" s="16"/>
      <c r="D9693" s="16"/>
      <c r="F9693" s="16"/>
      <c r="G9693" s="16"/>
      <c r="H9693" s="24"/>
      <c r="I9693" s="24"/>
      <c r="L9693"/>
    </row>
    <row r="9694" spans="1:12" x14ac:dyDescent="0.25">
      <c r="A9694" s="16"/>
      <c r="D9694" s="16"/>
      <c r="F9694" s="16"/>
      <c r="G9694" s="16"/>
      <c r="H9694" s="24"/>
      <c r="I9694" s="24"/>
      <c r="L9694"/>
    </row>
    <row r="9695" spans="1:12" x14ac:dyDescent="0.25">
      <c r="A9695" s="16"/>
      <c r="D9695" s="16"/>
      <c r="F9695" s="16"/>
      <c r="G9695" s="16"/>
      <c r="H9695" s="24"/>
      <c r="I9695" s="24"/>
      <c r="L9695"/>
    </row>
    <row r="9696" spans="1:12" x14ac:dyDescent="0.25">
      <c r="A9696" s="16"/>
      <c r="D9696" s="16"/>
      <c r="F9696" s="16"/>
      <c r="G9696" s="16"/>
      <c r="H9696" s="24"/>
      <c r="I9696" s="24"/>
      <c r="L9696"/>
    </row>
    <row r="9697" spans="1:12" x14ac:dyDescent="0.25">
      <c r="A9697" s="16"/>
      <c r="D9697" s="16"/>
      <c r="F9697" s="16"/>
      <c r="G9697" s="16"/>
      <c r="H9697" s="24"/>
      <c r="I9697" s="24"/>
      <c r="L9697"/>
    </row>
    <row r="9698" spans="1:12" x14ac:dyDescent="0.25">
      <c r="A9698" s="16"/>
      <c r="D9698" s="16"/>
      <c r="F9698" s="16"/>
      <c r="G9698" s="16"/>
      <c r="H9698" s="24"/>
      <c r="I9698" s="24"/>
      <c r="L9698"/>
    </row>
    <row r="9699" spans="1:12" x14ac:dyDescent="0.25">
      <c r="A9699" s="16"/>
      <c r="D9699" s="16"/>
      <c r="F9699" s="16"/>
      <c r="G9699" s="16"/>
      <c r="H9699" s="24"/>
      <c r="I9699" s="24"/>
      <c r="L9699"/>
    </row>
    <row r="9700" spans="1:12" x14ac:dyDescent="0.25">
      <c r="A9700" s="16"/>
      <c r="D9700" s="16"/>
      <c r="F9700" s="16"/>
      <c r="G9700" s="16"/>
      <c r="H9700" s="24"/>
      <c r="I9700" s="24"/>
      <c r="L9700"/>
    </row>
    <row r="9701" spans="1:12" x14ac:dyDescent="0.25">
      <c r="A9701" s="16"/>
      <c r="D9701" s="16"/>
      <c r="F9701" s="16"/>
      <c r="G9701" s="16"/>
      <c r="H9701" s="24"/>
      <c r="I9701" s="24"/>
      <c r="L9701"/>
    </row>
    <row r="9702" spans="1:12" x14ac:dyDescent="0.25">
      <c r="A9702" s="16"/>
      <c r="D9702" s="16"/>
      <c r="F9702" s="16"/>
      <c r="G9702" s="16"/>
      <c r="H9702" s="24"/>
      <c r="I9702" s="24"/>
      <c r="L9702"/>
    </row>
    <row r="9703" spans="1:12" x14ac:dyDescent="0.25">
      <c r="A9703" s="16"/>
      <c r="D9703" s="16"/>
      <c r="F9703" s="16"/>
      <c r="G9703" s="16"/>
      <c r="H9703" s="24"/>
      <c r="I9703" s="24"/>
      <c r="L9703"/>
    </row>
    <row r="9704" spans="1:12" x14ac:dyDescent="0.25">
      <c r="A9704" s="16"/>
      <c r="D9704" s="16"/>
      <c r="F9704" s="16"/>
      <c r="G9704" s="16"/>
      <c r="H9704" s="24"/>
      <c r="I9704" s="24"/>
      <c r="L9704"/>
    </row>
    <row r="9705" spans="1:12" x14ac:dyDescent="0.25">
      <c r="A9705" s="16"/>
      <c r="D9705" s="16"/>
      <c r="F9705" s="16"/>
      <c r="G9705" s="16"/>
      <c r="H9705" s="24"/>
      <c r="I9705" s="24"/>
      <c r="L9705"/>
    </row>
    <row r="9706" spans="1:12" x14ac:dyDescent="0.25">
      <c r="A9706" s="16"/>
      <c r="D9706" s="16"/>
      <c r="F9706" s="16"/>
      <c r="G9706" s="16"/>
      <c r="H9706" s="24"/>
      <c r="I9706" s="24"/>
      <c r="L9706"/>
    </row>
    <row r="9707" spans="1:12" x14ac:dyDescent="0.25">
      <c r="A9707" s="16"/>
      <c r="D9707" s="16"/>
      <c r="F9707" s="16"/>
      <c r="G9707" s="16"/>
      <c r="H9707" s="24"/>
      <c r="I9707" s="24"/>
      <c r="L9707"/>
    </row>
    <row r="9708" spans="1:12" x14ac:dyDescent="0.25">
      <c r="A9708" s="16"/>
      <c r="D9708" s="16"/>
      <c r="F9708" s="16"/>
      <c r="G9708" s="16"/>
      <c r="H9708" s="24"/>
      <c r="I9708" s="24"/>
      <c r="L9708"/>
    </row>
    <row r="9709" spans="1:12" x14ac:dyDescent="0.25">
      <c r="A9709" s="16"/>
      <c r="D9709" s="16"/>
      <c r="F9709" s="16"/>
      <c r="G9709" s="16"/>
      <c r="H9709" s="24"/>
      <c r="I9709" s="24"/>
      <c r="L9709"/>
    </row>
    <row r="9710" spans="1:12" x14ac:dyDescent="0.25">
      <c r="A9710" s="16"/>
      <c r="D9710" s="16"/>
      <c r="F9710" s="16"/>
      <c r="G9710" s="16"/>
      <c r="H9710" s="24"/>
      <c r="I9710" s="24"/>
      <c r="L9710"/>
    </row>
    <row r="9711" spans="1:12" x14ac:dyDescent="0.25">
      <c r="A9711" s="16"/>
      <c r="D9711" s="16"/>
      <c r="F9711" s="16"/>
      <c r="G9711" s="16"/>
      <c r="H9711" s="24"/>
      <c r="I9711" s="24"/>
      <c r="L9711"/>
    </row>
    <row r="9712" spans="1:12" x14ac:dyDescent="0.25">
      <c r="A9712" s="16"/>
      <c r="D9712" s="16"/>
      <c r="F9712" s="16"/>
      <c r="G9712" s="16"/>
      <c r="H9712" s="24"/>
      <c r="I9712" s="24"/>
      <c r="L9712"/>
    </row>
    <row r="9713" spans="1:12" x14ac:dyDescent="0.25">
      <c r="A9713" s="16"/>
      <c r="D9713" s="16"/>
      <c r="F9713" s="16"/>
      <c r="G9713" s="16"/>
      <c r="H9713" s="24"/>
      <c r="I9713" s="24"/>
      <c r="L9713"/>
    </row>
    <row r="9714" spans="1:12" x14ac:dyDescent="0.25">
      <c r="A9714" s="16"/>
      <c r="D9714" s="16"/>
      <c r="F9714" s="16"/>
      <c r="G9714" s="16"/>
      <c r="H9714" s="24"/>
      <c r="I9714" s="24"/>
      <c r="L9714"/>
    </row>
    <row r="9715" spans="1:12" x14ac:dyDescent="0.25">
      <c r="A9715" s="16"/>
      <c r="D9715" s="16"/>
      <c r="F9715" s="16"/>
      <c r="G9715" s="16"/>
      <c r="H9715" s="24"/>
      <c r="I9715" s="24"/>
      <c r="L9715"/>
    </row>
    <row r="9716" spans="1:12" x14ac:dyDescent="0.25">
      <c r="A9716" s="16"/>
      <c r="D9716" s="16"/>
      <c r="F9716" s="16"/>
      <c r="G9716" s="16"/>
      <c r="H9716" s="24"/>
      <c r="I9716" s="24"/>
      <c r="L9716"/>
    </row>
    <row r="9717" spans="1:12" x14ac:dyDescent="0.25">
      <c r="A9717" s="16"/>
      <c r="D9717" s="16"/>
      <c r="F9717" s="16"/>
      <c r="G9717" s="16"/>
      <c r="H9717" s="24"/>
      <c r="I9717" s="24"/>
      <c r="L9717"/>
    </row>
    <row r="9718" spans="1:12" x14ac:dyDescent="0.25">
      <c r="A9718" s="16"/>
      <c r="D9718" s="16"/>
      <c r="F9718" s="16"/>
      <c r="G9718" s="16"/>
      <c r="H9718" s="24"/>
      <c r="I9718" s="24"/>
      <c r="L9718"/>
    </row>
    <row r="9719" spans="1:12" x14ac:dyDescent="0.25">
      <c r="A9719" s="16"/>
      <c r="D9719" s="16"/>
      <c r="F9719" s="16"/>
      <c r="G9719" s="16"/>
      <c r="H9719" s="24"/>
      <c r="I9719" s="24"/>
      <c r="L9719"/>
    </row>
    <row r="9720" spans="1:12" x14ac:dyDescent="0.25">
      <c r="A9720" s="16"/>
      <c r="D9720" s="16"/>
      <c r="F9720" s="16"/>
      <c r="G9720" s="16"/>
      <c r="H9720" s="24"/>
      <c r="I9720" s="24"/>
      <c r="L9720"/>
    </row>
    <row r="9721" spans="1:12" x14ac:dyDescent="0.25">
      <c r="A9721" s="16"/>
      <c r="D9721" s="16"/>
      <c r="F9721" s="16"/>
      <c r="G9721" s="16"/>
      <c r="H9721" s="24"/>
      <c r="I9721" s="24"/>
      <c r="L9721"/>
    </row>
    <row r="9722" spans="1:12" x14ac:dyDescent="0.25">
      <c r="A9722" s="16"/>
      <c r="D9722" s="16"/>
      <c r="F9722" s="16"/>
      <c r="G9722" s="16"/>
      <c r="H9722" s="24"/>
      <c r="I9722" s="24"/>
      <c r="L9722"/>
    </row>
    <row r="9723" spans="1:12" x14ac:dyDescent="0.25">
      <c r="A9723" s="16"/>
      <c r="D9723" s="16"/>
      <c r="F9723" s="16"/>
      <c r="G9723" s="16"/>
      <c r="H9723" s="24"/>
      <c r="I9723" s="24"/>
      <c r="L9723"/>
    </row>
    <row r="9724" spans="1:12" x14ac:dyDescent="0.25">
      <c r="A9724" s="16"/>
      <c r="D9724" s="16"/>
      <c r="F9724" s="16"/>
      <c r="G9724" s="16"/>
      <c r="H9724" s="24"/>
      <c r="I9724" s="24"/>
      <c r="L9724"/>
    </row>
    <row r="9725" spans="1:12" x14ac:dyDescent="0.25">
      <c r="A9725" s="16"/>
      <c r="D9725" s="16"/>
      <c r="F9725" s="16"/>
      <c r="G9725" s="16"/>
      <c r="H9725" s="24"/>
      <c r="I9725" s="24"/>
      <c r="L9725"/>
    </row>
    <row r="9726" spans="1:12" x14ac:dyDescent="0.25">
      <c r="A9726" s="16"/>
      <c r="D9726" s="16"/>
      <c r="F9726" s="16"/>
      <c r="G9726" s="16"/>
      <c r="H9726" s="24"/>
      <c r="I9726" s="24"/>
      <c r="L9726"/>
    </row>
    <row r="9727" spans="1:12" x14ac:dyDescent="0.25">
      <c r="A9727" s="16"/>
      <c r="D9727" s="16"/>
      <c r="F9727" s="16"/>
      <c r="G9727" s="16"/>
      <c r="H9727" s="24"/>
      <c r="I9727" s="24"/>
      <c r="L9727"/>
    </row>
    <row r="9728" spans="1:12" x14ac:dyDescent="0.25">
      <c r="A9728" s="16"/>
      <c r="D9728" s="16"/>
      <c r="F9728" s="16"/>
      <c r="G9728" s="16"/>
      <c r="H9728" s="24"/>
      <c r="I9728" s="24"/>
      <c r="L9728"/>
    </row>
    <row r="9729" spans="1:12" x14ac:dyDescent="0.25">
      <c r="A9729" s="16"/>
      <c r="D9729" s="16"/>
      <c r="F9729" s="16"/>
      <c r="G9729" s="16"/>
      <c r="H9729" s="24"/>
      <c r="I9729" s="24"/>
      <c r="L9729"/>
    </row>
    <row r="9730" spans="1:12" x14ac:dyDescent="0.25">
      <c r="A9730" s="16"/>
      <c r="D9730" s="16"/>
      <c r="F9730" s="16"/>
      <c r="G9730" s="16"/>
      <c r="H9730" s="24"/>
      <c r="I9730" s="24"/>
      <c r="L9730"/>
    </row>
    <row r="9731" spans="1:12" x14ac:dyDescent="0.25">
      <c r="A9731" s="16"/>
      <c r="D9731" s="16"/>
      <c r="F9731" s="16"/>
      <c r="G9731" s="16"/>
      <c r="H9731" s="24"/>
      <c r="I9731" s="24"/>
      <c r="L9731"/>
    </row>
    <row r="9732" spans="1:12" x14ac:dyDescent="0.25">
      <c r="A9732" s="16"/>
      <c r="D9732" s="16"/>
      <c r="F9732" s="16"/>
      <c r="G9732" s="16"/>
      <c r="H9732" s="24"/>
      <c r="I9732" s="24"/>
      <c r="L9732"/>
    </row>
    <row r="9733" spans="1:12" x14ac:dyDescent="0.25">
      <c r="A9733" s="16"/>
      <c r="D9733" s="16"/>
      <c r="F9733" s="16"/>
      <c r="G9733" s="16"/>
      <c r="H9733" s="24"/>
      <c r="I9733" s="24"/>
      <c r="L9733"/>
    </row>
    <row r="9734" spans="1:12" x14ac:dyDescent="0.25">
      <c r="A9734" s="16"/>
      <c r="D9734" s="16"/>
      <c r="F9734" s="16"/>
      <c r="G9734" s="16"/>
      <c r="H9734" s="24"/>
      <c r="I9734" s="24"/>
      <c r="L9734"/>
    </row>
    <row r="9735" spans="1:12" x14ac:dyDescent="0.25">
      <c r="A9735" s="16"/>
      <c r="D9735" s="16"/>
      <c r="F9735" s="16"/>
      <c r="G9735" s="16"/>
      <c r="H9735" s="24"/>
      <c r="I9735" s="24"/>
      <c r="L9735"/>
    </row>
    <row r="9736" spans="1:12" x14ac:dyDescent="0.25">
      <c r="A9736" s="16"/>
      <c r="D9736" s="16"/>
      <c r="F9736" s="16"/>
      <c r="G9736" s="16"/>
      <c r="H9736" s="24"/>
      <c r="I9736" s="24"/>
      <c r="L9736"/>
    </row>
    <row r="9737" spans="1:12" x14ac:dyDescent="0.25">
      <c r="A9737" s="16"/>
      <c r="D9737" s="16"/>
      <c r="F9737" s="16"/>
      <c r="G9737" s="16"/>
      <c r="H9737" s="24"/>
      <c r="I9737" s="24"/>
      <c r="L9737"/>
    </row>
    <row r="9738" spans="1:12" x14ac:dyDescent="0.25">
      <c r="A9738" s="16"/>
      <c r="D9738" s="16"/>
      <c r="F9738" s="16"/>
      <c r="G9738" s="16"/>
      <c r="H9738" s="24"/>
      <c r="I9738" s="24"/>
      <c r="L9738"/>
    </row>
    <row r="9739" spans="1:12" x14ac:dyDescent="0.25">
      <c r="A9739" s="16"/>
      <c r="D9739" s="16"/>
      <c r="F9739" s="16"/>
      <c r="G9739" s="16"/>
      <c r="H9739" s="24"/>
      <c r="I9739" s="24"/>
      <c r="L9739"/>
    </row>
    <row r="9740" spans="1:12" x14ac:dyDescent="0.25">
      <c r="A9740" s="16"/>
      <c r="D9740" s="16"/>
      <c r="F9740" s="16"/>
      <c r="G9740" s="16"/>
      <c r="H9740" s="24"/>
      <c r="I9740" s="24"/>
      <c r="L9740"/>
    </row>
    <row r="9741" spans="1:12" x14ac:dyDescent="0.25">
      <c r="A9741" s="16"/>
      <c r="D9741" s="16"/>
      <c r="F9741" s="16"/>
      <c r="G9741" s="16"/>
      <c r="H9741" s="24"/>
      <c r="I9741" s="24"/>
      <c r="L9741"/>
    </row>
    <row r="9742" spans="1:12" x14ac:dyDescent="0.25">
      <c r="A9742" s="16"/>
      <c r="D9742" s="16"/>
      <c r="F9742" s="16"/>
      <c r="G9742" s="16"/>
      <c r="H9742" s="24"/>
      <c r="I9742" s="24"/>
      <c r="L9742"/>
    </row>
    <row r="9743" spans="1:12" x14ac:dyDescent="0.25">
      <c r="A9743" s="16"/>
      <c r="D9743" s="16"/>
      <c r="F9743" s="16"/>
      <c r="G9743" s="16"/>
      <c r="H9743" s="24"/>
      <c r="I9743" s="24"/>
      <c r="L9743"/>
    </row>
    <row r="9744" spans="1:12" x14ac:dyDescent="0.25">
      <c r="A9744" s="16"/>
      <c r="D9744" s="16"/>
      <c r="F9744" s="16"/>
      <c r="G9744" s="16"/>
      <c r="H9744" s="24"/>
      <c r="I9744" s="24"/>
      <c r="L9744"/>
    </row>
    <row r="9745" spans="1:12" x14ac:dyDescent="0.25">
      <c r="A9745" s="16"/>
      <c r="D9745" s="16"/>
      <c r="F9745" s="16"/>
      <c r="G9745" s="16"/>
      <c r="H9745" s="24"/>
      <c r="I9745" s="24"/>
      <c r="L9745"/>
    </row>
    <row r="9746" spans="1:12" x14ac:dyDescent="0.25">
      <c r="A9746" s="16"/>
      <c r="D9746" s="16"/>
      <c r="F9746" s="16"/>
      <c r="G9746" s="16"/>
      <c r="H9746" s="24"/>
      <c r="I9746" s="24"/>
      <c r="L9746"/>
    </row>
    <row r="9747" spans="1:12" x14ac:dyDescent="0.25">
      <c r="A9747" s="16"/>
      <c r="D9747" s="16"/>
      <c r="F9747" s="16"/>
      <c r="G9747" s="16"/>
      <c r="H9747" s="24"/>
      <c r="I9747" s="24"/>
      <c r="L9747"/>
    </row>
    <row r="9748" spans="1:12" x14ac:dyDescent="0.25">
      <c r="A9748" s="16"/>
      <c r="D9748" s="16"/>
      <c r="F9748" s="16"/>
      <c r="G9748" s="16"/>
      <c r="H9748" s="24"/>
      <c r="I9748" s="24"/>
      <c r="L9748"/>
    </row>
    <row r="9749" spans="1:12" x14ac:dyDescent="0.25">
      <c r="A9749" s="16"/>
      <c r="D9749" s="16"/>
      <c r="F9749" s="16"/>
      <c r="G9749" s="16"/>
      <c r="H9749" s="24"/>
      <c r="I9749" s="24"/>
      <c r="L9749"/>
    </row>
    <row r="9750" spans="1:12" x14ac:dyDescent="0.25">
      <c r="A9750" s="16"/>
      <c r="D9750" s="16"/>
      <c r="F9750" s="16"/>
      <c r="G9750" s="16"/>
      <c r="H9750" s="24"/>
      <c r="I9750" s="24"/>
      <c r="L9750"/>
    </row>
    <row r="9751" spans="1:12" x14ac:dyDescent="0.25">
      <c r="A9751" s="16"/>
      <c r="D9751" s="16"/>
      <c r="F9751" s="16"/>
      <c r="G9751" s="16"/>
      <c r="H9751" s="24"/>
      <c r="I9751" s="24"/>
      <c r="L9751"/>
    </row>
    <row r="9752" spans="1:12" x14ac:dyDescent="0.25">
      <c r="A9752" s="16"/>
      <c r="D9752" s="16"/>
      <c r="F9752" s="16"/>
      <c r="G9752" s="16"/>
      <c r="H9752" s="24"/>
      <c r="I9752" s="24"/>
      <c r="L9752"/>
    </row>
    <row r="9753" spans="1:12" x14ac:dyDescent="0.25">
      <c r="A9753" s="16"/>
      <c r="D9753" s="16"/>
      <c r="F9753" s="16"/>
      <c r="G9753" s="16"/>
      <c r="H9753" s="24"/>
      <c r="I9753" s="24"/>
      <c r="L9753"/>
    </row>
    <row r="9754" spans="1:12" x14ac:dyDescent="0.25">
      <c r="A9754" s="16"/>
      <c r="D9754" s="16"/>
      <c r="F9754" s="16"/>
      <c r="G9754" s="16"/>
      <c r="H9754" s="24"/>
      <c r="I9754" s="24"/>
      <c r="L9754"/>
    </row>
    <row r="9755" spans="1:12" x14ac:dyDescent="0.25">
      <c r="A9755" s="16"/>
      <c r="D9755" s="16"/>
      <c r="F9755" s="16"/>
      <c r="G9755" s="16"/>
      <c r="H9755" s="24"/>
      <c r="I9755" s="24"/>
      <c r="L9755"/>
    </row>
    <row r="9756" spans="1:12" x14ac:dyDescent="0.25">
      <c r="A9756" s="16"/>
      <c r="D9756" s="16"/>
      <c r="F9756" s="16"/>
      <c r="G9756" s="16"/>
      <c r="H9756" s="24"/>
      <c r="I9756" s="24"/>
      <c r="L9756"/>
    </row>
    <row r="9757" spans="1:12" x14ac:dyDescent="0.25">
      <c r="A9757" s="16"/>
      <c r="D9757" s="16"/>
      <c r="F9757" s="16"/>
      <c r="G9757" s="16"/>
      <c r="H9757" s="24"/>
      <c r="I9757" s="24"/>
      <c r="L9757"/>
    </row>
    <row r="9758" spans="1:12" x14ac:dyDescent="0.25">
      <c r="A9758" s="16"/>
      <c r="D9758" s="16"/>
      <c r="F9758" s="16"/>
      <c r="G9758" s="16"/>
      <c r="H9758" s="24"/>
      <c r="I9758" s="24"/>
      <c r="L9758"/>
    </row>
    <row r="9759" spans="1:12" x14ac:dyDescent="0.25">
      <c r="A9759" s="16"/>
      <c r="D9759" s="16"/>
      <c r="F9759" s="16"/>
      <c r="G9759" s="16"/>
      <c r="H9759" s="24"/>
      <c r="I9759" s="24"/>
      <c r="L9759"/>
    </row>
    <row r="9760" spans="1:12" x14ac:dyDescent="0.25">
      <c r="A9760" s="16"/>
      <c r="D9760" s="16"/>
      <c r="F9760" s="16"/>
      <c r="G9760" s="16"/>
      <c r="H9760" s="24"/>
      <c r="I9760" s="24"/>
      <c r="L9760"/>
    </row>
    <row r="9761" spans="1:12" x14ac:dyDescent="0.25">
      <c r="A9761" s="16"/>
      <c r="D9761" s="16"/>
      <c r="F9761" s="16"/>
      <c r="G9761" s="16"/>
      <c r="H9761" s="24"/>
      <c r="I9761" s="24"/>
      <c r="L9761"/>
    </row>
    <row r="9762" spans="1:12" x14ac:dyDescent="0.25">
      <c r="A9762" s="16"/>
      <c r="D9762" s="16"/>
      <c r="F9762" s="16"/>
      <c r="G9762" s="16"/>
      <c r="H9762" s="24"/>
      <c r="I9762" s="24"/>
      <c r="L9762"/>
    </row>
    <row r="9763" spans="1:12" x14ac:dyDescent="0.25">
      <c r="A9763" s="16"/>
      <c r="D9763" s="16"/>
      <c r="F9763" s="16"/>
      <c r="G9763" s="16"/>
      <c r="H9763" s="24"/>
      <c r="I9763" s="24"/>
      <c r="L9763"/>
    </row>
    <row r="9764" spans="1:12" x14ac:dyDescent="0.25">
      <c r="A9764" s="16"/>
      <c r="D9764" s="16"/>
      <c r="F9764" s="16"/>
      <c r="G9764" s="16"/>
      <c r="H9764" s="24"/>
      <c r="I9764" s="24"/>
      <c r="L9764"/>
    </row>
    <row r="9765" spans="1:12" x14ac:dyDescent="0.25">
      <c r="A9765" s="16"/>
      <c r="D9765" s="16"/>
      <c r="F9765" s="16"/>
      <c r="G9765" s="16"/>
      <c r="H9765" s="24"/>
      <c r="I9765" s="24"/>
      <c r="L9765"/>
    </row>
    <row r="9766" spans="1:12" x14ac:dyDescent="0.25">
      <c r="A9766" s="16"/>
      <c r="D9766" s="16"/>
      <c r="F9766" s="16"/>
      <c r="G9766" s="16"/>
      <c r="H9766" s="24"/>
      <c r="I9766" s="24"/>
      <c r="L9766"/>
    </row>
    <row r="9767" spans="1:12" x14ac:dyDescent="0.25">
      <c r="A9767" s="16"/>
      <c r="D9767" s="16"/>
      <c r="F9767" s="16"/>
      <c r="G9767" s="16"/>
      <c r="H9767" s="24"/>
      <c r="I9767" s="24"/>
      <c r="L9767"/>
    </row>
    <row r="9768" spans="1:12" x14ac:dyDescent="0.25">
      <c r="A9768" s="16"/>
      <c r="D9768" s="16"/>
      <c r="F9768" s="16"/>
      <c r="G9768" s="16"/>
      <c r="H9768" s="24"/>
      <c r="I9768" s="24"/>
      <c r="L9768"/>
    </row>
    <row r="9769" spans="1:12" x14ac:dyDescent="0.25">
      <c r="A9769" s="16"/>
      <c r="D9769" s="16"/>
      <c r="F9769" s="16"/>
      <c r="G9769" s="16"/>
      <c r="H9769" s="24"/>
      <c r="I9769" s="24"/>
      <c r="L9769"/>
    </row>
    <row r="9770" spans="1:12" x14ac:dyDescent="0.25">
      <c r="A9770" s="16"/>
      <c r="D9770" s="16"/>
      <c r="F9770" s="16"/>
      <c r="G9770" s="16"/>
      <c r="H9770" s="24"/>
      <c r="I9770" s="24"/>
      <c r="L9770"/>
    </row>
    <row r="9771" spans="1:12" x14ac:dyDescent="0.25">
      <c r="A9771" s="16"/>
      <c r="D9771" s="16"/>
      <c r="F9771" s="16"/>
      <c r="G9771" s="16"/>
      <c r="H9771" s="24"/>
      <c r="I9771" s="24"/>
      <c r="L9771"/>
    </row>
    <row r="9772" spans="1:12" x14ac:dyDescent="0.25">
      <c r="A9772" s="16"/>
      <c r="D9772" s="16"/>
      <c r="F9772" s="16"/>
      <c r="G9772" s="16"/>
      <c r="H9772" s="24"/>
      <c r="I9772" s="24"/>
      <c r="L9772"/>
    </row>
    <row r="9773" spans="1:12" x14ac:dyDescent="0.25">
      <c r="A9773" s="16"/>
      <c r="D9773" s="16"/>
      <c r="F9773" s="16"/>
      <c r="G9773" s="16"/>
      <c r="H9773" s="24"/>
      <c r="I9773" s="24"/>
      <c r="L9773"/>
    </row>
    <row r="9774" spans="1:12" x14ac:dyDescent="0.25">
      <c r="A9774" s="16"/>
      <c r="D9774" s="16"/>
      <c r="F9774" s="16"/>
      <c r="G9774" s="16"/>
      <c r="H9774" s="24"/>
      <c r="I9774" s="24"/>
      <c r="L9774"/>
    </row>
    <row r="9775" spans="1:12" x14ac:dyDescent="0.25">
      <c r="A9775" s="16"/>
      <c r="D9775" s="16"/>
      <c r="F9775" s="16"/>
      <c r="G9775" s="16"/>
      <c r="H9775" s="24"/>
      <c r="I9775" s="24"/>
      <c r="L9775"/>
    </row>
    <row r="9776" spans="1:12" x14ac:dyDescent="0.25">
      <c r="A9776" s="16"/>
      <c r="D9776" s="16"/>
      <c r="F9776" s="16"/>
      <c r="G9776" s="16"/>
      <c r="H9776" s="24"/>
      <c r="I9776" s="24"/>
      <c r="L9776"/>
    </row>
    <row r="9777" spans="1:12" x14ac:dyDescent="0.25">
      <c r="A9777" s="16"/>
      <c r="D9777" s="16"/>
      <c r="F9777" s="16"/>
      <c r="G9777" s="16"/>
      <c r="H9777" s="24"/>
      <c r="I9777" s="24"/>
      <c r="L9777"/>
    </row>
    <row r="9778" spans="1:12" x14ac:dyDescent="0.25">
      <c r="A9778" s="16"/>
      <c r="D9778" s="16"/>
      <c r="F9778" s="16"/>
      <c r="G9778" s="16"/>
      <c r="H9778" s="24"/>
      <c r="I9778" s="24"/>
      <c r="L9778"/>
    </row>
    <row r="9779" spans="1:12" x14ac:dyDescent="0.25">
      <c r="A9779" s="16"/>
      <c r="D9779" s="16"/>
      <c r="F9779" s="16"/>
      <c r="G9779" s="16"/>
      <c r="H9779" s="24"/>
      <c r="I9779" s="24"/>
      <c r="L9779"/>
    </row>
    <row r="9780" spans="1:12" x14ac:dyDescent="0.25">
      <c r="A9780" s="16"/>
      <c r="D9780" s="16"/>
      <c r="F9780" s="16"/>
      <c r="G9780" s="16"/>
      <c r="H9780" s="24"/>
      <c r="I9780" s="24"/>
      <c r="L9780"/>
    </row>
    <row r="9781" spans="1:12" x14ac:dyDescent="0.25">
      <c r="A9781" s="16"/>
      <c r="D9781" s="16"/>
      <c r="F9781" s="16"/>
      <c r="G9781" s="16"/>
      <c r="H9781" s="24"/>
      <c r="I9781" s="24"/>
      <c r="L9781"/>
    </row>
    <row r="9782" spans="1:12" x14ac:dyDescent="0.25">
      <c r="A9782" s="16"/>
      <c r="D9782" s="16"/>
      <c r="F9782" s="16"/>
      <c r="G9782" s="16"/>
      <c r="H9782" s="24"/>
      <c r="I9782" s="24"/>
      <c r="L9782"/>
    </row>
    <row r="9783" spans="1:12" x14ac:dyDescent="0.25">
      <c r="A9783" s="16"/>
      <c r="D9783" s="16"/>
      <c r="F9783" s="16"/>
      <c r="G9783" s="16"/>
      <c r="H9783" s="24"/>
      <c r="I9783" s="24"/>
      <c r="L9783"/>
    </row>
    <row r="9784" spans="1:12" x14ac:dyDescent="0.25">
      <c r="A9784" s="16"/>
      <c r="D9784" s="16"/>
      <c r="F9784" s="16"/>
      <c r="G9784" s="16"/>
      <c r="H9784" s="24"/>
      <c r="I9784" s="24"/>
      <c r="L9784"/>
    </row>
    <row r="9785" spans="1:12" x14ac:dyDescent="0.25">
      <c r="A9785" s="16"/>
      <c r="D9785" s="16"/>
      <c r="F9785" s="16"/>
      <c r="G9785" s="16"/>
      <c r="H9785" s="24"/>
      <c r="I9785" s="24"/>
      <c r="L9785"/>
    </row>
    <row r="9786" spans="1:12" x14ac:dyDescent="0.25">
      <c r="A9786" s="16"/>
      <c r="D9786" s="16"/>
      <c r="F9786" s="16"/>
      <c r="G9786" s="16"/>
      <c r="H9786" s="24"/>
      <c r="I9786" s="24"/>
      <c r="L9786"/>
    </row>
    <row r="9787" spans="1:12" x14ac:dyDescent="0.25">
      <c r="A9787" s="16"/>
      <c r="D9787" s="16"/>
      <c r="F9787" s="16"/>
      <c r="G9787" s="16"/>
      <c r="H9787" s="24"/>
      <c r="I9787" s="24"/>
      <c r="L9787"/>
    </row>
    <row r="9788" spans="1:12" x14ac:dyDescent="0.25">
      <c r="A9788" s="16"/>
      <c r="D9788" s="16"/>
      <c r="F9788" s="16"/>
      <c r="G9788" s="16"/>
      <c r="H9788" s="24"/>
      <c r="I9788" s="24"/>
      <c r="L9788"/>
    </row>
    <row r="9789" spans="1:12" x14ac:dyDescent="0.25">
      <c r="A9789" s="16"/>
      <c r="D9789" s="16"/>
      <c r="F9789" s="16"/>
      <c r="G9789" s="16"/>
      <c r="H9789" s="24"/>
      <c r="I9789" s="24"/>
      <c r="L9789"/>
    </row>
    <row r="9790" spans="1:12" x14ac:dyDescent="0.25">
      <c r="A9790" s="16"/>
      <c r="D9790" s="16"/>
      <c r="F9790" s="16"/>
      <c r="G9790" s="16"/>
      <c r="H9790" s="24"/>
      <c r="I9790" s="24"/>
      <c r="L9790"/>
    </row>
    <row r="9791" spans="1:12" x14ac:dyDescent="0.25">
      <c r="A9791" s="16"/>
      <c r="D9791" s="16"/>
      <c r="F9791" s="16"/>
      <c r="G9791" s="16"/>
      <c r="H9791" s="24"/>
      <c r="I9791" s="24"/>
      <c r="L9791"/>
    </row>
    <row r="9792" spans="1:12" x14ac:dyDescent="0.25">
      <c r="A9792" s="16"/>
      <c r="D9792" s="16"/>
      <c r="F9792" s="16"/>
      <c r="G9792" s="16"/>
      <c r="H9792" s="24"/>
      <c r="I9792" s="24"/>
      <c r="L9792"/>
    </row>
    <row r="9793" spans="1:12" x14ac:dyDescent="0.25">
      <c r="A9793" s="16"/>
      <c r="D9793" s="16"/>
      <c r="F9793" s="16"/>
      <c r="G9793" s="16"/>
      <c r="H9793" s="24"/>
      <c r="I9793" s="24"/>
      <c r="L9793"/>
    </row>
    <row r="9794" spans="1:12" x14ac:dyDescent="0.25">
      <c r="A9794" s="16"/>
      <c r="D9794" s="16"/>
      <c r="F9794" s="16"/>
      <c r="G9794" s="16"/>
      <c r="H9794" s="24"/>
      <c r="I9794" s="24"/>
      <c r="L9794"/>
    </row>
    <row r="9795" spans="1:12" x14ac:dyDescent="0.25">
      <c r="A9795" s="16"/>
      <c r="D9795" s="16"/>
      <c r="F9795" s="16"/>
      <c r="G9795" s="16"/>
      <c r="H9795" s="24"/>
      <c r="I9795" s="24"/>
      <c r="L9795"/>
    </row>
    <row r="9796" spans="1:12" x14ac:dyDescent="0.25">
      <c r="A9796" s="16"/>
      <c r="D9796" s="16"/>
      <c r="F9796" s="16"/>
      <c r="G9796" s="16"/>
      <c r="H9796" s="24"/>
      <c r="I9796" s="24"/>
      <c r="L9796"/>
    </row>
    <row r="9797" spans="1:12" x14ac:dyDescent="0.25">
      <c r="A9797" s="16"/>
      <c r="D9797" s="16"/>
      <c r="F9797" s="16"/>
      <c r="G9797" s="16"/>
      <c r="H9797" s="24"/>
      <c r="I9797" s="24"/>
      <c r="L9797"/>
    </row>
    <row r="9798" spans="1:12" x14ac:dyDescent="0.25">
      <c r="A9798" s="16"/>
      <c r="D9798" s="16"/>
      <c r="F9798" s="16"/>
      <c r="G9798" s="16"/>
      <c r="H9798" s="24"/>
      <c r="I9798" s="24"/>
      <c r="L9798"/>
    </row>
    <row r="9799" spans="1:12" x14ac:dyDescent="0.25">
      <c r="A9799" s="16"/>
      <c r="D9799" s="16"/>
      <c r="F9799" s="16"/>
      <c r="G9799" s="16"/>
      <c r="H9799" s="24"/>
      <c r="I9799" s="24"/>
      <c r="L9799"/>
    </row>
    <row r="9800" spans="1:12" x14ac:dyDescent="0.25">
      <c r="A9800" s="16"/>
      <c r="D9800" s="16"/>
      <c r="F9800" s="16"/>
      <c r="G9800" s="16"/>
      <c r="H9800" s="24"/>
      <c r="I9800" s="24"/>
      <c r="L9800"/>
    </row>
    <row r="9801" spans="1:12" x14ac:dyDescent="0.25">
      <c r="A9801" s="16"/>
      <c r="D9801" s="16"/>
      <c r="F9801" s="16"/>
      <c r="G9801" s="16"/>
      <c r="H9801" s="24"/>
      <c r="I9801" s="24"/>
      <c r="L9801"/>
    </row>
    <row r="9802" spans="1:12" x14ac:dyDescent="0.25">
      <c r="A9802" s="16"/>
      <c r="D9802" s="16"/>
      <c r="F9802" s="16"/>
      <c r="G9802" s="16"/>
      <c r="H9802" s="24"/>
      <c r="I9802" s="24"/>
      <c r="L9802"/>
    </row>
    <row r="9803" spans="1:12" x14ac:dyDescent="0.25">
      <c r="A9803" s="16"/>
      <c r="D9803" s="16"/>
      <c r="F9803" s="16"/>
      <c r="G9803" s="16"/>
      <c r="H9803" s="24"/>
      <c r="I9803" s="24"/>
      <c r="L9803"/>
    </row>
    <row r="9804" spans="1:12" x14ac:dyDescent="0.25">
      <c r="A9804" s="16"/>
      <c r="D9804" s="16"/>
      <c r="F9804" s="16"/>
      <c r="G9804" s="16"/>
      <c r="H9804" s="24"/>
      <c r="I9804" s="24"/>
      <c r="L9804"/>
    </row>
    <row r="9805" spans="1:12" x14ac:dyDescent="0.25">
      <c r="A9805" s="16"/>
      <c r="D9805" s="16"/>
      <c r="F9805" s="16"/>
      <c r="G9805" s="16"/>
      <c r="H9805" s="24"/>
      <c r="I9805" s="24"/>
      <c r="L9805"/>
    </row>
    <row r="9806" spans="1:12" x14ac:dyDescent="0.25">
      <c r="A9806" s="16"/>
      <c r="D9806" s="16"/>
      <c r="F9806" s="16"/>
      <c r="G9806" s="16"/>
      <c r="H9806" s="24"/>
      <c r="I9806" s="24"/>
      <c r="L9806"/>
    </row>
    <row r="9807" spans="1:12" x14ac:dyDescent="0.25">
      <c r="A9807" s="16"/>
      <c r="D9807" s="16"/>
      <c r="F9807" s="16"/>
      <c r="G9807" s="16"/>
      <c r="H9807" s="24"/>
      <c r="I9807" s="24"/>
      <c r="L9807"/>
    </row>
    <row r="9808" spans="1:12" x14ac:dyDescent="0.25">
      <c r="A9808" s="16"/>
      <c r="D9808" s="16"/>
      <c r="F9808" s="16"/>
      <c r="G9808" s="16"/>
      <c r="H9808" s="24"/>
      <c r="I9808" s="24"/>
      <c r="L9808"/>
    </row>
    <row r="9809" spans="1:12" x14ac:dyDescent="0.25">
      <c r="A9809" s="16"/>
      <c r="D9809" s="16"/>
      <c r="F9809" s="16"/>
      <c r="G9809" s="16"/>
      <c r="H9809" s="24"/>
      <c r="I9809" s="24"/>
      <c r="L9809"/>
    </row>
    <row r="9810" spans="1:12" x14ac:dyDescent="0.25">
      <c r="A9810" s="16"/>
      <c r="D9810" s="16"/>
      <c r="F9810" s="16"/>
      <c r="G9810" s="16"/>
      <c r="H9810" s="24"/>
      <c r="I9810" s="24"/>
      <c r="L9810"/>
    </row>
    <row r="9811" spans="1:12" x14ac:dyDescent="0.25">
      <c r="A9811" s="16"/>
      <c r="D9811" s="16"/>
      <c r="F9811" s="16"/>
      <c r="G9811" s="16"/>
      <c r="H9811" s="24"/>
      <c r="I9811" s="24"/>
      <c r="L9811"/>
    </row>
    <row r="9812" spans="1:12" x14ac:dyDescent="0.25">
      <c r="A9812" s="16"/>
      <c r="D9812" s="16"/>
      <c r="F9812" s="16"/>
      <c r="G9812" s="16"/>
      <c r="H9812" s="24"/>
      <c r="I9812" s="24"/>
      <c r="L9812"/>
    </row>
    <row r="9813" spans="1:12" x14ac:dyDescent="0.25">
      <c r="A9813" s="16"/>
      <c r="D9813" s="16"/>
      <c r="F9813" s="16"/>
      <c r="G9813" s="16"/>
      <c r="H9813" s="24"/>
      <c r="I9813" s="24"/>
      <c r="L9813"/>
    </row>
    <row r="9814" spans="1:12" x14ac:dyDescent="0.25">
      <c r="A9814" s="16"/>
      <c r="D9814" s="16"/>
      <c r="F9814" s="16"/>
      <c r="G9814" s="16"/>
      <c r="H9814" s="24"/>
      <c r="I9814" s="24"/>
      <c r="L9814"/>
    </row>
    <row r="9815" spans="1:12" x14ac:dyDescent="0.25">
      <c r="A9815" s="16"/>
      <c r="D9815" s="16"/>
      <c r="F9815" s="16"/>
      <c r="G9815" s="16"/>
      <c r="H9815" s="24"/>
      <c r="I9815" s="24"/>
      <c r="L9815"/>
    </row>
    <row r="9816" spans="1:12" x14ac:dyDescent="0.25">
      <c r="A9816" s="16"/>
      <c r="D9816" s="16"/>
      <c r="F9816" s="16"/>
      <c r="G9816" s="16"/>
      <c r="H9816" s="24"/>
      <c r="I9816" s="24"/>
      <c r="L9816"/>
    </row>
    <row r="9817" spans="1:12" x14ac:dyDescent="0.25">
      <c r="A9817" s="16"/>
      <c r="D9817" s="16"/>
      <c r="F9817" s="16"/>
      <c r="G9817" s="16"/>
      <c r="H9817" s="24"/>
      <c r="I9817" s="24"/>
      <c r="L9817"/>
    </row>
    <row r="9818" spans="1:12" x14ac:dyDescent="0.25">
      <c r="A9818" s="16"/>
      <c r="D9818" s="16"/>
      <c r="F9818" s="16"/>
      <c r="G9818" s="16"/>
      <c r="H9818" s="24"/>
      <c r="I9818" s="24"/>
      <c r="L9818"/>
    </row>
    <row r="9819" spans="1:12" x14ac:dyDescent="0.25">
      <c r="A9819" s="16"/>
      <c r="D9819" s="16"/>
      <c r="F9819" s="16"/>
      <c r="G9819" s="16"/>
      <c r="H9819" s="24"/>
      <c r="I9819" s="24"/>
      <c r="L9819"/>
    </row>
    <row r="9820" spans="1:12" x14ac:dyDescent="0.25">
      <c r="A9820" s="16"/>
      <c r="D9820" s="16"/>
      <c r="F9820" s="16"/>
      <c r="G9820" s="16"/>
      <c r="H9820" s="24"/>
      <c r="I9820" s="24"/>
      <c r="L9820"/>
    </row>
    <row r="9821" spans="1:12" x14ac:dyDescent="0.25">
      <c r="A9821" s="16"/>
      <c r="D9821" s="16"/>
      <c r="F9821" s="16"/>
      <c r="G9821" s="16"/>
      <c r="H9821" s="24"/>
      <c r="I9821" s="24"/>
      <c r="L9821"/>
    </row>
    <row r="9822" spans="1:12" x14ac:dyDescent="0.25">
      <c r="A9822" s="16"/>
      <c r="D9822" s="16"/>
      <c r="F9822" s="16"/>
      <c r="G9822" s="16"/>
      <c r="H9822" s="24"/>
      <c r="I9822" s="24"/>
      <c r="L9822"/>
    </row>
    <row r="9823" spans="1:12" x14ac:dyDescent="0.25">
      <c r="A9823" s="16"/>
      <c r="D9823" s="16"/>
      <c r="F9823" s="16"/>
      <c r="G9823" s="16"/>
      <c r="H9823" s="24"/>
      <c r="I9823" s="24"/>
      <c r="L9823"/>
    </row>
    <row r="9824" spans="1:12" x14ac:dyDescent="0.25">
      <c r="A9824" s="16"/>
      <c r="D9824" s="16"/>
      <c r="F9824" s="16"/>
      <c r="G9824" s="16"/>
      <c r="H9824" s="24"/>
      <c r="I9824" s="24"/>
      <c r="L9824"/>
    </row>
    <row r="9825" spans="1:12" x14ac:dyDescent="0.25">
      <c r="A9825" s="16"/>
      <c r="D9825" s="16"/>
      <c r="F9825" s="16"/>
      <c r="G9825" s="16"/>
      <c r="H9825" s="24"/>
      <c r="I9825" s="24"/>
      <c r="L9825"/>
    </row>
    <row r="9826" spans="1:12" x14ac:dyDescent="0.25">
      <c r="A9826" s="16"/>
      <c r="D9826" s="16"/>
      <c r="F9826" s="16"/>
      <c r="G9826" s="16"/>
      <c r="H9826" s="24"/>
      <c r="I9826" s="24"/>
      <c r="L9826"/>
    </row>
    <row r="9827" spans="1:12" x14ac:dyDescent="0.25">
      <c r="A9827" s="16"/>
      <c r="D9827" s="16"/>
      <c r="F9827" s="16"/>
      <c r="G9827" s="16"/>
      <c r="H9827" s="24"/>
      <c r="I9827" s="24"/>
      <c r="L9827"/>
    </row>
    <row r="9828" spans="1:12" x14ac:dyDescent="0.25">
      <c r="A9828" s="16"/>
      <c r="D9828" s="16"/>
      <c r="F9828" s="16"/>
      <c r="G9828" s="16"/>
      <c r="H9828" s="24"/>
      <c r="I9828" s="24"/>
      <c r="L9828"/>
    </row>
    <row r="9829" spans="1:12" x14ac:dyDescent="0.25">
      <c r="A9829" s="16"/>
      <c r="D9829" s="16"/>
      <c r="F9829" s="16"/>
      <c r="G9829" s="16"/>
      <c r="H9829" s="24"/>
      <c r="I9829" s="24"/>
      <c r="L9829"/>
    </row>
    <row r="9830" spans="1:12" x14ac:dyDescent="0.25">
      <c r="A9830" s="16"/>
      <c r="D9830" s="16"/>
      <c r="F9830" s="16"/>
      <c r="G9830" s="16"/>
      <c r="H9830" s="24"/>
      <c r="I9830" s="24"/>
      <c r="L9830"/>
    </row>
    <row r="9831" spans="1:12" x14ac:dyDescent="0.25">
      <c r="A9831" s="16"/>
      <c r="D9831" s="16"/>
      <c r="F9831" s="16"/>
      <c r="G9831" s="16"/>
      <c r="H9831" s="24"/>
      <c r="I9831" s="24"/>
      <c r="L9831"/>
    </row>
    <row r="9832" spans="1:12" x14ac:dyDescent="0.25">
      <c r="A9832" s="16"/>
      <c r="D9832" s="16"/>
      <c r="F9832" s="16"/>
      <c r="G9832" s="16"/>
      <c r="H9832" s="24"/>
      <c r="I9832" s="24"/>
      <c r="L9832"/>
    </row>
    <row r="9833" spans="1:12" x14ac:dyDescent="0.25">
      <c r="A9833" s="16"/>
      <c r="D9833" s="16"/>
      <c r="F9833" s="16"/>
      <c r="G9833" s="16"/>
      <c r="H9833" s="24"/>
      <c r="I9833" s="24"/>
      <c r="L9833"/>
    </row>
    <row r="9834" spans="1:12" x14ac:dyDescent="0.25">
      <c r="A9834" s="16"/>
      <c r="D9834" s="16"/>
      <c r="F9834" s="16"/>
      <c r="G9834" s="16"/>
      <c r="H9834" s="24"/>
      <c r="I9834" s="24"/>
      <c r="L9834"/>
    </row>
    <row r="9835" spans="1:12" x14ac:dyDescent="0.25">
      <c r="A9835" s="16"/>
      <c r="D9835" s="16"/>
      <c r="F9835" s="16"/>
      <c r="G9835" s="16"/>
      <c r="H9835" s="24"/>
      <c r="I9835" s="24"/>
      <c r="L9835"/>
    </row>
    <row r="9836" spans="1:12" x14ac:dyDescent="0.25">
      <c r="A9836" s="16"/>
      <c r="D9836" s="16"/>
      <c r="F9836" s="16"/>
      <c r="G9836" s="16"/>
      <c r="H9836" s="24"/>
      <c r="I9836" s="24"/>
      <c r="L9836"/>
    </row>
    <row r="9837" spans="1:12" x14ac:dyDescent="0.25">
      <c r="A9837" s="16"/>
      <c r="D9837" s="16"/>
      <c r="F9837" s="16"/>
      <c r="G9837" s="16"/>
      <c r="H9837" s="24"/>
      <c r="I9837" s="24"/>
      <c r="L9837"/>
    </row>
    <row r="9838" spans="1:12" x14ac:dyDescent="0.25">
      <c r="A9838" s="16"/>
      <c r="D9838" s="16"/>
      <c r="F9838" s="16"/>
      <c r="G9838" s="16"/>
      <c r="H9838" s="24"/>
      <c r="I9838" s="24"/>
      <c r="L9838"/>
    </row>
    <row r="9839" spans="1:12" x14ac:dyDescent="0.25">
      <c r="A9839" s="16"/>
      <c r="D9839" s="16"/>
      <c r="F9839" s="16"/>
      <c r="G9839" s="16"/>
      <c r="H9839" s="24"/>
      <c r="I9839" s="24"/>
      <c r="L9839"/>
    </row>
    <row r="9840" spans="1:12" x14ac:dyDescent="0.25">
      <c r="A9840" s="16"/>
      <c r="D9840" s="16"/>
      <c r="F9840" s="16"/>
      <c r="G9840" s="16"/>
      <c r="H9840" s="24"/>
      <c r="I9840" s="24"/>
      <c r="L9840"/>
    </row>
    <row r="9841" spans="1:12" x14ac:dyDescent="0.25">
      <c r="A9841" s="16"/>
      <c r="D9841" s="16"/>
      <c r="F9841" s="16"/>
      <c r="G9841" s="16"/>
      <c r="H9841" s="24"/>
      <c r="I9841" s="24"/>
      <c r="L9841"/>
    </row>
    <row r="9842" spans="1:12" x14ac:dyDescent="0.25">
      <c r="A9842" s="16"/>
      <c r="D9842" s="16"/>
      <c r="F9842" s="16"/>
      <c r="G9842" s="16"/>
      <c r="H9842" s="24"/>
      <c r="I9842" s="24"/>
      <c r="L9842"/>
    </row>
    <row r="9843" spans="1:12" x14ac:dyDescent="0.25">
      <c r="A9843" s="16"/>
      <c r="D9843" s="16"/>
      <c r="F9843" s="16"/>
      <c r="G9843" s="16"/>
      <c r="H9843" s="24"/>
      <c r="I9843" s="24"/>
      <c r="L9843"/>
    </row>
    <row r="9844" spans="1:12" x14ac:dyDescent="0.25">
      <c r="A9844" s="16"/>
      <c r="D9844" s="16"/>
      <c r="F9844" s="16"/>
      <c r="G9844" s="16"/>
      <c r="H9844" s="24"/>
      <c r="I9844" s="24"/>
      <c r="L9844"/>
    </row>
    <row r="9845" spans="1:12" x14ac:dyDescent="0.25">
      <c r="A9845" s="16"/>
      <c r="D9845" s="16"/>
      <c r="F9845" s="16"/>
      <c r="G9845" s="16"/>
      <c r="H9845" s="24"/>
      <c r="I9845" s="24"/>
      <c r="L9845"/>
    </row>
    <row r="9846" spans="1:12" x14ac:dyDescent="0.25">
      <c r="A9846" s="16"/>
      <c r="D9846" s="16"/>
      <c r="F9846" s="16"/>
      <c r="G9846" s="16"/>
      <c r="H9846" s="24"/>
      <c r="I9846" s="24"/>
      <c r="L9846"/>
    </row>
    <row r="9847" spans="1:12" x14ac:dyDescent="0.25">
      <c r="A9847" s="16"/>
      <c r="D9847" s="16"/>
      <c r="F9847" s="16"/>
      <c r="G9847" s="16"/>
      <c r="H9847" s="24"/>
      <c r="I9847" s="24"/>
      <c r="L9847"/>
    </row>
    <row r="9848" spans="1:12" x14ac:dyDescent="0.25">
      <c r="A9848" s="16"/>
      <c r="D9848" s="16"/>
      <c r="F9848" s="16"/>
      <c r="G9848" s="16"/>
      <c r="H9848" s="24"/>
      <c r="I9848" s="24"/>
      <c r="L9848"/>
    </row>
    <row r="9849" spans="1:12" x14ac:dyDescent="0.25">
      <c r="A9849" s="16"/>
      <c r="D9849" s="16"/>
      <c r="F9849" s="16"/>
      <c r="G9849" s="16"/>
      <c r="H9849" s="24"/>
      <c r="I9849" s="24"/>
      <c r="L9849"/>
    </row>
    <row r="9850" spans="1:12" x14ac:dyDescent="0.25">
      <c r="A9850" s="16"/>
      <c r="D9850" s="16"/>
      <c r="F9850" s="16"/>
      <c r="G9850" s="16"/>
      <c r="H9850" s="24"/>
      <c r="I9850" s="24"/>
      <c r="L9850"/>
    </row>
    <row r="9851" spans="1:12" x14ac:dyDescent="0.25">
      <c r="A9851" s="16"/>
      <c r="D9851" s="16"/>
      <c r="F9851" s="16"/>
      <c r="G9851" s="16"/>
      <c r="H9851" s="24"/>
      <c r="I9851" s="24"/>
      <c r="L9851"/>
    </row>
    <row r="9852" spans="1:12" x14ac:dyDescent="0.25">
      <c r="A9852" s="16"/>
      <c r="D9852" s="16"/>
      <c r="F9852" s="16"/>
      <c r="G9852" s="16"/>
      <c r="H9852" s="24"/>
      <c r="I9852" s="24"/>
      <c r="L9852"/>
    </row>
    <row r="9853" spans="1:12" x14ac:dyDescent="0.25">
      <c r="A9853" s="16"/>
      <c r="D9853" s="16"/>
      <c r="F9853" s="16"/>
      <c r="G9853" s="16"/>
      <c r="H9853" s="24"/>
      <c r="I9853" s="24"/>
      <c r="L9853"/>
    </row>
    <row r="9854" spans="1:12" x14ac:dyDescent="0.25">
      <c r="A9854" s="16"/>
      <c r="D9854" s="16"/>
      <c r="F9854" s="16"/>
      <c r="G9854" s="16"/>
      <c r="H9854" s="24"/>
      <c r="I9854" s="24"/>
      <c r="L9854"/>
    </row>
    <row r="9855" spans="1:12" x14ac:dyDescent="0.25">
      <c r="A9855" s="16"/>
      <c r="D9855" s="16"/>
      <c r="F9855" s="16"/>
      <c r="G9855" s="16"/>
      <c r="H9855" s="24"/>
      <c r="I9855" s="24"/>
      <c r="L9855"/>
    </row>
    <row r="9856" spans="1:12" x14ac:dyDescent="0.25">
      <c r="A9856" s="16"/>
      <c r="D9856" s="16"/>
      <c r="F9856" s="16"/>
      <c r="G9856" s="16"/>
      <c r="H9856" s="24"/>
      <c r="I9856" s="24"/>
      <c r="L9856"/>
    </row>
    <row r="9857" spans="1:12" x14ac:dyDescent="0.25">
      <c r="A9857" s="16"/>
      <c r="D9857" s="16"/>
      <c r="F9857" s="16"/>
      <c r="G9857" s="16"/>
      <c r="H9857" s="24"/>
      <c r="I9857" s="24"/>
      <c r="L9857"/>
    </row>
    <row r="9858" spans="1:12" x14ac:dyDescent="0.25">
      <c r="A9858" s="16"/>
      <c r="D9858" s="16"/>
      <c r="F9858" s="16"/>
      <c r="G9858" s="16"/>
      <c r="H9858" s="24"/>
      <c r="I9858" s="24"/>
      <c r="L9858"/>
    </row>
    <row r="9859" spans="1:12" x14ac:dyDescent="0.25">
      <c r="A9859" s="16"/>
      <c r="D9859" s="16"/>
      <c r="F9859" s="16"/>
      <c r="G9859" s="16"/>
      <c r="H9859" s="24"/>
      <c r="I9859" s="24"/>
      <c r="L9859"/>
    </row>
    <row r="9860" spans="1:12" x14ac:dyDescent="0.25">
      <c r="A9860" s="16"/>
      <c r="D9860" s="16"/>
      <c r="F9860" s="16"/>
      <c r="G9860" s="16"/>
      <c r="H9860" s="24"/>
      <c r="I9860" s="24"/>
      <c r="L9860"/>
    </row>
    <row r="9861" spans="1:12" x14ac:dyDescent="0.25">
      <c r="A9861" s="16"/>
      <c r="D9861" s="16"/>
      <c r="F9861" s="16"/>
      <c r="G9861" s="16"/>
      <c r="H9861" s="24"/>
      <c r="I9861" s="24"/>
      <c r="L9861"/>
    </row>
    <row r="9862" spans="1:12" x14ac:dyDescent="0.25">
      <c r="A9862" s="16"/>
      <c r="D9862" s="16"/>
      <c r="F9862" s="16"/>
      <c r="G9862" s="16"/>
      <c r="H9862" s="24"/>
      <c r="I9862" s="24"/>
      <c r="L9862"/>
    </row>
    <row r="9863" spans="1:12" x14ac:dyDescent="0.25">
      <c r="A9863" s="16"/>
      <c r="D9863" s="16"/>
      <c r="F9863" s="16"/>
      <c r="G9863" s="16"/>
      <c r="H9863" s="24"/>
      <c r="I9863" s="24"/>
      <c r="L9863"/>
    </row>
    <row r="9864" spans="1:12" x14ac:dyDescent="0.25">
      <c r="A9864" s="16"/>
      <c r="D9864" s="16"/>
      <c r="F9864" s="16"/>
      <c r="G9864" s="16"/>
      <c r="H9864" s="24"/>
      <c r="I9864" s="24"/>
      <c r="L9864"/>
    </row>
    <row r="9865" spans="1:12" x14ac:dyDescent="0.25">
      <c r="A9865" s="16"/>
      <c r="D9865" s="16"/>
      <c r="F9865" s="16"/>
      <c r="G9865" s="16"/>
      <c r="H9865" s="24"/>
      <c r="I9865" s="24"/>
      <c r="L9865"/>
    </row>
    <row r="9866" spans="1:12" x14ac:dyDescent="0.25">
      <c r="A9866" s="16"/>
      <c r="D9866" s="16"/>
      <c r="F9866" s="16"/>
      <c r="G9866" s="16"/>
      <c r="H9866" s="24"/>
      <c r="I9866" s="24"/>
      <c r="L9866"/>
    </row>
    <row r="9867" spans="1:12" x14ac:dyDescent="0.25">
      <c r="A9867" s="16"/>
      <c r="D9867" s="16"/>
      <c r="F9867" s="16"/>
      <c r="G9867" s="16"/>
      <c r="H9867" s="24"/>
      <c r="I9867" s="24"/>
      <c r="L9867"/>
    </row>
    <row r="9868" spans="1:12" x14ac:dyDescent="0.25">
      <c r="A9868" s="16"/>
      <c r="D9868" s="16"/>
      <c r="F9868" s="16"/>
      <c r="G9868" s="16"/>
      <c r="H9868" s="24"/>
      <c r="I9868" s="24"/>
      <c r="L9868"/>
    </row>
    <row r="9869" spans="1:12" x14ac:dyDescent="0.25">
      <c r="A9869" s="16"/>
      <c r="D9869" s="16"/>
      <c r="F9869" s="16"/>
      <c r="G9869" s="16"/>
      <c r="H9869" s="24"/>
      <c r="I9869" s="24"/>
      <c r="L9869"/>
    </row>
    <row r="9870" spans="1:12" x14ac:dyDescent="0.25">
      <c r="A9870" s="16"/>
      <c r="D9870" s="16"/>
      <c r="F9870" s="16"/>
      <c r="G9870" s="16"/>
      <c r="H9870" s="24"/>
      <c r="I9870" s="24"/>
      <c r="L9870"/>
    </row>
    <row r="9871" spans="1:12" x14ac:dyDescent="0.25">
      <c r="A9871" s="16"/>
      <c r="D9871" s="16"/>
      <c r="F9871" s="16"/>
      <c r="G9871" s="16"/>
      <c r="H9871" s="24"/>
      <c r="I9871" s="24"/>
      <c r="L9871"/>
    </row>
    <row r="9872" spans="1:12" x14ac:dyDescent="0.25">
      <c r="A9872" s="16"/>
      <c r="D9872" s="16"/>
      <c r="F9872" s="16"/>
      <c r="G9872" s="16"/>
      <c r="H9872" s="24"/>
      <c r="I9872" s="24"/>
      <c r="L9872"/>
    </row>
    <row r="9873" spans="1:12" x14ac:dyDescent="0.25">
      <c r="A9873" s="16"/>
      <c r="D9873" s="16"/>
      <c r="F9873" s="16"/>
      <c r="G9873" s="16"/>
      <c r="H9873" s="24"/>
      <c r="I9873" s="24"/>
      <c r="L9873"/>
    </row>
    <row r="9874" spans="1:12" x14ac:dyDescent="0.25">
      <c r="A9874" s="16"/>
      <c r="D9874" s="16"/>
      <c r="F9874" s="16"/>
      <c r="G9874" s="16"/>
      <c r="H9874" s="24"/>
      <c r="I9874" s="24"/>
      <c r="L9874"/>
    </row>
    <row r="9875" spans="1:12" x14ac:dyDescent="0.25">
      <c r="A9875" s="16"/>
      <c r="D9875" s="16"/>
      <c r="F9875" s="16"/>
      <c r="G9875" s="16"/>
      <c r="H9875" s="24"/>
      <c r="I9875" s="24"/>
      <c r="L9875"/>
    </row>
    <row r="9876" spans="1:12" x14ac:dyDescent="0.25">
      <c r="A9876" s="16"/>
      <c r="D9876" s="16"/>
      <c r="F9876" s="16"/>
      <c r="G9876" s="16"/>
      <c r="H9876" s="24"/>
      <c r="I9876" s="24"/>
      <c r="L9876"/>
    </row>
    <row r="9877" spans="1:12" x14ac:dyDescent="0.25">
      <c r="A9877" s="16"/>
      <c r="D9877" s="16"/>
      <c r="F9877" s="16"/>
      <c r="G9877" s="16"/>
      <c r="H9877" s="24"/>
      <c r="I9877" s="24"/>
      <c r="L9877"/>
    </row>
    <row r="9878" spans="1:12" x14ac:dyDescent="0.25">
      <c r="A9878" s="16"/>
      <c r="D9878" s="16"/>
      <c r="F9878" s="16"/>
      <c r="G9878" s="16"/>
      <c r="H9878" s="24"/>
      <c r="I9878" s="24"/>
      <c r="L9878"/>
    </row>
    <row r="9879" spans="1:12" x14ac:dyDescent="0.25">
      <c r="A9879" s="16"/>
      <c r="D9879" s="16"/>
      <c r="F9879" s="16"/>
      <c r="G9879" s="16"/>
      <c r="H9879" s="24"/>
      <c r="I9879" s="24"/>
      <c r="L9879"/>
    </row>
    <row r="9880" spans="1:12" x14ac:dyDescent="0.25">
      <c r="A9880" s="16"/>
      <c r="D9880" s="16"/>
      <c r="F9880" s="16"/>
      <c r="G9880" s="16"/>
      <c r="H9880" s="24"/>
      <c r="I9880" s="24"/>
      <c r="L9880"/>
    </row>
    <row r="9881" spans="1:12" x14ac:dyDescent="0.25">
      <c r="A9881" s="16"/>
      <c r="D9881" s="16"/>
      <c r="F9881" s="16"/>
      <c r="G9881" s="16"/>
      <c r="H9881" s="24"/>
      <c r="I9881" s="24"/>
      <c r="L9881"/>
    </row>
    <row r="9882" spans="1:12" x14ac:dyDescent="0.25">
      <c r="A9882" s="16"/>
      <c r="D9882" s="16"/>
      <c r="F9882" s="16"/>
      <c r="G9882" s="16"/>
      <c r="H9882" s="24"/>
      <c r="I9882" s="24"/>
      <c r="L9882"/>
    </row>
    <row r="9883" spans="1:12" x14ac:dyDescent="0.25">
      <c r="A9883" s="16"/>
      <c r="D9883" s="16"/>
      <c r="F9883" s="16"/>
      <c r="G9883" s="16"/>
      <c r="H9883" s="24"/>
      <c r="I9883" s="24"/>
      <c r="L9883"/>
    </row>
    <row r="9884" spans="1:12" x14ac:dyDescent="0.25">
      <c r="A9884" s="16"/>
      <c r="D9884" s="16"/>
      <c r="F9884" s="16"/>
      <c r="G9884" s="16"/>
      <c r="H9884" s="24"/>
      <c r="I9884" s="24"/>
      <c r="L9884"/>
    </row>
    <row r="9885" spans="1:12" x14ac:dyDescent="0.25">
      <c r="A9885" s="16"/>
      <c r="D9885" s="16"/>
      <c r="F9885" s="16"/>
      <c r="G9885" s="16"/>
      <c r="H9885" s="24"/>
      <c r="I9885" s="24"/>
      <c r="L9885"/>
    </row>
    <row r="9886" spans="1:12" x14ac:dyDescent="0.25">
      <c r="A9886" s="16"/>
      <c r="D9886" s="16"/>
      <c r="F9886" s="16"/>
      <c r="G9886" s="16"/>
      <c r="H9886" s="24"/>
      <c r="I9886" s="24"/>
      <c r="L9886"/>
    </row>
    <row r="9887" spans="1:12" x14ac:dyDescent="0.25">
      <c r="A9887" s="16"/>
      <c r="D9887" s="16"/>
      <c r="F9887" s="16"/>
      <c r="G9887" s="16"/>
      <c r="H9887" s="24"/>
      <c r="I9887" s="24"/>
      <c r="L9887"/>
    </row>
    <row r="9888" spans="1:12" x14ac:dyDescent="0.25">
      <c r="A9888" s="16"/>
      <c r="D9888" s="16"/>
      <c r="F9888" s="16"/>
      <c r="G9888" s="16"/>
      <c r="H9888" s="24"/>
      <c r="I9888" s="24"/>
      <c r="L9888"/>
    </row>
    <row r="9889" spans="1:12" x14ac:dyDescent="0.25">
      <c r="A9889" s="16"/>
      <c r="D9889" s="16"/>
      <c r="F9889" s="16"/>
      <c r="G9889" s="16"/>
      <c r="H9889" s="24"/>
      <c r="I9889" s="24"/>
      <c r="L9889"/>
    </row>
    <row r="9890" spans="1:12" x14ac:dyDescent="0.25">
      <c r="A9890" s="16"/>
      <c r="D9890" s="16"/>
      <c r="F9890" s="16"/>
      <c r="G9890" s="16"/>
      <c r="H9890" s="24"/>
      <c r="I9890" s="24"/>
      <c r="L9890"/>
    </row>
    <row r="9891" spans="1:12" x14ac:dyDescent="0.25">
      <c r="A9891" s="16"/>
      <c r="D9891" s="16"/>
      <c r="F9891" s="16"/>
      <c r="G9891" s="16"/>
      <c r="H9891" s="24"/>
      <c r="I9891" s="24"/>
      <c r="L9891"/>
    </row>
    <row r="9892" spans="1:12" x14ac:dyDescent="0.25">
      <c r="A9892" s="16"/>
      <c r="D9892" s="16"/>
      <c r="F9892" s="16"/>
      <c r="G9892" s="16"/>
      <c r="H9892" s="24"/>
      <c r="I9892" s="24"/>
      <c r="L9892"/>
    </row>
    <row r="9893" spans="1:12" x14ac:dyDescent="0.25">
      <c r="A9893" s="16"/>
      <c r="D9893" s="16"/>
      <c r="F9893" s="16"/>
      <c r="G9893" s="16"/>
      <c r="H9893" s="24"/>
      <c r="I9893" s="24"/>
      <c r="L9893"/>
    </row>
    <row r="9894" spans="1:12" x14ac:dyDescent="0.25">
      <c r="A9894" s="16"/>
      <c r="D9894" s="16"/>
      <c r="F9894" s="16"/>
      <c r="G9894" s="16"/>
      <c r="H9894" s="24"/>
      <c r="I9894" s="24"/>
      <c r="L9894"/>
    </row>
    <row r="9895" spans="1:12" x14ac:dyDescent="0.25">
      <c r="A9895" s="16"/>
      <c r="D9895" s="16"/>
      <c r="F9895" s="16"/>
      <c r="G9895" s="16"/>
      <c r="H9895" s="24"/>
      <c r="I9895" s="24"/>
      <c r="L9895"/>
    </row>
    <row r="9896" spans="1:12" x14ac:dyDescent="0.25">
      <c r="A9896" s="16"/>
      <c r="D9896" s="16"/>
      <c r="F9896" s="16"/>
      <c r="G9896" s="16"/>
      <c r="H9896" s="24"/>
      <c r="I9896" s="24"/>
      <c r="L9896"/>
    </row>
    <row r="9897" spans="1:12" x14ac:dyDescent="0.25">
      <c r="A9897" s="16"/>
      <c r="D9897" s="16"/>
      <c r="F9897" s="16"/>
      <c r="G9897" s="16"/>
      <c r="H9897" s="24"/>
      <c r="I9897" s="24"/>
      <c r="L9897"/>
    </row>
    <row r="9898" spans="1:12" x14ac:dyDescent="0.25">
      <c r="A9898" s="16"/>
      <c r="D9898" s="16"/>
      <c r="F9898" s="16"/>
      <c r="G9898" s="16"/>
      <c r="H9898" s="24"/>
      <c r="I9898" s="24"/>
      <c r="L9898"/>
    </row>
    <row r="9899" spans="1:12" x14ac:dyDescent="0.25">
      <c r="A9899" s="16"/>
      <c r="D9899" s="16"/>
      <c r="F9899" s="16"/>
      <c r="G9899" s="16"/>
      <c r="H9899" s="24"/>
      <c r="I9899" s="24"/>
      <c r="L9899"/>
    </row>
    <row r="9900" spans="1:12" x14ac:dyDescent="0.25">
      <c r="A9900" s="16"/>
      <c r="D9900" s="16"/>
      <c r="F9900" s="16"/>
      <c r="G9900" s="16"/>
      <c r="H9900" s="24"/>
      <c r="I9900" s="24"/>
      <c r="L9900"/>
    </row>
    <row r="9901" spans="1:12" x14ac:dyDescent="0.25">
      <c r="A9901" s="16"/>
      <c r="D9901" s="16"/>
      <c r="F9901" s="16"/>
      <c r="G9901" s="16"/>
      <c r="H9901" s="24"/>
      <c r="I9901" s="24"/>
      <c r="L9901"/>
    </row>
    <row r="9902" spans="1:12" x14ac:dyDescent="0.25">
      <c r="A9902" s="16"/>
      <c r="D9902" s="16"/>
      <c r="F9902" s="16"/>
      <c r="G9902" s="16"/>
      <c r="H9902" s="24"/>
      <c r="I9902" s="24"/>
      <c r="L9902"/>
    </row>
    <row r="9903" spans="1:12" x14ac:dyDescent="0.25">
      <c r="A9903" s="16"/>
      <c r="D9903" s="16"/>
      <c r="F9903" s="16"/>
      <c r="G9903" s="16"/>
      <c r="H9903" s="24"/>
      <c r="I9903" s="24"/>
      <c r="L9903"/>
    </row>
    <row r="9904" spans="1:12" x14ac:dyDescent="0.25">
      <c r="A9904" s="16"/>
      <c r="D9904" s="16"/>
      <c r="F9904" s="16"/>
      <c r="G9904" s="16"/>
      <c r="H9904" s="24"/>
      <c r="I9904" s="24"/>
      <c r="L9904"/>
    </row>
    <row r="9905" spans="1:12" x14ac:dyDescent="0.25">
      <c r="A9905" s="16"/>
      <c r="D9905" s="16"/>
      <c r="F9905" s="16"/>
      <c r="G9905" s="16"/>
      <c r="H9905" s="24"/>
      <c r="I9905" s="24"/>
      <c r="L9905"/>
    </row>
    <row r="9906" spans="1:12" x14ac:dyDescent="0.25">
      <c r="A9906" s="16"/>
      <c r="D9906" s="16"/>
      <c r="F9906" s="16"/>
      <c r="G9906" s="16"/>
      <c r="H9906" s="24"/>
      <c r="I9906" s="24"/>
      <c r="L9906"/>
    </row>
    <row r="9907" spans="1:12" x14ac:dyDescent="0.25">
      <c r="A9907" s="16"/>
      <c r="D9907" s="16"/>
      <c r="F9907" s="16"/>
      <c r="G9907" s="16"/>
      <c r="H9907" s="24"/>
      <c r="I9907" s="24"/>
      <c r="L9907"/>
    </row>
    <row r="9908" spans="1:12" x14ac:dyDescent="0.25">
      <c r="A9908" s="16"/>
      <c r="D9908" s="16"/>
      <c r="F9908" s="16"/>
      <c r="G9908" s="16"/>
      <c r="H9908" s="24"/>
      <c r="I9908" s="24"/>
      <c r="L9908"/>
    </row>
    <row r="9909" spans="1:12" x14ac:dyDescent="0.25">
      <c r="A9909" s="16"/>
      <c r="D9909" s="16"/>
      <c r="F9909" s="16"/>
      <c r="G9909" s="16"/>
      <c r="H9909" s="24"/>
      <c r="I9909" s="24"/>
      <c r="L9909"/>
    </row>
    <row r="9910" spans="1:12" x14ac:dyDescent="0.25">
      <c r="A9910" s="16"/>
      <c r="D9910" s="16"/>
      <c r="F9910" s="16"/>
      <c r="G9910" s="16"/>
      <c r="H9910" s="24"/>
      <c r="I9910" s="24"/>
      <c r="L9910"/>
    </row>
    <row r="9911" spans="1:12" x14ac:dyDescent="0.25">
      <c r="A9911" s="16"/>
      <c r="D9911" s="16"/>
      <c r="F9911" s="16"/>
      <c r="G9911" s="16"/>
      <c r="H9911" s="24"/>
      <c r="I9911" s="24"/>
      <c r="L9911"/>
    </row>
    <row r="9912" spans="1:12" x14ac:dyDescent="0.25">
      <c r="A9912" s="16"/>
      <c r="D9912" s="16"/>
      <c r="F9912" s="16"/>
      <c r="G9912" s="16"/>
      <c r="H9912" s="24"/>
      <c r="I9912" s="24"/>
      <c r="L9912"/>
    </row>
    <row r="9913" spans="1:12" x14ac:dyDescent="0.25">
      <c r="A9913" s="16"/>
      <c r="D9913" s="16"/>
      <c r="F9913" s="16"/>
      <c r="G9913" s="16"/>
      <c r="H9913" s="24"/>
      <c r="I9913" s="24"/>
      <c r="L9913"/>
    </row>
    <row r="9914" spans="1:12" x14ac:dyDescent="0.25">
      <c r="A9914" s="16"/>
      <c r="D9914" s="16"/>
      <c r="F9914" s="16"/>
      <c r="G9914" s="16"/>
      <c r="H9914" s="24"/>
      <c r="I9914" s="24"/>
      <c r="L9914"/>
    </row>
    <row r="9915" spans="1:12" x14ac:dyDescent="0.25">
      <c r="A9915" s="16"/>
      <c r="D9915" s="16"/>
      <c r="F9915" s="16"/>
      <c r="G9915" s="16"/>
      <c r="H9915" s="24"/>
      <c r="I9915" s="24"/>
      <c r="L9915"/>
    </row>
    <row r="9916" spans="1:12" x14ac:dyDescent="0.25">
      <c r="A9916" s="16"/>
      <c r="D9916" s="16"/>
      <c r="F9916" s="16"/>
      <c r="G9916" s="16"/>
      <c r="H9916" s="24"/>
      <c r="I9916" s="24"/>
      <c r="L9916"/>
    </row>
    <row r="9917" spans="1:12" x14ac:dyDescent="0.25">
      <c r="A9917" s="16"/>
      <c r="D9917" s="16"/>
      <c r="F9917" s="16"/>
      <c r="G9917" s="16"/>
      <c r="H9917" s="24"/>
      <c r="I9917" s="24"/>
      <c r="L9917"/>
    </row>
    <row r="9918" spans="1:12" x14ac:dyDescent="0.25">
      <c r="A9918" s="16"/>
      <c r="D9918" s="16"/>
      <c r="F9918" s="16"/>
      <c r="G9918" s="16"/>
      <c r="H9918" s="24"/>
      <c r="I9918" s="24"/>
      <c r="L9918"/>
    </row>
    <row r="9919" spans="1:12" x14ac:dyDescent="0.25">
      <c r="A9919" s="16"/>
      <c r="D9919" s="16"/>
      <c r="F9919" s="16"/>
      <c r="G9919" s="16"/>
      <c r="H9919" s="24"/>
      <c r="I9919" s="24"/>
      <c r="L9919"/>
    </row>
    <row r="9920" spans="1:12" x14ac:dyDescent="0.25">
      <c r="A9920" s="16"/>
      <c r="D9920" s="16"/>
      <c r="F9920" s="16"/>
      <c r="G9920" s="16"/>
      <c r="H9920" s="24"/>
      <c r="I9920" s="24"/>
      <c r="L9920"/>
    </row>
    <row r="9921" spans="1:12" x14ac:dyDescent="0.25">
      <c r="A9921" s="16"/>
      <c r="D9921" s="16"/>
      <c r="F9921" s="16"/>
      <c r="G9921" s="16"/>
      <c r="H9921" s="24"/>
      <c r="I9921" s="24"/>
      <c r="L9921"/>
    </row>
    <row r="9922" spans="1:12" x14ac:dyDescent="0.25">
      <c r="A9922" s="16"/>
      <c r="D9922" s="16"/>
      <c r="F9922" s="16"/>
      <c r="G9922" s="16"/>
      <c r="H9922" s="24"/>
      <c r="I9922" s="24"/>
      <c r="L9922"/>
    </row>
    <row r="9923" spans="1:12" x14ac:dyDescent="0.25">
      <c r="A9923" s="16"/>
      <c r="D9923" s="16"/>
      <c r="F9923" s="16"/>
      <c r="G9923" s="16"/>
      <c r="H9923" s="24"/>
      <c r="I9923" s="24"/>
      <c r="L9923"/>
    </row>
    <row r="9924" spans="1:12" x14ac:dyDescent="0.25">
      <c r="A9924" s="16"/>
      <c r="D9924" s="16"/>
      <c r="F9924" s="16"/>
      <c r="G9924" s="16"/>
      <c r="H9924" s="24"/>
      <c r="I9924" s="24"/>
      <c r="L9924"/>
    </row>
    <row r="9925" spans="1:12" x14ac:dyDescent="0.25">
      <c r="A9925" s="16"/>
      <c r="D9925" s="16"/>
      <c r="F9925" s="16"/>
      <c r="G9925" s="16"/>
      <c r="H9925" s="24"/>
      <c r="I9925" s="24"/>
      <c r="L9925"/>
    </row>
    <row r="9926" spans="1:12" x14ac:dyDescent="0.25">
      <c r="A9926" s="16"/>
      <c r="D9926" s="16"/>
      <c r="F9926" s="16"/>
      <c r="G9926" s="16"/>
      <c r="H9926" s="24"/>
      <c r="I9926" s="24"/>
      <c r="L9926"/>
    </row>
    <row r="9927" spans="1:12" x14ac:dyDescent="0.25">
      <c r="A9927" s="16"/>
      <c r="D9927" s="16"/>
      <c r="F9927" s="16"/>
      <c r="G9927" s="16"/>
      <c r="H9927" s="24"/>
      <c r="I9927" s="24"/>
      <c r="L9927"/>
    </row>
    <row r="9928" spans="1:12" x14ac:dyDescent="0.25">
      <c r="A9928" s="16"/>
      <c r="D9928" s="16"/>
      <c r="F9928" s="16"/>
      <c r="G9928" s="16"/>
      <c r="H9928" s="24"/>
      <c r="I9928" s="24"/>
      <c r="L9928"/>
    </row>
    <row r="9929" spans="1:12" x14ac:dyDescent="0.25">
      <c r="A9929" s="16"/>
      <c r="D9929" s="16"/>
      <c r="F9929" s="16"/>
      <c r="G9929" s="16"/>
      <c r="H9929" s="24"/>
      <c r="I9929" s="24"/>
      <c r="L9929"/>
    </row>
    <row r="9930" spans="1:12" x14ac:dyDescent="0.25">
      <c r="A9930" s="16"/>
      <c r="D9930" s="16"/>
      <c r="F9930" s="16"/>
      <c r="G9930" s="16"/>
      <c r="H9930" s="24"/>
      <c r="I9930" s="24"/>
      <c r="L9930"/>
    </row>
    <row r="9931" spans="1:12" x14ac:dyDescent="0.25">
      <c r="A9931" s="16"/>
      <c r="D9931" s="16"/>
      <c r="F9931" s="16"/>
      <c r="G9931" s="16"/>
      <c r="H9931" s="24"/>
      <c r="I9931" s="24"/>
      <c r="L9931"/>
    </row>
    <row r="9932" spans="1:12" x14ac:dyDescent="0.25">
      <c r="A9932" s="16"/>
      <c r="D9932" s="16"/>
      <c r="F9932" s="16"/>
      <c r="G9932" s="16"/>
      <c r="H9932" s="24"/>
      <c r="I9932" s="24"/>
      <c r="L9932"/>
    </row>
    <row r="9933" spans="1:12" x14ac:dyDescent="0.25">
      <c r="A9933" s="16"/>
      <c r="D9933" s="16"/>
      <c r="F9933" s="16"/>
      <c r="G9933" s="16"/>
      <c r="H9933" s="24"/>
      <c r="I9933" s="24"/>
      <c r="L9933"/>
    </row>
    <row r="9934" spans="1:12" x14ac:dyDescent="0.25">
      <c r="A9934" s="16"/>
      <c r="D9934" s="16"/>
      <c r="F9934" s="16"/>
      <c r="G9934" s="16"/>
      <c r="H9934" s="24"/>
      <c r="I9934" s="24"/>
      <c r="L9934"/>
    </row>
    <row r="9935" spans="1:12" x14ac:dyDescent="0.25">
      <c r="A9935" s="16"/>
      <c r="D9935" s="16"/>
      <c r="F9935" s="16"/>
      <c r="G9935" s="16"/>
      <c r="H9935" s="24"/>
      <c r="I9935" s="24"/>
      <c r="L9935"/>
    </row>
    <row r="9936" spans="1:12" x14ac:dyDescent="0.25">
      <c r="A9936" s="16"/>
      <c r="D9936" s="16"/>
      <c r="F9936" s="16"/>
      <c r="G9936" s="16"/>
      <c r="H9936" s="24"/>
      <c r="I9936" s="24"/>
      <c r="L9936"/>
    </row>
    <row r="9937" spans="1:12" x14ac:dyDescent="0.25">
      <c r="A9937" s="16"/>
      <c r="D9937" s="16"/>
      <c r="F9937" s="16"/>
      <c r="G9937" s="16"/>
      <c r="H9937" s="24"/>
      <c r="I9937" s="24"/>
      <c r="L9937"/>
    </row>
    <row r="9938" spans="1:12" x14ac:dyDescent="0.25">
      <c r="A9938" s="16"/>
      <c r="D9938" s="16"/>
      <c r="F9938" s="16"/>
      <c r="G9938" s="16"/>
      <c r="H9938" s="24"/>
      <c r="I9938" s="24"/>
      <c r="L9938"/>
    </row>
    <row r="9939" spans="1:12" x14ac:dyDescent="0.25">
      <c r="A9939" s="16"/>
      <c r="D9939" s="16"/>
      <c r="F9939" s="16"/>
      <c r="G9939" s="16"/>
      <c r="H9939" s="24"/>
      <c r="I9939" s="24"/>
      <c r="L9939"/>
    </row>
    <row r="9940" spans="1:12" x14ac:dyDescent="0.25">
      <c r="A9940" s="16"/>
      <c r="D9940" s="16"/>
      <c r="F9940" s="16"/>
      <c r="G9940" s="16"/>
      <c r="H9940" s="24"/>
      <c r="I9940" s="24"/>
      <c r="L9940"/>
    </row>
    <row r="9941" spans="1:12" x14ac:dyDescent="0.25">
      <c r="A9941" s="16"/>
      <c r="D9941" s="16"/>
      <c r="F9941" s="16"/>
      <c r="G9941" s="16"/>
      <c r="H9941" s="24"/>
      <c r="I9941" s="24"/>
      <c r="L9941"/>
    </row>
    <row r="9942" spans="1:12" x14ac:dyDescent="0.25">
      <c r="A9942" s="16"/>
      <c r="D9942" s="16"/>
      <c r="F9942" s="16"/>
      <c r="G9942" s="16"/>
      <c r="H9942" s="24"/>
      <c r="I9942" s="24"/>
      <c r="L9942"/>
    </row>
    <row r="9943" spans="1:12" x14ac:dyDescent="0.25">
      <c r="A9943" s="16"/>
      <c r="D9943" s="16"/>
      <c r="F9943" s="16"/>
      <c r="G9943" s="16"/>
      <c r="H9943" s="24"/>
      <c r="I9943" s="24"/>
      <c r="L9943"/>
    </row>
    <row r="9944" spans="1:12" x14ac:dyDescent="0.25">
      <c r="A9944" s="16"/>
      <c r="D9944" s="16"/>
      <c r="F9944" s="16"/>
      <c r="G9944" s="16"/>
      <c r="H9944" s="24"/>
      <c r="I9944" s="24"/>
      <c r="L9944"/>
    </row>
    <row r="9945" spans="1:12" x14ac:dyDescent="0.25">
      <c r="A9945" s="16"/>
      <c r="D9945" s="16"/>
      <c r="F9945" s="16"/>
      <c r="G9945" s="16"/>
      <c r="H9945" s="24"/>
      <c r="I9945" s="24"/>
      <c r="L9945"/>
    </row>
    <row r="9946" spans="1:12" x14ac:dyDescent="0.25">
      <c r="A9946" s="16"/>
      <c r="D9946" s="16"/>
      <c r="F9946" s="16"/>
      <c r="G9946" s="16"/>
      <c r="H9946" s="24"/>
      <c r="I9946" s="24"/>
      <c r="L9946"/>
    </row>
    <row r="9947" spans="1:12" x14ac:dyDescent="0.25">
      <c r="A9947" s="16"/>
      <c r="D9947" s="16"/>
      <c r="F9947" s="16"/>
      <c r="G9947" s="16"/>
      <c r="H9947" s="24"/>
      <c r="I9947" s="24"/>
      <c r="L9947"/>
    </row>
    <row r="9948" spans="1:12" x14ac:dyDescent="0.25">
      <c r="A9948" s="16"/>
      <c r="D9948" s="16"/>
      <c r="F9948" s="16"/>
      <c r="G9948" s="16"/>
      <c r="H9948" s="24"/>
      <c r="I9948" s="24"/>
      <c r="L9948"/>
    </row>
    <row r="9949" spans="1:12" x14ac:dyDescent="0.25">
      <c r="A9949" s="16"/>
      <c r="D9949" s="16"/>
      <c r="F9949" s="16"/>
      <c r="G9949" s="16"/>
      <c r="H9949" s="24"/>
      <c r="I9949" s="24"/>
      <c r="L9949"/>
    </row>
    <row r="9950" spans="1:12" x14ac:dyDescent="0.25">
      <c r="A9950" s="16"/>
      <c r="D9950" s="16"/>
      <c r="F9950" s="16"/>
      <c r="G9950" s="16"/>
      <c r="H9950" s="24"/>
      <c r="I9950" s="24"/>
      <c r="L9950"/>
    </row>
    <row r="9951" spans="1:12" x14ac:dyDescent="0.25">
      <c r="A9951" s="16"/>
      <c r="D9951" s="16"/>
      <c r="F9951" s="16"/>
      <c r="G9951" s="16"/>
      <c r="H9951" s="24"/>
      <c r="I9951" s="24"/>
      <c r="L9951"/>
    </row>
    <row r="9952" spans="1:12" x14ac:dyDescent="0.25">
      <c r="A9952" s="16"/>
      <c r="D9952" s="16"/>
      <c r="F9952" s="16"/>
      <c r="G9952" s="16"/>
      <c r="H9952" s="24"/>
      <c r="I9952" s="24"/>
      <c r="L9952"/>
    </row>
    <row r="9953" spans="1:12" x14ac:dyDescent="0.25">
      <c r="A9953" s="16"/>
      <c r="D9953" s="16"/>
      <c r="F9953" s="16"/>
      <c r="G9953" s="16"/>
      <c r="H9953" s="24"/>
      <c r="I9953" s="24"/>
      <c r="L9953"/>
    </row>
    <row r="9954" spans="1:12" x14ac:dyDescent="0.25">
      <c r="A9954" s="16"/>
      <c r="D9954" s="16"/>
      <c r="F9954" s="16"/>
      <c r="G9954" s="16"/>
      <c r="H9954" s="24"/>
      <c r="I9954" s="24"/>
      <c r="L9954"/>
    </row>
    <row r="9955" spans="1:12" x14ac:dyDescent="0.25">
      <c r="A9955" s="16"/>
      <c r="D9955" s="16"/>
      <c r="F9955" s="16"/>
      <c r="G9955" s="16"/>
      <c r="H9955" s="24"/>
      <c r="I9955" s="24"/>
      <c r="L9955"/>
    </row>
    <row r="9956" spans="1:12" x14ac:dyDescent="0.25">
      <c r="A9956" s="16"/>
      <c r="D9956" s="16"/>
      <c r="F9956" s="16"/>
      <c r="G9956" s="16"/>
      <c r="H9956" s="24"/>
      <c r="I9956" s="24"/>
      <c r="L9956"/>
    </row>
    <row r="9957" spans="1:12" x14ac:dyDescent="0.25">
      <c r="A9957" s="16"/>
      <c r="D9957" s="16"/>
      <c r="F9957" s="16"/>
      <c r="G9957" s="16"/>
      <c r="H9957" s="24"/>
      <c r="I9957" s="24"/>
      <c r="L9957"/>
    </row>
    <row r="9958" spans="1:12" x14ac:dyDescent="0.25">
      <c r="A9958" s="16"/>
      <c r="D9958" s="16"/>
      <c r="F9958" s="16"/>
      <c r="G9958" s="16"/>
      <c r="H9958" s="24"/>
      <c r="I9958" s="24"/>
      <c r="L9958"/>
    </row>
    <row r="9959" spans="1:12" x14ac:dyDescent="0.25">
      <c r="A9959" s="16"/>
      <c r="D9959" s="16"/>
      <c r="F9959" s="16"/>
      <c r="G9959" s="16"/>
      <c r="H9959" s="24"/>
      <c r="I9959" s="24"/>
      <c r="L9959"/>
    </row>
    <row r="9960" spans="1:12" x14ac:dyDescent="0.25">
      <c r="A9960" s="16"/>
      <c r="D9960" s="16"/>
      <c r="F9960" s="16"/>
      <c r="G9960" s="16"/>
      <c r="H9960" s="24"/>
      <c r="I9960" s="24"/>
      <c r="L9960"/>
    </row>
    <row r="9961" spans="1:12" x14ac:dyDescent="0.25">
      <c r="A9961" s="16"/>
      <c r="D9961" s="16"/>
      <c r="F9961" s="16"/>
      <c r="G9961" s="16"/>
      <c r="H9961" s="24"/>
      <c r="I9961" s="24"/>
      <c r="L9961"/>
    </row>
    <row r="9962" spans="1:12" x14ac:dyDescent="0.25">
      <c r="A9962" s="16"/>
      <c r="D9962" s="16"/>
      <c r="F9962" s="16"/>
      <c r="G9962" s="16"/>
      <c r="H9962" s="24"/>
      <c r="I9962" s="24"/>
      <c r="L9962"/>
    </row>
    <row r="9963" spans="1:12" x14ac:dyDescent="0.25">
      <c r="A9963" s="16"/>
      <c r="D9963" s="16"/>
      <c r="F9963" s="16"/>
      <c r="G9963" s="16"/>
      <c r="H9963" s="24"/>
      <c r="I9963" s="24"/>
      <c r="L9963"/>
    </row>
    <row r="9964" spans="1:12" x14ac:dyDescent="0.25">
      <c r="A9964" s="16"/>
      <c r="D9964" s="16"/>
      <c r="F9964" s="16"/>
      <c r="G9964" s="16"/>
      <c r="H9964" s="24"/>
      <c r="I9964" s="24"/>
      <c r="L9964"/>
    </row>
    <row r="9965" spans="1:12" x14ac:dyDescent="0.25">
      <c r="A9965" s="16"/>
      <c r="D9965" s="16"/>
      <c r="F9965" s="16"/>
      <c r="G9965" s="16"/>
      <c r="H9965" s="24"/>
      <c r="I9965" s="24"/>
      <c r="L9965"/>
    </row>
    <row r="9966" spans="1:12" x14ac:dyDescent="0.25">
      <c r="A9966" s="16"/>
      <c r="D9966" s="16"/>
      <c r="F9966" s="16"/>
      <c r="G9966" s="16"/>
      <c r="H9966" s="24"/>
      <c r="I9966" s="24"/>
      <c r="L9966"/>
    </row>
    <row r="9967" spans="1:12" x14ac:dyDescent="0.25">
      <c r="A9967" s="16"/>
      <c r="D9967" s="16"/>
      <c r="F9967" s="16"/>
      <c r="G9967" s="16"/>
      <c r="H9967" s="24"/>
      <c r="I9967" s="24"/>
      <c r="L9967"/>
    </row>
    <row r="9968" spans="1:12" x14ac:dyDescent="0.25">
      <c r="A9968" s="16"/>
      <c r="D9968" s="16"/>
      <c r="F9968" s="16"/>
      <c r="G9968" s="16"/>
      <c r="H9968" s="24"/>
      <c r="I9968" s="24"/>
      <c r="L9968"/>
    </row>
    <row r="9969" spans="1:12" x14ac:dyDescent="0.25">
      <c r="A9969" s="16"/>
      <c r="D9969" s="16"/>
      <c r="F9969" s="16"/>
      <c r="G9969" s="16"/>
      <c r="H9969" s="24"/>
      <c r="I9969" s="24"/>
      <c r="L9969"/>
    </row>
    <row r="9970" spans="1:12" x14ac:dyDescent="0.25">
      <c r="A9970" s="16"/>
      <c r="D9970" s="16"/>
      <c r="F9970" s="16"/>
      <c r="G9970" s="16"/>
      <c r="H9970" s="24"/>
      <c r="I9970" s="24"/>
      <c r="L9970"/>
    </row>
    <row r="9971" spans="1:12" x14ac:dyDescent="0.25">
      <c r="A9971" s="16"/>
      <c r="D9971" s="16"/>
      <c r="F9971" s="16"/>
      <c r="G9971" s="16"/>
      <c r="H9971" s="24"/>
      <c r="I9971" s="24"/>
      <c r="L9971"/>
    </row>
    <row r="9972" spans="1:12" x14ac:dyDescent="0.25">
      <c r="A9972" s="16"/>
      <c r="D9972" s="16"/>
      <c r="F9972" s="16"/>
      <c r="G9972" s="16"/>
      <c r="H9972" s="24"/>
      <c r="I9972" s="24"/>
      <c r="L9972"/>
    </row>
    <row r="9973" spans="1:12" x14ac:dyDescent="0.25">
      <c r="A9973" s="16"/>
      <c r="D9973" s="16"/>
      <c r="F9973" s="16"/>
      <c r="G9973" s="16"/>
      <c r="H9973" s="24"/>
      <c r="I9973" s="24"/>
      <c r="L9973"/>
    </row>
    <row r="9974" spans="1:12" x14ac:dyDescent="0.25">
      <c r="A9974" s="16"/>
      <c r="D9974" s="16"/>
      <c r="F9974" s="16"/>
      <c r="G9974" s="16"/>
      <c r="H9974" s="24"/>
      <c r="I9974" s="24"/>
      <c r="L9974"/>
    </row>
    <row r="9975" spans="1:12" x14ac:dyDescent="0.25">
      <c r="A9975" s="16"/>
      <c r="D9975" s="16"/>
      <c r="F9975" s="16"/>
      <c r="G9975" s="16"/>
      <c r="H9975" s="24"/>
      <c r="I9975" s="24"/>
      <c r="L9975"/>
    </row>
    <row r="9976" spans="1:12" x14ac:dyDescent="0.25">
      <c r="A9976" s="16"/>
      <c r="D9976" s="16"/>
      <c r="F9976" s="16"/>
      <c r="G9976" s="16"/>
      <c r="H9976" s="24"/>
      <c r="I9976" s="24"/>
      <c r="L9976"/>
    </row>
    <row r="9977" spans="1:12" x14ac:dyDescent="0.25">
      <c r="A9977" s="16"/>
      <c r="D9977" s="16"/>
      <c r="F9977" s="16"/>
      <c r="G9977" s="16"/>
      <c r="H9977" s="24"/>
      <c r="I9977" s="24"/>
      <c r="L9977"/>
    </row>
    <row r="9978" spans="1:12" x14ac:dyDescent="0.25">
      <c r="A9978" s="16"/>
      <c r="D9978" s="16"/>
      <c r="F9978" s="16"/>
      <c r="G9978" s="16"/>
      <c r="H9978" s="24"/>
      <c r="I9978" s="24"/>
      <c r="L9978"/>
    </row>
    <row r="9979" spans="1:12" x14ac:dyDescent="0.25">
      <c r="A9979" s="16"/>
      <c r="D9979" s="16"/>
      <c r="F9979" s="16"/>
      <c r="G9979" s="16"/>
      <c r="H9979" s="24"/>
      <c r="I9979" s="24"/>
      <c r="L9979"/>
    </row>
    <row r="9980" spans="1:12" x14ac:dyDescent="0.25">
      <c r="A9980" s="16"/>
      <c r="D9980" s="16"/>
      <c r="F9980" s="16"/>
      <c r="G9980" s="16"/>
      <c r="H9980" s="24"/>
      <c r="I9980" s="24"/>
      <c r="L9980"/>
    </row>
    <row r="9981" spans="1:12" x14ac:dyDescent="0.25">
      <c r="A9981" s="16"/>
      <c r="D9981" s="16"/>
      <c r="F9981" s="16"/>
      <c r="G9981" s="16"/>
      <c r="H9981" s="24"/>
      <c r="I9981" s="24"/>
      <c r="L9981"/>
    </row>
    <row r="9982" spans="1:12" x14ac:dyDescent="0.25">
      <c r="A9982" s="16"/>
      <c r="D9982" s="16"/>
      <c r="F9982" s="16"/>
      <c r="G9982" s="16"/>
      <c r="H9982" s="24"/>
      <c r="I9982" s="24"/>
      <c r="L9982"/>
    </row>
    <row r="9983" spans="1:12" x14ac:dyDescent="0.25">
      <c r="A9983" s="16"/>
      <c r="D9983" s="16"/>
      <c r="F9983" s="16"/>
      <c r="G9983" s="16"/>
      <c r="H9983" s="24"/>
      <c r="I9983" s="24"/>
      <c r="L9983"/>
    </row>
    <row r="9984" spans="1:12" x14ac:dyDescent="0.25">
      <c r="A9984" s="16"/>
      <c r="D9984" s="16"/>
      <c r="F9984" s="16"/>
      <c r="G9984" s="16"/>
      <c r="H9984" s="24"/>
      <c r="I9984" s="24"/>
      <c r="L9984"/>
    </row>
    <row r="9985" spans="1:12" x14ac:dyDescent="0.25">
      <c r="A9985" s="16"/>
      <c r="D9985" s="16"/>
      <c r="F9985" s="16"/>
      <c r="G9985" s="16"/>
      <c r="H9985" s="24"/>
      <c r="I9985" s="24"/>
      <c r="L9985"/>
    </row>
    <row r="9986" spans="1:12" x14ac:dyDescent="0.25">
      <c r="A9986" s="16"/>
      <c r="D9986" s="16"/>
      <c r="F9986" s="16"/>
      <c r="G9986" s="16"/>
      <c r="H9986" s="24"/>
      <c r="I9986" s="24"/>
      <c r="L9986"/>
    </row>
    <row r="9987" spans="1:12" x14ac:dyDescent="0.25">
      <c r="A9987" s="16"/>
      <c r="D9987" s="16"/>
      <c r="F9987" s="16"/>
      <c r="G9987" s="16"/>
      <c r="H9987" s="24"/>
      <c r="I9987" s="24"/>
      <c r="L9987"/>
    </row>
    <row r="9988" spans="1:12" x14ac:dyDescent="0.25">
      <c r="A9988" s="16"/>
      <c r="D9988" s="16"/>
      <c r="F9988" s="16"/>
      <c r="G9988" s="16"/>
      <c r="H9988" s="24"/>
      <c r="I9988" s="24"/>
      <c r="L9988"/>
    </row>
    <row r="9989" spans="1:12" x14ac:dyDescent="0.25">
      <c r="A9989" s="16"/>
      <c r="D9989" s="16"/>
      <c r="F9989" s="16"/>
      <c r="G9989" s="16"/>
      <c r="H9989" s="24"/>
      <c r="I9989" s="24"/>
      <c r="L9989"/>
    </row>
    <row r="9990" spans="1:12" x14ac:dyDescent="0.25">
      <c r="A9990" s="16"/>
      <c r="D9990" s="16"/>
      <c r="F9990" s="16"/>
      <c r="G9990" s="16"/>
      <c r="H9990" s="24"/>
      <c r="I9990" s="24"/>
      <c r="L9990"/>
    </row>
    <row r="9991" spans="1:12" x14ac:dyDescent="0.25">
      <c r="A9991" s="16"/>
      <c r="D9991" s="16"/>
      <c r="F9991" s="16"/>
      <c r="G9991" s="16"/>
      <c r="H9991" s="24"/>
      <c r="I9991" s="24"/>
      <c r="L9991"/>
    </row>
    <row r="9992" spans="1:12" x14ac:dyDescent="0.25">
      <c r="A9992" s="16"/>
      <c r="D9992" s="16"/>
      <c r="F9992" s="16"/>
      <c r="G9992" s="16"/>
      <c r="H9992" s="24"/>
      <c r="I9992" s="24"/>
      <c r="L9992"/>
    </row>
    <row r="9993" spans="1:12" x14ac:dyDescent="0.25">
      <c r="A9993" s="16"/>
      <c r="D9993" s="16"/>
      <c r="F9993" s="16"/>
      <c r="G9993" s="16"/>
      <c r="H9993" s="24"/>
      <c r="I9993" s="24"/>
      <c r="L9993"/>
    </row>
    <row r="9994" spans="1:12" x14ac:dyDescent="0.25">
      <c r="A9994" s="16"/>
      <c r="D9994" s="16"/>
      <c r="F9994" s="16"/>
      <c r="G9994" s="16"/>
      <c r="H9994" s="24"/>
      <c r="I9994" s="24"/>
      <c r="L9994"/>
    </row>
    <row r="9995" spans="1:12" x14ac:dyDescent="0.25">
      <c r="A9995" s="16"/>
      <c r="D9995" s="16"/>
      <c r="F9995" s="16"/>
      <c r="G9995" s="16"/>
      <c r="H9995" s="24"/>
      <c r="I9995" s="24"/>
      <c r="L9995"/>
    </row>
    <row r="9996" spans="1:12" x14ac:dyDescent="0.25">
      <c r="A9996" s="16"/>
      <c r="D9996" s="16"/>
      <c r="F9996" s="16"/>
      <c r="G9996" s="16"/>
      <c r="H9996" s="24"/>
      <c r="I9996" s="24"/>
      <c r="L9996"/>
    </row>
    <row r="9997" spans="1:12" x14ac:dyDescent="0.25">
      <c r="A9997" s="16"/>
      <c r="D9997" s="16"/>
      <c r="F9997" s="16"/>
      <c r="G9997" s="16"/>
      <c r="H9997" s="24"/>
      <c r="I9997" s="24"/>
      <c r="L9997"/>
    </row>
    <row r="9998" spans="1:12" x14ac:dyDescent="0.25">
      <c r="A9998" s="16"/>
      <c r="D9998" s="16"/>
      <c r="F9998" s="16"/>
      <c r="G9998" s="16"/>
      <c r="H9998" s="24"/>
      <c r="I9998" s="24"/>
      <c r="L9998"/>
    </row>
    <row r="9999" spans="1:12" x14ac:dyDescent="0.25">
      <c r="A9999" s="16"/>
      <c r="D9999" s="16"/>
      <c r="F9999" s="16"/>
      <c r="G9999" s="16"/>
      <c r="H9999" s="24"/>
      <c r="I9999" s="24"/>
      <c r="L9999"/>
    </row>
    <row r="10000" spans="1:12" x14ac:dyDescent="0.25">
      <c r="A10000" s="16"/>
      <c r="D10000" s="16"/>
      <c r="F10000" s="16"/>
      <c r="G10000" s="16"/>
      <c r="H10000" s="24"/>
      <c r="I10000" s="24"/>
      <c r="L10000"/>
    </row>
  </sheetData>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sheetPr>
  <dimension ref="B1:G11"/>
  <sheetViews>
    <sheetView showGridLines="0" zoomScaleNormal="100" workbookViewId="0">
      <selection activeCell="A3" sqref="A3"/>
    </sheetView>
  </sheetViews>
  <sheetFormatPr defaultRowHeight="27" customHeight="1" x14ac:dyDescent="0.25"/>
  <cols>
    <col min="1" max="1" width="9.85546875" customWidth="1"/>
    <col min="2" max="2" width="17.42578125" bestFit="1" customWidth="1"/>
    <col min="3" max="5" width="9.85546875" customWidth="1"/>
    <col min="6" max="6" width="15.85546875" bestFit="1" customWidth="1"/>
    <col min="7" max="12" width="9.85546875" customWidth="1"/>
    <col min="13" max="167" width="8" customWidth="1"/>
    <col min="168" max="168" width="11.28515625" customWidth="1"/>
    <col min="169" max="322" width="8" customWidth="1"/>
    <col min="323" max="323" width="7.28515625" customWidth="1"/>
    <col min="324" max="324" width="11.28515625" bestFit="1" customWidth="1"/>
  </cols>
  <sheetData>
    <row r="1" spans="2:7" ht="27" customHeight="1" x14ac:dyDescent="0.35">
      <c r="B1" s="106" t="s">
        <v>747</v>
      </c>
    </row>
    <row r="2" spans="2:7" ht="27" customHeight="1" x14ac:dyDescent="0.35">
      <c r="B2" s="97" t="s">
        <v>225</v>
      </c>
    </row>
    <row r="3" spans="2:7" ht="27" customHeight="1" x14ac:dyDescent="0.35">
      <c r="B3" s="98" t="s">
        <v>43</v>
      </c>
      <c r="C3" s="99"/>
      <c r="F3" s="98" t="s">
        <v>42</v>
      </c>
      <c r="G3" s="99"/>
    </row>
    <row r="4" spans="2:7" ht="27" customHeight="1" x14ac:dyDescent="0.25">
      <c r="B4" s="100" t="s">
        <v>226</v>
      </c>
      <c r="C4" s="101">
        <v>71</v>
      </c>
      <c r="F4" s="100" t="s">
        <v>226</v>
      </c>
      <c r="G4" s="101">
        <v>130</v>
      </c>
    </row>
    <row r="5" spans="2:7" ht="27" customHeight="1" x14ac:dyDescent="0.25">
      <c r="B5" s="100" t="s">
        <v>227</v>
      </c>
      <c r="C5" s="101">
        <v>100</v>
      </c>
      <c r="F5" s="100" t="s">
        <v>227</v>
      </c>
      <c r="G5" s="101">
        <v>183</v>
      </c>
    </row>
    <row r="6" spans="2:7" ht="27" customHeight="1" x14ac:dyDescent="0.25">
      <c r="B6" s="100" t="s">
        <v>228</v>
      </c>
      <c r="C6" s="101">
        <v>342</v>
      </c>
      <c r="F6" s="100" t="s">
        <v>230</v>
      </c>
      <c r="G6" s="101">
        <v>1073</v>
      </c>
    </row>
    <row r="7" spans="2:7" ht="27" customHeight="1" x14ac:dyDescent="0.25">
      <c r="B7" s="100" t="s">
        <v>229</v>
      </c>
      <c r="C7" s="101">
        <v>0</v>
      </c>
      <c r="F7" s="100" t="s">
        <v>229</v>
      </c>
      <c r="G7" s="101">
        <v>0</v>
      </c>
    </row>
    <row r="8" spans="2:7" s="1" customFormat="1" ht="27" customHeight="1" x14ac:dyDescent="0.25">
      <c r="B8" s="100" t="s">
        <v>237</v>
      </c>
      <c r="C8" s="101">
        <v>51</v>
      </c>
      <c r="F8" s="100" t="s">
        <v>237</v>
      </c>
      <c r="G8" s="101">
        <v>109</v>
      </c>
    </row>
    <row r="9" spans="2:7" ht="27" customHeight="1" x14ac:dyDescent="0.25">
      <c r="B9" s="100" t="s">
        <v>234</v>
      </c>
      <c r="C9" s="101">
        <f>SUM(C5:C8)</f>
        <v>493</v>
      </c>
      <c r="F9" s="100" t="s">
        <v>235</v>
      </c>
      <c r="G9" s="101">
        <f>SUM(G5:G8)</f>
        <v>1365</v>
      </c>
    </row>
    <row r="10" spans="2:7" s="1" customFormat="1" ht="27" hidden="1" customHeight="1" x14ac:dyDescent="0.25">
      <c r="B10" s="102" t="s">
        <v>239</v>
      </c>
      <c r="C10" s="103">
        <v>0</v>
      </c>
      <c r="F10" s="102" t="s">
        <v>239</v>
      </c>
      <c r="G10" s="103">
        <v>0</v>
      </c>
    </row>
    <row r="11" spans="2:7" s="1" customFormat="1" ht="27" customHeigh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200"/>
  <sheetViews>
    <sheetView showGridLines="0" topLeftCell="A4" zoomScaleNormal="100" workbookViewId="0">
      <selection sqref="A1:XFD1048576"/>
    </sheetView>
  </sheetViews>
  <sheetFormatPr defaultRowHeight="15" x14ac:dyDescent="0.25"/>
  <cols>
    <col min="2" max="2" width="22" customWidth="1"/>
    <col min="3" max="3" width="20.28515625" customWidth="1"/>
    <col min="5" max="5" width="7.5703125" customWidth="1"/>
    <col min="6" max="6" width="8.140625" customWidth="1"/>
    <col min="7" max="7" width="11" customWidth="1"/>
    <col min="8" max="8" width="10.7109375" customWidth="1"/>
    <col min="9" max="9" width="13.5703125" customWidth="1"/>
    <col min="10" max="10" width="13" customWidth="1"/>
    <col min="11" max="11" width="18.85546875" customWidth="1"/>
    <col min="12" max="12" width="22.42578125" customWidth="1"/>
    <col min="13" max="13" width="10.5703125" customWidth="1"/>
  </cols>
  <sheetData>
    <row r="1" spans="1:16" ht="42.75" customHeight="1" x14ac:dyDescent="0.55000000000000004">
      <c r="B1" s="66" t="s">
        <v>88</v>
      </c>
      <c r="N1" s="1"/>
    </row>
    <row r="2" spans="1:16" s="1" customFormat="1" ht="6.75" customHeight="1" x14ac:dyDescent="0.25">
      <c r="A2" s="49"/>
      <c r="B2" s="49"/>
      <c r="C2" s="49"/>
      <c r="D2" s="49"/>
      <c r="E2" s="49"/>
      <c r="F2" s="49"/>
      <c r="G2" s="49"/>
      <c r="H2" s="49"/>
      <c r="I2" s="49"/>
      <c r="J2" s="49"/>
      <c r="K2" s="49"/>
      <c r="L2" s="49"/>
      <c r="M2" s="49"/>
      <c r="N2" s="49"/>
      <c r="O2" s="49"/>
      <c r="P2" s="49"/>
    </row>
    <row r="3" spans="1:16" s="1" customFormat="1" ht="7.5" customHeight="1" x14ac:dyDescent="0.25">
      <c r="L3" s="25"/>
      <c r="M3" s="25"/>
      <c r="N3" s="25"/>
    </row>
    <row r="4" spans="1:16" ht="21" x14ac:dyDescent="0.35">
      <c r="B4" s="50" t="s">
        <v>55</v>
      </c>
      <c r="C4" s="51">
        <v>9745878</v>
      </c>
      <c r="D4" s="68"/>
      <c r="E4" s="37"/>
      <c r="F4" s="37"/>
      <c r="G4" s="37"/>
      <c r="H4" s="37"/>
      <c r="I4" s="131" t="s">
        <v>81</v>
      </c>
      <c r="J4" s="132"/>
      <c r="K4" s="57">
        <v>1</v>
      </c>
      <c r="L4" s="58"/>
      <c r="M4" s="39"/>
      <c r="N4" s="39"/>
      <c r="O4" s="37"/>
      <c r="P4" s="37"/>
    </row>
    <row r="5" spans="1:16" ht="15.75" customHeight="1" x14ac:dyDescent="0.25">
      <c r="B5" s="37" t="s">
        <v>82</v>
      </c>
      <c r="C5" s="52">
        <v>6900890</v>
      </c>
      <c r="D5" s="68"/>
      <c r="E5" s="37"/>
      <c r="F5" s="37"/>
      <c r="G5" s="37"/>
      <c r="H5" s="37"/>
      <c r="I5" s="135" t="s">
        <v>36</v>
      </c>
      <c r="J5" s="135"/>
      <c r="K5" s="62"/>
      <c r="L5" s="63"/>
      <c r="M5" s="69"/>
      <c r="N5" s="39"/>
      <c r="O5" s="37"/>
      <c r="P5" s="37"/>
    </row>
    <row r="6" spans="1:16" ht="15.75" x14ac:dyDescent="0.25">
      <c r="B6" s="37" t="s">
        <v>56</v>
      </c>
      <c r="C6" s="52"/>
      <c r="D6" s="68"/>
      <c r="E6" s="37"/>
      <c r="F6" s="37"/>
      <c r="G6" s="37"/>
      <c r="H6" s="37"/>
      <c r="I6" s="135" t="s">
        <v>68</v>
      </c>
      <c r="J6" s="135"/>
      <c r="K6" s="62"/>
      <c r="L6" s="63"/>
      <c r="M6" s="69"/>
      <c r="N6" s="39"/>
      <c r="O6" s="37"/>
      <c r="P6" s="37"/>
    </row>
    <row r="7" spans="1:16" ht="15.75" x14ac:dyDescent="0.25">
      <c r="B7" s="37"/>
      <c r="C7" s="37"/>
      <c r="D7" s="68"/>
      <c r="E7" s="37"/>
      <c r="F7" s="37"/>
      <c r="G7" s="37"/>
      <c r="H7" s="37"/>
      <c r="I7" s="135" t="s">
        <v>69</v>
      </c>
      <c r="J7" s="135"/>
      <c r="K7" s="59"/>
      <c r="L7" s="60"/>
      <c r="M7" s="69"/>
      <c r="N7" s="39"/>
      <c r="O7" s="37"/>
      <c r="P7" s="37"/>
    </row>
    <row r="8" spans="1:16" ht="15.75" customHeight="1" x14ac:dyDescent="0.25">
      <c r="B8" s="37" t="s">
        <v>57</v>
      </c>
      <c r="C8" s="53"/>
      <c r="D8" s="68"/>
      <c r="E8" s="37"/>
      <c r="F8" s="37"/>
      <c r="G8" s="37"/>
      <c r="H8" s="37"/>
      <c r="I8" s="135" t="s">
        <v>70</v>
      </c>
      <c r="J8" s="135"/>
      <c r="K8" s="59"/>
      <c r="L8" s="60"/>
      <c r="M8" s="69"/>
      <c r="N8" s="39"/>
      <c r="O8" s="37"/>
      <c r="P8" s="37"/>
    </row>
    <row r="9" spans="1:16" ht="15.75" customHeight="1" x14ac:dyDescent="0.25">
      <c r="B9" s="37" t="s">
        <v>58</v>
      </c>
      <c r="C9" s="52"/>
      <c r="D9" s="68"/>
      <c r="E9" s="37"/>
      <c r="F9" s="37"/>
      <c r="G9" s="37"/>
      <c r="H9" s="37"/>
      <c r="I9" s="135" t="s">
        <v>71</v>
      </c>
      <c r="J9" s="135"/>
      <c r="K9" s="59"/>
      <c r="L9" s="60"/>
      <c r="M9" s="69"/>
      <c r="N9" s="39"/>
      <c r="O9" s="37"/>
      <c r="P9" s="37"/>
    </row>
    <row r="10" spans="1:16" ht="15.75" customHeight="1" x14ac:dyDescent="0.25">
      <c r="B10" s="37" t="s">
        <v>30</v>
      </c>
      <c r="C10" s="53"/>
      <c r="D10" s="68"/>
      <c r="E10" s="37"/>
      <c r="F10" s="37"/>
      <c r="G10" s="37"/>
      <c r="H10" s="37"/>
      <c r="I10" s="135" t="s">
        <v>72</v>
      </c>
      <c r="J10" s="135"/>
      <c r="K10" s="59"/>
      <c r="L10" s="60"/>
      <c r="M10" s="69"/>
      <c r="N10" s="39"/>
      <c r="O10" s="37"/>
      <c r="P10" s="37"/>
    </row>
    <row r="11" spans="1:16" ht="15.75" x14ac:dyDescent="0.25">
      <c r="B11" s="37" t="s">
        <v>9</v>
      </c>
      <c r="C11" s="52"/>
      <c r="D11" s="68"/>
      <c r="E11" s="37"/>
      <c r="F11" s="37"/>
      <c r="G11" s="37"/>
      <c r="H11" s="37"/>
      <c r="I11" s="135" t="s">
        <v>73</v>
      </c>
      <c r="J11" s="135"/>
      <c r="K11" s="64"/>
      <c r="L11" s="61"/>
      <c r="M11" s="70"/>
      <c r="N11" s="40"/>
      <c r="O11" s="37"/>
      <c r="P11" s="37"/>
    </row>
    <row r="12" spans="1:16" ht="6" customHeight="1" x14ac:dyDescent="0.25">
      <c r="B12" s="37"/>
      <c r="C12" s="37"/>
      <c r="D12" s="37"/>
      <c r="E12" s="37"/>
      <c r="F12" s="37"/>
      <c r="G12" s="37"/>
      <c r="H12" s="37"/>
      <c r="I12" s="37"/>
      <c r="J12" s="37"/>
      <c r="K12" s="37"/>
      <c r="L12" s="37"/>
      <c r="M12" s="37"/>
      <c r="N12" s="37"/>
      <c r="O12" s="37"/>
      <c r="P12" s="37"/>
    </row>
    <row r="13" spans="1:16" ht="21" x14ac:dyDescent="0.35">
      <c r="B13" s="65" t="s">
        <v>59</v>
      </c>
      <c r="C13" s="37"/>
      <c r="D13" s="37"/>
      <c r="E13" s="37"/>
      <c r="F13" s="37"/>
      <c r="G13" s="37"/>
      <c r="H13" s="37"/>
      <c r="I13" s="40"/>
      <c r="J13" s="25"/>
      <c r="K13" s="39"/>
      <c r="L13" s="39"/>
      <c r="M13" s="40"/>
      <c r="N13" s="40"/>
      <c r="O13" s="37"/>
      <c r="P13" s="37"/>
    </row>
    <row r="14" spans="1:16" ht="15.75" x14ac:dyDescent="0.25">
      <c r="B14" s="37" t="s">
        <v>60</v>
      </c>
      <c r="C14" s="54"/>
      <c r="D14" s="42"/>
      <c r="E14" s="42"/>
      <c r="F14" s="42"/>
      <c r="G14" s="43"/>
      <c r="H14" s="68" t="s">
        <v>83</v>
      </c>
      <c r="I14" s="40" t="s">
        <v>47</v>
      </c>
      <c r="J14" s="133"/>
      <c r="K14" s="134"/>
      <c r="L14" s="67"/>
      <c r="M14" s="67"/>
      <c r="N14" s="39"/>
      <c r="O14" s="37"/>
      <c r="P14" s="37"/>
    </row>
    <row r="15" spans="1:16" ht="15.75" x14ac:dyDescent="0.25">
      <c r="B15" s="37" t="s">
        <v>61</v>
      </c>
      <c r="C15" s="55" t="s">
        <v>20</v>
      </c>
      <c r="D15" s="39"/>
      <c r="E15" s="39"/>
      <c r="F15" s="39"/>
      <c r="G15" s="44"/>
      <c r="H15" s="68"/>
      <c r="I15" s="39" t="s">
        <v>7</v>
      </c>
      <c r="J15" s="122" t="s">
        <v>219</v>
      </c>
      <c r="K15" s="123"/>
      <c r="L15" s="123"/>
      <c r="M15" s="124"/>
      <c r="N15" s="39"/>
      <c r="O15" s="37"/>
      <c r="P15" s="37"/>
    </row>
    <row r="16" spans="1:16" ht="15.75" x14ac:dyDescent="0.25">
      <c r="B16" s="37" t="s">
        <v>62</v>
      </c>
      <c r="C16" s="55"/>
      <c r="D16" s="39"/>
      <c r="E16" s="39"/>
      <c r="F16" s="39"/>
      <c r="G16" s="44"/>
      <c r="H16" s="68" t="s">
        <v>84</v>
      </c>
      <c r="I16" s="39"/>
      <c r="J16" s="125"/>
      <c r="K16" s="126"/>
      <c r="L16" s="126"/>
      <c r="M16" s="127"/>
      <c r="N16" s="39"/>
      <c r="O16" s="37"/>
      <c r="P16" s="37"/>
    </row>
    <row r="17" spans="2:16" ht="15.75" x14ac:dyDescent="0.25">
      <c r="B17" s="37" t="s">
        <v>63</v>
      </c>
      <c r="C17" s="55"/>
      <c r="D17" s="39"/>
      <c r="E17" s="39"/>
      <c r="F17" s="39"/>
      <c r="G17" s="44"/>
      <c r="H17" s="68" t="s">
        <v>85</v>
      </c>
      <c r="I17" s="39"/>
      <c r="J17" s="125"/>
      <c r="K17" s="126"/>
      <c r="L17" s="126"/>
      <c r="M17" s="127"/>
      <c r="N17" s="39"/>
      <c r="O17" s="37"/>
      <c r="P17" s="37"/>
    </row>
    <row r="18" spans="2:16" ht="15.75" x14ac:dyDescent="0.25">
      <c r="B18" s="37" t="s">
        <v>64</v>
      </c>
      <c r="C18" s="55"/>
      <c r="D18" s="39"/>
      <c r="E18" s="39"/>
      <c r="F18" s="39"/>
      <c r="G18" s="44"/>
      <c r="H18" s="68" t="s">
        <v>86</v>
      </c>
      <c r="I18" s="39"/>
      <c r="J18" s="125"/>
      <c r="K18" s="126"/>
      <c r="L18" s="126"/>
      <c r="M18" s="127"/>
      <c r="N18" s="39"/>
      <c r="O18" s="37"/>
      <c r="P18" s="37"/>
    </row>
    <row r="19" spans="2:16" ht="22.5" customHeight="1" x14ac:dyDescent="0.25">
      <c r="B19" s="37" t="s">
        <v>65</v>
      </c>
      <c r="C19" s="56"/>
      <c r="D19" s="45"/>
      <c r="E19" s="45"/>
      <c r="F19" s="45"/>
      <c r="G19" s="46"/>
      <c r="H19" s="68" t="s">
        <v>87</v>
      </c>
      <c r="I19" s="39"/>
      <c r="J19" s="125"/>
      <c r="K19" s="126"/>
      <c r="L19" s="126"/>
      <c r="M19" s="127"/>
      <c r="N19" s="39"/>
      <c r="O19" s="37"/>
      <c r="P19" s="37"/>
    </row>
    <row r="20" spans="2:16" s="1" customFormat="1" ht="22.5" customHeight="1" x14ac:dyDescent="0.25">
      <c r="B20" s="37"/>
      <c r="C20" s="41"/>
      <c r="D20" s="41"/>
      <c r="E20" s="41"/>
      <c r="F20" s="41"/>
      <c r="G20" s="41"/>
      <c r="H20" s="68"/>
      <c r="I20" s="41"/>
      <c r="J20" s="125"/>
      <c r="K20" s="126"/>
      <c r="L20" s="126"/>
      <c r="M20" s="127"/>
      <c r="N20" s="41"/>
      <c r="O20" s="37"/>
      <c r="P20" s="37"/>
    </row>
    <row r="21" spans="2:16" s="1" customFormat="1" ht="80.25" customHeight="1" x14ac:dyDescent="0.25">
      <c r="B21" s="47" t="s">
        <v>66</v>
      </c>
      <c r="C21" s="119">
        <v>42657</v>
      </c>
      <c r="D21" s="120"/>
      <c r="E21" s="120"/>
      <c r="F21" s="120"/>
      <c r="G21" s="121"/>
      <c r="H21" s="37"/>
      <c r="I21" s="41"/>
      <c r="J21" s="128"/>
      <c r="K21" s="129"/>
      <c r="L21" s="129"/>
      <c r="M21" s="130"/>
      <c r="N21" s="41"/>
      <c r="O21" s="37"/>
      <c r="P21" s="37"/>
    </row>
    <row r="22" spans="2:16" s="1" customFormat="1" ht="6" customHeight="1" x14ac:dyDescent="0.25">
      <c r="B22" s="37"/>
      <c r="C22" s="41"/>
      <c r="D22" s="41"/>
      <c r="E22" s="41"/>
      <c r="F22" s="41"/>
      <c r="G22" s="41"/>
      <c r="H22" s="37"/>
      <c r="I22" s="41"/>
      <c r="J22" s="41"/>
      <c r="K22" s="41"/>
      <c r="L22" s="41"/>
      <c r="M22" s="41"/>
      <c r="N22" s="41"/>
      <c r="O22" s="37"/>
      <c r="P22" s="37"/>
    </row>
    <row r="23" spans="2:16" ht="5.25" customHeight="1" x14ac:dyDescent="0.25">
      <c r="B23" s="48"/>
      <c r="C23" s="48"/>
      <c r="D23" s="48"/>
      <c r="E23" s="48"/>
      <c r="F23" s="48"/>
      <c r="G23" s="48"/>
      <c r="H23" s="48"/>
      <c r="I23" s="48"/>
      <c r="J23" s="48"/>
      <c r="K23" s="48"/>
      <c r="L23" s="48"/>
      <c r="M23" s="48"/>
      <c r="N23" s="37"/>
      <c r="O23" s="37"/>
      <c r="P23" s="37"/>
    </row>
    <row r="24" spans="2:16" ht="21" x14ac:dyDescent="0.35">
      <c r="B24" s="65" t="s">
        <v>67</v>
      </c>
      <c r="C24" s="37"/>
      <c r="D24" s="37"/>
      <c r="E24" s="37"/>
      <c r="F24" s="37"/>
      <c r="G24" s="37"/>
      <c r="H24" s="37"/>
      <c r="I24" s="37"/>
      <c r="J24" s="37"/>
      <c r="K24" s="37"/>
      <c r="L24" s="37"/>
      <c r="M24" s="37"/>
      <c r="N24" s="37"/>
      <c r="O24" s="37"/>
      <c r="P24" s="37"/>
    </row>
    <row r="25" spans="2:16" ht="31.5" x14ac:dyDescent="0.25">
      <c r="B25" s="107" t="s">
        <v>74</v>
      </c>
      <c r="C25" s="107" t="s">
        <v>75</v>
      </c>
      <c r="D25" s="107" t="s">
        <v>76</v>
      </c>
      <c r="E25" s="107" t="s">
        <v>77</v>
      </c>
      <c r="F25" s="107" t="s">
        <v>35</v>
      </c>
      <c r="G25" s="107" t="s">
        <v>78</v>
      </c>
      <c r="H25" s="107" t="s">
        <v>79</v>
      </c>
      <c r="I25" s="107" t="s">
        <v>46</v>
      </c>
      <c r="J25" s="107" t="s">
        <v>80</v>
      </c>
      <c r="K25" s="107" t="s">
        <v>22</v>
      </c>
      <c r="L25" s="107" t="s">
        <v>21</v>
      </c>
      <c r="M25" s="107" t="s">
        <v>23</v>
      </c>
    </row>
    <row r="26" spans="2:16" ht="15.75" x14ac:dyDescent="0.25">
      <c r="B26" s="38"/>
      <c r="C26" s="38"/>
      <c r="D26" s="38"/>
      <c r="E26" s="38"/>
      <c r="F26" s="38"/>
      <c r="G26" s="38"/>
      <c r="H26" s="38"/>
      <c r="I26" s="38"/>
      <c r="J26" s="38"/>
      <c r="K26" s="38"/>
      <c r="L26" s="38"/>
      <c r="M26" s="38"/>
      <c r="N26" s="40"/>
      <c r="O26" s="40"/>
      <c r="P26" s="37"/>
    </row>
    <row r="27" spans="2:16" x14ac:dyDescent="0.25">
      <c r="B27" s="25"/>
      <c r="C27" s="25"/>
      <c r="D27" s="25"/>
      <c r="E27" s="25"/>
      <c r="F27" s="25"/>
      <c r="G27" s="25"/>
      <c r="H27" s="25"/>
      <c r="I27" s="25"/>
      <c r="J27" s="25"/>
      <c r="K27" s="25"/>
      <c r="L27" s="25"/>
      <c r="M27" s="25"/>
      <c r="N27" s="25"/>
      <c r="O27" s="25"/>
    </row>
    <row r="28" spans="2:16" x14ac:dyDescent="0.25">
      <c r="B28" s="25"/>
      <c r="C28" s="25"/>
      <c r="D28" s="25"/>
      <c r="E28" s="25"/>
      <c r="F28" s="25"/>
      <c r="G28" s="25"/>
      <c r="H28" s="25"/>
      <c r="I28" s="25"/>
      <c r="J28" s="25"/>
      <c r="K28" s="25"/>
      <c r="L28" s="25"/>
      <c r="M28" s="25"/>
      <c r="N28" s="25"/>
      <c r="O28" s="25"/>
    </row>
    <row r="29" spans="2:16" x14ac:dyDescent="0.25">
      <c r="B29" s="25"/>
      <c r="C29" s="25"/>
      <c r="D29" s="25"/>
      <c r="E29" s="25"/>
      <c r="F29" s="25"/>
      <c r="G29" s="25"/>
      <c r="H29" s="25"/>
      <c r="I29" s="25"/>
      <c r="J29" s="25"/>
      <c r="K29" s="25"/>
      <c r="L29" s="25"/>
      <c r="M29" s="25"/>
      <c r="N29" s="25"/>
      <c r="O29" s="25"/>
    </row>
    <row r="30" spans="2:16" x14ac:dyDescent="0.25">
      <c r="B30" s="25"/>
      <c r="C30" s="25"/>
      <c r="D30" s="25"/>
      <c r="E30" s="25"/>
      <c r="F30" s="25"/>
      <c r="G30" s="25"/>
      <c r="H30" s="25"/>
      <c r="I30" s="25"/>
      <c r="J30" s="25"/>
      <c r="K30" s="25"/>
      <c r="L30" s="25"/>
      <c r="M30" s="25"/>
      <c r="N30" s="25"/>
      <c r="O30" s="25"/>
    </row>
    <row r="31" spans="2:16" x14ac:dyDescent="0.25">
      <c r="B31" s="25"/>
      <c r="C31" s="25"/>
      <c r="D31" s="25"/>
      <c r="E31" s="25"/>
      <c r="F31" s="25"/>
      <c r="G31" s="25"/>
      <c r="H31" s="25"/>
      <c r="I31" s="25"/>
      <c r="J31" s="25"/>
      <c r="K31" s="25"/>
      <c r="L31" s="25"/>
      <c r="M31" s="25"/>
      <c r="N31" s="25"/>
      <c r="O31" s="25"/>
    </row>
    <row r="32" spans="2:16" x14ac:dyDescent="0.25">
      <c r="B32" s="25"/>
      <c r="C32" s="25"/>
      <c r="D32" s="25"/>
      <c r="E32" s="25"/>
      <c r="F32" s="25"/>
      <c r="G32" s="25"/>
      <c r="H32" s="25"/>
      <c r="I32" s="25"/>
      <c r="J32" s="25"/>
      <c r="K32" s="25"/>
      <c r="L32" s="25"/>
      <c r="M32" s="25"/>
      <c r="N32" s="25"/>
      <c r="O32" s="25"/>
    </row>
    <row r="33" spans="2:15" x14ac:dyDescent="0.25">
      <c r="B33" s="25"/>
      <c r="C33" s="25"/>
      <c r="D33" s="25"/>
      <c r="E33" s="25"/>
      <c r="F33" s="25"/>
      <c r="G33" s="25"/>
      <c r="H33" s="25"/>
      <c r="I33" s="25"/>
      <c r="J33" s="25"/>
      <c r="K33" s="25"/>
      <c r="L33" s="25"/>
      <c r="M33" s="25"/>
      <c r="N33" s="25"/>
      <c r="O33" s="25"/>
    </row>
    <row r="34" spans="2:15" x14ac:dyDescent="0.25">
      <c r="B34" s="25"/>
      <c r="C34" s="25"/>
      <c r="D34" s="25"/>
      <c r="E34" s="25"/>
      <c r="F34" s="25"/>
      <c r="G34" s="25"/>
      <c r="H34" s="25"/>
      <c r="I34" s="25"/>
      <c r="J34" s="25"/>
      <c r="K34" s="25"/>
      <c r="L34" s="25"/>
      <c r="M34" s="25"/>
      <c r="N34" s="25"/>
      <c r="O34" s="25"/>
    </row>
    <row r="35" spans="2:15" x14ac:dyDescent="0.25">
      <c r="B35" s="25"/>
      <c r="C35" s="25"/>
      <c r="D35" s="25"/>
      <c r="E35" s="25"/>
      <c r="F35" s="25"/>
      <c r="G35" s="25"/>
      <c r="H35" s="25"/>
      <c r="I35" s="25"/>
      <c r="J35" s="25"/>
      <c r="K35" s="25"/>
      <c r="L35" s="25"/>
      <c r="M35" s="25"/>
      <c r="N35" s="25"/>
      <c r="O35" s="25"/>
    </row>
    <row r="36" spans="2:15" x14ac:dyDescent="0.25">
      <c r="B36" s="25"/>
      <c r="C36" s="25"/>
      <c r="D36" s="25"/>
      <c r="E36" s="25"/>
      <c r="F36" s="25"/>
      <c r="G36" s="25"/>
      <c r="H36" s="25"/>
      <c r="I36" s="25"/>
      <c r="J36" s="25"/>
      <c r="K36" s="25"/>
      <c r="L36" s="25"/>
      <c r="M36" s="25"/>
      <c r="N36" s="25"/>
      <c r="O36" s="25"/>
    </row>
    <row r="37" spans="2:15" x14ac:dyDescent="0.25">
      <c r="B37" s="25"/>
      <c r="C37" s="25"/>
      <c r="D37" s="25"/>
      <c r="E37" s="25"/>
      <c r="F37" s="25"/>
      <c r="G37" s="25"/>
      <c r="H37" s="25"/>
      <c r="I37" s="25"/>
      <c r="J37" s="25"/>
      <c r="K37" s="25"/>
      <c r="L37" s="25"/>
      <c r="M37" s="25"/>
      <c r="N37" s="25"/>
      <c r="O37" s="25"/>
    </row>
    <row r="38" spans="2:15" x14ac:dyDescent="0.25">
      <c r="B38" s="25"/>
      <c r="C38" s="25"/>
      <c r="D38" s="25"/>
      <c r="E38" s="25"/>
      <c r="F38" s="25"/>
      <c r="G38" s="25"/>
      <c r="H38" s="25"/>
      <c r="I38" s="25"/>
      <c r="J38" s="25"/>
      <c r="K38" s="25"/>
      <c r="L38" s="25"/>
      <c r="M38" s="25"/>
      <c r="N38" s="25"/>
      <c r="O38" s="25"/>
    </row>
    <row r="39" spans="2:15" x14ac:dyDescent="0.25">
      <c r="B39" s="25"/>
      <c r="C39" s="25"/>
      <c r="D39" s="25"/>
      <c r="E39" s="25"/>
      <c r="F39" s="25"/>
      <c r="G39" s="25"/>
      <c r="H39" s="25"/>
      <c r="I39" s="25"/>
      <c r="J39" s="25"/>
      <c r="K39" s="25"/>
      <c r="L39" s="25"/>
      <c r="M39" s="25"/>
      <c r="N39" s="25"/>
      <c r="O39" s="25"/>
    </row>
    <row r="40" spans="2:15" x14ac:dyDescent="0.25">
      <c r="B40" s="25"/>
      <c r="C40" s="25"/>
      <c r="D40" s="25"/>
      <c r="E40" s="25"/>
      <c r="F40" s="25"/>
      <c r="G40" s="25"/>
      <c r="H40" s="25"/>
      <c r="I40" s="25"/>
      <c r="J40" s="25"/>
      <c r="K40" s="25"/>
      <c r="L40" s="25"/>
      <c r="M40" s="25"/>
      <c r="N40" s="25"/>
      <c r="O40" s="25"/>
    </row>
    <row r="41" spans="2:15" x14ac:dyDescent="0.25">
      <c r="B41" s="25"/>
      <c r="C41" s="25"/>
      <c r="D41" s="25"/>
      <c r="E41" s="25"/>
      <c r="F41" s="25"/>
      <c r="G41" s="25"/>
      <c r="H41" s="25"/>
      <c r="I41" s="25"/>
      <c r="J41" s="25"/>
      <c r="K41" s="25"/>
      <c r="L41" s="25"/>
      <c r="M41" s="25"/>
      <c r="N41" s="25"/>
      <c r="O41" s="25"/>
    </row>
    <row r="42" spans="2:15" x14ac:dyDescent="0.25">
      <c r="B42" s="25"/>
      <c r="C42" s="25"/>
      <c r="D42" s="25"/>
      <c r="E42" s="25"/>
      <c r="F42" s="25"/>
      <c r="G42" s="25"/>
      <c r="H42" s="25"/>
      <c r="I42" s="25"/>
      <c r="J42" s="25"/>
      <c r="K42" s="25"/>
      <c r="L42" s="25"/>
      <c r="M42" s="25"/>
      <c r="N42" s="25"/>
      <c r="O42" s="25"/>
    </row>
    <row r="43" spans="2:15" x14ac:dyDescent="0.25">
      <c r="B43" s="25"/>
      <c r="C43" s="25"/>
      <c r="D43" s="25"/>
      <c r="E43" s="25"/>
      <c r="F43" s="25"/>
      <c r="G43" s="25"/>
      <c r="H43" s="25"/>
      <c r="I43" s="25"/>
      <c r="J43" s="25"/>
      <c r="K43" s="25"/>
      <c r="L43" s="25"/>
      <c r="M43" s="25"/>
      <c r="N43" s="25"/>
      <c r="O43" s="25"/>
    </row>
    <row r="44" spans="2:15" x14ac:dyDescent="0.25">
      <c r="B44" s="25"/>
      <c r="C44" s="25"/>
      <c r="D44" s="25"/>
      <c r="E44" s="25"/>
      <c r="F44" s="25"/>
      <c r="G44" s="25"/>
      <c r="H44" s="25"/>
      <c r="I44" s="25"/>
      <c r="J44" s="25"/>
      <c r="K44" s="25"/>
      <c r="L44" s="25"/>
      <c r="M44" s="25"/>
      <c r="N44" s="25"/>
      <c r="O44" s="25"/>
    </row>
    <row r="45" spans="2:15" x14ac:dyDescent="0.25">
      <c r="B45" s="25"/>
      <c r="C45" s="25"/>
      <c r="D45" s="25"/>
      <c r="E45" s="25"/>
      <c r="F45" s="25"/>
      <c r="G45" s="25"/>
      <c r="H45" s="25"/>
      <c r="I45" s="25"/>
      <c r="J45" s="25"/>
      <c r="K45" s="25"/>
      <c r="L45" s="25"/>
      <c r="M45" s="25"/>
      <c r="N45" s="25"/>
      <c r="O45" s="25"/>
    </row>
    <row r="46" spans="2:15" x14ac:dyDescent="0.25">
      <c r="B46" s="25"/>
      <c r="C46" s="25"/>
      <c r="D46" s="25"/>
      <c r="E46" s="25"/>
      <c r="F46" s="25"/>
      <c r="G46" s="25"/>
      <c r="H46" s="25"/>
      <c r="I46" s="25"/>
      <c r="J46" s="25"/>
      <c r="K46" s="25"/>
      <c r="L46" s="25"/>
      <c r="M46" s="25"/>
      <c r="N46" s="25"/>
      <c r="O46" s="25"/>
    </row>
    <row r="47" spans="2:15" x14ac:dyDescent="0.25">
      <c r="B47" s="25"/>
      <c r="C47" s="25"/>
      <c r="D47" s="25"/>
      <c r="E47" s="25"/>
      <c r="F47" s="25"/>
      <c r="G47" s="25"/>
      <c r="H47" s="25"/>
      <c r="I47" s="25"/>
      <c r="J47" s="25"/>
      <c r="K47" s="25"/>
      <c r="L47" s="25"/>
      <c r="M47" s="25"/>
      <c r="N47" s="25"/>
      <c r="O47" s="25"/>
    </row>
    <row r="48" spans="2:15" x14ac:dyDescent="0.25">
      <c r="B48" s="25"/>
      <c r="C48" s="25"/>
      <c r="D48" s="25"/>
      <c r="E48" s="25"/>
      <c r="F48" s="25"/>
      <c r="G48" s="25"/>
      <c r="H48" s="25"/>
      <c r="I48" s="25"/>
      <c r="J48" s="25"/>
      <c r="K48" s="25"/>
      <c r="L48" s="25"/>
      <c r="M48" s="25"/>
      <c r="N48" s="25"/>
      <c r="O48" s="25"/>
    </row>
    <row r="49" spans="2:15" x14ac:dyDescent="0.25">
      <c r="B49" s="25"/>
      <c r="C49" s="25"/>
      <c r="D49" s="25"/>
      <c r="E49" s="25"/>
      <c r="F49" s="25"/>
      <c r="G49" s="25"/>
      <c r="H49" s="25"/>
      <c r="I49" s="25"/>
      <c r="J49" s="25"/>
      <c r="K49" s="25"/>
      <c r="L49" s="25"/>
      <c r="M49" s="25"/>
      <c r="N49" s="25"/>
      <c r="O49" s="25"/>
    </row>
    <row r="50" spans="2:15" x14ac:dyDescent="0.25">
      <c r="B50" s="25"/>
      <c r="C50" s="25"/>
      <c r="D50" s="25"/>
      <c r="E50" s="25"/>
      <c r="F50" s="25"/>
      <c r="G50" s="25"/>
      <c r="H50" s="25"/>
      <c r="I50" s="25"/>
      <c r="J50" s="25"/>
      <c r="K50" s="25"/>
      <c r="L50" s="25"/>
      <c r="M50" s="25"/>
      <c r="N50" s="25"/>
      <c r="O50" s="25"/>
    </row>
    <row r="51" spans="2:15" x14ac:dyDescent="0.25">
      <c r="B51" s="25"/>
      <c r="C51" s="25"/>
      <c r="D51" s="25"/>
      <c r="E51" s="25"/>
      <c r="F51" s="25"/>
      <c r="G51" s="25"/>
      <c r="H51" s="25"/>
      <c r="I51" s="25"/>
      <c r="J51" s="25"/>
      <c r="K51" s="25"/>
      <c r="L51" s="25"/>
      <c r="M51" s="25"/>
      <c r="N51" s="25"/>
      <c r="O51" s="25"/>
    </row>
    <row r="52" spans="2:15" x14ac:dyDescent="0.25">
      <c r="B52" s="25"/>
      <c r="C52" s="25"/>
      <c r="D52" s="25"/>
      <c r="E52" s="25"/>
      <c r="F52" s="25"/>
      <c r="G52" s="25"/>
      <c r="H52" s="25"/>
      <c r="I52" s="25"/>
      <c r="J52" s="25"/>
      <c r="K52" s="25"/>
      <c r="L52" s="25"/>
      <c r="M52" s="25"/>
      <c r="N52" s="25"/>
      <c r="O52" s="25"/>
    </row>
    <row r="53" spans="2:15" x14ac:dyDescent="0.25">
      <c r="B53" s="25"/>
      <c r="C53" s="25"/>
      <c r="D53" s="25"/>
      <c r="E53" s="25"/>
      <c r="F53" s="25"/>
      <c r="G53" s="25"/>
      <c r="H53" s="25"/>
      <c r="I53" s="25"/>
      <c r="J53" s="25"/>
      <c r="K53" s="25"/>
      <c r="L53" s="25"/>
      <c r="M53" s="25"/>
      <c r="N53" s="25"/>
      <c r="O53" s="25"/>
    </row>
    <row r="54" spans="2:15" x14ac:dyDescent="0.25">
      <c r="B54" s="25"/>
      <c r="C54" s="25"/>
      <c r="D54" s="25"/>
      <c r="E54" s="25"/>
      <c r="F54" s="25"/>
      <c r="G54" s="25"/>
      <c r="H54" s="25"/>
      <c r="I54" s="25"/>
      <c r="J54" s="25"/>
      <c r="K54" s="25"/>
      <c r="L54" s="25"/>
      <c r="M54" s="25"/>
      <c r="N54" s="25"/>
      <c r="O54" s="25"/>
    </row>
    <row r="55" spans="2:15" x14ac:dyDescent="0.25">
      <c r="B55" s="25"/>
      <c r="C55" s="25"/>
      <c r="D55" s="25"/>
      <c r="E55" s="25"/>
      <c r="F55" s="25"/>
      <c r="G55" s="25"/>
      <c r="H55" s="25"/>
      <c r="I55" s="25"/>
      <c r="J55" s="25"/>
      <c r="K55" s="25"/>
      <c r="L55" s="25"/>
      <c r="M55" s="25"/>
      <c r="N55" s="25"/>
      <c r="O55" s="25"/>
    </row>
    <row r="56" spans="2:15" x14ac:dyDescent="0.25">
      <c r="B56" s="25"/>
      <c r="C56" s="25"/>
      <c r="D56" s="25"/>
      <c r="E56" s="25"/>
      <c r="F56" s="25"/>
      <c r="G56" s="25"/>
      <c r="H56" s="25"/>
      <c r="I56" s="25"/>
      <c r="J56" s="25"/>
      <c r="K56" s="25"/>
      <c r="L56" s="25"/>
      <c r="M56" s="25"/>
      <c r="N56" s="25"/>
      <c r="O56" s="25"/>
    </row>
    <row r="57" spans="2:15" x14ac:dyDescent="0.25">
      <c r="B57" s="25"/>
      <c r="C57" s="25"/>
      <c r="D57" s="25"/>
      <c r="E57" s="25"/>
      <c r="F57" s="25"/>
      <c r="G57" s="25"/>
      <c r="H57" s="25"/>
      <c r="I57" s="25"/>
      <c r="J57" s="25"/>
      <c r="K57" s="25"/>
      <c r="L57" s="25"/>
      <c r="M57" s="25"/>
      <c r="N57" s="25"/>
      <c r="O57" s="25"/>
    </row>
    <row r="58" spans="2:15" x14ac:dyDescent="0.25">
      <c r="B58" s="25"/>
      <c r="C58" s="25"/>
      <c r="D58" s="25"/>
      <c r="E58" s="25"/>
      <c r="F58" s="25"/>
      <c r="G58" s="25"/>
      <c r="H58" s="25"/>
      <c r="I58" s="25"/>
      <c r="J58" s="25"/>
      <c r="K58" s="25"/>
      <c r="L58" s="25"/>
      <c r="M58" s="25"/>
      <c r="N58" s="25"/>
      <c r="O58" s="25"/>
    </row>
    <row r="59" spans="2:15" x14ac:dyDescent="0.25">
      <c r="B59" s="25"/>
      <c r="C59" s="25"/>
      <c r="D59" s="25"/>
      <c r="E59" s="25"/>
      <c r="F59" s="25"/>
      <c r="G59" s="25"/>
      <c r="H59" s="25"/>
      <c r="I59" s="25"/>
      <c r="J59" s="25"/>
      <c r="K59" s="25"/>
      <c r="L59" s="25"/>
      <c r="M59" s="25"/>
      <c r="N59" s="25"/>
      <c r="O59" s="25"/>
    </row>
    <row r="60" spans="2:15" x14ac:dyDescent="0.25">
      <c r="B60" s="25"/>
      <c r="C60" s="25"/>
      <c r="D60" s="25"/>
      <c r="E60" s="25"/>
      <c r="F60" s="25"/>
      <c r="G60" s="25"/>
      <c r="H60" s="25"/>
      <c r="I60" s="25"/>
      <c r="J60" s="25"/>
      <c r="K60" s="25"/>
      <c r="L60" s="25"/>
      <c r="M60" s="25"/>
      <c r="N60" s="25"/>
      <c r="O60" s="25"/>
    </row>
    <row r="61" spans="2:15" x14ac:dyDescent="0.25">
      <c r="B61" s="25"/>
      <c r="C61" s="25"/>
      <c r="D61" s="25"/>
      <c r="E61" s="25"/>
      <c r="F61" s="25"/>
      <c r="G61" s="25"/>
      <c r="H61" s="25"/>
      <c r="I61" s="25"/>
      <c r="J61" s="25"/>
      <c r="K61" s="25"/>
      <c r="L61" s="25"/>
      <c r="M61" s="25"/>
      <c r="N61" s="25"/>
      <c r="O61" s="25"/>
    </row>
    <row r="62" spans="2:15" x14ac:dyDescent="0.25">
      <c r="B62" s="25"/>
      <c r="C62" s="25"/>
      <c r="D62" s="25"/>
      <c r="E62" s="25"/>
      <c r="F62" s="25"/>
      <c r="G62" s="25"/>
      <c r="H62" s="25"/>
      <c r="I62" s="25"/>
      <c r="J62" s="25"/>
      <c r="K62" s="25"/>
      <c r="L62" s="25"/>
      <c r="M62" s="25"/>
      <c r="N62" s="25"/>
      <c r="O62" s="25"/>
    </row>
    <row r="63" spans="2:15" x14ac:dyDescent="0.25">
      <c r="B63" s="25"/>
      <c r="C63" s="25"/>
      <c r="D63" s="25"/>
      <c r="E63" s="25"/>
      <c r="F63" s="25"/>
      <c r="G63" s="25"/>
      <c r="H63" s="25"/>
      <c r="I63" s="25"/>
      <c r="J63" s="25"/>
      <c r="K63" s="25"/>
      <c r="L63" s="25"/>
      <c r="M63" s="25"/>
      <c r="N63" s="25"/>
      <c r="O63" s="25"/>
    </row>
    <row r="64" spans="2:15" x14ac:dyDescent="0.25">
      <c r="B64" s="25"/>
      <c r="C64" s="25"/>
      <c r="D64" s="25"/>
      <c r="E64" s="25"/>
      <c r="F64" s="25"/>
      <c r="G64" s="25"/>
      <c r="H64" s="25"/>
      <c r="I64" s="25"/>
      <c r="J64" s="25"/>
      <c r="K64" s="25"/>
      <c r="L64" s="25"/>
      <c r="M64" s="25"/>
      <c r="N64" s="25"/>
      <c r="O64" s="25"/>
    </row>
    <row r="65" spans="2:15" x14ac:dyDescent="0.25">
      <c r="B65" s="25"/>
      <c r="C65" s="25"/>
      <c r="D65" s="25"/>
      <c r="E65" s="25"/>
      <c r="F65" s="25"/>
      <c r="G65" s="25"/>
      <c r="H65" s="25"/>
      <c r="I65" s="25"/>
      <c r="J65" s="25"/>
      <c r="K65" s="25"/>
      <c r="L65" s="25"/>
      <c r="M65" s="25"/>
      <c r="N65" s="25"/>
      <c r="O65" s="25"/>
    </row>
    <row r="66" spans="2:15" x14ac:dyDescent="0.25">
      <c r="B66" s="25"/>
      <c r="C66" s="25"/>
      <c r="D66" s="25"/>
      <c r="E66" s="25"/>
      <c r="F66" s="25"/>
      <c r="G66" s="25"/>
      <c r="H66" s="25"/>
      <c r="I66" s="25"/>
      <c r="J66" s="25"/>
      <c r="K66" s="25"/>
      <c r="L66" s="25"/>
      <c r="M66" s="25"/>
      <c r="N66" s="25"/>
      <c r="O66" s="25"/>
    </row>
    <row r="67" spans="2:15" x14ac:dyDescent="0.25">
      <c r="B67" s="25"/>
      <c r="C67" s="25"/>
      <c r="D67" s="25"/>
      <c r="E67" s="25"/>
      <c r="F67" s="25"/>
      <c r="G67" s="25"/>
      <c r="H67" s="25"/>
      <c r="I67" s="25"/>
      <c r="J67" s="25"/>
      <c r="K67" s="25"/>
      <c r="L67" s="25"/>
      <c r="M67" s="25"/>
      <c r="N67" s="25"/>
      <c r="O67" s="25"/>
    </row>
    <row r="68" spans="2:15" x14ac:dyDescent="0.25">
      <c r="B68" s="25"/>
      <c r="C68" s="25"/>
      <c r="D68" s="25"/>
      <c r="E68" s="25"/>
      <c r="F68" s="25"/>
      <c r="G68" s="25"/>
      <c r="H68" s="25"/>
      <c r="I68" s="25"/>
      <c r="J68" s="25"/>
      <c r="K68" s="25"/>
      <c r="L68" s="25"/>
      <c r="M68" s="25"/>
      <c r="N68" s="25"/>
      <c r="O68" s="25"/>
    </row>
    <row r="69" spans="2:15" x14ac:dyDescent="0.25">
      <c r="B69" s="25"/>
      <c r="C69" s="25"/>
      <c r="D69" s="25"/>
      <c r="E69" s="25"/>
      <c r="F69" s="25"/>
      <c r="G69" s="25"/>
      <c r="H69" s="25"/>
      <c r="I69" s="25"/>
      <c r="J69" s="25"/>
      <c r="K69" s="25"/>
      <c r="L69" s="25"/>
      <c r="M69" s="25"/>
      <c r="N69" s="25"/>
      <c r="O69" s="25"/>
    </row>
    <row r="70" spans="2:15" x14ac:dyDescent="0.25">
      <c r="B70" s="25"/>
      <c r="C70" s="25"/>
      <c r="D70" s="25"/>
      <c r="E70" s="25"/>
      <c r="F70" s="25"/>
      <c r="G70" s="25"/>
      <c r="H70" s="25"/>
      <c r="I70" s="25"/>
      <c r="J70" s="25"/>
      <c r="K70" s="25"/>
      <c r="L70" s="25"/>
      <c r="M70" s="25"/>
      <c r="N70" s="25"/>
      <c r="O70" s="25"/>
    </row>
    <row r="71" spans="2:15" x14ac:dyDescent="0.25">
      <c r="B71" s="25"/>
      <c r="C71" s="25"/>
      <c r="D71" s="25"/>
      <c r="E71" s="25"/>
      <c r="F71" s="25"/>
      <c r="G71" s="25"/>
      <c r="H71" s="25"/>
      <c r="I71" s="25"/>
      <c r="J71" s="25"/>
      <c r="K71" s="25"/>
      <c r="L71" s="25"/>
      <c r="M71" s="25"/>
      <c r="N71" s="25"/>
      <c r="O71" s="25"/>
    </row>
    <row r="72" spans="2:15" x14ac:dyDescent="0.25">
      <c r="B72" s="25"/>
      <c r="C72" s="25"/>
      <c r="D72" s="25"/>
      <c r="E72" s="25"/>
      <c r="F72" s="25"/>
      <c r="G72" s="25"/>
      <c r="H72" s="25"/>
      <c r="I72" s="25"/>
      <c r="J72" s="25"/>
      <c r="K72" s="25"/>
      <c r="L72" s="25"/>
      <c r="M72" s="25"/>
      <c r="N72" s="25"/>
      <c r="O72" s="25"/>
    </row>
    <row r="73" spans="2:15" x14ac:dyDescent="0.25">
      <c r="B73" s="25"/>
      <c r="C73" s="25"/>
      <c r="D73" s="25"/>
      <c r="E73" s="25"/>
      <c r="F73" s="25"/>
      <c r="G73" s="25"/>
      <c r="H73" s="25"/>
      <c r="I73" s="25"/>
      <c r="J73" s="25"/>
      <c r="K73" s="25"/>
      <c r="L73" s="25"/>
      <c r="M73" s="25"/>
      <c r="N73" s="25"/>
      <c r="O73" s="25"/>
    </row>
    <row r="74" spans="2:15" x14ac:dyDescent="0.25">
      <c r="B74" s="25"/>
      <c r="C74" s="25"/>
      <c r="D74" s="25"/>
      <c r="E74" s="25"/>
      <c r="F74" s="25"/>
      <c r="G74" s="25"/>
      <c r="H74" s="25"/>
      <c r="I74" s="25"/>
      <c r="J74" s="25"/>
      <c r="K74" s="25"/>
      <c r="L74" s="25"/>
      <c r="M74" s="25"/>
      <c r="N74" s="25"/>
      <c r="O74" s="25"/>
    </row>
    <row r="75" spans="2:15" x14ac:dyDescent="0.25">
      <c r="B75" s="25"/>
      <c r="C75" s="25"/>
      <c r="D75" s="25"/>
      <c r="E75" s="25"/>
      <c r="F75" s="25"/>
      <c r="G75" s="25"/>
      <c r="H75" s="25"/>
      <c r="I75" s="25"/>
      <c r="J75" s="25"/>
      <c r="K75" s="25"/>
      <c r="L75" s="25"/>
      <c r="M75" s="25"/>
      <c r="N75" s="25"/>
      <c r="O75" s="25"/>
    </row>
    <row r="76" spans="2:15" x14ac:dyDescent="0.25">
      <c r="B76" s="25"/>
      <c r="C76" s="25"/>
      <c r="D76" s="25"/>
      <c r="E76" s="25"/>
      <c r="F76" s="25"/>
      <c r="G76" s="25"/>
      <c r="H76" s="25"/>
      <c r="I76" s="25"/>
      <c r="J76" s="25"/>
      <c r="K76" s="25"/>
      <c r="L76" s="25"/>
      <c r="M76" s="25"/>
      <c r="N76" s="25"/>
      <c r="O76" s="25"/>
    </row>
    <row r="77" spans="2:15" x14ac:dyDescent="0.25">
      <c r="B77" s="25"/>
      <c r="C77" s="25"/>
      <c r="D77" s="25"/>
      <c r="E77" s="25"/>
      <c r="F77" s="25"/>
      <c r="G77" s="25"/>
      <c r="H77" s="25"/>
      <c r="I77" s="25"/>
      <c r="J77" s="25"/>
      <c r="K77" s="25"/>
      <c r="L77" s="25"/>
      <c r="M77" s="25"/>
      <c r="N77" s="25"/>
      <c r="O77" s="25"/>
    </row>
    <row r="78" spans="2:15" x14ac:dyDescent="0.25">
      <c r="B78" s="25"/>
      <c r="C78" s="25"/>
      <c r="D78" s="25"/>
      <c r="E78" s="25"/>
      <c r="F78" s="25"/>
      <c r="G78" s="25"/>
      <c r="H78" s="25"/>
      <c r="I78" s="25"/>
      <c r="J78" s="25"/>
      <c r="K78" s="25"/>
      <c r="L78" s="25"/>
      <c r="M78" s="25"/>
      <c r="N78" s="25"/>
      <c r="O78" s="25"/>
    </row>
    <row r="79" spans="2:15" x14ac:dyDescent="0.25">
      <c r="B79" s="25"/>
      <c r="C79" s="25"/>
      <c r="D79" s="25"/>
      <c r="E79" s="25"/>
      <c r="F79" s="25"/>
      <c r="G79" s="25"/>
      <c r="H79" s="25"/>
      <c r="I79" s="25"/>
      <c r="J79" s="25"/>
      <c r="K79" s="25"/>
      <c r="L79" s="25"/>
      <c r="M79" s="25"/>
      <c r="N79" s="25"/>
      <c r="O79" s="25"/>
    </row>
    <row r="80" spans="2:15" x14ac:dyDescent="0.25">
      <c r="B80" s="25"/>
      <c r="C80" s="25"/>
      <c r="D80" s="25"/>
      <c r="E80" s="25"/>
      <c r="F80" s="25"/>
      <c r="G80" s="25"/>
      <c r="H80" s="25"/>
      <c r="I80" s="25"/>
      <c r="J80" s="25"/>
      <c r="K80" s="25"/>
      <c r="L80" s="25"/>
      <c r="M80" s="25"/>
      <c r="N80" s="25"/>
      <c r="O80" s="25"/>
    </row>
    <row r="81" spans="2:15" x14ac:dyDescent="0.25">
      <c r="B81" s="25"/>
      <c r="C81" s="25"/>
      <c r="D81" s="25"/>
      <c r="E81" s="25"/>
      <c r="F81" s="25"/>
      <c r="G81" s="25"/>
      <c r="H81" s="25"/>
      <c r="I81" s="25"/>
      <c r="J81" s="25"/>
      <c r="K81" s="25"/>
      <c r="L81" s="25"/>
      <c r="M81" s="25"/>
      <c r="N81" s="25"/>
      <c r="O81" s="25"/>
    </row>
    <row r="82" spans="2:15" x14ac:dyDescent="0.25">
      <c r="B82" s="25"/>
      <c r="C82" s="25"/>
      <c r="D82" s="25"/>
      <c r="E82" s="25"/>
      <c r="F82" s="25"/>
      <c r="G82" s="25"/>
      <c r="H82" s="25"/>
      <c r="I82" s="25"/>
      <c r="J82" s="25"/>
      <c r="K82" s="25"/>
      <c r="L82" s="25"/>
      <c r="M82" s="25"/>
      <c r="N82" s="25"/>
      <c r="O82" s="25"/>
    </row>
    <row r="83" spans="2:15" x14ac:dyDescent="0.25">
      <c r="B83" s="25"/>
      <c r="C83" s="25"/>
      <c r="D83" s="25"/>
      <c r="E83" s="25"/>
      <c r="F83" s="25"/>
      <c r="G83" s="25"/>
      <c r="H83" s="25"/>
      <c r="I83" s="25"/>
      <c r="J83" s="25"/>
      <c r="K83" s="25"/>
      <c r="L83" s="25"/>
      <c r="M83" s="25"/>
      <c r="N83" s="25"/>
      <c r="O83" s="25"/>
    </row>
    <row r="84" spans="2:15" x14ac:dyDescent="0.25">
      <c r="B84" s="25"/>
      <c r="C84" s="25"/>
      <c r="D84" s="25"/>
      <c r="E84" s="25"/>
      <c r="F84" s="25"/>
      <c r="G84" s="25"/>
      <c r="H84" s="25"/>
      <c r="I84" s="25"/>
      <c r="J84" s="25"/>
      <c r="K84" s="25"/>
      <c r="L84" s="25"/>
      <c r="M84" s="25"/>
      <c r="N84" s="25"/>
      <c r="O84" s="25"/>
    </row>
    <row r="85" spans="2:15" x14ac:dyDescent="0.25">
      <c r="B85" s="25"/>
      <c r="C85" s="25"/>
      <c r="D85" s="25"/>
      <c r="E85" s="25"/>
      <c r="F85" s="25"/>
      <c r="G85" s="25"/>
      <c r="H85" s="25"/>
      <c r="I85" s="25"/>
      <c r="J85" s="25"/>
      <c r="K85" s="25"/>
      <c r="L85" s="25"/>
      <c r="M85" s="25"/>
      <c r="N85" s="25"/>
      <c r="O85" s="25"/>
    </row>
    <row r="86" spans="2:15" x14ac:dyDescent="0.25">
      <c r="B86" s="25"/>
      <c r="C86" s="25"/>
      <c r="D86" s="25"/>
      <c r="E86" s="25"/>
      <c r="F86" s="25"/>
      <c r="G86" s="25"/>
      <c r="H86" s="25"/>
      <c r="I86" s="25"/>
      <c r="J86" s="25"/>
      <c r="K86" s="25"/>
      <c r="L86" s="25"/>
      <c r="M86" s="25"/>
      <c r="N86" s="25"/>
      <c r="O86" s="25"/>
    </row>
    <row r="87" spans="2:15" x14ac:dyDescent="0.25">
      <c r="B87" s="25"/>
      <c r="C87" s="25"/>
      <c r="D87" s="25"/>
      <c r="E87" s="25"/>
      <c r="F87" s="25"/>
      <c r="G87" s="25"/>
      <c r="H87" s="25"/>
      <c r="I87" s="25"/>
      <c r="J87" s="25"/>
      <c r="K87" s="25"/>
      <c r="L87" s="25"/>
      <c r="M87" s="25"/>
      <c r="N87" s="25"/>
      <c r="O87" s="25"/>
    </row>
    <row r="88" spans="2:15" x14ac:dyDescent="0.25">
      <c r="B88" s="25"/>
      <c r="C88" s="25"/>
      <c r="D88" s="25"/>
      <c r="E88" s="25"/>
      <c r="F88" s="25"/>
      <c r="G88" s="25"/>
      <c r="H88" s="25"/>
      <c r="I88" s="25"/>
      <c r="J88" s="25"/>
      <c r="K88" s="25"/>
      <c r="L88" s="25"/>
      <c r="M88" s="25"/>
      <c r="N88" s="25"/>
      <c r="O88" s="25"/>
    </row>
    <row r="89" spans="2:15" x14ac:dyDescent="0.25">
      <c r="B89" s="25"/>
      <c r="C89" s="25"/>
      <c r="D89" s="25"/>
      <c r="E89" s="25"/>
      <c r="F89" s="25"/>
      <c r="G89" s="25"/>
      <c r="H89" s="25"/>
      <c r="I89" s="25"/>
      <c r="J89" s="25"/>
      <c r="K89" s="25"/>
      <c r="L89" s="25"/>
      <c r="M89" s="25"/>
      <c r="N89" s="25"/>
      <c r="O89" s="25"/>
    </row>
    <row r="90" spans="2:15" x14ac:dyDescent="0.25">
      <c r="B90" s="25"/>
      <c r="C90" s="25"/>
      <c r="D90" s="25"/>
      <c r="E90" s="25"/>
      <c r="F90" s="25"/>
      <c r="G90" s="25"/>
      <c r="H90" s="25"/>
      <c r="I90" s="25"/>
      <c r="J90" s="25"/>
      <c r="K90" s="25"/>
      <c r="L90" s="25"/>
      <c r="M90" s="25"/>
      <c r="N90" s="25"/>
      <c r="O90" s="25"/>
    </row>
    <row r="91" spans="2:15" x14ac:dyDescent="0.25">
      <c r="B91" s="25"/>
      <c r="C91" s="25"/>
      <c r="D91" s="25"/>
      <c r="E91" s="25"/>
      <c r="F91" s="25"/>
      <c r="G91" s="25"/>
      <c r="H91" s="25"/>
      <c r="I91" s="25"/>
      <c r="J91" s="25"/>
      <c r="K91" s="25"/>
      <c r="L91" s="25"/>
      <c r="M91" s="25"/>
      <c r="N91" s="25"/>
      <c r="O91" s="25"/>
    </row>
    <row r="92" spans="2:15" x14ac:dyDescent="0.25">
      <c r="B92" s="25"/>
      <c r="C92" s="25"/>
      <c r="D92" s="25"/>
      <c r="E92" s="25"/>
      <c r="F92" s="25"/>
      <c r="G92" s="25"/>
      <c r="H92" s="25"/>
      <c r="I92" s="25"/>
      <c r="J92" s="25"/>
      <c r="K92" s="25"/>
      <c r="L92" s="25"/>
      <c r="M92" s="25"/>
      <c r="N92" s="25"/>
      <c r="O92" s="25"/>
    </row>
    <row r="93" spans="2:15" x14ac:dyDescent="0.25">
      <c r="B93" s="25"/>
      <c r="C93" s="25"/>
      <c r="D93" s="25"/>
      <c r="E93" s="25"/>
      <c r="F93" s="25"/>
      <c r="G93" s="25"/>
      <c r="H93" s="25"/>
      <c r="I93" s="25"/>
      <c r="J93" s="25"/>
      <c r="K93" s="25"/>
      <c r="L93" s="25"/>
      <c r="M93" s="25"/>
      <c r="N93" s="25"/>
      <c r="O93" s="25"/>
    </row>
    <row r="94" spans="2:15" x14ac:dyDescent="0.25">
      <c r="B94" s="25"/>
      <c r="C94" s="25"/>
      <c r="D94" s="25"/>
      <c r="E94" s="25"/>
      <c r="F94" s="25"/>
      <c r="G94" s="25"/>
      <c r="H94" s="25"/>
      <c r="I94" s="25"/>
      <c r="J94" s="25"/>
      <c r="K94" s="25"/>
      <c r="L94" s="25"/>
      <c r="M94" s="25"/>
      <c r="N94" s="25"/>
      <c r="O94" s="25"/>
    </row>
    <row r="95" spans="2:15" x14ac:dyDescent="0.25">
      <c r="B95" s="25"/>
      <c r="C95" s="25"/>
      <c r="D95" s="25"/>
      <c r="E95" s="25"/>
      <c r="F95" s="25"/>
      <c r="G95" s="25"/>
      <c r="H95" s="25"/>
      <c r="I95" s="25"/>
      <c r="J95" s="25"/>
      <c r="K95" s="25"/>
      <c r="L95" s="25"/>
      <c r="M95" s="25"/>
      <c r="N95" s="25"/>
      <c r="O95" s="25"/>
    </row>
    <row r="96" spans="2:15" x14ac:dyDescent="0.25">
      <c r="B96" s="25"/>
      <c r="C96" s="25"/>
      <c r="D96" s="25"/>
      <c r="E96" s="25"/>
      <c r="F96" s="25"/>
      <c r="G96" s="25"/>
      <c r="H96" s="25"/>
      <c r="I96" s="25"/>
      <c r="J96" s="25"/>
      <c r="K96" s="25"/>
      <c r="L96" s="25"/>
      <c r="M96" s="25"/>
      <c r="N96" s="25"/>
      <c r="O96" s="25"/>
    </row>
    <row r="97" spans="2:15" x14ac:dyDescent="0.25">
      <c r="B97" s="25"/>
      <c r="C97" s="25"/>
      <c r="D97" s="25"/>
      <c r="E97" s="25"/>
      <c r="F97" s="25"/>
      <c r="G97" s="25"/>
      <c r="H97" s="25"/>
      <c r="I97" s="25"/>
      <c r="J97" s="25"/>
      <c r="K97" s="25"/>
      <c r="L97" s="25"/>
      <c r="M97" s="25"/>
      <c r="N97" s="25"/>
      <c r="O97" s="25"/>
    </row>
    <row r="98" spans="2:15" x14ac:dyDescent="0.25">
      <c r="B98" s="25"/>
      <c r="C98" s="25"/>
      <c r="D98" s="25"/>
      <c r="E98" s="25"/>
      <c r="F98" s="25"/>
      <c r="G98" s="25"/>
      <c r="H98" s="25"/>
      <c r="I98" s="25"/>
      <c r="J98" s="25"/>
      <c r="K98" s="25"/>
      <c r="L98" s="25"/>
      <c r="M98" s="25"/>
      <c r="N98" s="25"/>
      <c r="O98" s="25"/>
    </row>
    <row r="99" spans="2:15" x14ac:dyDescent="0.25">
      <c r="B99" s="25"/>
      <c r="C99" s="25"/>
      <c r="D99" s="25"/>
      <c r="E99" s="25"/>
      <c r="F99" s="25"/>
      <c r="G99" s="25"/>
      <c r="H99" s="25"/>
      <c r="I99" s="25"/>
      <c r="J99" s="25"/>
      <c r="K99" s="25"/>
      <c r="L99" s="25"/>
      <c r="M99" s="25"/>
      <c r="N99" s="25"/>
      <c r="O99" s="25"/>
    </row>
    <row r="100" spans="2:15" x14ac:dyDescent="0.25">
      <c r="B100" s="25"/>
      <c r="C100" s="25"/>
      <c r="D100" s="25"/>
      <c r="E100" s="25"/>
      <c r="F100" s="25"/>
      <c r="G100" s="25"/>
      <c r="H100" s="25"/>
      <c r="I100" s="25"/>
      <c r="J100" s="25"/>
      <c r="K100" s="25"/>
      <c r="L100" s="25"/>
      <c r="M100" s="25"/>
      <c r="N100" s="25"/>
      <c r="O100" s="25"/>
    </row>
    <row r="101" spans="2:15" x14ac:dyDescent="0.25">
      <c r="B101" s="25"/>
      <c r="C101" s="25"/>
      <c r="D101" s="25"/>
      <c r="E101" s="25"/>
      <c r="F101" s="25"/>
      <c r="G101" s="25"/>
      <c r="H101" s="25"/>
      <c r="I101" s="25"/>
      <c r="J101" s="25"/>
      <c r="K101" s="25"/>
      <c r="L101" s="25"/>
      <c r="M101" s="25"/>
      <c r="N101" s="25"/>
      <c r="O101" s="25"/>
    </row>
    <row r="102" spans="2:15" x14ac:dyDescent="0.25">
      <c r="B102" s="25"/>
      <c r="C102" s="25"/>
      <c r="D102" s="25"/>
      <c r="E102" s="25"/>
      <c r="F102" s="25"/>
      <c r="G102" s="25"/>
      <c r="H102" s="25"/>
      <c r="I102" s="25"/>
      <c r="J102" s="25"/>
      <c r="K102" s="25"/>
      <c r="L102" s="25"/>
      <c r="M102" s="25"/>
      <c r="N102" s="25"/>
      <c r="O102" s="25"/>
    </row>
    <row r="103" spans="2:15" x14ac:dyDescent="0.25">
      <c r="B103" s="25"/>
      <c r="C103" s="25"/>
      <c r="D103" s="25"/>
      <c r="E103" s="25"/>
      <c r="F103" s="25"/>
      <c r="G103" s="25"/>
      <c r="H103" s="25"/>
      <c r="I103" s="25"/>
      <c r="J103" s="25"/>
      <c r="K103" s="25"/>
      <c r="L103" s="25"/>
      <c r="M103" s="25"/>
      <c r="N103" s="25"/>
      <c r="O103" s="25"/>
    </row>
    <row r="104" spans="2:15" x14ac:dyDescent="0.25">
      <c r="B104" s="25"/>
      <c r="C104" s="25"/>
      <c r="D104" s="25"/>
      <c r="E104" s="25"/>
      <c r="F104" s="25"/>
      <c r="G104" s="25"/>
      <c r="H104" s="25"/>
      <c r="I104" s="25"/>
      <c r="J104" s="25"/>
      <c r="K104" s="25"/>
      <c r="L104" s="25"/>
      <c r="M104" s="25"/>
      <c r="N104" s="25"/>
      <c r="O104" s="25"/>
    </row>
    <row r="105" spans="2:15" x14ac:dyDescent="0.25">
      <c r="B105" s="25"/>
      <c r="C105" s="25"/>
      <c r="D105" s="25"/>
      <c r="E105" s="25"/>
      <c r="F105" s="25"/>
      <c r="G105" s="25"/>
      <c r="H105" s="25"/>
      <c r="I105" s="25"/>
      <c r="J105" s="25"/>
      <c r="K105" s="25"/>
      <c r="L105" s="25"/>
      <c r="M105" s="25"/>
      <c r="N105" s="25"/>
      <c r="O105" s="25"/>
    </row>
    <row r="106" spans="2:15" x14ac:dyDescent="0.25">
      <c r="B106" s="25"/>
      <c r="C106" s="25"/>
      <c r="D106" s="25"/>
      <c r="E106" s="25"/>
      <c r="F106" s="25"/>
      <c r="G106" s="25"/>
      <c r="H106" s="25"/>
      <c r="I106" s="25"/>
      <c r="J106" s="25"/>
      <c r="K106" s="25"/>
      <c r="L106" s="25"/>
      <c r="M106" s="25"/>
      <c r="N106" s="25"/>
      <c r="O106" s="25"/>
    </row>
    <row r="107" spans="2:15" x14ac:dyDescent="0.25">
      <c r="B107" s="25"/>
      <c r="C107" s="25"/>
      <c r="D107" s="25"/>
      <c r="E107" s="25"/>
      <c r="F107" s="25"/>
      <c r="G107" s="25"/>
      <c r="H107" s="25"/>
      <c r="I107" s="25"/>
      <c r="J107" s="25"/>
      <c r="K107" s="25"/>
      <c r="L107" s="25"/>
      <c r="M107" s="25"/>
      <c r="N107" s="25"/>
      <c r="O107" s="25"/>
    </row>
    <row r="108" spans="2:15" x14ac:dyDescent="0.25">
      <c r="B108" s="25"/>
      <c r="C108" s="25"/>
      <c r="D108" s="25"/>
      <c r="E108" s="25"/>
      <c r="F108" s="25"/>
      <c r="G108" s="25"/>
      <c r="H108" s="25"/>
      <c r="I108" s="25"/>
      <c r="J108" s="25"/>
      <c r="K108" s="25"/>
      <c r="L108" s="25"/>
      <c r="M108" s="25"/>
      <c r="N108" s="25"/>
      <c r="O108" s="25"/>
    </row>
    <row r="109" spans="2:15" x14ac:dyDescent="0.25">
      <c r="B109" s="25"/>
      <c r="C109" s="25"/>
      <c r="D109" s="25"/>
      <c r="E109" s="25"/>
      <c r="F109" s="25"/>
      <c r="G109" s="25"/>
      <c r="H109" s="25"/>
      <c r="I109" s="25"/>
      <c r="J109" s="25"/>
      <c r="K109" s="25"/>
      <c r="L109" s="25"/>
      <c r="M109" s="25"/>
      <c r="N109" s="25"/>
      <c r="O109" s="25"/>
    </row>
    <row r="110" spans="2:15" x14ac:dyDescent="0.25">
      <c r="B110" s="25"/>
      <c r="C110" s="25"/>
      <c r="D110" s="25"/>
      <c r="E110" s="25"/>
      <c r="F110" s="25"/>
      <c r="G110" s="25"/>
      <c r="H110" s="25"/>
      <c r="I110" s="25"/>
      <c r="J110" s="25"/>
      <c r="K110" s="25"/>
      <c r="L110" s="25"/>
      <c r="M110" s="25"/>
      <c r="N110" s="25"/>
      <c r="O110" s="25"/>
    </row>
    <row r="111" spans="2:15" x14ac:dyDescent="0.25">
      <c r="B111" s="25"/>
      <c r="C111" s="25"/>
      <c r="D111" s="25"/>
      <c r="E111" s="25"/>
      <c r="F111" s="25"/>
      <c r="G111" s="25"/>
      <c r="H111" s="25"/>
      <c r="I111" s="25"/>
      <c r="J111" s="25"/>
      <c r="K111" s="25"/>
      <c r="L111" s="25"/>
      <c r="M111" s="25"/>
      <c r="N111" s="25"/>
      <c r="O111" s="25"/>
    </row>
    <row r="112" spans="2:15" x14ac:dyDescent="0.25">
      <c r="B112" s="25"/>
      <c r="C112" s="25"/>
      <c r="D112" s="25"/>
      <c r="E112" s="25"/>
      <c r="F112" s="25"/>
      <c r="G112" s="25"/>
      <c r="H112" s="25"/>
      <c r="I112" s="25"/>
      <c r="J112" s="25"/>
      <c r="K112" s="25"/>
      <c r="L112" s="25"/>
      <c r="M112" s="25"/>
      <c r="N112" s="25"/>
      <c r="O112" s="25"/>
    </row>
    <row r="113" spans="2:15" x14ac:dyDescent="0.25">
      <c r="B113" s="25"/>
      <c r="C113" s="25"/>
      <c r="D113" s="25"/>
      <c r="E113" s="25"/>
      <c r="F113" s="25"/>
      <c r="G113" s="25"/>
      <c r="H113" s="25"/>
      <c r="I113" s="25"/>
      <c r="J113" s="25"/>
      <c r="K113" s="25"/>
      <c r="L113" s="25"/>
      <c r="M113" s="25"/>
      <c r="N113" s="25"/>
      <c r="O113" s="25"/>
    </row>
    <row r="114" spans="2:15" x14ac:dyDescent="0.25">
      <c r="B114" s="25"/>
      <c r="C114" s="25"/>
      <c r="D114" s="25"/>
      <c r="E114" s="25"/>
      <c r="F114" s="25"/>
      <c r="G114" s="25"/>
      <c r="H114" s="25"/>
      <c r="I114" s="25"/>
      <c r="J114" s="25"/>
      <c r="K114" s="25"/>
      <c r="L114" s="25"/>
      <c r="M114" s="25"/>
      <c r="N114" s="25"/>
      <c r="O114" s="25"/>
    </row>
    <row r="115" spans="2:15" x14ac:dyDescent="0.25">
      <c r="B115" s="25"/>
      <c r="C115" s="25"/>
      <c r="D115" s="25"/>
      <c r="E115" s="25"/>
      <c r="F115" s="25"/>
      <c r="G115" s="25"/>
      <c r="H115" s="25"/>
      <c r="I115" s="25"/>
      <c r="J115" s="25"/>
      <c r="K115" s="25"/>
      <c r="L115" s="25"/>
      <c r="M115" s="25"/>
      <c r="N115" s="25"/>
      <c r="O115" s="25"/>
    </row>
    <row r="116" spans="2:15" x14ac:dyDescent="0.25">
      <c r="B116" s="25"/>
      <c r="C116" s="25"/>
      <c r="D116" s="25"/>
      <c r="E116" s="25"/>
      <c r="F116" s="25"/>
      <c r="G116" s="25"/>
      <c r="H116" s="25"/>
      <c r="I116" s="25"/>
      <c r="J116" s="25"/>
      <c r="K116" s="25"/>
      <c r="L116" s="25"/>
      <c r="M116" s="25"/>
      <c r="N116" s="25"/>
      <c r="O116" s="25"/>
    </row>
    <row r="117" spans="2:15" x14ac:dyDescent="0.25">
      <c r="B117" s="25"/>
      <c r="C117" s="25"/>
      <c r="D117" s="25"/>
      <c r="E117" s="25"/>
      <c r="F117" s="25"/>
      <c r="G117" s="25"/>
      <c r="H117" s="25"/>
      <c r="I117" s="25"/>
      <c r="J117" s="25"/>
      <c r="K117" s="25"/>
      <c r="L117" s="25"/>
      <c r="M117" s="25"/>
      <c r="N117" s="25"/>
      <c r="O117" s="25"/>
    </row>
    <row r="118" spans="2:15" x14ac:dyDescent="0.25">
      <c r="B118" s="25"/>
      <c r="C118" s="25"/>
      <c r="D118" s="25"/>
      <c r="E118" s="25"/>
      <c r="F118" s="25"/>
      <c r="G118" s="25"/>
      <c r="H118" s="25"/>
      <c r="I118" s="25"/>
      <c r="J118" s="25"/>
      <c r="K118" s="25"/>
      <c r="L118" s="25"/>
      <c r="M118" s="25"/>
      <c r="N118" s="25"/>
      <c r="O118" s="25"/>
    </row>
    <row r="119" spans="2:15" x14ac:dyDescent="0.25">
      <c r="B119" s="25"/>
      <c r="C119" s="25"/>
      <c r="D119" s="25"/>
      <c r="E119" s="25"/>
      <c r="F119" s="25"/>
      <c r="G119" s="25"/>
      <c r="H119" s="25"/>
      <c r="I119" s="25"/>
      <c r="J119" s="25"/>
      <c r="K119" s="25"/>
      <c r="L119" s="25"/>
      <c r="M119" s="25"/>
      <c r="N119" s="25"/>
      <c r="O119" s="25"/>
    </row>
    <row r="120" spans="2:15" x14ac:dyDescent="0.25">
      <c r="B120" s="25"/>
      <c r="C120" s="25"/>
      <c r="D120" s="25"/>
      <c r="E120" s="25"/>
      <c r="F120" s="25"/>
      <c r="G120" s="25"/>
      <c r="H120" s="25"/>
      <c r="I120" s="25"/>
      <c r="J120" s="25"/>
      <c r="K120" s="25"/>
      <c r="L120" s="25"/>
      <c r="M120" s="25"/>
      <c r="N120" s="25"/>
      <c r="O120" s="25"/>
    </row>
    <row r="121" spans="2:15" x14ac:dyDescent="0.25">
      <c r="B121" s="25"/>
      <c r="C121" s="25"/>
      <c r="D121" s="25"/>
      <c r="E121" s="25"/>
      <c r="F121" s="25"/>
      <c r="G121" s="25"/>
      <c r="H121" s="25"/>
      <c r="I121" s="25"/>
      <c r="J121" s="25"/>
      <c r="K121" s="25"/>
      <c r="L121" s="25"/>
      <c r="M121" s="25"/>
      <c r="N121" s="25"/>
      <c r="O121" s="25"/>
    </row>
    <row r="122" spans="2:15" x14ac:dyDescent="0.25">
      <c r="B122" s="25"/>
      <c r="C122" s="25"/>
      <c r="D122" s="25"/>
      <c r="E122" s="25"/>
      <c r="F122" s="25"/>
      <c r="G122" s="25"/>
      <c r="H122" s="25"/>
      <c r="I122" s="25"/>
      <c r="J122" s="25"/>
      <c r="K122" s="25"/>
      <c r="L122" s="25"/>
      <c r="M122" s="25"/>
      <c r="N122" s="25"/>
      <c r="O122" s="25"/>
    </row>
    <row r="123" spans="2:15" x14ac:dyDescent="0.25">
      <c r="B123" s="25"/>
      <c r="C123" s="25"/>
      <c r="D123" s="25"/>
      <c r="E123" s="25"/>
      <c r="F123" s="25"/>
      <c r="G123" s="25"/>
      <c r="H123" s="25"/>
      <c r="I123" s="25"/>
      <c r="J123" s="25"/>
      <c r="K123" s="25"/>
      <c r="L123" s="25"/>
      <c r="M123" s="25"/>
      <c r="N123" s="25"/>
      <c r="O123" s="25"/>
    </row>
    <row r="124" spans="2:15" x14ac:dyDescent="0.25">
      <c r="B124" s="25"/>
      <c r="C124" s="25"/>
      <c r="D124" s="25"/>
      <c r="E124" s="25"/>
      <c r="F124" s="25"/>
      <c r="G124" s="25"/>
      <c r="H124" s="25"/>
      <c r="I124" s="25"/>
      <c r="J124" s="25"/>
      <c r="K124" s="25"/>
      <c r="L124" s="25"/>
      <c r="M124" s="25"/>
      <c r="N124" s="25"/>
      <c r="O124" s="25"/>
    </row>
    <row r="125" spans="2:15" x14ac:dyDescent="0.25">
      <c r="B125" s="25"/>
      <c r="C125" s="25"/>
      <c r="D125" s="25"/>
      <c r="E125" s="25"/>
      <c r="F125" s="25"/>
      <c r="G125" s="25"/>
      <c r="H125" s="25"/>
      <c r="I125" s="25"/>
      <c r="J125" s="25"/>
      <c r="K125" s="25"/>
      <c r="L125" s="25"/>
      <c r="M125" s="25"/>
      <c r="N125" s="25"/>
      <c r="O125" s="25"/>
    </row>
    <row r="126" spans="2:15" x14ac:dyDescent="0.25">
      <c r="B126" s="25"/>
      <c r="C126" s="25"/>
      <c r="D126" s="25"/>
      <c r="E126" s="25"/>
      <c r="F126" s="25"/>
      <c r="G126" s="25"/>
      <c r="H126" s="25"/>
      <c r="I126" s="25"/>
      <c r="J126" s="25"/>
      <c r="K126" s="25"/>
      <c r="L126" s="25"/>
      <c r="M126" s="25"/>
      <c r="N126" s="25"/>
      <c r="O126" s="25"/>
    </row>
    <row r="127" spans="2:15" x14ac:dyDescent="0.25">
      <c r="B127" s="25"/>
      <c r="C127" s="25"/>
      <c r="D127" s="25"/>
      <c r="E127" s="25"/>
      <c r="F127" s="25"/>
      <c r="G127" s="25"/>
      <c r="H127" s="25"/>
      <c r="I127" s="25"/>
      <c r="J127" s="25"/>
      <c r="K127" s="25"/>
      <c r="L127" s="25"/>
      <c r="M127" s="25"/>
      <c r="N127" s="25"/>
      <c r="O127" s="25"/>
    </row>
    <row r="128" spans="2:15" x14ac:dyDescent="0.25">
      <c r="B128" s="25"/>
      <c r="C128" s="25"/>
      <c r="D128" s="25"/>
      <c r="E128" s="25"/>
      <c r="F128" s="25"/>
      <c r="G128" s="25"/>
      <c r="H128" s="25"/>
      <c r="I128" s="25"/>
      <c r="J128" s="25"/>
      <c r="K128" s="25"/>
      <c r="L128" s="25"/>
      <c r="M128" s="25"/>
      <c r="N128" s="25"/>
      <c r="O128" s="25"/>
    </row>
    <row r="129" spans="2:15" x14ac:dyDescent="0.25">
      <c r="B129" s="25"/>
      <c r="C129" s="25"/>
      <c r="D129" s="25"/>
      <c r="E129" s="25"/>
      <c r="F129" s="25"/>
      <c r="G129" s="25"/>
      <c r="H129" s="25"/>
      <c r="I129" s="25"/>
      <c r="J129" s="25"/>
      <c r="K129" s="25"/>
      <c r="L129" s="25"/>
      <c r="M129" s="25"/>
      <c r="N129" s="25"/>
      <c r="O129" s="25"/>
    </row>
    <row r="130" spans="2:15" x14ac:dyDescent="0.25">
      <c r="B130" s="25"/>
      <c r="C130" s="25"/>
      <c r="D130" s="25"/>
      <c r="E130" s="25"/>
      <c r="F130" s="25"/>
      <c r="G130" s="25"/>
      <c r="H130" s="25"/>
      <c r="I130" s="25"/>
      <c r="J130" s="25"/>
      <c r="K130" s="25"/>
      <c r="L130" s="25"/>
      <c r="M130" s="25"/>
      <c r="N130" s="25"/>
      <c r="O130" s="25"/>
    </row>
    <row r="131" spans="2:15" x14ac:dyDescent="0.25">
      <c r="B131" s="25"/>
      <c r="C131" s="25"/>
      <c r="D131" s="25"/>
      <c r="E131" s="25"/>
      <c r="F131" s="25"/>
      <c r="G131" s="25"/>
      <c r="H131" s="25"/>
      <c r="I131" s="25"/>
      <c r="J131" s="25"/>
      <c r="K131" s="25"/>
      <c r="L131" s="25"/>
      <c r="M131" s="25"/>
      <c r="N131" s="25"/>
      <c r="O131" s="25"/>
    </row>
    <row r="132" spans="2:15" x14ac:dyDescent="0.25">
      <c r="B132" s="25"/>
      <c r="C132" s="25"/>
      <c r="D132" s="25"/>
      <c r="E132" s="25"/>
      <c r="F132" s="25"/>
      <c r="G132" s="25"/>
      <c r="H132" s="25"/>
      <c r="I132" s="25"/>
      <c r="J132" s="25"/>
      <c r="K132" s="25"/>
      <c r="L132" s="25"/>
      <c r="M132" s="25"/>
      <c r="N132" s="25"/>
      <c r="O132" s="25"/>
    </row>
    <row r="133" spans="2:15" x14ac:dyDescent="0.25">
      <c r="B133" s="25"/>
      <c r="C133" s="25"/>
      <c r="D133" s="25"/>
      <c r="E133" s="25"/>
      <c r="F133" s="25"/>
      <c r="G133" s="25"/>
      <c r="H133" s="25"/>
      <c r="I133" s="25"/>
      <c r="J133" s="25"/>
      <c r="K133" s="25"/>
      <c r="L133" s="25"/>
      <c r="M133" s="25"/>
      <c r="N133" s="25"/>
      <c r="O133" s="25"/>
    </row>
    <row r="134" spans="2:15" x14ac:dyDescent="0.25">
      <c r="B134" s="25"/>
      <c r="C134" s="25"/>
      <c r="D134" s="25"/>
      <c r="E134" s="25"/>
      <c r="F134" s="25"/>
      <c r="G134" s="25"/>
      <c r="H134" s="25"/>
      <c r="I134" s="25"/>
      <c r="J134" s="25"/>
      <c r="K134" s="25"/>
      <c r="L134" s="25"/>
      <c r="M134" s="25"/>
      <c r="N134" s="25"/>
      <c r="O134" s="25"/>
    </row>
    <row r="135" spans="2:15" x14ac:dyDescent="0.25">
      <c r="B135" s="25"/>
      <c r="C135" s="25"/>
      <c r="D135" s="25"/>
      <c r="E135" s="25"/>
      <c r="F135" s="25"/>
      <c r="G135" s="25"/>
      <c r="H135" s="25"/>
      <c r="I135" s="25"/>
      <c r="J135" s="25"/>
      <c r="K135" s="25"/>
      <c r="L135" s="25"/>
      <c r="M135" s="25"/>
      <c r="N135" s="25"/>
      <c r="O135" s="25"/>
    </row>
    <row r="136" spans="2:15" x14ac:dyDescent="0.25">
      <c r="B136" s="25"/>
      <c r="C136" s="25"/>
      <c r="D136" s="25"/>
      <c r="E136" s="25"/>
      <c r="F136" s="25"/>
      <c r="G136" s="25"/>
      <c r="H136" s="25"/>
      <c r="I136" s="25"/>
      <c r="J136" s="25"/>
      <c r="K136" s="25"/>
      <c r="L136" s="25"/>
      <c r="M136" s="25"/>
      <c r="N136" s="25"/>
      <c r="O136" s="25"/>
    </row>
    <row r="137" spans="2:15" x14ac:dyDescent="0.25">
      <c r="B137" s="25"/>
      <c r="C137" s="25"/>
      <c r="D137" s="25"/>
      <c r="E137" s="25"/>
      <c r="F137" s="25"/>
      <c r="G137" s="25"/>
      <c r="H137" s="25"/>
      <c r="I137" s="25"/>
      <c r="J137" s="25"/>
      <c r="K137" s="25"/>
      <c r="L137" s="25"/>
      <c r="M137" s="25"/>
      <c r="N137" s="25"/>
      <c r="O137" s="25"/>
    </row>
    <row r="138" spans="2:15" x14ac:dyDescent="0.25">
      <c r="B138" s="25"/>
      <c r="C138" s="25"/>
      <c r="D138" s="25"/>
      <c r="E138" s="25"/>
      <c r="F138" s="25"/>
      <c r="G138" s="25"/>
      <c r="H138" s="25"/>
      <c r="I138" s="25"/>
      <c r="J138" s="25"/>
      <c r="K138" s="25"/>
      <c r="L138" s="25"/>
      <c r="M138" s="25"/>
      <c r="N138" s="25"/>
      <c r="O138" s="25"/>
    </row>
    <row r="139" spans="2:15" x14ac:dyDescent="0.25">
      <c r="B139" s="25"/>
      <c r="C139" s="25"/>
      <c r="D139" s="25"/>
      <c r="E139" s="25"/>
      <c r="F139" s="25"/>
      <c r="G139" s="25"/>
      <c r="H139" s="25"/>
      <c r="I139" s="25"/>
      <c r="J139" s="25"/>
      <c r="K139" s="25"/>
      <c r="L139" s="25"/>
      <c r="M139" s="25"/>
      <c r="N139" s="25"/>
      <c r="O139" s="25"/>
    </row>
    <row r="140" spans="2:15" x14ac:dyDescent="0.25">
      <c r="B140" s="25"/>
      <c r="C140" s="25"/>
      <c r="D140" s="25"/>
      <c r="E140" s="25"/>
      <c r="F140" s="25"/>
      <c r="G140" s="25"/>
      <c r="H140" s="25"/>
      <c r="I140" s="25"/>
      <c r="J140" s="25"/>
      <c r="K140" s="25"/>
      <c r="L140" s="25"/>
      <c r="M140" s="25"/>
      <c r="N140" s="25"/>
      <c r="O140" s="25"/>
    </row>
    <row r="141" spans="2:15" x14ac:dyDescent="0.25">
      <c r="B141" s="25"/>
      <c r="C141" s="25"/>
      <c r="D141" s="25"/>
      <c r="E141" s="25"/>
      <c r="F141" s="25"/>
      <c r="G141" s="25"/>
      <c r="H141" s="25"/>
      <c r="I141" s="25"/>
      <c r="J141" s="25"/>
      <c r="K141" s="25"/>
      <c r="L141" s="25"/>
      <c r="M141" s="25"/>
      <c r="N141" s="25"/>
      <c r="O141" s="25"/>
    </row>
    <row r="142" spans="2:15" x14ac:dyDescent="0.25">
      <c r="B142" s="25"/>
      <c r="C142" s="25"/>
      <c r="D142" s="25"/>
      <c r="E142" s="25"/>
      <c r="F142" s="25"/>
      <c r="G142" s="25"/>
      <c r="H142" s="25"/>
      <c r="I142" s="25"/>
      <c r="J142" s="25"/>
      <c r="K142" s="25"/>
      <c r="L142" s="25"/>
      <c r="M142" s="25"/>
      <c r="N142" s="25"/>
      <c r="O142" s="25"/>
    </row>
    <row r="143" spans="2:15" x14ac:dyDescent="0.25">
      <c r="B143" s="25"/>
      <c r="C143" s="25"/>
      <c r="D143" s="25"/>
      <c r="E143" s="25"/>
      <c r="F143" s="25"/>
      <c r="G143" s="25"/>
      <c r="H143" s="25"/>
      <c r="I143" s="25"/>
      <c r="J143" s="25"/>
      <c r="K143" s="25"/>
      <c r="L143" s="25"/>
      <c r="M143" s="25"/>
      <c r="N143" s="25"/>
      <c r="O143" s="25"/>
    </row>
    <row r="144" spans="2:15" x14ac:dyDescent="0.25">
      <c r="B144" s="25"/>
      <c r="C144" s="25"/>
      <c r="D144" s="25"/>
      <c r="E144" s="25"/>
      <c r="F144" s="25"/>
      <c r="G144" s="25"/>
      <c r="H144" s="25"/>
      <c r="I144" s="25"/>
      <c r="J144" s="25"/>
      <c r="K144" s="25"/>
      <c r="L144" s="25"/>
      <c r="M144" s="25"/>
      <c r="N144" s="25"/>
      <c r="O144" s="25"/>
    </row>
    <row r="145" spans="2:15" x14ac:dyDescent="0.25">
      <c r="B145" s="25"/>
      <c r="C145" s="25"/>
      <c r="D145" s="25"/>
      <c r="E145" s="25"/>
      <c r="F145" s="25"/>
      <c r="G145" s="25"/>
      <c r="H145" s="25"/>
      <c r="I145" s="25"/>
      <c r="J145" s="25"/>
      <c r="K145" s="25"/>
      <c r="L145" s="25"/>
      <c r="M145" s="25"/>
      <c r="N145" s="25"/>
      <c r="O145" s="25"/>
    </row>
    <row r="146" spans="2:15" x14ac:dyDescent="0.25">
      <c r="B146" s="25"/>
      <c r="C146" s="25"/>
      <c r="D146" s="25"/>
      <c r="E146" s="25"/>
      <c r="F146" s="25"/>
      <c r="G146" s="25"/>
      <c r="H146" s="25"/>
      <c r="I146" s="25"/>
      <c r="J146" s="25"/>
      <c r="K146" s="25"/>
      <c r="L146" s="25"/>
      <c r="M146" s="25"/>
      <c r="N146" s="25"/>
      <c r="O146" s="25"/>
    </row>
    <row r="147" spans="2:15" x14ac:dyDescent="0.25">
      <c r="B147" s="25"/>
      <c r="C147" s="25"/>
      <c r="D147" s="25"/>
      <c r="E147" s="25"/>
      <c r="F147" s="25"/>
      <c r="G147" s="25"/>
      <c r="H147" s="25"/>
      <c r="I147" s="25"/>
      <c r="J147" s="25"/>
      <c r="K147" s="25"/>
      <c r="L147" s="25"/>
      <c r="M147" s="25"/>
      <c r="N147" s="25"/>
      <c r="O147" s="25"/>
    </row>
    <row r="148" spans="2:15" x14ac:dyDescent="0.25">
      <c r="B148" s="25"/>
      <c r="C148" s="25"/>
      <c r="D148" s="25"/>
      <c r="E148" s="25"/>
      <c r="F148" s="25"/>
      <c r="G148" s="25"/>
      <c r="H148" s="25"/>
      <c r="I148" s="25"/>
      <c r="J148" s="25"/>
      <c r="K148" s="25"/>
      <c r="L148" s="25"/>
      <c r="M148" s="25"/>
      <c r="N148" s="25"/>
      <c r="O148" s="25"/>
    </row>
    <row r="149" spans="2:15" x14ac:dyDescent="0.25">
      <c r="B149" s="25"/>
      <c r="C149" s="25"/>
      <c r="D149" s="25"/>
      <c r="E149" s="25"/>
      <c r="F149" s="25"/>
      <c r="G149" s="25"/>
      <c r="H149" s="25"/>
      <c r="I149" s="25"/>
      <c r="J149" s="25"/>
      <c r="K149" s="25"/>
      <c r="L149" s="25"/>
      <c r="M149" s="25"/>
      <c r="N149" s="25"/>
      <c r="O149" s="25"/>
    </row>
    <row r="150" spans="2:15" x14ac:dyDescent="0.25">
      <c r="B150" s="25"/>
      <c r="C150" s="25"/>
      <c r="D150" s="25"/>
      <c r="E150" s="25"/>
      <c r="F150" s="25"/>
      <c r="G150" s="25"/>
      <c r="H150" s="25"/>
      <c r="I150" s="25"/>
      <c r="J150" s="25"/>
      <c r="K150" s="25"/>
      <c r="L150" s="25"/>
      <c r="M150" s="25"/>
      <c r="N150" s="25"/>
      <c r="O150" s="25"/>
    </row>
    <row r="151" spans="2:15" x14ac:dyDescent="0.25">
      <c r="B151" s="25"/>
      <c r="C151" s="25"/>
      <c r="D151" s="25"/>
      <c r="E151" s="25"/>
      <c r="F151" s="25"/>
      <c r="G151" s="25"/>
      <c r="H151" s="25"/>
      <c r="I151" s="25"/>
      <c r="J151" s="25"/>
      <c r="K151" s="25"/>
      <c r="L151" s="25"/>
      <c r="M151" s="25"/>
      <c r="N151" s="25"/>
      <c r="O151" s="25"/>
    </row>
    <row r="152" spans="2:15" x14ac:dyDescent="0.25">
      <c r="B152" s="25"/>
      <c r="C152" s="25"/>
      <c r="D152" s="25"/>
      <c r="E152" s="25"/>
      <c r="F152" s="25"/>
      <c r="G152" s="25"/>
      <c r="H152" s="25"/>
      <c r="I152" s="25"/>
      <c r="J152" s="25"/>
      <c r="K152" s="25"/>
      <c r="L152" s="25"/>
      <c r="M152" s="25"/>
      <c r="N152" s="25"/>
      <c r="O152" s="25"/>
    </row>
    <row r="153" spans="2:15" x14ac:dyDescent="0.25">
      <c r="B153" s="25"/>
      <c r="C153" s="25"/>
      <c r="D153" s="25"/>
      <c r="E153" s="25"/>
      <c r="F153" s="25"/>
      <c r="G153" s="25"/>
      <c r="H153" s="25"/>
      <c r="I153" s="25"/>
      <c r="J153" s="25"/>
      <c r="K153" s="25"/>
      <c r="L153" s="25"/>
      <c r="M153" s="25"/>
      <c r="N153" s="25"/>
      <c r="O153" s="25"/>
    </row>
    <row r="154" spans="2:15" x14ac:dyDescent="0.25">
      <c r="B154" s="25"/>
      <c r="C154" s="25"/>
      <c r="D154" s="25"/>
      <c r="E154" s="25"/>
      <c r="F154" s="25"/>
      <c r="G154" s="25"/>
      <c r="H154" s="25"/>
      <c r="I154" s="25"/>
      <c r="J154" s="25"/>
      <c r="K154" s="25"/>
      <c r="L154" s="25"/>
      <c r="M154" s="25"/>
      <c r="N154" s="25"/>
      <c r="O154" s="25"/>
    </row>
    <row r="155" spans="2:15" x14ac:dyDescent="0.25">
      <c r="B155" s="25"/>
      <c r="C155" s="25"/>
      <c r="D155" s="25"/>
      <c r="E155" s="25"/>
      <c r="F155" s="25"/>
      <c r="G155" s="25"/>
      <c r="H155" s="25"/>
      <c r="I155" s="25"/>
      <c r="J155" s="25"/>
      <c r="K155" s="25"/>
      <c r="L155" s="25"/>
      <c r="M155" s="25"/>
      <c r="N155" s="25"/>
      <c r="O155" s="25"/>
    </row>
    <row r="156" spans="2:15" x14ac:dyDescent="0.25">
      <c r="B156" s="25"/>
      <c r="C156" s="25"/>
      <c r="D156" s="25"/>
      <c r="E156" s="25"/>
      <c r="F156" s="25"/>
      <c r="G156" s="25"/>
      <c r="H156" s="25"/>
      <c r="I156" s="25"/>
      <c r="J156" s="25"/>
      <c r="K156" s="25"/>
      <c r="L156" s="25"/>
      <c r="M156" s="25"/>
      <c r="N156" s="25"/>
      <c r="O156" s="25"/>
    </row>
    <row r="157" spans="2:15" x14ac:dyDescent="0.25">
      <c r="B157" s="25"/>
      <c r="C157" s="25"/>
      <c r="D157" s="25"/>
      <c r="E157" s="25"/>
      <c r="F157" s="25"/>
      <c r="G157" s="25"/>
      <c r="H157" s="25"/>
      <c r="I157" s="25"/>
      <c r="J157" s="25"/>
      <c r="K157" s="25"/>
      <c r="L157" s="25"/>
      <c r="M157" s="25"/>
      <c r="N157" s="25"/>
      <c r="O157" s="25"/>
    </row>
    <row r="158" spans="2:15" x14ac:dyDescent="0.25">
      <c r="B158" s="25"/>
      <c r="C158" s="25"/>
      <c r="D158" s="25"/>
      <c r="E158" s="25"/>
      <c r="F158" s="25"/>
      <c r="G158" s="25"/>
      <c r="H158" s="25"/>
      <c r="I158" s="25"/>
      <c r="J158" s="25"/>
      <c r="K158" s="25"/>
      <c r="L158" s="25"/>
      <c r="M158" s="25"/>
      <c r="N158" s="25"/>
      <c r="O158" s="25"/>
    </row>
    <row r="159" spans="2:15" x14ac:dyDescent="0.25">
      <c r="B159" s="25"/>
      <c r="C159" s="25"/>
      <c r="D159" s="25"/>
      <c r="E159" s="25"/>
      <c r="F159" s="25"/>
      <c r="G159" s="25"/>
      <c r="H159" s="25"/>
      <c r="I159" s="25"/>
      <c r="J159" s="25"/>
      <c r="K159" s="25"/>
      <c r="L159" s="25"/>
      <c r="M159" s="25"/>
      <c r="N159" s="25"/>
      <c r="O159" s="25"/>
    </row>
    <row r="160" spans="2:15" x14ac:dyDescent="0.25">
      <c r="B160" s="25"/>
      <c r="C160" s="25"/>
      <c r="D160" s="25"/>
      <c r="E160" s="25"/>
      <c r="F160" s="25"/>
      <c r="G160" s="25"/>
      <c r="H160" s="25"/>
      <c r="I160" s="25"/>
      <c r="J160" s="25"/>
      <c r="K160" s="25"/>
      <c r="L160" s="25"/>
      <c r="M160" s="25"/>
      <c r="N160" s="25"/>
      <c r="O160" s="25"/>
    </row>
    <row r="161" spans="2:15" x14ac:dyDescent="0.25">
      <c r="B161" s="25"/>
      <c r="C161" s="25"/>
      <c r="D161" s="25"/>
      <c r="E161" s="25"/>
      <c r="F161" s="25"/>
      <c r="G161" s="25"/>
      <c r="H161" s="25"/>
      <c r="I161" s="25"/>
      <c r="J161" s="25"/>
      <c r="K161" s="25"/>
      <c r="L161" s="25"/>
      <c r="M161" s="25"/>
      <c r="N161" s="25"/>
      <c r="O161" s="25"/>
    </row>
    <row r="162" spans="2:15" x14ac:dyDescent="0.25">
      <c r="B162" s="25"/>
      <c r="C162" s="25"/>
      <c r="D162" s="25"/>
      <c r="E162" s="25"/>
      <c r="F162" s="25"/>
      <c r="G162" s="25"/>
      <c r="H162" s="25"/>
      <c r="I162" s="25"/>
      <c r="J162" s="25"/>
      <c r="K162" s="25"/>
      <c r="L162" s="25"/>
      <c r="M162" s="25"/>
      <c r="N162" s="25"/>
      <c r="O162" s="25"/>
    </row>
    <row r="163" spans="2:15" x14ac:dyDescent="0.25">
      <c r="B163" s="25"/>
      <c r="C163" s="25"/>
      <c r="D163" s="25"/>
      <c r="E163" s="25"/>
      <c r="F163" s="25"/>
      <c r="G163" s="25"/>
      <c r="H163" s="25"/>
      <c r="I163" s="25"/>
      <c r="J163" s="25"/>
      <c r="K163" s="25"/>
      <c r="L163" s="25"/>
      <c r="M163" s="25"/>
      <c r="N163" s="25"/>
      <c r="O163" s="25"/>
    </row>
    <row r="164" spans="2:15" x14ac:dyDescent="0.25">
      <c r="B164" s="25"/>
      <c r="C164" s="25"/>
      <c r="D164" s="25"/>
      <c r="E164" s="25"/>
      <c r="F164" s="25"/>
      <c r="G164" s="25"/>
      <c r="H164" s="25"/>
      <c r="I164" s="25"/>
      <c r="J164" s="25"/>
      <c r="K164" s="25"/>
      <c r="L164" s="25"/>
      <c r="M164" s="25"/>
      <c r="N164" s="25"/>
      <c r="O164" s="25"/>
    </row>
    <row r="165" spans="2:15" x14ac:dyDescent="0.25">
      <c r="B165" s="25"/>
      <c r="C165" s="25"/>
      <c r="D165" s="25"/>
      <c r="E165" s="25"/>
      <c r="F165" s="25"/>
      <c r="G165" s="25"/>
      <c r="H165" s="25"/>
      <c r="I165" s="25"/>
      <c r="J165" s="25"/>
      <c r="K165" s="25"/>
      <c r="L165" s="25"/>
      <c r="M165" s="25"/>
      <c r="N165" s="25"/>
      <c r="O165" s="25"/>
    </row>
    <row r="166" spans="2:15" x14ac:dyDescent="0.25">
      <c r="B166" s="25"/>
      <c r="C166" s="25"/>
      <c r="D166" s="25"/>
      <c r="E166" s="25"/>
      <c r="F166" s="25"/>
      <c r="G166" s="25"/>
      <c r="H166" s="25"/>
      <c r="I166" s="25"/>
      <c r="J166" s="25"/>
      <c r="K166" s="25"/>
      <c r="L166" s="25"/>
      <c r="M166" s="25"/>
      <c r="N166" s="25"/>
      <c r="O166" s="25"/>
    </row>
    <row r="167" spans="2:15" x14ac:dyDescent="0.25">
      <c r="B167" s="25"/>
      <c r="C167" s="25"/>
      <c r="D167" s="25"/>
      <c r="E167" s="25"/>
      <c r="F167" s="25"/>
      <c r="G167" s="25"/>
      <c r="H167" s="25"/>
      <c r="I167" s="25"/>
      <c r="J167" s="25"/>
      <c r="K167" s="25"/>
      <c r="L167" s="25"/>
      <c r="M167" s="25"/>
      <c r="N167" s="25"/>
      <c r="O167" s="25"/>
    </row>
    <row r="168" spans="2:15" x14ac:dyDescent="0.25">
      <c r="B168" s="25"/>
      <c r="C168" s="25"/>
      <c r="D168" s="25"/>
      <c r="E168" s="25"/>
      <c r="F168" s="25"/>
      <c r="G168" s="25"/>
      <c r="H168" s="25"/>
      <c r="I168" s="25"/>
      <c r="J168" s="25"/>
      <c r="K168" s="25"/>
      <c r="L168" s="25"/>
      <c r="M168" s="25"/>
      <c r="N168" s="25"/>
      <c r="O168" s="25"/>
    </row>
    <row r="169" spans="2:15" x14ac:dyDescent="0.25">
      <c r="B169" s="25"/>
      <c r="C169" s="25"/>
      <c r="D169" s="25"/>
      <c r="E169" s="25"/>
      <c r="F169" s="25"/>
      <c r="G169" s="25"/>
      <c r="H169" s="25"/>
      <c r="I169" s="25"/>
      <c r="J169" s="25"/>
      <c r="K169" s="25"/>
      <c r="L169" s="25"/>
      <c r="M169" s="25"/>
      <c r="N169" s="25"/>
      <c r="O169" s="25"/>
    </row>
    <row r="170" spans="2:15" x14ac:dyDescent="0.25">
      <c r="B170" s="25"/>
      <c r="C170" s="25"/>
      <c r="D170" s="25"/>
      <c r="E170" s="25"/>
      <c r="F170" s="25"/>
      <c r="G170" s="25"/>
      <c r="H170" s="25"/>
      <c r="I170" s="25"/>
      <c r="J170" s="25"/>
      <c r="K170" s="25"/>
      <c r="L170" s="25"/>
      <c r="M170" s="25"/>
      <c r="N170" s="25"/>
      <c r="O170" s="25"/>
    </row>
    <row r="171" spans="2:15" x14ac:dyDescent="0.25">
      <c r="B171" s="25"/>
      <c r="C171" s="25"/>
      <c r="D171" s="25"/>
      <c r="E171" s="25"/>
      <c r="F171" s="25"/>
      <c r="G171" s="25"/>
      <c r="H171" s="25"/>
      <c r="I171" s="25"/>
      <c r="J171" s="25"/>
      <c r="K171" s="25"/>
      <c r="L171" s="25"/>
      <c r="M171" s="25"/>
      <c r="N171" s="25"/>
      <c r="O171" s="25"/>
    </row>
    <row r="172" spans="2:15" x14ac:dyDescent="0.25">
      <c r="B172" s="25"/>
      <c r="C172" s="25"/>
      <c r="D172" s="25"/>
      <c r="E172" s="25"/>
      <c r="F172" s="25"/>
      <c r="G172" s="25"/>
      <c r="H172" s="25"/>
      <c r="I172" s="25"/>
      <c r="J172" s="25"/>
      <c r="K172" s="25"/>
      <c r="L172" s="25"/>
      <c r="M172" s="25"/>
      <c r="N172" s="25"/>
      <c r="O172" s="25"/>
    </row>
    <row r="173" spans="2:15" x14ac:dyDescent="0.25">
      <c r="B173" s="25"/>
      <c r="C173" s="25"/>
      <c r="D173" s="25"/>
      <c r="E173" s="25"/>
      <c r="F173" s="25"/>
      <c r="G173" s="25"/>
      <c r="H173" s="25"/>
      <c r="I173" s="25"/>
      <c r="J173" s="25"/>
      <c r="K173" s="25"/>
      <c r="L173" s="25"/>
      <c r="M173" s="25"/>
      <c r="N173" s="25"/>
      <c r="O173" s="25"/>
    </row>
    <row r="174" spans="2:15" x14ac:dyDescent="0.25">
      <c r="B174" s="25"/>
      <c r="C174" s="25"/>
      <c r="D174" s="25"/>
      <c r="E174" s="25"/>
      <c r="F174" s="25"/>
      <c r="G174" s="25"/>
      <c r="H174" s="25"/>
      <c r="I174" s="25"/>
      <c r="J174" s="25"/>
      <c r="K174" s="25"/>
      <c r="L174" s="25"/>
      <c r="M174" s="25"/>
      <c r="N174" s="25"/>
      <c r="O174" s="25"/>
    </row>
    <row r="175" spans="2:15" x14ac:dyDescent="0.25">
      <c r="B175" s="25"/>
      <c r="C175" s="25"/>
      <c r="D175" s="25"/>
      <c r="E175" s="25"/>
      <c r="F175" s="25"/>
      <c r="G175" s="25"/>
      <c r="H175" s="25"/>
      <c r="I175" s="25"/>
      <c r="J175" s="25"/>
      <c r="K175" s="25"/>
      <c r="L175" s="25"/>
      <c r="M175" s="25"/>
      <c r="N175" s="25"/>
      <c r="O175" s="25"/>
    </row>
    <row r="176" spans="2:15" x14ac:dyDescent="0.25">
      <c r="B176" s="25"/>
      <c r="C176" s="25"/>
      <c r="D176" s="25"/>
      <c r="E176" s="25"/>
      <c r="F176" s="25"/>
      <c r="G176" s="25"/>
      <c r="H176" s="25"/>
      <c r="I176" s="25"/>
      <c r="J176" s="25"/>
      <c r="K176" s="25"/>
      <c r="L176" s="25"/>
      <c r="M176" s="25"/>
      <c r="N176" s="25"/>
      <c r="O176" s="25"/>
    </row>
    <row r="177" spans="2:15" x14ac:dyDescent="0.25">
      <c r="B177" s="25"/>
      <c r="C177" s="25"/>
      <c r="D177" s="25"/>
      <c r="E177" s="25"/>
      <c r="F177" s="25"/>
      <c r="G177" s="25"/>
      <c r="H177" s="25"/>
      <c r="I177" s="25"/>
      <c r="J177" s="25"/>
      <c r="K177" s="25"/>
      <c r="L177" s="25"/>
      <c r="M177" s="25"/>
      <c r="N177" s="25"/>
      <c r="O177" s="25"/>
    </row>
    <row r="178" spans="2:15" x14ac:dyDescent="0.25">
      <c r="B178" s="25"/>
      <c r="C178" s="25"/>
      <c r="D178" s="25"/>
      <c r="E178" s="25"/>
      <c r="F178" s="25"/>
      <c r="G178" s="25"/>
      <c r="H178" s="25"/>
      <c r="I178" s="25"/>
      <c r="J178" s="25"/>
      <c r="K178" s="25"/>
      <c r="L178" s="25"/>
      <c r="M178" s="25"/>
      <c r="N178" s="25"/>
      <c r="O178" s="25"/>
    </row>
    <row r="179" spans="2:15" x14ac:dyDescent="0.25">
      <c r="B179" s="25"/>
      <c r="C179" s="25"/>
      <c r="D179" s="25"/>
      <c r="E179" s="25"/>
      <c r="F179" s="25"/>
      <c r="G179" s="25"/>
      <c r="H179" s="25"/>
      <c r="I179" s="25"/>
      <c r="J179" s="25"/>
      <c r="K179" s="25"/>
      <c r="L179" s="25"/>
      <c r="M179" s="25"/>
      <c r="N179" s="25"/>
      <c r="O179" s="25"/>
    </row>
    <row r="180" spans="2:15" x14ac:dyDescent="0.25">
      <c r="B180" s="25"/>
      <c r="C180" s="25"/>
      <c r="D180" s="25"/>
      <c r="E180" s="25"/>
      <c r="F180" s="25"/>
      <c r="G180" s="25"/>
      <c r="H180" s="25"/>
      <c r="I180" s="25"/>
      <c r="J180" s="25"/>
      <c r="K180" s="25"/>
      <c r="L180" s="25"/>
      <c r="M180" s="25"/>
      <c r="N180" s="25"/>
      <c r="O180" s="25"/>
    </row>
    <row r="181" spans="2:15" x14ac:dyDescent="0.25">
      <c r="B181" s="25"/>
      <c r="C181" s="25"/>
      <c r="D181" s="25"/>
      <c r="E181" s="25"/>
      <c r="F181" s="25"/>
      <c r="G181" s="25"/>
      <c r="H181" s="25"/>
      <c r="I181" s="25"/>
      <c r="J181" s="25"/>
      <c r="K181" s="25"/>
      <c r="L181" s="25"/>
      <c r="M181" s="25"/>
      <c r="N181" s="25"/>
      <c r="O181" s="25"/>
    </row>
    <row r="182" spans="2:15" x14ac:dyDescent="0.25">
      <c r="B182" s="25"/>
      <c r="C182" s="25"/>
      <c r="D182" s="25"/>
      <c r="E182" s="25"/>
      <c r="F182" s="25"/>
      <c r="G182" s="25"/>
      <c r="H182" s="25"/>
      <c r="I182" s="25"/>
      <c r="J182" s="25"/>
      <c r="K182" s="25"/>
      <c r="L182" s="25"/>
      <c r="M182" s="25"/>
      <c r="N182" s="25"/>
      <c r="O182" s="25"/>
    </row>
    <row r="183" spans="2:15" x14ac:dyDescent="0.25">
      <c r="B183" s="25"/>
      <c r="C183" s="25"/>
      <c r="D183" s="25"/>
      <c r="E183" s="25"/>
      <c r="F183" s="25"/>
      <c r="G183" s="25"/>
      <c r="H183" s="25"/>
      <c r="I183" s="25"/>
      <c r="J183" s="25"/>
      <c r="K183" s="25"/>
      <c r="L183" s="25"/>
      <c r="M183" s="25"/>
      <c r="N183" s="25"/>
      <c r="O183" s="25"/>
    </row>
    <row r="184" spans="2:15" x14ac:dyDescent="0.25">
      <c r="B184" s="25"/>
      <c r="C184" s="25"/>
      <c r="D184" s="25"/>
      <c r="E184" s="25"/>
      <c r="F184" s="25"/>
      <c r="G184" s="25"/>
      <c r="H184" s="25"/>
      <c r="I184" s="25"/>
      <c r="J184" s="25"/>
      <c r="K184" s="25"/>
      <c r="L184" s="25"/>
      <c r="M184" s="25"/>
      <c r="N184" s="25"/>
      <c r="O184" s="25"/>
    </row>
    <row r="185" spans="2:15" x14ac:dyDescent="0.25">
      <c r="B185" s="25"/>
      <c r="C185" s="25"/>
      <c r="D185" s="25"/>
      <c r="E185" s="25"/>
      <c r="F185" s="25"/>
      <c r="G185" s="25"/>
      <c r="H185" s="25"/>
      <c r="I185" s="25"/>
      <c r="J185" s="25"/>
      <c r="K185" s="25"/>
      <c r="L185" s="25"/>
      <c r="M185" s="25"/>
      <c r="N185" s="25"/>
      <c r="O185" s="25"/>
    </row>
    <row r="186" spans="2:15" x14ac:dyDescent="0.25">
      <c r="B186" s="25"/>
      <c r="C186" s="25"/>
      <c r="D186" s="25"/>
      <c r="E186" s="25"/>
      <c r="F186" s="25"/>
      <c r="G186" s="25"/>
      <c r="H186" s="25"/>
      <c r="I186" s="25"/>
      <c r="J186" s="25"/>
      <c r="K186" s="25"/>
      <c r="L186" s="25"/>
      <c r="M186" s="25"/>
      <c r="N186" s="25"/>
      <c r="O186" s="25"/>
    </row>
    <row r="187" spans="2:15" x14ac:dyDescent="0.25">
      <c r="B187" s="25"/>
      <c r="C187" s="25"/>
      <c r="D187" s="25"/>
      <c r="E187" s="25"/>
      <c r="F187" s="25"/>
      <c r="G187" s="25"/>
      <c r="H187" s="25"/>
      <c r="I187" s="25"/>
      <c r="J187" s="25"/>
      <c r="K187" s="25"/>
      <c r="L187" s="25"/>
      <c r="M187" s="25"/>
      <c r="N187" s="25"/>
      <c r="O187" s="25"/>
    </row>
    <row r="188" spans="2:15" x14ac:dyDescent="0.25">
      <c r="B188" s="25"/>
      <c r="C188" s="25"/>
      <c r="D188" s="25"/>
      <c r="E188" s="25"/>
      <c r="F188" s="25"/>
      <c r="G188" s="25"/>
      <c r="H188" s="25"/>
      <c r="I188" s="25"/>
      <c r="J188" s="25"/>
      <c r="K188" s="25"/>
      <c r="L188" s="25"/>
      <c r="M188" s="25"/>
      <c r="N188" s="25"/>
      <c r="O188" s="25"/>
    </row>
    <row r="189" spans="2:15" x14ac:dyDescent="0.25">
      <c r="B189" s="25"/>
      <c r="C189" s="25"/>
      <c r="D189" s="25"/>
      <c r="E189" s="25"/>
      <c r="F189" s="25"/>
      <c r="G189" s="25"/>
      <c r="H189" s="25"/>
      <c r="I189" s="25"/>
      <c r="J189" s="25"/>
      <c r="K189" s="25"/>
      <c r="L189" s="25"/>
      <c r="M189" s="25"/>
      <c r="N189" s="25"/>
      <c r="O189" s="25"/>
    </row>
    <row r="190" spans="2:15" x14ac:dyDescent="0.25">
      <c r="B190" s="25"/>
      <c r="C190" s="25"/>
      <c r="D190" s="25"/>
      <c r="E190" s="25"/>
      <c r="F190" s="25"/>
      <c r="G190" s="25"/>
      <c r="H190" s="25"/>
      <c r="I190" s="25"/>
      <c r="J190" s="25"/>
      <c r="K190" s="25"/>
      <c r="L190" s="25"/>
      <c r="M190" s="25"/>
      <c r="N190" s="25"/>
      <c r="O190" s="25"/>
    </row>
    <row r="191" spans="2:15" x14ac:dyDescent="0.25">
      <c r="B191" s="25"/>
      <c r="C191" s="25"/>
      <c r="D191" s="25"/>
      <c r="E191" s="25"/>
      <c r="F191" s="25"/>
      <c r="G191" s="25"/>
      <c r="H191" s="25"/>
      <c r="I191" s="25"/>
      <c r="J191" s="25"/>
      <c r="K191" s="25"/>
      <c r="L191" s="25"/>
      <c r="M191" s="25"/>
      <c r="N191" s="25"/>
      <c r="O191" s="25"/>
    </row>
    <row r="192" spans="2:15" x14ac:dyDescent="0.25">
      <c r="B192" s="25"/>
      <c r="C192" s="25"/>
      <c r="D192" s="25"/>
      <c r="E192" s="25"/>
      <c r="F192" s="25"/>
      <c r="G192" s="25"/>
      <c r="H192" s="25"/>
      <c r="I192" s="25"/>
      <c r="J192" s="25"/>
      <c r="K192" s="25"/>
      <c r="L192" s="25"/>
      <c r="M192" s="25"/>
      <c r="N192" s="25"/>
      <c r="O192" s="25"/>
    </row>
    <row r="193" spans="2:15" x14ac:dyDescent="0.25">
      <c r="B193" s="25"/>
      <c r="C193" s="25"/>
      <c r="D193" s="25"/>
      <c r="E193" s="25"/>
      <c r="F193" s="25"/>
      <c r="G193" s="25"/>
      <c r="H193" s="25"/>
      <c r="I193" s="25"/>
      <c r="J193" s="25"/>
      <c r="K193" s="25"/>
      <c r="L193" s="25"/>
      <c r="M193" s="25"/>
      <c r="N193" s="25"/>
      <c r="O193" s="25"/>
    </row>
    <row r="194" spans="2:15" x14ac:dyDescent="0.25">
      <c r="B194" s="25"/>
      <c r="C194" s="25"/>
      <c r="D194" s="25"/>
      <c r="E194" s="25"/>
      <c r="F194" s="25"/>
      <c r="G194" s="25"/>
      <c r="H194" s="25"/>
      <c r="I194" s="25"/>
      <c r="J194" s="25"/>
      <c r="K194" s="25"/>
      <c r="L194" s="25"/>
      <c r="M194" s="25"/>
      <c r="N194" s="25"/>
      <c r="O194" s="25"/>
    </row>
    <row r="195" spans="2:15" x14ac:dyDescent="0.25">
      <c r="B195" s="25"/>
      <c r="C195" s="25"/>
      <c r="D195" s="25"/>
      <c r="E195" s="25"/>
      <c r="F195" s="25"/>
      <c r="G195" s="25"/>
      <c r="H195" s="25"/>
      <c r="I195" s="25"/>
      <c r="J195" s="25"/>
      <c r="K195" s="25"/>
      <c r="L195" s="25"/>
      <c r="M195" s="25"/>
      <c r="N195" s="25"/>
      <c r="O195" s="25"/>
    </row>
    <row r="196" spans="2:15" x14ac:dyDescent="0.25">
      <c r="B196" s="25"/>
      <c r="C196" s="25"/>
      <c r="D196" s="25"/>
      <c r="E196" s="25"/>
      <c r="F196" s="25"/>
      <c r="G196" s="25"/>
      <c r="H196" s="25"/>
      <c r="I196" s="25"/>
      <c r="J196" s="25"/>
      <c r="K196" s="25"/>
      <c r="L196" s="25"/>
      <c r="M196" s="25"/>
      <c r="N196" s="25"/>
      <c r="O196" s="25"/>
    </row>
    <row r="197" spans="2:15" x14ac:dyDescent="0.25">
      <c r="B197" s="25"/>
      <c r="C197" s="25"/>
      <c r="D197" s="25"/>
      <c r="E197" s="25"/>
      <c r="F197" s="25"/>
      <c r="G197" s="25"/>
      <c r="H197" s="25"/>
      <c r="I197" s="25"/>
      <c r="J197" s="25"/>
      <c r="K197" s="25"/>
      <c r="L197" s="25"/>
      <c r="M197" s="25"/>
      <c r="N197" s="25"/>
      <c r="O197" s="25"/>
    </row>
    <row r="198" spans="2:15" x14ac:dyDescent="0.25">
      <c r="B198" s="25"/>
      <c r="C198" s="25"/>
      <c r="D198" s="25"/>
      <c r="E198" s="25"/>
      <c r="F198" s="25"/>
      <c r="G198" s="25"/>
      <c r="H198" s="25"/>
      <c r="I198" s="25"/>
      <c r="J198" s="25"/>
      <c r="K198" s="25"/>
      <c r="L198" s="25"/>
      <c r="M198" s="25"/>
      <c r="N198" s="25"/>
      <c r="O198" s="25"/>
    </row>
    <row r="199" spans="2:15" x14ac:dyDescent="0.25">
      <c r="B199" s="25"/>
      <c r="C199" s="25"/>
      <c r="D199" s="25"/>
      <c r="E199" s="25"/>
      <c r="F199" s="25"/>
      <c r="G199" s="25"/>
      <c r="H199" s="25"/>
      <c r="I199" s="25"/>
      <c r="J199" s="25"/>
      <c r="K199" s="25"/>
      <c r="L199" s="25"/>
      <c r="M199" s="25"/>
      <c r="N199" s="25"/>
      <c r="O199" s="25"/>
    </row>
    <row r="200" spans="2:15" x14ac:dyDescent="0.25">
      <c r="B200" s="25"/>
      <c r="C200" s="25"/>
      <c r="D200" s="25"/>
      <c r="E200" s="25"/>
      <c r="F200" s="25"/>
      <c r="G200" s="25"/>
      <c r="H200" s="25"/>
      <c r="I200" s="25"/>
      <c r="J200" s="25"/>
      <c r="K200" s="25"/>
      <c r="L200" s="25"/>
      <c r="M200" s="25"/>
      <c r="N200" s="25"/>
      <c r="O200" s="25"/>
    </row>
  </sheetData>
  <mergeCells count="11">
    <mergeCell ref="C21:G21"/>
    <mergeCell ref="J15:M21"/>
    <mergeCell ref="I4:J4"/>
    <mergeCell ref="J14:K14"/>
    <mergeCell ref="I10:J10"/>
    <mergeCell ref="I11:J11"/>
    <mergeCell ref="I5:J5"/>
    <mergeCell ref="I6:J6"/>
    <mergeCell ref="I7:J7"/>
    <mergeCell ref="I8:J8"/>
    <mergeCell ref="I9:J9"/>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'Data Validation'!$A$2:$A$13</xm:f>
          </x14:formula1>
          <xm:sqref>J14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A1:X5292"/>
  <sheetViews>
    <sheetView showGridLines="0" topLeftCell="A86" zoomScale="70" zoomScaleNormal="70" workbookViewId="0">
      <selection sqref="A1:XFD1048576"/>
    </sheetView>
  </sheetViews>
  <sheetFormatPr defaultColWidth="25.85546875" defaultRowHeight="13.5" thickBottom="1" x14ac:dyDescent="0.25"/>
  <cols>
    <col min="1" max="3" width="25.85546875" style="6"/>
    <col min="4" max="4" width="25.85546875" style="8"/>
    <col min="5" max="5" width="25.85546875" style="6"/>
    <col min="6" max="6" width="46.28515625" style="6" customWidth="1"/>
    <col min="7" max="7" width="25.85546875" style="8"/>
    <col min="8" max="8" width="25.85546875" style="6"/>
    <col min="9" max="9" width="25.85546875" style="8"/>
    <col min="10" max="10" width="64.5703125" style="6" customWidth="1"/>
    <col min="11" max="11" width="32.5703125" style="6" bestFit="1" customWidth="1"/>
    <col min="12" max="12" width="25.85546875" style="8"/>
    <col min="13" max="23" width="25.85546875" style="5"/>
    <col min="24" max="24" width="25.85546875" style="7"/>
    <col min="25" max="16384" width="25.85546875" style="5"/>
  </cols>
  <sheetData>
    <row r="1" spans="1:24" ht="73.5" customHeight="1" thickBot="1" x14ac:dyDescent="0.25">
      <c r="A1" s="136" t="s">
        <v>19</v>
      </c>
      <c r="B1" s="136"/>
      <c r="C1" s="136"/>
      <c r="D1" s="137"/>
      <c r="E1" s="136"/>
      <c r="F1" s="136"/>
      <c r="G1" s="137"/>
      <c r="H1" s="136"/>
      <c r="I1" s="137"/>
      <c r="J1" s="136"/>
      <c r="K1" s="136"/>
      <c r="L1" s="136"/>
      <c r="X1" s="6" t="s">
        <v>15</v>
      </c>
    </row>
    <row r="2" spans="1:24" ht="30.75" customHeight="1" thickBot="1" x14ac:dyDescent="0.25">
      <c r="A2" s="2" t="s">
        <v>0</v>
      </c>
      <c r="B2" s="2" t="s">
        <v>1</v>
      </c>
      <c r="C2" s="2" t="s">
        <v>2</v>
      </c>
      <c r="D2" s="3" t="s">
        <v>17</v>
      </c>
      <c r="E2" s="2" t="s">
        <v>3</v>
      </c>
      <c r="F2" s="2" t="s">
        <v>4</v>
      </c>
      <c r="G2" s="11" t="s">
        <v>5</v>
      </c>
      <c r="H2" s="12" t="s">
        <v>18</v>
      </c>
      <c r="I2" s="11" t="s">
        <v>6</v>
      </c>
      <c r="J2" s="13" t="s">
        <v>7</v>
      </c>
      <c r="K2" s="13" t="s">
        <v>8</v>
      </c>
      <c r="L2" s="4" t="s">
        <v>9</v>
      </c>
    </row>
    <row r="3" spans="1:24" ht="30.75" customHeight="1" thickBot="1" x14ac:dyDescent="0.25">
      <c r="A3" s="10" t="e">
        <f>'Open Order'!#REF!</f>
        <v>#REF!</v>
      </c>
      <c r="B3" s="6" t="e">
        <f>'Open Order'!#REF!</f>
        <v>#REF!</v>
      </c>
      <c r="C3" s="6" t="e">
        <f>'Open Order'!#REF!</f>
        <v>#REF!</v>
      </c>
      <c r="D3" s="8" t="e">
        <f>'Open Order'!#REF!</f>
        <v>#REF!</v>
      </c>
      <c r="E3" s="9" t="e">
        <f>'Open Order'!#REF!</f>
        <v>#REF!</v>
      </c>
      <c r="F3" s="14" t="e">
        <f>'Open Order'!#REF!</f>
        <v>#REF!</v>
      </c>
      <c r="L3" s="8" t="e">
        <f>'Open Order'!#REF!</f>
        <v>#REF!</v>
      </c>
    </row>
    <row r="4" spans="1:24" ht="30.75" customHeight="1" thickBot="1" x14ac:dyDescent="0.25">
      <c r="A4" s="10" t="e">
        <f>'Open Order'!#REF!</f>
        <v>#REF!</v>
      </c>
      <c r="B4" s="6" t="e">
        <f>'Open Order'!#REF!</f>
        <v>#REF!</v>
      </c>
      <c r="C4" s="6" t="e">
        <f>'Open Order'!#REF!</f>
        <v>#REF!</v>
      </c>
      <c r="D4" s="8" t="e">
        <f>'Open Order'!#REF!</f>
        <v>#REF!</v>
      </c>
      <c r="E4" s="9" t="e">
        <f>'Open Order'!#REF!</f>
        <v>#REF!</v>
      </c>
      <c r="F4" s="14" t="e">
        <f>'Open Order'!#REF!</f>
        <v>#REF!</v>
      </c>
      <c r="L4" s="8" t="e">
        <f>'Open Order'!#REF!</f>
        <v>#REF!</v>
      </c>
    </row>
    <row r="5" spans="1:24" ht="30.75" customHeight="1" thickBot="1" x14ac:dyDescent="0.25">
      <c r="A5" s="10" t="e">
        <f>'Open Order'!#REF!</f>
        <v>#REF!</v>
      </c>
      <c r="B5" s="6" t="e">
        <f>'Open Order'!#REF!</f>
        <v>#REF!</v>
      </c>
      <c r="C5" s="6" t="e">
        <f>'Open Order'!#REF!</f>
        <v>#REF!</v>
      </c>
      <c r="D5" s="8" t="e">
        <f>'Open Order'!#REF!</f>
        <v>#REF!</v>
      </c>
      <c r="E5" s="9" t="e">
        <f>'Open Order'!#REF!</f>
        <v>#REF!</v>
      </c>
      <c r="F5" s="14" t="e">
        <f>'Open Order'!#REF!</f>
        <v>#REF!</v>
      </c>
      <c r="L5" s="8" t="e">
        <f>'Open Order'!#REF!</f>
        <v>#REF!</v>
      </c>
    </row>
    <row r="6" spans="1:24" ht="30.75" customHeight="1" thickBot="1" x14ac:dyDescent="0.25">
      <c r="A6" s="10" t="e">
        <f>'Open Order'!#REF!</f>
        <v>#REF!</v>
      </c>
      <c r="B6" s="6" t="e">
        <f>'Open Order'!#REF!</f>
        <v>#REF!</v>
      </c>
      <c r="C6" s="6" t="e">
        <f>'Open Order'!#REF!</f>
        <v>#REF!</v>
      </c>
      <c r="D6" s="8" t="e">
        <f>'Open Order'!#REF!</f>
        <v>#REF!</v>
      </c>
      <c r="E6" s="9" t="e">
        <f>'Open Order'!#REF!</f>
        <v>#REF!</v>
      </c>
      <c r="F6" s="14" t="e">
        <f>'Open Order'!#REF!</f>
        <v>#REF!</v>
      </c>
      <c r="L6" s="8" t="e">
        <f>'Open Order'!#REF!</f>
        <v>#REF!</v>
      </c>
    </row>
    <row r="7" spans="1:24" ht="30.75" customHeight="1" thickBot="1" x14ac:dyDescent="0.25">
      <c r="A7" s="10" t="e">
        <f>'Open Order'!#REF!</f>
        <v>#REF!</v>
      </c>
      <c r="B7" s="6" t="e">
        <f>'Open Order'!#REF!</f>
        <v>#REF!</v>
      </c>
      <c r="C7" s="6" t="e">
        <f>'Open Order'!#REF!</f>
        <v>#REF!</v>
      </c>
      <c r="D7" s="8" t="e">
        <f>'Open Order'!#REF!</f>
        <v>#REF!</v>
      </c>
      <c r="E7" s="9" t="e">
        <f>'Open Order'!#REF!</f>
        <v>#REF!</v>
      </c>
      <c r="F7" s="14" t="e">
        <f>'Open Order'!#REF!</f>
        <v>#REF!</v>
      </c>
      <c r="L7" s="8" t="e">
        <f>'Open Order'!#REF!</f>
        <v>#REF!</v>
      </c>
    </row>
    <row r="8" spans="1:24" ht="30.75" customHeight="1" thickBot="1" x14ac:dyDescent="0.25">
      <c r="A8" s="10" t="e">
        <f>'Open Order'!#REF!</f>
        <v>#REF!</v>
      </c>
      <c r="B8" s="6" t="e">
        <f>'Open Order'!#REF!</f>
        <v>#REF!</v>
      </c>
      <c r="C8" s="6" t="e">
        <f>'Open Order'!#REF!</f>
        <v>#REF!</v>
      </c>
      <c r="D8" s="8" t="e">
        <f>'Open Order'!#REF!</f>
        <v>#REF!</v>
      </c>
      <c r="E8" s="9" t="e">
        <f>'Open Order'!#REF!</f>
        <v>#REF!</v>
      </c>
      <c r="F8" s="14" t="e">
        <f>'Open Order'!#REF!</f>
        <v>#REF!</v>
      </c>
      <c r="L8" s="8" t="e">
        <f>'Open Order'!#REF!</f>
        <v>#REF!</v>
      </c>
    </row>
    <row r="9" spans="1:24" ht="30.75" customHeight="1" thickBot="1" x14ac:dyDescent="0.25">
      <c r="A9" s="10" t="e">
        <f>'Open Order'!#REF!</f>
        <v>#REF!</v>
      </c>
      <c r="B9" s="6" t="e">
        <f>'Open Order'!#REF!</f>
        <v>#REF!</v>
      </c>
      <c r="C9" s="6" t="e">
        <f>'Open Order'!#REF!</f>
        <v>#REF!</v>
      </c>
      <c r="D9" s="8" t="e">
        <f>'Open Order'!#REF!</f>
        <v>#REF!</v>
      </c>
      <c r="E9" s="9" t="e">
        <f>'Open Order'!#REF!</f>
        <v>#REF!</v>
      </c>
      <c r="F9" s="14" t="e">
        <f>'Open Order'!#REF!</f>
        <v>#REF!</v>
      </c>
      <c r="L9" s="8" t="e">
        <f>'Open Order'!#REF!</f>
        <v>#REF!</v>
      </c>
    </row>
    <row r="10" spans="1:24" ht="30.75" customHeight="1" thickBot="1" x14ac:dyDescent="0.25">
      <c r="A10" s="10" t="e">
        <f>'Open Order'!#REF!</f>
        <v>#REF!</v>
      </c>
      <c r="B10" s="6" t="e">
        <f>'Open Order'!#REF!</f>
        <v>#REF!</v>
      </c>
      <c r="C10" s="6" t="e">
        <f>'Open Order'!#REF!</f>
        <v>#REF!</v>
      </c>
      <c r="D10" s="8" t="e">
        <f>'Open Order'!#REF!</f>
        <v>#REF!</v>
      </c>
      <c r="E10" s="9" t="e">
        <f>'Open Order'!#REF!</f>
        <v>#REF!</v>
      </c>
      <c r="F10" s="14" t="e">
        <f>'Open Order'!#REF!</f>
        <v>#REF!</v>
      </c>
      <c r="L10" s="8" t="e">
        <f>'Open Order'!#REF!</f>
        <v>#REF!</v>
      </c>
    </row>
    <row r="11" spans="1:24" ht="30.75" customHeight="1" thickBot="1" x14ac:dyDescent="0.25">
      <c r="A11" s="10" t="e">
        <f>'Open Order'!#REF!</f>
        <v>#REF!</v>
      </c>
      <c r="B11" s="6" t="e">
        <f>'Open Order'!#REF!</f>
        <v>#REF!</v>
      </c>
      <c r="C11" s="6" t="e">
        <f>'Open Order'!#REF!</f>
        <v>#REF!</v>
      </c>
      <c r="D11" s="8" t="e">
        <f>'Open Order'!#REF!</f>
        <v>#REF!</v>
      </c>
      <c r="E11" s="9" t="e">
        <f>'Open Order'!#REF!</f>
        <v>#REF!</v>
      </c>
      <c r="F11" s="14" t="e">
        <f>'Open Order'!#REF!</f>
        <v>#REF!</v>
      </c>
      <c r="L11" s="8" t="e">
        <f>'Open Order'!#REF!</f>
        <v>#REF!</v>
      </c>
    </row>
    <row r="12" spans="1:24" ht="30.75" customHeight="1" thickBot="1" x14ac:dyDescent="0.25">
      <c r="A12" s="10" t="e">
        <f>'Open Order'!#REF!</f>
        <v>#REF!</v>
      </c>
      <c r="B12" s="6" t="e">
        <f>'Open Order'!#REF!</f>
        <v>#REF!</v>
      </c>
      <c r="C12" s="6" t="e">
        <f>'Open Order'!#REF!</f>
        <v>#REF!</v>
      </c>
      <c r="D12" s="8" t="e">
        <f>'Open Order'!#REF!</f>
        <v>#REF!</v>
      </c>
      <c r="E12" s="9" t="e">
        <f>'Open Order'!#REF!</f>
        <v>#REF!</v>
      </c>
      <c r="F12" s="14" t="e">
        <f>'Open Order'!#REF!</f>
        <v>#REF!</v>
      </c>
      <c r="L12" s="8" t="e">
        <f>'Open Order'!#REF!</f>
        <v>#REF!</v>
      </c>
    </row>
    <row r="13" spans="1:24" ht="30.75" customHeight="1" thickBot="1" x14ac:dyDescent="0.25">
      <c r="A13" s="10" t="e">
        <f>'Open Order'!#REF!</f>
        <v>#REF!</v>
      </c>
      <c r="B13" s="6" t="e">
        <f>'Open Order'!#REF!</f>
        <v>#REF!</v>
      </c>
      <c r="C13" s="6" t="e">
        <f>'Open Order'!#REF!</f>
        <v>#REF!</v>
      </c>
      <c r="D13" s="8" t="e">
        <f>'Open Order'!#REF!</f>
        <v>#REF!</v>
      </c>
      <c r="E13" s="9" t="e">
        <f>'Open Order'!#REF!</f>
        <v>#REF!</v>
      </c>
      <c r="F13" s="14" t="e">
        <f>'Open Order'!#REF!</f>
        <v>#REF!</v>
      </c>
      <c r="L13" s="8" t="e">
        <f>'Open Order'!#REF!</f>
        <v>#REF!</v>
      </c>
    </row>
    <row r="14" spans="1:24" ht="30.75" customHeight="1" thickBot="1" x14ac:dyDescent="0.25">
      <c r="A14" s="10" t="e">
        <f>'Open Order'!#REF!</f>
        <v>#REF!</v>
      </c>
      <c r="B14" s="6" t="e">
        <f>'Open Order'!#REF!</f>
        <v>#REF!</v>
      </c>
      <c r="C14" s="6" t="e">
        <f>'Open Order'!#REF!</f>
        <v>#REF!</v>
      </c>
      <c r="D14" s="8" t="e">
        <f>'Open Order'!#REF!</f>
        <v>#REF!</v>
      </c>
      <c r="E14" s="9" t="e">
        <f>'Open Order'!#REF!</f>
        <v>#REF!</v>
      </c>
      <c r="F14" s="14" t="e">
        <f>'Open Order'!#REF!</f>
        <v>#REF!</v>
      </c>
      <c r="L14" s="8" t="e">
        <f>'Open Order'!#REF!</f>
        <v>#REF!</v>
      </c>
    </row>
    <row r="15" spans="1:24" ht="30.75" customHeight="1" thickBot="1" x14ac:dyDescent="0.25">
      <c r="A15" s="10" t="e">
        <f>'Open Order'!#REF!</f>
        <v>#REF!</v>
      </c>
      <c r="B15" s="6" t="e">
        <f>'Open Order'!#REF!</f>
        <v>#REF!</v>
      </c>
      <c r="C15" s="6" t="e">
        <f>'Open Order'!#REF!</f>
        <v>#REF!</v>
      </c>
      <c r="D15" s="8" t="e">
        <f>'Open Order'!#REF!</f>
        <v>#REF!</v>
      </c>
      <c r="E15" s="9" t="e">
        <f>'Open Order'!#REF!</f>
        <v>#REF!</v>
      </c>
      <c r="F15" s="14" t="e">
        <f>'Open Order'!#REF!</f>
        <v>#REF!</v>
      </c>
      <c r="L15" s="8" t="e">
        <f>'Open Order'!#REF!</f>
        <v>#REF!</v>
      </c>
    </row>
    <row r="16" spans="1:24" ht="30.75" customHeight="1" thickBot="1" x14ac:dyDescent="0.25">
      <c r="A16" s="10" t="e">
        <f>'Open Order'!#REF!</f>
        <v>#REF!</v>
      </c>
      <c r="B16" s="6" t="e">
        <f>'Open Order'!#REF!</f>
        <v>#REF!</v>
      </c>
      <c r="C16" s="6" t="e">
        <f>'Open Order'!#REF!</f>
        <v>#REF!</v>
      </c>
      <c r="D16" s="8" t="e">
        <f>'Open Order'!#REF!</f>
        <v>#REF!</v>
      </c>
      <c r="E16" s="9" t="e">
        <f>'Open Order'!#REF!</f>
        <v>#REF!</v>
      </c>
      <c r="F16" s="14" t="e">
        <f>'Open Order'!#REF!</f>
        <v>#REF!</v>
      </c>
      <c r="L16" s="8" t="e">
        <f>'Open Order'!#REF!</f>
        <v>#REF!</v>
      </c>
    </row>
    <row r="17" spans="1:12" ht="30.75" customHeight="1" thickBot="1" x14ac:dyDescent="0.25">
      <c r="A17" s="10" t="e">
        <f>'Open Order'!#REF!</f>
        <v>#REF!</v>
      </c>
      <c r="B17" s="6" t="e">
        <f>'Open Order'!#REF!</f>
        <v>#REF!</v>
      </c>
      <c r="C17" s="6" t="e">
        <f>'Open Order'!#REF!</f>
        <v>#REF!</v>
      </c>
      <c r="D17" s="8" t="e">
        <f>'Open Order'!#REF!</f>
        <v>#REF!</v>
      </c>
      <c r="E17" s="9" t="e">
        <f>'Open Order'!#REF!</f>
        <v>#REF!</v>
      </c>
      <c r="F17" s="14" t="e">
        <f>'Open Order'!#REF!</f>
        <v>#REF!</v>
      </c>
      <c r="L17" s="8" t="e">
        <f>'Open Order'!#REF!</f>
        <v>#REF!</v>
      </c>
    </row>
    <row r="18" spans="1:12" ht="30.75" customHeight="1" thickBot="1" x14ac:dyDescent="0.25">
      <c r="A18" s="10" t="e">
        <f>'Open Order'!#REF!</f>
        <v>#REF!</v>
      </c>
      <c r="B18" s="6" t="e">
        <f>'Open Order'!#REF!</f>
        <v>#REF!</v>
      </c>
      <c r="C18" s="6" t="e">
        <f>'Open Order'!#REF!</f>
        <v>#REF!</v>
      </c>
      <c r="D18" s="8" t="e">
        <f>'Open Order'!#REF!</f>
        <v>#REF!</v>
      </c>
      <c r="E18" s="9" t="e">
        <f>'Open Order'!#REF!</f>
        <v>#REF!</v>
      </c>
      <c r="F18" s="14" t="e">
        <f>'Open Order'!#REF!</f>
        <v>#REF!</v>
      </c>
      <c r="L18" s="8" t="e">
        <f>'Open Order'!#REF!</f>
        <v>#REF!</v>
      </c>
    </row>
    <row r="19" spans="1:12" ht="30.75" customHeight="1" thickBot="1" x14ac:dyDescent="0.25">
      <c r="A19" s="10" t="e">
        <f>'Open Order'!#REF!</f>
        <v>#REF!</v>
      </c>
      <c r="B19" s="6" t="e">
        <f>'Open Order'!#REF!</f>
        <v>#REF!</v>
      </c>
      <c r="C19" s="6" t="e">
        <f>'Open Order'!#REF!</f>
        <v>#REF!</v>
      </c>
      <c r="D19" s="8" t="e">
        <f>'Open Order'!#REF!</f>
        <v>#REF!</v>
      </c>
      <c r="E19" s="9" t="e">
        <f>'Open Order'!#REF!</f>
        <v>#REF!</v>
      </c>
      <c r="F19" s="14" t="e">
        <f>'Open Order'!#REF!</f>
        <v>#REF!</v>
      </c>
      <c r="L19" s="8" t="e">
        <f>'Open Order'!#REF!</f>
        <v>#REF!</v>
      </c>
    </row>
    <row r="20" spans="1:12" ht="30.75" customHeight="1" thickBot="1" x14ac:dyDescent="0.25">
      <c r="A20" s="10" t="e">
        <f>'Open Order'!#REF!</f>
        <v>#REF!</v>
      </c>
      <c r="B20" s="6" t="e">
        <f>'Open Order'!#REF!</f>
        <v>#REF!</v>
      </c>
      <c r="C20" s="6" t="e">
        <f>'Open Order'!#REF!</f>
        <v>#REF!</v>
      </c>
      <c r="D20" s="8" t="e">
        <f>'Open Order'!#REF!</f>
        <v>#REF!</v>
      </c>
      <c r="E20" s="9" t="e">
        <f>'Open Order'!#REF!</f>
        <v>#REF!</v>
      </c>
      <c r="F20" s="14" t="e">
        <f>'Open Order'!#REF!</f>
        <v>#REF!</v>
      </c>
      <c r="L20" s="8" t="e">
        <f>'Open Order'!#REF!</f>
        <v>#REF!</v>
      </c>
    </row>
    <row r="21" spans="1:12" ht="30.75" customHeight="1" thickBot="1" x14ac:dyDescent="0.25">
      <c r="A21" s="10" t="e">
        <f>'Open Order'!#REF!</f>
        <v>#REF!</v>
      </c>
      <c r="B21" s="6" t="e">
        <f>'Open Order'!#REF!</f>
        <v>#REF!</v>
      </c>
      <c r="C21" s="6" t="e">
        <f>'Open Order'!#REF!</f>
        <v>#REF!</v>
      </c>
      <c r="D21" s="8" t="e">
        <f>'Open Order'!#REF!</f>
        <v>#REF!</v>
      </c>
      <c r="E21" s="9" t="e">
        <f>'Open Order'!#REF!</f>
        <v>#REF!</v>
      </c>
      <c r="F21" s="14" t="e">
        <f>'Open Order'!#REF!</f>
        <v>#REF!</v>
      </c>
      <c r="L21" s="8" t="e">
        <f>'Open Order'!#REF!</f>
        <v>#REF!</v>
      </c>
    </row>
    <row r="22" spans="1:12" ht="30.75" customHeight="1" thickBot="1" x14ac:dyDescent="0.25">
      <c r="A22" s="10" t="e">
        <f>'Open Order'!#REF!</f>
        <v>#REF!</v>
      </c>
      <c r="B22" s="6" t="e">
        <f>'Open Order'!#REF!</f>
        <v>#REF!</v>
      </c>
      <c r="C22" s="6" t="e">
        <f>'Open Order'!#REF!</f>
        <v>#REF!</v>
      </c>
      <c r="D22" s="8" t="e">
        <f>'Open Order'!#REF!</f>
        <v>#REF!</v>
      </c>
      <c r="E22" s="9" t="e">
        <f>'Open Order'!#REF!</f>
        <v>#REF!</v>
      </c>
      <c r="F22" s="14" t="e">
        <f>'Open Order'!#REF!</f>
        <v>#REF!</v>
      </c>
      <c r="L22" s="8" t="e">
        <f>'Open Order'!#REF!</f>
        <v>#REF!</v>
      </c>
    </row>
    <row r="23" spans="1:12" ht="30.75" customHeight="1" thickBot="1" x14ac:dyDescent="0.25">
      <c r="A23" s="10" t="e">
        <f>'Open Order'!#REF!</f>
        <v>#REF!</v>
      </c>
      <c r="B23" s="6" t="e">
        <f>'Open Order'!#REF!</f>
        <v>#REF!</v>
      </c>
      <c r="C23" s="6" t="e">
        <f>'Open Order'!#REF!</f>
        <v>#REF!</v>
      </c>
      <c r="D23" s="8" t="e">
        <f>'Open Order'!#REF!</f>
        <v>#REF!</v>
      </c>
      <c r="E23" s="9" t="e">
        <f>'Open Order'!#REF!</f>
        <v>#REF!</v>
      </c>
      <c r="F23" s="14" t="e">
        <f>'Open Order'!#REF!</f>
        <v>#REF!</v>
      </c>
      <c r="L23" s="8" t="e">
        <f>'Open Order'!#REF!</f>
        <v>#REF!</v>
      </c>
    </row>
    <row r="24" spans="1:12" ht="30.75" customHeight="1" thickBot="1" x14ac:dyDescent="0.25">
      <c r="A24" s="10" t="e">
        <f>'Open Order'!#REF!</f>
        <v>#REF!</v>
      </c>
      <c r="B24" s="6" t="e">
        <f>'Open Order'!#REF!</f>
        <v>#REF!</v>
      </c>
      <c r="C24" s="6" t="e">
        <f>'Open Order'!#REF!</f>
        <v>#REF!</v>
      </c>
      <c r="D24" s="8" t="e">
        <f>'Open Order'!#REF!</f>
        <v>#REF!</v>
      </c>
      <c r="E24" s="9" t="e">
        <f>'Open Order'!#REF!</f>
        <v>#REF!</v>
      </c>
      <c r="F24" s="14" t="e">
        <f>'Open Order'!#REF!</f>
        <v>#REF!</v>
      </c>
      <c r="L24" s="8" t="e">
        <f>'Open Order'!#REF!</f>
        <v>#REF!</v>
      </c>
    </row>
    <row r="25" spans="1:12" ht="30.75" customHeight="1" thickBot="1" x14ac:dyDescent="0.25">
      <c r="A25" s="10" t="e">
        <f>'Open Order'!#REF!</f>
        <v>#REF!</v>
      </c>
      <c r="B25" s="6" t="e">
        <f>'Open Order'!#REF!</f>
        <v>#REF!</v>
      </c>
      <c r="C25" s="6" t="e">
        <f>'Open Order'!#REF!</f>
        <v>#REF!</v>
      </c>
      <c r="D25" s="8" t="e">
        <f>'Open Order'!#REF!</f>
        <v>#REF!</v>
      </c>
      <c r="E25" s="9" t="e">
        <f>'Open Order'!#REF!</f>
        <v>#REF!</v>
      </c>
      <c r="F25" s="14" t="e">
        <f>'Open Order'!#REF!</f>
        <v>#REF!</v>
      </c>
      <c r="L25" s="8" t="e">
        <f>'Open Order'!#REF!</f>
        <v>#REF!</v>
      </c>
    </row>
    <row r="26" spans="1:12" ht="30.75" customHeight="1" thickBot="1" x14ac:dyDescent="0.25">
      <c r="A26" s="10" t="e">
        <f>'Open Order'!#REF!</f>
        <v>#REF!</v>
      </c>
      <c r="B26" s="6" t="e">
        <f>'Open Order'!#REF!</f>
        <v>#REF!</v>
      </c>
      <c r="C26" s="6" t="e">
        <f>'Open Order'!#REF!</f>
        <v>#REF!</v>
      </c>
      <c r="D26" s="8" t="e">
        <f>'Open Order'!#REF!</f>
        <v>#REF!</v>
      </c>
      <c r="E26" s="9" t="e">
        <f>'Open Order'!#REF!</f>
        <v>#REF!</v>
      </c>
      <c r="F26" s="14" t="e">
        <f>'Open Order'!#REF!</f>
        <v>#REF!</v>
      </c>
      <c r="L26" s="8" t="e">
        <f>'Open Order'!#REF!</f>
        <v>#REF!</v>
      </c>
    </row>
    <row r="27" spans="1:12" ht="30.75" customHeight="1" thickBot="1" x14ac:dyDescent="0.25">
      <c r="A27" s="10" t="e">
        <f>'Open Order'!#REF!</f>
        <v>#REF!</v>
      </c>
      <c r="B27" s="6" t="e">
        <f>'Open Order'!#REF!</f>
        <v>#REF!</v>
      </c>
      <c r="C27" s="6" t="e">
        <f>'Open Order'!#REF!</f>
        <v>#REF!</v>
      </c>
      <c r="D27" s="8" t="e">
        <f>'Open Order'!#REF!</f>
        <v>#REF!</v>
      </c>
      <c r="E27" s="9" t="e">
        <f>'Open Order'!#REF!</f>
        <v>#REF!</v>
      </c>
      <c r="F27" s="14" t="e">
        <f>'Open Order'!#REF!</f>
        <v>#REF!</v>
      </c>
      <c r="L27" s="8" t="e">
        <f>'Open Order'!#REF!</f>
        <v>#REF!</v>
      </c>
    </row>
    <row r="28" spans="1:12" ht="30.75" customHeight="1" thickBot="1" x14ac:dyDescent="0.25">
      <c r="A28" s="10" t="e">
        <f>'Open Order'!#REF!</f>
        <v>#REF!</v>
      </c>
      <c r="B28" s="6" t="e">
        <f>'Open Order'!#REF!</f>
        <v>#REF!</v>
      </c>
      <c r="C28" s="6" t="e">
        <f>'Open Order'!#REF!</f>
        <v>#REF!</v>
      </c>
      <c r="D28" s="8" t="e">
        <f>'Open Order'!#REF!</f>
        <v>#REF!</v>
      </c>
      <c r="E28" s="9" t="e">
        <f>'Open Order'!#REF!</f>
        <v>#REF!</v>
      </c>
      <c r="F28" s="14" t="e">
        <f>'Open Order'!#REF!</f>
        <v>#REF!</v>
      </c>
      <c r="L28" s="8" t="e">
        <f>'Open Order'!#REF!</f>
        <v>#REF!</v>
      </c>
    </row>
    <row r="29" spans="1:12" ht="30.75" customHeight="1" thickBot="1" x14ac:dyDescent="0.25">
      <c r="A29" s="10" t="e">
        <f>'Open Order'!#REF!</f>
        <v>#REF!</v>
      </c>
      <c r="B29" s="6" t="e">
        <f>'Open Order'!#REF!</f>
        <v>#REF!</v>
      </c>
      <c r="C29" s="6" t="e">
        <f>'Open Order'!#REF!</f>
        <v>#REF!</v>
      </c>
      <c r="D29" s="8" t="e">
        <f>'Open Order'!#REF!</f>
        <v>#REF!</v>
      </c>
      <c r="E29" s="9" t="e">
        <f>'Open Order'!#REF!</f>
        <v>#REF!</v>
      </c>
      <c r="F29" s="14" t="e">
        <f>'Open Order'!#REF!</f>
        <v>#REF!</v>
      </c>
      <c r="L29" s="8" t="e">
        <f>'Open Order'!#REF!</f>
        <v>#REF!</v>
      </c>
    </row>
    <row r="30" spans="1:12" ht="30.75" customHeight="1" thickBot="1" x14ac:dyDescent="0.25">
      <c r="A30" s="10" t="e">
        <f>'Open Order'!#REF!</f>
        <v>#REF!</v>
      </c>
      <c r="B30" s="6" t="e">
        <f>'Open Order'!#REF!</f>
        <v>#REF!</v>
      </c>
      <c r="C30" s="6" t="e">
        <f>'Open Order'!#REF!</f>
        <v>#REF!</v>
      </c>
      <c r="D30" s="8" t="e">
        <f>'Open Order'!#REF!</f>
        <v>#REF!</v>
      </c>
      <c r="E30" s="9" t="e">
        <f>'Open Order'!#REF!</f>
        <v>#REF!</v>
      </c>
      <c r="F30" s="14" t="e">
        <f>'Open Order'!#REF!</f>
        <v>#REF!</v>
      </c>
      <c r="L30" s="8" t="e">
        <f>'Open Order'!#REF!</f>
        <v>#REF!</v>
      </c>
    </row>
    <row r="31" spans="1:12" ht="30.75" customHeight="1" thickBot="1" x14ac:dyDescent="0.25">
      <c r="A31" s="10" t="e">
        <f>'Open Order'!#REF!</f>
        <v>#REF!</v>
      </c>
      <c r="B31" s="6" t="e">
        <f>'Open Order'!#REF!</f>
        <v>#REF!</v>
      </c>
      <c r="C31" s="6" t="e">
        <f>'Open Order'!#REF!</f>
        <v>#REF!</v>
      </c>
      <c r="D31" s="8" t="e">
        <f>'Open Order'!#REF!</f>
        <v>#REF!</v>
      </c>
      <c r="E31" s="9" t="e">
        <f>'Open Order'!#REF!</f>
        <v>#REF!</v>
      </c>
      <c r="F31" s="14" t="e">
        <f>'Open Order'!#REF!</f>
        <v>#REF!</v>
      </c>
      <c r="L31" s="8" t="e">
        <f>'Open Order'!#REF!</f>
        <v>#REF!</v>
      </c>
    </row>
    <row r="32" spans="1:12" ht="30.75" customHeight="1" thickBot="1" x14ac:dyDescent="0.25">
      <c r="A32" s="10" t="e">
        <f>'Open Order'!#REF!</f>
        <v>#REF!</v>
      </c>
      <c r="B32" s="6" t="e">
        <f>'Open Order'!#REF!</f>
        <v>#REF!</v>
      </c>
      <c r="C32" s="6" t="e">
        <f>'Open Order'!#REF!</f>
        <v>#REF!</v>
      </c>
      <c r="D32" s="8" t="e">
        <f>'Open Order'!#REF!</f>
        <v>#REF!</v>
      </c>
      <c r="E32" s="9" t="e">
        <f>'Open Order'!#REF!</f>
        <v>#REF!</v>
      </c>
      <c r="F32" s="14" t="e">
        <f>'Open Order'!#REF!</f>
        <v>#REF!</v>
      </c>
      <c r="L32" s="8" t="e">
        <f>'Open Order'!#REF!</f>
        <v>#REF!</v>
      </c>
    </row>
    <row r="33" spans="1:12" ht="30.75" customHeight="1" thickBot="1" x14ac:dyDescent="0.25">
      <c r="A33" s="10" t="e">
        <f>'Open Order'!#REF!</f>
        <v>#REF!</v>
      </c>
      <c r="B33" s="6" t="e">
        <f>'Open Order'!#REF!</f>
        <v>#REF!</v>
      </c>
      <c r="C33" s="6" t="e">
        <f>'Open Order'!#REF!</f>
        <v>#REF!</v>
      </c>
      <c r="D33" s="8" t="e">
        <f>'Open Order'!#REF!</f>
        <v>#REF!</v>
      </c>
      <c r="E33" s="9" t="e">
        <f>'Open Order'!#REF!</f>
        <v>#REF!</v>
      </c>
      <c r="F33" s="14" t="e">
        <f>'Open Order'!#REF!</f>
        <v>#REF!</v>
      </c>
      <c r="L33" s="8" t="e">
        <f>'Open Order'!#REF!</f>
        <v>#REF!</v>
      </c>
    </row>
    <row r="34" spans="1:12" ht="30.75" customHeight="1" thickBot="1" x14ac:dyDescent="0.25">
      <c r="A34" s="10" t="e">
        <f>'Open Order'!#REF!</f>
        <v>#REF!</v>
      </c>
      <c r="B34" s="6" t="e">
        <f>'Open Order'!#REF!</f>
        <v>#REF!</v>
      </c>
      <c r="C34" s="6" t="e">
        <f>'Open Order'!#REF!</f>
        <v>#REF!</v>
      </c>
      <c r="D34" s="8" t="e">
        <f>'Open Order'!#REF!</f>
        <v>#REF!</v>
      </c>
      <c r="E34" s="9" t="e">
        <f>'Open Order'!#REF!</f>
        <v>#REF!</v>
      </c>
      <c r="F34" s="14" t="e">
        <f>'Open Order'!#REF!</f>
        <v>#REF!</v>
      </c>
      <c r="L34" s="8" t="e">
        <f>'Open Order'!#REF!</f>
        <v>#REF!</v>
      </c>
    </row>
    <row r="35" spans="1:12" ht="30.75" customHeight="1" thickBot="1" x14ac:dyDescent="0.25">
      <c r="A35" s="10" t="e">
        <f>'Open Order'!#REF!</f>
        <v>#REF!</v>
      </c>
      <c r="B35" s="6" t="e">
        <f>'Open Order'!#REF!</f>
        <v>#REF!</v>
      </c>
      <c r="C35" s="6" t="e">
        <f>'Open Order'!#REF!</f>
        <v>#REF!</v>
      </c>
      <c r="D35" s="8" t="e">
        <f>'Open Order'!#REF!</f>
        <v>#REF!</v>
      </c>
      <c r="E35" s="9" t="e">
        <f>'Open Order'!#REF!</f>
        <v>#REF!</v>
      </c>
      <c r="F35" s="14" t="e">
        <f>'Open Order'!#REF!</f>
        <v>#REF!</v>
      </c>
      <c r="L35" s="8" t="e">
        <f>'Open Order'!#REF!</f>
        <v>#REF!</v>
      </c>
    </row>
    <row r="36" spans="1:12" ht="30.75" customHeight="1" thickBot="1" x14ac:dyDescent="0.25">
      <c r="A36" s="10" t="e">
        <f>'Open Order'!#REF!</f>
        <v>#REF!</v>
      </c>
      <c r="B36" s="6" t="e">
        <f>'Open Order'!#REF!</f>
        <v>#REF!</v>
      </c>
      <c r="C36" s="6" t="e">
        <f>'Open Order'!#REF!</f>
        <v>#REF!</v>
      </c>
      <c r="D36" s="8" t="e">
        <f>'Open Order'!#REF!</f>
        <v>#REF!</v>
      </c>
      <c r="E36" s="9" t="e">
        <f>'Open Order'!#REF!</f>
        <v>#REF!</v>
      </c>
      <c r="F36" s="14" t="e">
        <f>'Open Order'!#REF!</f>
        <v>#REF!</v>
      </c>
      <c r="L36" s="8" t="e">
        <f>'Open Order'!#REF!</f>
        <v>#REF!</v>
      </c>
    </row>
    <row r="37" spans="1:12" ht="30.75" customHeight="1" thickBot="1" x14ac:dyDescent="0.25">
      <c r="A37" s="10" t="e">
        <f>'Open Order'!#REF!</f>
        <v>#REF!</v>
      </c>
      <c r="B37" s="6" t="e">
        <f>'Open Order'!#REF!</f>
        <v>#REF!</v>
      </c>
      <c r="C37" s="6" t="e">
        <f>'Open Order'!#REF!</f>
        <v>#REF!</v>
      </c>
      <c r="D37" s="8" t="e">
        <f>'Open Order'!#REF!</f>
        <v>#REF!</v>
      </c>
      <c r="E37" s="9" t="e">
        <f>'Open Order'!#REF!</f>
        <v>#REF!</v>
      </c>
      <c r="F37" s="14" t="e">
        <f>'Open Order'!#REF!</f>
        <v>#REF!</v>
      </c>
      <c r="L37" s="8" t="e">
        <f>'Open Order'!#REF!</f>
        <v>#REF!</v>
      </c>
    </row>
    <row r="38" spans="1:12" ht="30.75" customHeight="1" thickBot="1" x14ac:dyDescent="0.25">
      <c r="A38" s="10" t="e">
        <f>'Open Order'!#REF!</f>
        <v>#REF!</v>
      </c>
      <c r="B38" s="6" t="e">
        <f>'Open Order'!#REF!</f>
        <v>#REF!</v>
      </c>
      <c r="C38" s="6" t="e">
        <f>'Open Order'!#REF!</f>
        <v>#REF!</v>
      </c>
      <c r="D38" s="8" t="e">
        <f>'Open Order'!#REF!</f>
        <v>#REF!</v>
      </c>
      <c r="E38" s="9" t="e">
        <f>'Open Order'!#REF!</f>
        <v>#REF!</v>
      </c>
      <c r="F38" s="14" t="e">
        <f>'Open Order'!#REF!</f>
        <v>#REF!</v>
      </c>
      <c r="L38" s="8" t="e">
        <f>'Open Order'!#REF!</f>
        <v>#REF!</v>
      </c>
    </row>
    <row r="39" spans="1:12" ht="30.75" customHeight="1" thickBot="1" x14ac:dyDescent="0.25">
      <c r="A39" s="10" t="e">
        <f>'Open Order'!#REF!</f>
        <v>#REF!</v>
      </c>
      <c r="B39" s="6" t="e">
        <f>'Open Order'!#REF!</f>
        <v>#REF!</v>
      </c>
      <c r="C39" s="6" t="e">
        <f>'Open Order'!#REF!</f>
        <v>#REF!</v>
      </c>
      <c r="D39" s="8" t="e">
        <f>'Open Order'!#REF!</f>
        <v>#REF!</v>
      </c>
      <c r="E39" s="9" t="e">
        <f>'Open Order'!#REF!</f>
        <v>#REF!</v>
      </c>
      <c r="F39" s="14" t="e">
        <f>'Open Order'!#REF!</f>
        <v>#REF!</v>
      </c>
      <c r="L39" s="8" t="e">
        <f>'Open Order'!#REF!</f>
        <v>#REF!</v>
      </c>
    </row>
    <row r="40" spans="1:12" ht="30.75" customHeight="1" thickBot="1" x14ac:dyDescent="0.25">
      <c r="A40" s="10" t="e">
        <f>'Open Order'!#REF!</f>
        <v>#REF!</v>
      </c>
      <c r="B40" s="6" t="e">
        <f>'Open Order'!#REF!</f>
        <v>#REF!</v>
      </c>
      <c r="C40" s="6" t="e">
        <f>'Open Order'!#REF!</f>
        <v>#REF!</v>
      </c>
      <c r="D40" s="8" t="e">
        <f>'Open Order'!#REF!</f>
        <v>#REF!</v>
      </c>
      <c r="E40" s="9" t="e">
        <f>'Open Order'!#REF!</f>
        <v>#REF!</v>
      </c>
      <c r="F40" s="14" t="e">
        <f>'Open Order'!#REF!</f>
        <v>#REF!</v>
      </c>
      <c r="L40" s="8" t="e">
        <f>'Open Order'!#REF!</f>
        <v>#REF!</v>
      </c>
    </row>
    <row r="41" spans="1:12" ht="30.75" customHeight="1" thickBot="1" x14ac:dyDescent="0.25">
      <c r="A41" s="10" t="e">
        <f>'Open Order'!#REF!</f>
        <v>#REF!</v>
      </c>
      <c r="B41" s="6" t="e">
        <f>'Open Order'!#REF!</f>
        <v>#REF!</v>
      </c>
      <c r="C41" s="6" t="e">
        <f>'Open Order'!#REF!</f>
        <v>#REF!</v>
      </c>
      <c r="D41" s="8" t="e">
        <f>'Open Order'!#REF!</f>
        <v>#REF!</v>
      </c>
      <c r="E41" s="9" t="e">
        <f>'Open Order'!#REF!</f>
        <v>#REF!</v>
      </c>
      <c r="F41" s="14" t="e">
        <f>'Open Order'!#REF!</f>
        <v>#REF!</v>
      </c>
      <c r="L41" s="8" t="e">
        <f>'Open Order'!#REF!</f>
        <v>#REF!</v>
      </c>
    </row>
    <row r="42" spans="1:12" ht="30.75" customHeight="1" thickBot="1" x14ac:dyDescent="0.25">
      <c r="A42" s="10" t="e">
        <f>'Open Order'!#REF!</f>
        <v>#REF!</v>
      </c>
      <c r="B42" s="6" t="e">
        <f>'Open Order'!#REF!</f>
        <v>#REF!</v>
      </c>
      <c r="C42" s="6" t="e">
        <f>'Open Order'!#REF!</f>
        <v>#REF!</v>
      </c>
      <c r="D42" s="8" t="e">
        <f>'Open Order'!#REF!</f>
        <v>#REF!</v>
      </c>
      <c r="E42" s="9" t="e">
        <f>'Open Order'!#REF!</f>
        <v>#REF!</v>
      </c>
      <c r="F42" s="14" t="e">
        <f>'Open Order'!#REF!</f>
        <v>#REF!</v>
      </c>
      <c r="L42" s="8" t="e">
        <f>'Open Order'!#REF!</f>
        <v>#REF!</v>
      </c>
    </row>
    <row r="43" spans="1:12" ht="30.75" customHeight="1" thickBot="1" x14ac:dyDescent="0.25">
      <c r="A43" s="10" t="e">
        <f>'Open Order'!#REF!</f>
        <v>#REF!</v>
      </c>
      <c r="B43" s="6" t="e">
        <f>'Open Order'!#REF!</f>
        <v>#REF!</v>
      </c>
      <c r="C43" s="6" t="e">
        <f>'Open Order'!#REF!</f>
        <v>#REF!</v>
      </c>
      <c r="D43" s="8" t="e">
        <f>'Open Order'!#REF!</f>
        <v>#REF!</v>
      </c>
      <c r="E43" s="9" t="e">
        <f>'Open Order'!#REF!</f>
        <v>#REF!</v>
      </c>
      <c r="F43" s="14" t="e">
        <f>'Open Order'!#REF!</f>
        <v>#REF!</v>
      </c>
      <c r="L43" s="8" t="e">
        <f>'Open Order'!#REF!</f>
        <v>#REF!</v>
      </c>
    </row>
    <row r="44" spans="1:12" ht="30.75" customHeight="1" thickBot="1" x14ac:dyDescent="0.25">
      <c r="A44" s="10" t="e">
        <f>'Open Order'!#REF!</f>
        <v>#REF!</v>
      </c>
      <c r="B44" s="6" t="e">
        <f>'Open Order'!#REF!</f>
        <v>#REF!</v>
      </c>
      <c r="C44" s="6" t="e">
        <f>'Open Order'!#REF!</f>
        <v>#REF!</v>
      </c>
      <c r="D44" s="8" t="e">
        <f>'Open Order'!#REF!</f>
        <v>#REF!</v>
      </c>
      <c r="E44" s="9" t="e">
        <f>'Open Order'!#REF!</f>
        <v>#REF!</v>
      </c>
      <c r="F44" s="14" t="e">
        <f>'Open Order'!#REF!</f>
        <v>#REF!</v>
      </c>
      <c r="L44" s="8" t="e">
        <f>'Open Order'!#REF!</f>
        <v>#REF!</v>
      </c>
    </row>
    <row r="45" spans="1:12" ht="30.75" customHeight="1" thickBot="1" x14ac:dyDescent="0.25">
      <c r="A45" s="10" t="e">
        <f>'Open Order'!#REF!</f>
        <v>#REF!</v>
      </c>
      <c r="B45" s="6" t="e">
        <f>'Open Order'!#REF!</f>
        <v>#REF!</v>
      </c>
      <c r="C45" s="6" t="e">
        <f>'Open Order'!#REF!</f>
        <v>#REF!</v>
      </c>
      <c r="D45" s="8" t="e">
        <f>'Open Order'!#REF!</f>
        <v>#REF!</v>
      </c>
      <c r="E45" s="9" t="e">
        <f>'Open Order'!#REF!</f>
        <v>#REF!</v>
      </c>
      <c r="F45" s="14" t="e">
        <f>'Open Order'!#REF!</f>
        <v>#REF!</v>
      </c>
      <c r="L45" s="8" t="e">
        <f>'Open Order'!#REF!</f>
        <v>#REF!</v>
      </c>
    </row>
    <row r="46" spans="1:12" ht="30.75" customHeight="1" thickBot="1" x14ac:dyDescent="0.25">
      <c r="A46" s="10" t="e">
        <f>'Open Order'!#REF!</f>
        <v>#REF!</v>
      </c>
      <c r="B46" s="6" t="e">
        <f>'Open Order'!#REF!</f>
        <v>#REF!</v>
      </c>
      <c r="C46" s="6" t="e">
        <f>'Open Order'!#REF!</f>
        <v>#REF!</v>
      </c>
      <c r="D46" s="8" t="e">
        <f>'Open Order'!#REF!</f>
        <v>#REF!</v>
      </c>
      <c r="E46" s="9" t="e">
        <f>'Open Order'!#REF!</f>
        <v>#REF!</v>
      </c>
      <c r="F46" s="14" t="e">
        <f>'Open Order'!#REF!</f>
        <v>#REF!</v>
      </c>
      <c r="L46" s="8" t="e">
        <f>'Open Order'!#REF!</f>
        <v>#REF!</v>
      </c>
    </row>
    <row r="47" spans="1:12" ht="30.75" customHeight="1" thickBot="1" x14ac:dyDescent="0.25">
      <c r="A47" s="10" t="e">
        <f>'Open Order'!#REF!</f>
        <v>#REF!</v>
      </c>
      <c r="B47" s="6" t="e">
        <f>'Open Order'!#REF!</f>
        <v>#REF!</v>
      </c>
      <c r="C47" s="6" t="e">
        <f>'Open Order'!#REF!</f>
        <v>#REF!</v>
      </c>
      <c r="D47" s="8" t="e">
        <f>'Open Order'!#REF!</f>
        <v>#REF!</v>
      </c>
      <c r="E47" s="9" t="e">
        <f>'Open Order'!#REF!</f>
        <v>#REF!</v>
      </c>
      <c r="F47" s="14" t="e">
        <f>'Open Order'!#REF!</f>
        <v>#REF!</v>
      </c>
      <c r="L47" s="8" t="e">
        <f>'Open Order'!#REF!</f>
        <v>#REF!</v>
      </c>
    </row>
    <row r="48" spans="1:12" ht="30.75" customHeight="1" thickBot="1" x14ac:dyDescent="0.25">
      <c r="A48" s="10" t="e">
        <f>'Open Order'!#REF!</f>
        <v>#REF!</v>
      </c>
      <c r="B48" s="6" t="e">
        <f>'Open Order'!#REF!</f>
        <v>#REF!</v>
      </c>
      <c r="C48" s="6" t="e">
        <f>'Open Order'!#REF!</f>
        <v>#REF!</v>
      </c>
      <c r="D48" s="8" t="e">
        <f>'Open Order'!#REF!</f>
        <v>#REF!</v>
      </c>
      <c r="E48" s="9" t="e">
        <f>'Open Order'!#REF!</f>
        <v>#REF!</v>
      </c>
      <c r="F48" s="14" t="e">
        <f>'Open Order'!#REF!</f>
        <v>#REF!</v>
      </c>
      <c r="L48" s="8" t="e">
        <f>'Open Order'!#REF!</f>
        <v>#REF!</v>
      </c>
    </row>
    <row r="49" spans="1:12" ht="30.75" customHeight="1" thickBot="1" x14ac:dyDescent="0.25">
      <c r="A49" s="10" t="e">
        <f>'Open Order'!#REF!</f>
        <v>#REF!</v>
      </c>
      <c r="B49" s="6" t="e">
        <f>'Open Order'!#REF!</f>
        <v>#REF!</v>
      </c>
      <c r="C49" s="6" t="e">
        <f>'Open Order'!#REF!</f>
        <v>#REF!</v>
      </c>
      <c r="D49" s="8" t="e">
        <f>'Open Order'!#REF!</f>
        <v>#REF!</v>
      </c>
      <c r="E49" s="9" t="e">
        <f>'Open Order'!#REF!</f>
        <v>#REF!</v>
      </c>
      <c r="F49" s="14" t="e">
        <f>'Open Order'!#REF!</f>
        <v>#REF!</v>
      </c>
      <c r="L49" s="8" t="e">
        <f>'Open Order'!#REF!</f>
        <v>#REF!</v>
      </c>
    </row>
    <row r="50" spans="1:12" ht="30.75" customHeight="1" thickBot="1" x14ac:dyDescent="0.25">
      <c r="A50" s="10" t="e">
        <f>'Open Order'!#REF!</f>
        <v>#REF!</v>
      </c>
      <c r="B50" s="6" t="e">
        <f>'Open Order'!#REF!</f>
        <v>#REF!</v>
      </c>
      <c r="C50" s="6" t="e">
        <f>'Open Order'!#REF!</f>
        <v>#REF!</v>
      </c>
      <c r="D50" s="8" t="e">
        <f>'Open Order'!#REF!</f>
        <v>#REF!</v>
      </c>
      <c r="E50" s="9" t="e">
        <f>'Open Order'!#REF!</f>
        <v>#REF!</v>
      </c>
      <c r="F50" s="14" t="e">
        <f>'Open Order'!#REF!</f>
        <v>#REF!</v>
      </c>
      <c r="L50" s="8" t="e">
        <f>'Open Order'!#REF!</f>
        <v>#REF!</v>
      </c>
    </row>
    <row r="51" spans="1:12" ht="30.75" customHeight="1" thickBot="1" x14ac:dyDescent="0.25">
      <c r="A51" s="10" t="e">
        <f>'Open Order'!#REF!</f>
        <v>#REF!</v>
      </c>
      <c r="B51" s="6" t="e">
        <f>'Open Order'!#REF!</f>
        <v>#REF!</v>
      </c>
      <c r="C51" s="6" t="e">
        <f>'Open Order'!#REF!</f>
        <v>#REF!</v>
      </c>
      <c r="D51" s="8" t="e">
        <f>'Open Order'!#REF!</f>
        <v>#REF!</v>
      </c>
      <c r="E51" s="9" t="e">
        <f>'Open Order'!#REF!</f>
        <v>#REF!</v>
      </c>
      <c r="F51" s="14" t="e">
        <f>'Open Order'!#REF!</f>
        <v>#REF!</v>
      </c>
      <c r="L51" s="8" t="e">
        <f>'Open Order'!#REF!</f>
        <v>#REF!</v>
      </c>
    </row>
    <row r="52" spans="1:12" ht="30.75" customHeight="1" thickBot="1" x14ac:dyDescent="0.25">
      <c r="A52" s="10" t="e">
        <f>'Open Order'!#REF!</f>
        <v>#REF!</v>
      </c>
      <c r="B52" s="6" t="e">
        <f>'Open Order'!#REF!</f>
        <v>#REF!</v>
      </c>
      <c r="C52" s="6" t="e">
        <f>'Open Order'!#REF!</f>
        <v>#REF!</v>
      </c>
      <c r="D52" s="8" t="e">
        <f>'Open Order'!#REF!</f>
        <v>#REF!</v>
      </c>
      <c r="E52" s="9" t="e">
        <f>'Open Order'!#REF!</f>
        <v>#REF!</v>
      </c>
      <c r="F52" s="14" t="e">
        <f>'Open Order'!#REF!</f>
        <v>#REF!</v>
      </c>
      <c r="L52" s="8" t="e">
        <f>'Open Order'!#REF!</f>
        <v>#REF!</v>
      </c>
    </row>
    <row r="53" spans="1:12" ht="30.75" customHeight="1" thickBot="1" x14ac:dyDescent="0.25">
      <c r="A53" s="10" t="e">
        <f>'Open Order'!#REF!</f>
        <v>#REF!</v>
      </c>
      <c r="B53" s="6" t="e">
        <f>'Open Order'!#REF!</f>
        <v>#REF!</v>
      </c>
      <c r="C53" s="6" t="e">
        <f>'Open Order'!#REF!</f>
        <v>#REF!</v>
      </c>
      <c r="D53" s="8" t="e">
        <f>'Open Order'!#REF!</f>
        <v>#REF!</v>
      </c>
      <c r="E53" s="9" t="e">
        <f>'Open Order'!#REF!</f>
        <v>#REF!</v>
      </c>
      <c r="F53" s="14" t="e">
        <f>'Open Order'!#REF!</f>
        <v>#REF!</v>
      </c>
      <c r="L53" s="8" t="e">
        <f>'Open Order'!#REF!</f>
        <v>#REF!</v>
      </c>
    </row>
    <row r="54" spans="1:12" ht="30.75" customHeight="1" thickBot="1" x14ac:dyDescent="0.25">
      <c r="A54" s="10" t="e">
        <f>'Open Order'!#REF!</f>
        <v>#REF!</v>
      </c>
      <c r="B54" s="6" t="e">
        <f>'Open Order'!#REF!</f>
        <v>#REF!</v>
      </c>
      <c r="C54" s="6" t="e">
        <f>'Open Order'!#REF!</f>
        <v>#REF!</v>
      </c>
      <c r="D54" s="8" t="e">
        <f>'Open Order'!#REF!</f>
        <v>#REF!</v>
      </c>
      <c r="E54" s="9" t="e">
        <f>'Open Order'!#REF!</f>
        <v>#REF!</v>
      </c>
      <c r="F54" s="14" t="e">
        <f>'Open Order'!#REF!</f>
        <v>#REF!</v>
      </c>
      <c r="L54" s="8" t="e">
        <f>'Open Order'!#REF!</f>
        <v>#REF!</v>
      </c>
    </row>
    <row r="55" spans="1:12" ht="30.75" customHeight="1" thickBot="1" x14ac:dyDescent="0.25">
      <c r="A55" s="10" t="e">
        <f>'Open Order'!#REF!</f>
        <v>#REF!</v>
      </c>
      <c r="B55" s="6" t="e">
        <f>'Open Order'!#REF!</f>
        <v>#REF!</v>
      </c>
      <c r="C55" s="6" t="e">
        <f>'Open Order'!#REF!</f>
        <v>#REF!</v>
      </c>
      <c r="D55" s="8" t="e">
        <f>'Open Order'!#REF!</f>
        <v>#REF!</v>
      </c>
      <c r="E55" s="9" t="e">
        <f>'Open Order'!#REF!</f>
        <v>#REF!</v>
      </c>
      <c r="F55" s="14" t="e">
        <f>'Open Order'!#REF!</f>
        <v>#REF!</v>
      </c>
      <c r="L55" s="8" t="e">
        <f>'Open Order'!#REF!</f>
        <v>#REF!</v>
      </c>
    </row>
    <row r="56" spans="1:12" ht="30.75" customHeight="1" thickBot="1" x14ac:dyDescent="0.25">
      <c r="A56" s="10" t="e">
        <f>'Open Order'!#REF!</f>
        <v>#REF!</v>
      </c>
      <c r="B56" s="6" t="e">
        <f>'Open Order'!#REF!</f>
        <v>#REF!</v>
      </c>
      <c r="C56" s="6" t="e">
        <f>'Open Order'!#REF!</f>
        <v>#REF!</v>
      </c>
      <c r="D56" s="8" t="e">
        <f>'Open Order'!#REF!</f>
        <v>#REF!</v>
      </c>
      <c r="E56" s="9" t="e">
        <f>'Open Order'!#REF!</f>
        <v>#REF!</v>
      </c>
      <c r="F56" s="14" t="e">
        <f>'Open Order'!#REF!</f>
        <v>#REF!</v>
      </c>
      <c r="L56" s="8" t="e">
        <f>'Open Order'!#REF!</f>
        <v>#REF!</v>
      </c>
    </row>
    <row r="57" spans="1:12" ht="30.75" customHeight="1" thickBot="1" x14ac:dyDescent="0.25">
      <c r="A57" s="10" t="e">
        <f>'Open Order'!#REF!</f>
        <v>#REF!</v>
      </c>
      <c r="B57" s="6" t="e">
        <f>'Open Order'!#REF!</f>
        <v>#REF!</v>
      </c>
      <c r="C57" s="6" t="e">
        <f>'Open Order'!#REF!</f>
        <v>#REF!</v>
      </c>
      <c r="D57" s="8" t="e">
        <f>'Open Order'!#REF!</f>
        <v>#REF!</v>
      </c>
      <c r="E57" s="9" t="e">
        <f>'Open Order'!#REF!</f>
        <v>#REF!</v>
      </c>
      <c r="F57" s="14" t="e">
        <f>'Open Order'!#REF!</f>
        <v>#REF!</v>
      </c>
      <c r="L57" s="8" t="e">
        <f>'Open Order'!#REF!</f>
        <v>#REF!</v>
      </c>
    </row>
    <row r="58" spans="1:12" ht="30.75" customHeight="1" thickBot="1" x14ac:dyDescent="0.25">
      <c r="A58" s="10" t="e">
        <f>'Open Order'!#REF!</f>
        <v>#REF!</v>
      </c>
      <c r="B58" s="6" t="e">
        <f>'Open Order'!#REF!</f>
        <v>#REF!</v>
      </c>
      <c r="C58" s="6" t="e">
        <f>'Open Order'!#REF!</f>
        <v>#REF!</v>
      </c>
      <c r="D58" s="8" t="e">
        <f>'Open Order'!#REF!</f>
        <v>#REF!</v>
      </c>
      <c r="E58" s="9" t="e">
        <f>'Open Order'!#REF!</f>
        <v>#REF!</v>
      </c>
      <c r="F58" s="14" t="e">
        <f>'Open Order'!#REF!</f>
        <v>#REF!</v>
      </c>
      <c r="L58" s="8" t="e">
        <f>'Open Order'!#REF!</f>
        <v>#REF!</v>
      </c>
    </row>
    <row r="59" spans="1:12" ht="30.75" customHeight="1" thickBot="1" x14ac:dyDescent="0.25">
      <c r="A59" s="10" t="e">
        <f>'Open Order'!#REF!</f>
        <v>#REF!</v>
      </c>
      <c r="B59" s="6" t="e">
        <f>'Open Order'!#REF!</f>
        <v>#REF!</v>
      </c>
      <c r="C59" s="6" t="e">
        <f>'Open Order'!#REF!</f>
        <v>#REF!</v>
      </c>
      <c r="D59" s="8" t="e">
        <f>'Open Order'!#REF!</f>
        <v>#REF!</v>
      </c>
      <c r="E59" s="9" t="e">
        <f>'Open Order'!#REF!</f>
        <v>#REF!</v>
      </c>
      <c r="F59" s="14" t="e">
        <f>'Open Order'!#REF!</f>
        <v>#REF!</v>
      </c>
      <c r="L59" s="8" t="e">
        <f>'Open Order'!#REF!</f>
        <v>#REF!</v>
      </c>
    </row>
    <row r="60" spans="1:12" ht="30.75" customHeight="1" thickBot="1" x14ac:dyDescent="0.25">
      <c r="A60" s="10" t="e">
        <f>'Open Order'!#REF!</f>
        <v>#REF!</v>
      </c>
      <c r="B60" s="6" t="e">
        <f>'Open Order'!#REF!</f>
        <v>#REF!</v>
      </c>
      <c r="C60" s="6" t="e">
        <f>'Open Order'!#REF!</f>
        <v>#REF!</v>
      </c>
      <c r="D60" s="8" t="e">
        <f>'Open Order'!#REF!</f>
        <v>#REF!</v>
      </c>
      <c r="E60" s="9" t="e">
        <f>'Open Order'!#REF!</f>
        <v>#REF!</v>
      </c>
      <c r="F60" s="14" t="e">
        <f>'Open Order'!#REF!</f>
        <v>#REF!</v>
      </c>
      <c r="L60" s="8" t="e">
        <f>'Open Order'!#REF!</f>
        <v>#REF!</v>
      </c>
    </row>
    <row r="61" spans="1:12" ht="30.75" customHeight="1" thickBot="1" x14ac:dyDescent="0.25">
      <c r="A61" s="10" t="e">
        <f>'Open Order'!#REF!</f>
        <v>#REF!</v>
      </c>
      <c r="B61" s="6" t="e">
        <f>'Open Order'!#REF!</f>
        <v>#REF!</v>
      </c>
      <c r="C61" s="6" t="e">
        <f>'Open Order'!#REF!</f>
        <v>#REF!</v>
      </c>
      <c r="D61" s="8" t="e">
        <f>'Open Order'!#REF!</f>
        <v>#REF!</v>
      </c>
      <c r="E61" s="9" t="e">
        <f>'Open Order'!#REF!</f>
        <v>#REF!</v>
      </c>
      <c r="F61" s="14" t="e">
        <f>'Open Order'!#REF!</f>
        <v>#REF!</v>
      </c>
      <c r="L61" s="8" t="e">
        <f>'Open Order'!#REF!</f>
        <v>#REF!</v>
      </c>
    </row>
    <row r="62" spans="1:12" ht="30.75" customHeight="1" thickBot="1" x14ac:dyDescent="0.25">
      <c r="A62" s="10" t="e">
        <f>'Open Order'!#REF!</f>
        <v>#REF!</v>
      </c>
      <c r="B62" s="6" t="e">
        <f>'Open Order'!#REF!</f>
        <v>#REF!</v>
      </c>
      <c r="C62" s="6" t="e">
        <f>'Open Order'!#REF!</f>
        <v>#REF!</v>
      </c>
      <c r="D62" s="8" t="e">
        <f>'Open Order'!#REF!</f>
        <v>#REF!</v>
      </c>
      <c r="E62" s="9" t="e">
        <f>'Open Order'!#REF!</f>
        <v>#REF!</v>
      </c>
      <c r="F62" s="14" t="e">
        <f>'Open Order'!#REF!</f>
        <v>#REF!</v>
      </c>
      <c r="L62" s="8" t="e">
        <f>'Open Order'!#REF!</f>
        <v>#REF!</v>
      </c>
    </row>
    <row r="63" spans="1:12" ht="30.75" customHeight="1" thickBot="1" x14ac:dyDescent="0.25">
      <c r="A63" s="10" t="e">
        <f>'Open Order'!#REF!</f>
        <v>#REF!</v>
      </c>
      <c r="B63" s="6" t="e">
        <f>'Open Order'!#REF!</f>
        <v>#REF!</v>
      </c>
      <c r="C63" s="6" t="e">
        <f>'Open Order'!#REF!</f>
        <v>#REF!</v>
      </c>
      <c r="D63" s="8" t="e">
        <f>'Open Order'!#REF!</f>
        <v>#REF!</v>
      </c>
      <c r="E63" s="9" t="e">
        <f>'Open Order'!#REF!</f>
        <v>#REF!</v>
      </c>
      <c r="F63" s="14" t="e">
        <f>'Open Order'!#REF!</f>
        <v>#REF!</v>
      </c>
      <c r="L63" s="8" t="e">
        <f>'Open Order'!#REF!</f>
        <v>#REF!</v>
      </c>
    </row>
    <row r="64" spans="1:12" ht="30.75" customHeight="1" thickBot="1" x14ac:dyDescent="0.25">
      <c r="A64" s="10" t="e">
        <f>'Open Order'!#REF!</f>
        <v>#REF!</v>
      </c>
      <c r="B64" s="6" t="e">
        <f>'Open Order'!#REF!</f>
        <v>#REF!</v>
      </c>
      <c r="C64" s="6" t="e">
        <f>'Open Order'!#REF!</f>
        <v>#REF!</v>
      </c>
      <c r="D64" s="8" t="e">
        <f>'Open Order'!#REF!</f>
        <v>#REF!</v>
      </c>
      <c r="E64" s="9" t="e">
        <f>'Open Order'!#REF!</f>
        <v>#REF!</v>
      </c>
      <c r="F64" s="14" t="e">
        <f>'Open Order'!#REF!</f>
        <v>#REF!</v>
      </c>
      <c r="L64" s="8" t="e">
        <f>'Open Order'!#REF!</f>
        <v>#REF!</v>
      </c>
    </row>
    <row r="65" spans="1:12" ht="30.75" customHeight="1" thickBot="1" x14ac:dyDescent="0.25">
      <c r="A65" s="10" t="e">
        <f>'Open Order'!#REF!</f>
        <v>#REF!</v>
      </c>
      <c r="B65" s="6" t="e">
        <f>'Open Order'!#REF!</f>
        <v>#REF!</v>
      </c>
      <c r="C65" s="6" t="e">
        <f>'Open Order'!#REF!</f>
        <v>#REF!</v>
      </c>
      <c r="D65" s="8" t="e">
        <f>'Open Order'!#REF!</f>
        <v>#REF!</v>
      </c>
      <c r="E65" s="9" t="e">
        <f>'Open Order'!#REF!</f>
        <v>#REF!</v>
      </c>
      <c r="F65" s="14" t="e">
        <f>'Open Order'!#REF!</f>
        <v>#REF!</v>
      </c>
      <c r="L65" s="8" t="e">
        <f>'Open Order'!#REF!</f>
        <v>#REF!</v>
      </c>
    </row>
    <row r="66" spans="1:12" ht="30.75" customHeight="1" thickBot="1" x14ac:dyDescent="0.25">
      <c r="A66" s="10" t="e">
        <f>'Open Order'!#REF!</f>
        <v>#REF!</v>
      </c>
      <c r="B66" s="6" t="e">
        <f>'Open Order'!#REF!</f>
        <v>#REF!</v>
      </c>
      <c r="C66" s="6" t="e">
        <f>'Open Order'!#REF!</f>
        <v>#REF!</v>
      </c>
      <c r="D66" s="8" t="e">
        <f>'Open Order'!#REF!</f>
        <v>#REF!</v>
      </c>
      <c r="E66" s="9" t="e">
        <f>'Open Order'!#REF!</f>
        <v>#REF!</v>
      </c>
      <c r="F66" s="14" t="e">
        <f>'Open Order'!#REF!</f>
        <v>#REF!</v>
      </c>
      <c r="L66" s="8" t="e">
        <f>'Open Order'!#REF!</f>
        <v>#REF!</v>
      </c>
    </row>
    <row r="67" spans="1:12" ht="30.75" customHeight="1" thickBot="1" x14ac:dyDescent="0.25">
      <c r="A67" s="10" t="e">
        <f>'Open Order'!#REF!</f>
        <v>#REF!</v>
      </c>
      <c r="B67" s="6" t="e">
        <f>'Open Order'!#REF!</f>
        <v>#REF!</v>
      </c>
      <c r="C67" s="6" t="e">
        <f>'Open Order'!#REF!</f>
        <v>#REF!</v>
      </c>
      <c r="D67" s="8" t="e">
        <f>'Open Order'!#REF!</f>
        <v>#REF!</v>
      </c>
      <c r="E67" s="9" t="e">
        <f>'Open Order'!#REF!</f>
        <v>#REF!</v>
      </c>
      <c r="F67" s="14" t="e">
        <f>'Open Order'!#REF!</f>
        <v>#REF!</v>
      </c>
      <c r="L67" s="8" t="e">
        <f>'Open Order'!#REF!</f>
        <v>#REF!</v>
      </c>
    </row>
    <row r="68" spans="1:12" ht="30.75" customHeight="1" thickBot="1" x14ac:dyDescent="0.25">
      <c r="A68" s="10" t="e">
        <f>'Open Order'!#REF!</f>
        <v>#REF!</v>
      </c>
      <c r="B68" s="6" t="e">
        <f>'Open Order'!#REF!</f>
        <v>#REF!</v>
      </c>
      <c r="C68" s="6" t="e">
        <f>'Open Order'!#REF!</f>
        <v>#REF!</v>
      </c>
      <c r="D68" s="8" t="e">
        <f>'Open Order'!#REF!</f>
        <v>#REF!</v>
      </c>
      <c r="E68" s="9" t="e">
        <f>'Open Order'!#REF!</f>
        <v>#REF!</v>
      </c>
      <c r="F68" s="14" t="e">
        <f>'Open Order'!#REF!</f>
        <v>#REF!</v>
      </c>
      <c r="L68" s="8" t="e">
        <f>'Open Order'!#REF!</f>
        <v>#REF!</v>
      </c>
    </row>
    <row r="69" spans="1:12" ht="30.75" customHeight="1" thickBot="1" x14ac:dyDescent="0.25">
      <c r="A69" s="10" t="e">
        <f>'Open Order'!#REF!</f>
        <v>#REF!</v>
      </c>
      <c r="B69" s="6" t="e">
        <f>'Open Order'!#REF!</f>
        <v>#REF!</v>
      </c>
      <c r="C69" s="6" t="e">
        <f>'Open Order'!#REF!</f>
        <v>#REF!</v>
      </c>
      <c r="D69" s="8" t="e">
        <f>'Open Order'!#REF!</f>
        <v>#REF!</v>
      </c>
      <c r="E69" s="9" t="e">
        <f>'Open Order'!#REF!</f>
        <v>#REF!</v>
      </c>
      <c r="F69" s="14" t="e">
        <f>'Open Order'!#REF!</f>
        <v>#REF!</v>
      </c>
      <c r="L69" s="8" t="e">
        <f>'Open Order'!#REF!</f>
        <v>#REF!</v>
      </c>
    </row>
    <row r="70" spans="1:12" ht="30.75" customHeight="1" thickBot="1" x14ac:dyDescent="0.25">
      <c r="A70" s="10" t="e">
        <f>'Open Order'!#REF!</f>
        <v>#REF!</v>
      </c>
      <c r="B70" s="6" t="e">
        <f>'Open Order'!#REF!</f>
        <v>#REF!</v>
      </c>
      <c r="C70" s="6" t="e">
        <f>'Open Order'!#REF!</f>
        <v>#REF!</v>
      </c>
      <c r="D70" s="8" t="e">
        <f>'Open Order'!#REF!</f>
        <v>#REF!</v>
      </c>
      <c r="E70" s="9" t="e">
        <f>'Open Order'!#REF!</f>
        <v>#REF!</v>
      </c>
      <c r="F70" s="14" t="e">
        <f>'Open Order'!#REF!</f>
        <v>#REF!</v>
      </c>
      <c r="L70" s="8" t="e">
        <f>'Open Order'!#REF!</f>
        <v>#REF!</v>
      </c>
    </row>
    <row r="71" spans="1:12" ht="30.75" customHeight="1" thickBot="1" x14ac:dyDescent="0.25">
      <c r="A71" s="10" t="e">
        <f>'Open Order'!#REF!</f>
        <v>#REF!</v>
      </c>
      <c r="B71" s="6" t="e">
        <f>'Open Order'!#REF!</f>
        <v>#REF!</v>
      </c>
      <c r="C71" s="6" t="e">
        <f>'Open Order'!#REF!</f>
        <v>#REF!</v>
      </c>
      <c r="D71" s="8" t="e">
        <f>'Open Order'!#REF!</f>
        <v>#REF!</v>
      </c>
      <c r="E71" s="9" t="e">
        <f>'Open Order'!#REF!</f>
        <v>#REF!</v>
      </c>
      <c r="F71" s="14" t="e">
        <f>'Open Order'!#REF!</f>
        <v>#REF!</v>
      </c>
      <c r="L71" s="8" t="e">
        <f>'Open Order'!#REF!</f>
        <v>#REF!</v>
      </c>
    </row>
    <row r="72" spans="1:12" ht="30.75" customHeight="1" thickBot="1" x14ac:dyDescent="0.25">
      <c r="A72" s="10" t="e">
        <f>'Open Order'!#REF!</f>
        <v>#REF!</v>
      </c>
      <c r="B72" s="6" t="e">
        <f>'Open Order'!#REF!</f>
        <v>#REF!</v>
      </c>
      <c r="C72" s="6" t="e">
        <f>'Open Order'!#REF!</f>
        <v>#REF!</v>
      </c>
      <c r="D72" s="8" t="e">
        <f>'Open Order'!#REF!</f>
        <v>#REF!</v>
      </c>
      <c r="E72" s="9" t="e">
        <f>'Open Order'!#REF!</f>
        <v>#REF!</v>
      </c>
      <c r="F72" s="14" t="e">
        <f>'Open Order'!#REF!</f>
        <v>#REF!</v>
      </c>
      <c r="L72" s="8" t="e">
        <f>'Open Order'!#REF!</f>
        <v>#REF!</v>
      </c>
    </row>
    <row r="73" spans="1:12" ht="30.75" customHeight="1" thickBot="1" x14ac:dyDescent="0.25">
      <c r="A73" s="10" t="e">
        <f>'Open Order'!#REF!</f>
        <v>#REF!</v>
      </c>
      <c r="B73" s="6" t="e">
        <f>'Open Order'!#REF!</f>
        <v>#REF!</v>
      </c>
      <c r="C73" s="6" t="e">
        <f>'Open Order'!#REF!</f>
        <v>#REF!</v>
      </c>
      <c r="D73" s="8" t="e">
        <f>'Open Order'!#REF!</f>
        <v>#REF!</v>
      </c>
      <c r="E73" s="9" t="e">
        <f>'Open Order'!#REF!</f>
        <v>#REF!</v>
      </c>
      <c r="F73" s="14" t="e">
        <f>'Open Order'!#REF!</f>
        <v>#REF!</v>
      </c>
      <c r="L73" s="8" t="e">
        <f>'Open Order'!#REF!</f>
        <v>#REF!</v>
      </c>
    </row>
    <row r="74" spans="1:12" ht="30.75" customHeight="1" thickBot="1" x14ac:dyDescent="0.25">
      <c r="A74" s="10" t="e">
        <f>'Open Order'!#REF!</f>
        <v>#REF!</v>
      </c>
      <c r="B74" s="6" t="e">
        <f>'Open Order'!#REF!</f>
        <v>#REF!</v>
      </c>
      <c r="C74" s="6" t="e">
        <f>'Open Order'!#REF!</f>
        <v>#REF!</v>
      </c>
      <c r="D74" s="8" t="e">
        <f>'Open Order'!#REF!</f>
        <v>#REF!</v>
      </c>
      <c r="E74" s="9" t="e">
        <f>'Open Order'!#REF!</f>
        <v>#REF!</v>
      </c>
      <c r="F74" s="14" t="e">
        <f>'Open Order'!#REF!</f>
        <v>#REF!</v>
      </c>
      <c r="L74" s="8" t="e">
        <f>'Open Order'!#REF!</f>
        <v>#REF!</v>
      </c>
    </row>
    <row r="75" spans="1:12" ht="30.75" customHeight="1" thickBot="1" x14ac:dyDescent="0.25">
      <c r="A75" s="10" t="e">
        <f>'Open Order'!#REF!</f>
        <v>#REF!</v>
      </c>
      <c r="B75" s="6" t="e">
        <f>'Open Order'!#REF!</f>
        <v>#REF!</v>
      </c>
      <c r="C75" s="6" t="e">
        <f>'Open Order'!#REF!</f>
        <v>#REF!</v>
      </c>
      <c r="D75" s="8" t="e">
        <f>'Open Order'!#REF!</f>
        <v>#REF!</v>
      </c>
      <c r="E75" s="9" t="e">
        <f>'Open Order'!#REF!</f>
        <v>#REF!</v>
      </c>
      <c r="F75" s="14" t="e">
        <f>'Open Order'!#REF!</f>
        <v>#REF!</v>
      </c>
      <c r="L75" s="8" t="e">
        <f>'Open Order'!#REF!</f>
        <v>#REF!</v>
      </c>
    </row>
    <row r="76" spans="1:12" ht="30.75" customHeight="1" thickBot="1" x14ac:dyDescent="0.25">
      <c r="A76" s="10" t="e">
        <f>'Open Order'!#REF!</f>
        <v>#REF!</v>
      </c>
      <c r="B76" s="6" t="e">
        <f>'Open Order'!#REF!</f>
        <v>#REF!</v>
      </c>
      <c r="C76" s="6" t="e">
        <f>'Open Order'!#REF!</f>
        <v>#REF!</v>
      </c>
      <c r="D76" s="8" t="e">
        <f>'Open Order'!#REF!</f>
        <v>#REF!</v>
      </c>
      <c r="E76" s="9" t="e">
        <f>'Open Order'!#REF!</f>
        <v>#REF!</v>
      </c>
      <c r="F76" s="14" t="e">
        <f>'Open Order'!#REF!</f>
        <v>#REF!</v>
      </c>
      <c r="L76" s="8" t="e">
        <f>'Open Order'!#REF!</f>
        <v>#REF!</v>
      </c>
    </row>
    <row r="77" spans="1:12" ht="30.75" customHeight="1" thickBot="1" x14ac:dyDescent="0.25">
      <c r="A77" s="10" t="e">
        <f>'Open Order'!#REF!</f>
        <v>#REF!</v>
      </c>
      <c r="B77" s="6" t="e">
        <f>'Open Order'!#REF!</f>
        <v>#REF!</v>
      </c>
      <c r="C77" s="6" t="e">
        <f>'Open Order'!#REF!</f>
        <v>#REF!</v>
      </c>
      <c r="D77" s="8" t="e">
        <f>'Open Order'!#REF!</f>
        <v>#REF!</v>
      </c>
      <c r="E77" s="9" t="e">
        <f>'Open Order'!#REF!</f>
        <v>#REF!</v>
      </c>
      <c r="F77" s="14" t="e">
        <f>'Open Order'!#REF!</f>
        <v>#REF!</v>
      </c>
      <c r="L77" s="8" t="e">
        <f>'Open Order'!#REF!</f>
        <v>#REF!</v>
      </c>
    </row>
    <row r="78" spans="1:12" ht="30.75" customHeight="1" thickBot="1" x14ac:dyDescent="0.25">
      <c r="A78" s="10" t="e">
        <f>'Open Order'!#REF!</f>
        <v>#REF!</v>
      </c>
      <c r="B78" s="6" t="e">
        <f>'Open Order'!#REF!</f>
        <v>#REF!</v>
      </c>
      <c r="C78" s="6" t="e">
        <f>'Open Order'!#REF!</f>
        <v>#REF!</v>
      </c>
      <c r="D78" s="8" t="e">
        <f>'Open Order'!#REF!</f>
        <v>#REF!</v>
      </c>
      <c r="E78" s="9" t="e">
        <f>'Open Order'!#REF!</f>
        <v>#REF!</v>
      </c>
      <c r="F78" s="14" t="e">
        <f>'Open Order'!#REF!</f>
        <v>#REF!</v>
      </c>
      <c r="L78" s="8" t="e">
        <f>'Open Order'!#REF!</f>
        <v>#REF!</v>
      </c>
    </row>
    <row r="79" spans="1:12" ht="30.75" customHeight="1" thickBot="1" x14ac:dyDescent="0.25">
      <c r="A79" s="10" t="e">
        <f>'Open Order'!#REF!</f>
        <v>#REF!</v>
      </c>
      <c r="B79" s="6" t="e">
        <f>'Open Order'!#REF!</f>
        <v>#REF!</v>
      </c>
      <c r="C79" s="6" t="e">
        <f>'Open Order'!#REF!</f>
        <v>#REF!</v>
      </c>
      <c r="D79" s="8" t="e">
        <f>'Open Order'!#REF!</f>
        <v>#REF!</v>
      </c>
      <c r="E79" s="9" t="e">
        <f>'Open Order'!#REF!</f>
        <v>#REF!</v>
      </c>
      <c r="F79" s="14" t="e">
        <f>'Open Order'!#REF!</f>
        <v>#REF!</v>
      </c>
      <c r="L79" s="8" t="e">
        <f>'Open Order'!#REF!</f>
        <v>#REF!</v>
      </c>
    </row>
    <row r="80" spans="1:12" ht="30.75" customHeight="1" thickBot="1" x14ac:dyDescent="0.25">
      <c r="A80" s="10" t="e">
        <f>'Open Order'!#REF!</f>
        <v>#REF!</v>
      </c>
      <c r="B80" s="6" t="e">
        <f>'Open Order'!#REF!</f>
        <v>#REF!</v>
      </c>
      <c r="C80" s="6" t="e">
        <f>'Open Order'!#REF!</f>
        <v>#REF!</v>
      </c>
      <c r="D80" s="8" t="e">
        <f>'Open Order'!#REF!</f>
        <v>#REF!</v>
      </c>
      <c r="E80" s="9" t="e">
        <f>'Open Order'!#REF!</f>
        <v>#REF!</v>
      </c>
      <c r="F80" s="14" t="e">
        <f>'Open Order'!#REF!</f>
        <v>#REF!</v>
      </c>
      <c r="L80" s="8" t="e">
        <f>'Open Order'!#REF!</f>
        <v>#REF!</v>
      </c>
    </row>
    <row r="81" spans="1:12" ht="30.75" customHeight="1" thickBot="1" x14ac:dyDescent="0.25">
      <c r="A81" s="10" t="e">
        <f>'Open Order'!#REF!</f>
        <v>#REF!</v>
      </c>
      <c r="B81" s="6" t="e">
        <f>'Open Order'!#REF!</f>
        <v>#REF!</v>
      </c>
      <c r="C81" s="6" t="e">
        <f>'Open Order'!#REF!</f>
        <v>#REF!</v>
      </c>
      <c r="D81" s="8" t="e">
        <f>'Open Order'!#REF!</f>
        <v>#REF!</v>
      </c>
      <c r="E81" s="9" t="e">
        <f>'Open Order'!#REF!</f>
        <v>#REF!</v>
      </c>
      <c r="F81" s="14" t="e">
        <f>'Open Order'!#REF!</f>
        <v>#REF!</v>
      </c>
      <c r="L81" s="8" t="e">
        <f>'Open Order'!#REF!</f>
        <v>#REF!</v>
      </c>
    </row>
    <row r="82" spans="1:12" ht="30.75" customHeight="1" thickBot="1" x14ac:dyDescent="0.25">
      <c r="A82" s="10" t="e">
        <f>'Open Order'!#REF!</f>
        <v>#REF!</v>
      </c>
      <c r="B82" s="6" t="e">
        <f>'Open Order'!#REF!</f>
        <v>#REF!</v>
      </c>
      <c r="C82" s="6" t="e">
        <f>'Open Order'!#REF!</f>
        <v>#REF!</v>
      </c>
      <c r="D82" s="8" t="e">
        <f>'Open Order'!#REF!</f>
        <v>#REF!</v>
      </c>
      <c r="E82" s="9" t="e">
        <f>'Open Order'!#REF!</f>
        <v>#REF!</v>
      </c>
      <c r="F82" s="14" t="e">
        <f>'Open Order'!#REF!</f>
        <v>#REF!</v>
      </c>
      <c r="L82" s="8" t="e">
        <f>'Open Order'!#REF!</f>
        <v>#REF!</v>
      </c>
    </row>
    <row r="83" spans="1:12" ht="30.75" customHeight="1" thickBot="1" x14ac:dyDescent="0.25">
      <c r="A83" s="10" t="e">
        <f>'Open Order'!#REF!</f>
        <v>#REF!</v>
      </c>
      <c r="B83" s="6" t="e">
        <f>'Open Order'!#REF!</f>
        <v>#REF!</v>
      </c>
      <c r="C83" s="6" t="e">
        <f>'Open Order'!#REF!</f>
        <v>#REF!</v>
      </c>
      <c r="D83" s="8" t="e">
        <f>'Open Order'!#REF!</f>
        <v>#REF!</v>
      </c>
      <c r="E83" s="9" t="e">
        <f>'Open Order'!#REF!</f>
        <v>#REF!</v>
      </c>
      <c r="F83" s="14" t="e">
        <f>'Open Order'!#REF!</f>
        <v>#REF!</v>
      </c>
      <c r="L83" s="8" t="e">
        <f>'Open Order'!#REF!</f>
        <v>#REF!</v>
      </c>
    </row>
    <row r="84" spans="1:12" ht="30.75" customHeight="1" thickBot="1" x14ac:dyDescent="0.25">
      <c r="A84" s="10" t="e">
        <f>'Open Order'!#REF!</f>
        <v>#REF!</v>
      </c>
      <c r="B84" s="6" t="e">
        <f>'Open Order'!#REF!</f>
        <v>#REF!</v>
      </c>
      <c r="C84" s="6" t="e">
        <f>'Open Order'!#REF!</f>
        <v>#REF!</v>
      </c>
      <c r="D84" s="8" t="e">
        <f>'Open Order'!#REF!</f>
        <v>#REF!</v>
      </c>
      <c r="E84" s="9" t="e">
        <f>'Open Order'!#REF!</f>
        <v>#REF!</v>
      </c>
      <c r="F84" s="14" t="e">
        <f>'Open Order'!#REF!</f>
        <v>#REF!</v>
      </c>
      <c r="L84" s="8" t="e">
        <f>'Open Order'!#REF!</f>
        <v>#REF!</v>
      </c>
    </row>
    <row r="85" spans="1:12" ht="30.75" customHeight="1" thickBot="1" x14ac:dyDescent="0.25">
      <c r="A85" s="10" t="e">
        <f>'Open Order'!#REF!</f>
        <v>#REF!</v>
      </c>
      <c r="B85" s="6" t="e">
        <f>'Open Order'!#REF!</f>
        <v>#REF!</v>
      </c>
      <c r="C85" s="6" t="e">
        <f>'Open Order'!#REF!</f>
        <v>#REF!</v>
      </c>
      <c r="D85" s="8" t="e">
        <f>'Open Order'!#REF!</f>
        <v>#REF!</v>
      </c>
      <c r="E85" s="9" t="e">
        <f>'Open Order'!#REF!</f>
        <v>#REF!</v>
      </c>
      <c r="F85" s="14" t="e">
        <f>'Open Order'!#REF!</f>
        <v>#REF!</v>
      </c>
      <c r="L85" s="8" t="e">
        <f>'Open Order'!#REF!</f>
        <v>#REF!</v>
      </c>
    </row>
    <row r="86" spans="1:12" ht="30.75" customHeight="1" thickBot="1" x14ac:dyDescent="0.25">
      <c r="A86" s="10" t="e">
        <f>'Open Order'!#REF!</f>
        <v>#REF!</v>
      </c>
      <c r="B86" s="6" t="e">
        <f>'Open Order'!#REF!</f>
        <v>#REF!</v>
      </c>
      <c r="C86" s="6" t="e">
        <f>'Open Order'!#REF!</f>
        <v>#REF!</v>
      </c>
      <c r="D86" s="8" t="e">
        <f>'Open Order'!#REF!</f>
        <v>#REF!</v>
      </c>
      <c r="E86" s="9" t="e">
        <f>'Open Order'!#REF!</f>
        <v>#REF!</v>
      </c>
      <c r="F86" s="14" t="e">
        <f>'Open Order'!#REF!</f>
        <v>#REF!</v>
      </c>
      <c r="L86" s="8" t="e">
        <f>'Open Order'!#REF!</f>
        <v>#REF!</v>
      </c>
    </row>
    <row r="87" spans="1:12" ht="30.75" customHeight="1" thickBot="1" x14ac:dyDescent="0.25">
      <c r="A87" s="10" t="e">
        <f>'Open Order'!#REF!</f>
        <v>#REF!</v>
      </c>
      <c r="B87" s="6" t="e">
        <f>'Open Order'!#REF!</f>
        <v>#REF!</v>
      </c>
      <c r="C87" s="6" t="e">
        <f>'Open Order'!#REF!</f>
        <v>#REF!</v>
      </c>
      <c r="D87" s="8" t="e">
        <f>'Open Order'!#REF!</f>
        <v>#REF!</v>
      </c>
      <c r="E87" s="9" t="e">
        <f>'Open Order'!#REF!</f>
        <v>#REF!</v>
      </c>
      <c r="F87" s="14" t="e">
        <f>'Open Order'!#REF!</f>
        <v>#REF!</v>
      </c>
      <c r="L87" s="8" t="e">
        <f>'Open Order'!#REF!</f>
        <v>#REF!</v>
      </c>
    </row>
    <row r="88" spans="1:12" ht="30.75" customHeight="1" thickBot="1" x14ac:dyDescent="0.25">
      <c r="A88" s="10" t="e">
        <f>'Open Order'!#REF!</f>
        <v>#REF!</v>
      </c>
      <c r="B88" s="6" t="e">
        <f>'Open Order'!#REF!</f>
        <v>#REF!</v>
      </c>
      <c r="C88" s="6" t="e">
        <f>'Open Order'!#REF!</f>
        <v>#REF!</v>
      </c>
      <c r="D88" s="8" t="e">
        <f>'Open Order'!#REF!</f>
        <v>#REF!</v>
      </c>
      <c r="E88" s="9" t="e">
        <f>'Open Order'!#REF!</f>
        <v>#REF!</v>
      </c>
      <c r="F88" s="14" t="e">
        <f>'Open Order'!#REF!</f>
        <v>#REF!</v>
      </c>
      <c r="L88" s="8" t="e">
        <f>'Open Order'!#REF!</f>
        <v>#REF!</v>
      </c>
    </row>
    <row r="89" spans="1:12" ht="30.75" customHeight="1" thickBot="1" x14ac:dyDescent="0.25">
      <c r="A89" s="10" t="e">
        <f>'Open Order'!#REF!</f>
        <v>#REF!</v>
      </c>
      <c r="B89" s="6" t="e">
        <f>'Open Order'!#REF!</f>
        <v>#REF!</v>
      </c>
      <c r="C89" s="6" t="e">
        <f>'Open Order'!#REF!</f>
        <v>#REF!</v>
      </c>
      <c r="D89" s="8" t="e">
        <f>'Open Order'!#REF!</f>
        <v>#REF!</v>
      </c>
      <c r="E89" s="9" t="e">
        <f>'Open Order'!#REF!</f>
        <v>#REF!</v>
      </c>
      <c r="F89" s="14" t="e">
        <f>'Open Order'!#REF!</f>
        <v>#REF!</v>
      </c>
      <c r="L89" s="8" t="e">
        <f>'Open Order'!#REF!</f>
        <v>#REF!</v>
      </c>
    </row>
    <row r="90" spans="1:12" ht="30.75" customHeight="1" thickBot="1" x14ac:dyDescent="0.25">
      <c r="A90" s="10" t="e">
        <f>'Open Order'!#REF!</f>
        <v>#REF!</v>
      </c>
      <c r="B90" s="6" t="e">
        <f>'Open Order'!#REF!</f>
        <v>#REF!</v>
      </c>
      <c r="C90" s="6" t="e">
        <f>'Open Order'!#REF!</f>
        <v>#REF!</v>
      </c>
      <c r="D90" s="8" t="e">
        <f>'Open Order'!#REF!</f>
        <v>#REF!</v>
      </c>
      <c r="E90" s="9" t="e">
        <f>'Open Order'!#REF!</f>
        <v>#REF!</v>
      </c>
      <c r="F90" s="14" t="e">
        <f>'Open Order'!#REF!</f>
        <v>#REF!</v>
      </c>
      <c r="L90" s="8" t="e">
        <f>'Open Order'!#REF!</f>
        <v>#REF!</v>
      </c>
    </row>
    <row r="91" spans="1:12" ht="30.75" customHeight="1" thickBot="1" x14ac:dyDescent="0.25">
      <c r="A91" s="10" t="e">
        <f>'Open Order'!#REF!</f>
        <v>#REF!</v>
      </c>
      <c r="B91" s="6" t="e">
        <f>'Open Order'!#REF!</f>
        <v>#REF!</v>
      </c>
      <c r="C91" s="6" t="e">
        <f>'Open Order'!#REF!</f>
        <v>#REF!</v>
      </c>
      <c r="D91" s="8" t="e">
        <f>'Open Order'!#REF!</f>
        <v>#REF!</v>
      </c>
      <c r="E91" s="9" t="e">
        <f>'Open Order'!#REF!</f>
        <v>#REF!</v>
      </c>
      <c r="F91" s="14" t="e">
        <f>'Open Order'!#REF!</f>
        <v>#REF!</v>
      </c>
      <c r="L91" s="8" t="e">
        <f>'Open Order'!#REF!</f>
        <v>#REF!</v>
      </c>
    </row>
    <row r="92" spans="1:12" ht="30.75" customHeight="1" thickBot="1" x14ac:dyDescent="0.25">
      <c r="A92" s="10" t="e">
        <f>'Open Order'!#REF!</f>
        <v>#REF!</v>
      </c>
      <c r="B92" s="6" t="e">
        <f>'Open Order'!#REF!</f>
        <v>#REF!</v>
      </c>
      <c r="C92" s="6" t="e">
        <f>'Open Order'!#REF!</f>
        <v>#REF!</v>
      </c>
      <c r="D92" s="8" t="e">
        <f>'Open Order'!#REF!</f>
        <v>#REF!</v>
      </c>
      <c r="E92" s="9" t="e">
        <f>'Open Order'!#REF!</f>
        <v>#REF!</v>
      </c>
      <c r="F92" s="14" t="e">
        <f>'Open Order'!#REF!</f>
        <v>#REF!</v>
      </c>
      <c r="L92" s="8" t="e">
        <f>'Open Order'!#REF!</f>
        <v>#REF!</v>
      </c>
    </row>
    <row r="93" spans="1:12" ht="30.75" customHeight="1" thickBot="1" x14ac:dyDescent="0.25">
      <c r="A93" s="10" t="e">
        <f>'Open Order'!#REF!</f>
        <v>#REF!</v>
      </c>
      <c r="B93" s="6" t="e">
        <f>'Open Order'!#REF!</f>
        <v>#REF!</v>
      </c>
      <c r="C93" s="6" t="e">
        <f>'Open Order'!#REF!</f>
        <v>#REF!</v>
      </c>
      <c r="D93" s="8" t="e">
        <f>'Open Order'!#REF!</f>
        <v>#REF!</v>
      </c>
      <c r="E93" s="9" t="e">
        <f>'Open Order'!#REF!</f>
        <v>#REF!</v>
      </c>
      <c r="F93" s="14" t="e">
        <f>'Open Order'!#REF!</f>
        <v>#REF!</v>
      </c>
      <c r="L93" s="8" t="e">
        <f>'Open Order'!#REF!</f>
        <v>#REF!</v>
      </c>
    </row>
    <row r="94" spans="1:12" ht="30.75" customHeight="1" thickBot="1" x14ac:dyDescent="0.25">
      <c r="A94" s="10" t="e">
        <f>'Open Order'!#REF!</f>
        <v>#REF!</v>
      </c>
      <c r="B94" s="6" t="e">
        <f>'Open Order'!#REF!</f>
        <v>#REF!</v>
      </c>
      <c r="C94" s="6" t="e">
        <f>'Open Order'!#REF!</f>
        <v>#REF!</v>
      </c>
      <c r="D94" s="8" t="e">
        <f>'Open Order'!#REF!</f>
        <v>#REF!</v>
      </c>
      <c r="E94" s="9" t="e">
        <f>'Open Order'!#REF!</f>
        <v>#REF!</v>
      </c>
      <c r="F94" s="14" t="e">
        <f>'Open Order'!#REF!</f>
        <v>#REF!</v>
      </c>
      <c r="L94" s="8" t="e">
        <f>'Open Order'!#REF!</f>
        <v>#REF!</v>
      </c>
    </row>
    <row r="95" spans="1:12" ht="30.75" customHeight="1" thickBot="1" x14ac:dyDescent="0.25">
      <c r="A95" s="10" t="e">
        <f>'Open Order'!#REF!</f>
        <v>#REF!</v>
      </c>
      <c r="B95" s="6" t="e">
        <f>'Open Order'!#REF!</f>
        <v>#REF!</v>
      </c>
      <c r="C95" s="6" t="e">
        <f>'Open Order'!#REF!</f>
        <v>#REF!</v>
      </c>
      <c r="D95" s="8" t="e">
        <f>'Open Order'!#REF!</f>
        <v>#REF!</v>
      </c>
      <c r="E95" s="9" t="e">
        <f>'Open Order'!#REF!</f>
        <v>#REF!</v>
      </c>
      <c r="F95" s="14" t="e">
        <f>'Open Order'!#REF!</f>
        <v>#REF!</v>
      </c>
      <c r="L95" s="8" t="e">
        <f>'Open Order'!#REF!</f>
        <v>#REF!</v>
      </c>
    </row>
    <row r="96" spans="1:12" ht="30.75" customHeight="1" thickBot="1" x14ac:dyDescent="0.25">
      <c r="A96" s="10" t="e">
        <f>'Open Order'!#REF!</f>
        <v>#REF!</v>
      </c>
      <c r="B96" s="6" t="e">
        <f>'Open Order'!#REF!</f>
        <v>#REF!</v>
      </c>
      <c r="C96" s="6" t="e">
        <f>'Open Order'!#REF!</f>
        <v>#REF!</v>
      </c>
      <c r="D96" s="8" t="e">
        <f>'Open Order'!#REF!</f>
        <v>#REF!</v>
      </c>
      <c r="E96" s="9" t="e">
        <f>'Open Order'!#REF!</f>
        <v>#REF!</v>
      </c>
      <c r="F96" s="14" t="e">
        <f>'Open Order'!#REF!</f>
        <v>#REF!</v>
      </c>
      <c r="L96" s="8" t="e">
        <f>'Open Order'!#REF!</f>
        <v>#REF!</v>
      </c>
    </row>
    <row r="97" spans="1:12" ht="30.75" customHeight="1" thickBot="1" x14ac:dyDescent="0.25">
      <c r="A97" s="10" t="e">
        <f>'Open Order'!#REF!</f>
        <v>#REF!</v>
      </c>
      <c r="B97" s="6" t="e">
        <f>'Open Order'!#REF!</f>
        <v>#REF!</v>
      </c>
      <c r="C97" s="6" t="e">
        <f>'Open Order'!#REF!</f>
        <v>#REF!</v>
      </c>
      <c r="D97" s="8" t="e">
        <f>'Open Order'!#REF!</f>
        <v>#REF!</v>
      </c>
      <c r="E97" s="9" t="e">
        <f>'Open Order'!#REF!</f>
        <v>#REF!</v>
      </c>
      <c r="F97" s="14" t="e">
        <f>'Open Order'!#REF!</f>
        <v>#REF!</v>
      </c>
      <c r="L97" s="8" t="e">
        <f>'Open Order'!#REF!</f>
        <v>#REF!</v>
      </c>
    </row>
    <row r="98" spans="1:12" ht="30.75" customHeight="1" thickBot="1" x14ac:dyDescent="0.25">
      <c r="A98" s="10" t="e">
        <f>'Open Order'!#REF!</f>
        <v>#REF!</v>
      </c>
      <c r="B98" s="6" t="e">
        <f>'Open Order'!#REF!</f>
        <v>#REF!</v>
      </c>
      <c r="C98" s="6" t="e">
        <f>'Open Order'!#REF!</f>
        <v>#REF!</v>
      </c>
      <c r="D98" s="8" t="e">
        <f>'Open Order'!#REF!</f>
        <v>#REF!</v>
      </c>
      <c r="E98" s="9" t="e">
        <f>'Open Order'!#REF!</f>
        <v>#REF!</v>
      </c>
      <c r="F98" s="14" t="e">
        <f>'Open Order'!#REF!</f>
        <v>#REF!</v>
      </c>
      <c r="L98" s="8" t="e">
        <f>'Open Order'!#REF!</f>
        <v>#REF!</v>
      </c>
    </row>
    <row r="99" spans="1:12" ht="30.75" customHeight="1" thickBot="1" x14ac:dyDescent="0.25">
      <c r="A99" s="10" t="e">
        <f>'Open Order'!#REF!</f>
        <v>#REF!</v>
      </c>
      <c r="B99" s="6" t="e">
        <f>'Open Order'!#REF!</f>
        <v>#REF!</v>
      </c>
      <c r="C99" s="6" t="e">
        <f>'Open Order'!#REF!</f>
        <v>#REF!</v>
      </c>
      <c r="D99" s="8" t="e">
        <f>'Open Order'!#REF!</f>
        <v>#REF!</v>
      </c>
      <c r="E99" s="9" t="e">
        <f>'Open Order'!#REF!</f>
        <v>#REF!</v>
      </c>
      <c r="F99" s="14" t="e">
        <f>'Open Order'!#REF!</f>
        <v>#REF!</v>
      </c>
      <c r="L99" s="8" t="e">
        <f>'Open Order'!#REF!</f>
        <v>#REF!</v>
      </c>
    </row>
    <row r="100" spans="1:12" ht="30.75" customHeight="1" thickBot="1" x14ac:dyDescent="0.25">
      <c r="A100" s="10" t="e">
        <f>'Open Order'!#REF!</f>
        <v>#REF!</v>
      </c>
      <c r="B100" s="6" t="e">
        <f>'Open Order'!#REF!</f>
        <v>#REF!</v>
      </c>
      <c r="C100" s="6" t="e">
        <f>'Open Order'!#REF!</f>
        <v>#REF!</v>
      </c>
      <c r="D100" s="8" t="e">
        <f>'Open Order'!#REF!</f>
        <v>#REF!</v>
      </c>
      <c r="E100" s="9" t="e">
        <f>'Open Order'!#REF!</f>
        <v>#REF!</v>
      </c>
      <c r="F100" s="14" t="e">
        <f>'Open Order'!#REF!</f>
        <v>#REF!</v>
      </c>
      <c r="L100" s="8" t="e">
        <f>'Open Order'!#REF!</f>
        <v>#REF!</v>
      </c>
    </row>
    <row r="101" spans="1:12" ht="30.75" customHeight="1" thickBot="1" x14ac:dyDescent="0.25">
      <c r="A101" s="10" t="e">
        <f>'Open Order'!#REF!</f>
        <v>#REF!</v>
      </c>
      <c r="B101" s="6" t="e">
        <f>'Open Order'!#REF!</f>
        <v>#REF!</v>
      </c>
      <c r="C101" s="6" t="e">
        <f>'Open Order'!#REF!</f>
        <v>#REF!</v>
      </c>
      <c r="D101" s="8" t="e">
        <f>'Open Order'!#REF!</f>
        <v>#REF!</v>
      </c>
      <c r="E101" s="9" t="e">
        <f>'Open Order'!#REF!</f>
        <v>#REF!</v>
      </c>
      <c r="F101" s="14" t="e">
        <f>'Open Order'!#REF!</f>
        <v>#REF!</v>
      </c>
      <c r="L101" s="8" t="e">
        <f>'Open Order'!#REF!</f>
        <v>#REF!</v>
      </c>
    </row>
    <row r="102" spans="1:12" ht="30.75" customHeight="1" thickBot="1" x14ac:dyDescent="0.25">
      <c r="A102" s="10" t="e">
        <f>'Open Order'!#REF!</f>
        <v>#REF!</v>
      </c>
      <c r="B102" s="6" t="e">
        <f>'Open Order'!#REF!</f>
        <v>#REF!</v>
      </c>
      <c r="C102" s="6" t="e">
        <f>'Open Order'!#REF!</f>
        <v>#REF!</v>
      </c>
      <c r="D102" s="8" t="e">
        <f>'Open Order'!#REF!</f>
        <v>#REF!</v>
      </c>
      <c r="E102" s="9" t="e">
        <f>'Open Order'!#REF!</f>
        <v>#REF!</v>
      </c>
      <c r="F102" s="14" t="e">
        <f>'Open Order'!#REF!</f>
        <v>#REF!</v>
      </c>
      <c r="L102" s="8" t="e">
        <f>'Open Order'!#REF!</f>
        <v>#REF!</v>
      </c>
    </row>
    <row r="103" spans="1:12" ht="30.75" customHeight="1" thickBot="1" x14ac:dyDescent="0.25">
      <c r="A103" s="10" t="e">
        <f>'Open Order'!#REF!</f>
        <v>#REF!</v>
      </c>
      <c r="B103" s="6" t="e">
        <f>'Open Order'!#REF!</f>
        <v>#REF!</v>
      </c>
      <c r="C103" s="6" t="e">
        <f>'Open Order'!#REF!</f>
        <v>#REF!</v>
      </c>
      <c r="D103" s="8" t="e">
        <f>'Open Order'!#REF!</f>
        <v>#REF!</v>
      </c>
      <c r="E103" s="9" t="e">
        <f>'Open Order'!#REF!</f>
        <v>#REF!</v>
      </c>
      <c r="F103" s="14" t="e">
        <f>'Open Order'!#REF!</f>
        <v>#REF!</v>
      </c>
      <c r="L103" s="8" t="e">
        <f>'Open Order'!#REF!</f>
        <v>#REF!</v>
      </c>
    </row>
    <row r="104" spans="1:12" ht="30.75" customHeight="1" thickBot="1" x14ac:dyDescent="0.25">
      <c r="A104" s="10" t="e">
        <f>'Open Order'!#REF!</f>
        <v>#REF!</v>
      </c>
      <c r="B104" s="6" t="e">
        <f>'Open Order'!#REF!</f>
        <v>#REF!</v>
      </c>
      <c r="C104" s="6" t="e">
        <f>'Open Order'!#REF!</f>
        <v>#REF!</v>
      </c>
      <c r="D104" s="8" t="e">
        <f>'Open Order'!#REF!</f>
        <v>#REF!</v>
      </c>
      <c r="E104" s="9" t="e">
        <f>'Open Order'!#REF!</f>
        <v>#REF!</v>
      </c>
      <c r="F104" s="14" t="e">
        <f>'Open Order'!#REF!</f>
        <v>#REF!</v>
      </c>
      <c r="L104" s="8" t="e">
        <f>'Open Order'!#REF!</f>
        <v>#REF!</v>
      </c>
    </row>
    <row r="105" spans="1:12" ht="30.75" customHeight="1" thickBot="1" x14ac:dyDescent="0.25">
      <c r="A105" s="10" t="e">
        <f>'Open Order'!#REF!</f>
        <v>#REF!</v>
      </c>
      <c r="B105" s="6" t="e">
        <f>'Open Order'!#REF!</f>
        <v>#REF!</v>
      </c>
      <c r="C105" s="6" t="e">
        <f>'Open Order'!#REF!</f>
        <v>#REF!</v>
      </c>
      <c r="D105" s="8" t="e">
        <f>'Open Order'!#REF!</f>
        <v>#REF!</v>
      </c>
      <c r="E105" s="9" t="e">
        <f>'Open Order'!#REF!</f>
        <v>#REF!</v>
      </c>
      <c r="F105" s="14" t="e">
        <f>'Open Order'!#REF!</f>
        <v>#REF!</v>
      </c>
      <c r="L105" s="8" t="e">
        <f>'Open Order'!#REF!</f>
        <v>#REF!</v>
      </c>
    </row>
    <row r="106" spans="1:12" ht="30.75" customHeight="1" thickBot="1" x14ac:dyDescent="0.25">
      <c r="A106" s="10" t="e">
        <f>'Open Order'!#REF!</f>
        <v>#REF!</v>
      </c>
      <c r="B106" s="6" t="e">
        <f>'Open Order'!#REF!</f>
        <v>#REF!</v>
      </c>
      <c r="C106" s="6" t="e">
        <f>'Open Order'!#REF!</f>
        <v>#REF!</v>
      </c>
      <c r="D106" s="8" t="e">
        <f>'Open Order'!#REF!</f>
        <v>#REF!</v>
      </c>
      <c r="E106" s="9" t="e">
        <f>'Open Order'!#REF!</f>
        <v>#REF!</v>
      </c>
      <c r="F106" s="14" t="e">
        <f>'Open Order'!#REF!</f>
        <v>#REF!</v>
      </c>
      <c r="L106" s="8" t="e">
        <f>'Open Order'!#REF!</f>
        <v>#REF!</v>
      </c>
    </row>
    <row r="107" spans="1:12" ht="30.75" customHeight="1" thickBot="1" x14ac:dyDescent="0.25">
      <c r="A107" s="10" t="e">
        <f>'Open Order'!#REF!</f>
        <v>#REF!</v>
      </c>
      <c r="B107" s="6" t="e">
        <f>'Open Order'!#REF!</f>
        <v>#REF!</v>
      </c>
      <c r="C107" s="6" t="e">
        <f>'Open Order'!#REF!</f>
        <v>#REF!</v>
      </c>
      <c r="D107" s="8" t="e">
        <f>'Open Order'!#REF!</f>
        <v>#REF!</v>
      </c>
      <c r="E107" s="9" t="e">
        <f>'Open Order'!#REF!</f>
        <v>#REF!</v>
      </c>
      <c r="F107" s="14" t="e">
        <f>'Open Order'!#REF!</f>
        <v>#REF!</v>
      </c>
      <c r="L107" s="8" t="e">
        <f>'Open Order'!#REF!</f>
        <v>#REF!</v>
      </c>
    </row>
    <row r="108" spans="1:12" ht="30.75" customHeight="1" thickBot="1" x14ac:dyDescent="0.25">
      <c r="A108" s="10" t="e">
        <f>'Open Order'!#REF!</f>
        <v>#REF!</v>
      </c>
      <c r="B108" s="6" t="e">
        <f>'Open Order'!#REF!</f>
        <v>#REF!</v>
      </c>
      <c r="C108" s="6" t="e">
        <f>'Open Order'!#REF!</f>
        <v>#REF!</v>
      </c>
      <c r="D108" s="8" t="e">
        <f>'Open Order'!#REF!</f>
        <v>#REF!</v>
      </c>
      <c r="E108" s="9" t="e">
        <f>'Open Order'!#REF!</f>
        <v>#REF!</v>
      </c>
      <c r="F108" s="14" t="e">
        <f>'Open Order'!#REF!</f>
        <v>#REF!</v>
      </c>
      <c r="L108" s="8" t="e">
        <f>'Open Order'!#REF!</f>
        <v>#REF!</v>
      </c>
    </row>
    <row r="109" spans="1:12" ht="30.75" customHeight="1" thickBot="1" x14ac:dyDescent="0.25">
      <c r="A109" s="10" t="e">
        <f>'Open Order'!#REF!</f>
        <v>#REF!</v>
      </c>
      <c r="B109" s="6" t="e">
        <f>'Open Order'!#REF!</f>
        <v>#REF!</v>
      </c>
      <c r="C109" s="6" t="e">
        <f>'Open Order'!#REF!</f>
        <v>#REF!</v>
      </c>
      <c r="D109" s="8" t="e">
        <f>'Open Order'!#REF!</f>
        <v>#REF!</v>
      </c>
      <c r="E109" s="9" t="e">
        <f>'Open Order'!#REF!</f>
        <v>#REF!</v>
      </c>
      <c r="F109" s="14" t="e">
        <f>'Open Order'!#REF!</f>
        <v>#REF!</v>
      </c>
      <c r="L109" s="8" t="e">
        <f>'Open Order'!#REF!</f>
        <v>#REF!</v>
      </c>
    </row>
    <row r="110" spans="1:12" ht="30.75" customHeight="1" thickBot="1" x14ac:dyDescent="0.25">
      <c r="A110" s="10" t="e">
        <f>'Open Order'!#REF!</f>
        <v>#REF!</v>
      </c>
      <c r="B110" s="6" t="e">
        <f>'Open Order'!#REF!</f>
        <v>#REF!</v>
      </c>
      <c r="C110" s="6" t="e">
        <f>'Open Order'!#REF!</f>
        <v>#REF!</v>
      </c>
      <c r="D110" s="8" t="e">
        <f>'Open Order'!#REF!</f>
        <v>#REF!</v>
      </c>
      <c r="E110" s="9" t="e">
        <f>'Open Order'!#REF!</f>
        <v>#REF!</v>
      </c>
      <c r="F110" s="14" t="e">
        <f>'Open Order'!#REF!</f>
        <v>#REF!</v>
      </c>
      <c r="L110" s="8" t="e">
        <f>'Open Order'!#REF!</f>
        <v>#REF!</v>
      </c>
    </row>
    <row r="111" spans="1:12" ht="30.75" customHeight="1" thickBot="1" x14ac:dyDescent="0.25">
      <c r="A111" s="10" t="e">
        <f>'Open Order'!#REF!</f>
        <v>#REF!</v>
      </c>
      <c r="B111" s="6" t="e">
        <f>'Open Order'!#REF!</f>
        <v>#REF!</v>
      </c>
      <c r="C111" s="6" t="e">
        <f>'Open Order'!#REF!</f>
        <v>#REF!</v>
      </c>
      <c r="D111" s="8" t="e">
        <f>'Open Order'!#REF!</f>
        <v>#REF!</v>
      </c>
      <c r="E111" s="9" t="e">
        <f>'Open Order'!#REF!</f>
        <v>#REF!</v>
      </c>
      <c r="F111" s="14" t="e">
        <f>'Open Order'!#REF!</f>
        <v>#REF!</v>
      </c>
      <c r="L111" s="8" t="e">
        <f>'Open Order'!#REF!</f>
        <v>#REF!</v>
      </c>
    </row>
    <row r="112" spans="1:12" ht="30.75" customHeight="1" thickBot="1" x14ac:dyDescent="0.25">
      <c r="A112" s="10" t="e">
        <f>'Open Order'!#REF!</f>
        <v>#REF!</v>
      </c>
      <c r="B112" s="6" t="e">
        <f>'Open Order'!#REF!</f>
        <v>#REF!</v>
      </c>
      <c r="C112" s="6" t="e">
        <f>'Open Order'!#REF!</f>
        <v>#REF!</v>
      </c>
      <c r="D112" s="8" t="e">
        <f>'Open Order'!#REF!</f>
        <v>#REF!</v>
      </c>
      <c r="E112" s="9" t="e">
        <f>'Open Order'!#REF!</f>
        <v>#REF!</v>
      </c>
      <c r="F112" s="14" t="e">
        <f>'Open Order'!#REF!</f>
        <v>#REF!</v>
      </c>
      <c r="L112" s="8" t="e">
        <f>'Open Order'!#REF!</f>
        <v>#REF!</v>
      </c>
    </row>
    <row r="113" spans="1:12" ht="30.75" customHeight="1" thickBot="1" x14ac:dyDescent="0.25">
      <c r="A113" s="10" t="e">
        <f>'Open Order'!#REF!</f>
        <v>#REF!</v>
      </c>
      <c r="B113" s="6" t="e">
        <f>'Open Order'!#REF!</f>
        <v>#REF!</v>
      </c>
      <c r="C113" s="6" t="e">
        <f>'Open Order'!#REF!</f>
        <v>#REF!</v>
      </c>
      <c r="D113" s="8" t="e">
        <f>'Open Order'!#REF!</f>
        <v>#REF!</v>
      </c>
      <c r="E113" s="9" t="e">
        <f>'Open Order'!#REF!</f>
        <v>#REF!</v>
      </c>
      <c r="F113" s="14" t="e">
        <f>'Open Order'!#REF!</f>
        <v>#REF!</v>
      </c>
      <c r="L113" s="8" t="e">
        <f>'Open Order'!#REF!</f>
        <v>#REF!</v>
      </c>
    </row>
    <row r="114" spans="1:12" ht="30.75" customHeight="1" thickBot="1" x14ac:dyDescent="0.25">
      <c r="A114" s="10" t="e">
        <f>'Open Order'!#REF!</f>
        <v>#REF!</v>
      </c>
      <c r="B114" s="6" t="e">
        <f>'Open Order'!#REF!</f>
        <v>#REF!</v>
      </c>
      <c r="C114" s="6" t="e">
        <f>'Open Order'!#REF!</f>
        <v>#REF!</v>
      </c>
      <c r="D114" s="8" t="e">
        <f>'Open Order'!#REF!</f>
        <v>#REF!</v>
      </c>
      <c r="E114" s="9" t="e">
        <f>'Open Order'!#REF!</f>
        <v>#REF!</v>
      </c>
      <c r="F114" s="14" t="e">
        <f>'Open Order'!#REF!</f>
        <v>#REF!</v>
      </c>
      <c r="L114" s="8" t="e">
        <f>'Open Order'!#REF!</f>
        <v>#REF!</v>
      </c>
    </row>
    <row r="115" spans="1:12" ht="30.75" customHeight="1" thickBot="1" x14ac:dyDescent="0.25">
      <c r="A115" s="10" t="e">
        <f>'Open Order'!#REF!</f>
        <v>#REF!</v>
      </c>
      <c r="B115" s="6" t="e">
        <f>'Open Order'!#REF!</f>
        <v>#REF!</v>
      </c>
      <c r="C115" s="6" t="e">
        <f>'Open Order'!#REF!</f>
        <v>#REF!</v>
      </c>
      <c r="D115" s="8" t="e">
        <f>'Open Order'!#REF!</f>
        <v>#REF!</v>
      </c>
      <c r="E115" s="9" t="e">
        <f>'Open Order'!#REF!</f>
        <v>#REF!</v>
      </c>
      <c r="F115" s="14" t="e">
        <f>'Open Order'!#REF!</f>
        <v>#REF!</v>
      </c>
      <c r="L115" s="8" t="e">
        <f>'Open Order'!#REF!</f>
        <v>#REF!</v>
      </c>
    </row>
    <row r="116" spans="1:12" ht="30.75" customHeight="1" thickBot="1" x14ac:dyDescent="0.25">
      <c r="A116" s="10" t="e">
        <f>'Open Order'!#REF!</f>
        <v>#REF!</v>
      </c>
      <c r="B116" s="6" t="e">
        <f>'Open Order'!#REF!</f>
        <v>#REF!</v>
      </c>
      <c r="C116" s="6" t="e">
        <f>'Open Order'!#REF!</f>
        <v>#REF!</v>
      </c>
      <c r="D116" s="8" t="e">
        <f>'Open Order'!#REF!</f>
        <v>#REF!</v>
      </c>
      <c r="E116" s="9" t="e">
        <f>'Open Order'!#REF!</f>
        <v>#REF!</v>
      </c>
      <c r="F116" s="14" t="e">
        <f>'Open Order'!#REF!</f>
        <v>#REF!</v>
      </c>
      <c r="L116" s="8" t="e">
        <f>'Open Order'!#REF!</f>
        <v>#REF!</v>
      </c>
    </row>
    <row r="117" spans="1:12" ht="30.75" customHeight="1" thickBot="1" x14ac:dyDescent="0.25">
      <c r="A117" s="10" t="e">
        <f>'Open Order'!#REF!</f>
        <v>#REF!</v>
      </c>
      <c r="B117" s="6" t="e">
        <f>'Open Order'!#REF!</f>
        <v>#REF!</v>
      </c>
      <c r="C117" s="6" t="e">
        <f>'Open Order'!#REF!</f>
        <v>#REF!</v>
      </c>
      <c r="D117" s="8" t="e">
        <f>'Open Order'!#REF!</f>
        <v>#REF!</v>
      </c>
      <c r="E117" s="9" t="e">
        <f>'Open Order'!#REF!</f>
        <v>#REF!</v>
      </c>
      <c r="F117" s="14" t="e">
        <f>'Open Order'!#REF!</f>
        <v>#REF!</v>
      </c>
      <c r="L117" s="8" t="e">
        <f>'Open Order'!#REF!</f>
        <v>#REF!</v>
      </c>
    </row>
    <row r="118" spans="1:12" ht="30.75" customHeight="1" thickBot="1" x14ac:dyDescent="0.25">
      <c r="A118" s="10" t="e">
        <f>'Open Order'!#REF!</f>
        <v>#REF!</v>
      </c>
      <c r="B118" s="6" t="e">
        <f>'Open Order'!#REF!</f>
        <v>#REF!</v>
      </c>
      <c r="C118" s="6" t="e">
        <f>'Open Order'!#REF!</f>
        <v>#REF!</v>
      </c>
      <c r="D118" s="8" t="e">
        <f>'Open Order'!#REF!</f>
        <v>#REF!</v>
      </c>
      <c r="E118" s="9" t="e">
        <f>'Open Order'!#REF!</f>
        <v>#REF!</v>
      </c>
      <c r="F118" s="14" t="e">
        <f>'Open Order'!#REF!</f>
        <v>#REF!</v>
      </c>
      <c r="L118" s="8" t="e">
        <f>'Open Order'!#REF!</f>
        <v>#REF!</v>
      </c>
    </row>
    <row r="119" spans="1:12" ht="30.75" customHeight="1" thickBot="1" x14ac:dyDescent="0.25">
      <c r="A119" s="10" t="e">
        <f>'Open Order'!#REF!</f>
        <v>#REF!</v>
      </c>
      <c r="B119" s="6" t="e">
        <f>'Open Order'!#REF!</f>
        <v>#REF!</v>
      </c>
      <c r="C119" s="6" t="e">
        <f>'Open Order'!#REF!</f>
        <v>#REF!</v>
      </c>
      <c r="D119" s="8" t="e">
        <f>'Open Order'!#REF!</f>
        <v>#REF!</v>
      </c>
      <c r="E119" s="9" t="e">
        <f>'Open Order'!#REF!</f>
        <v>#REF!</v>
      </c>
      <c r="F119" s="14" t="e">
        <f>'Open Order'!#REF!</f>
        <v>#REF!</v>
      </c>
      <c r="L119" s="8" t="e">
        <f>'Open Order'!#REF!</f>
        <v>#REF!</v>
      </c>
    </row>
    <row r="120" spans="1:12" ht="30.75" customHeight="1" thickBot="1" x14ac:dyDescent="0.25">
      <c r="A120" s="10" t="e">
        <f>'Open Order'!#REF!</f>
        <v>#REF!</v>
      </c>
      <c r="B120" s="6" t="e">
        <f>'Open Order'!#REF!</f>
        <v>#REF!</v>
      </c>
      <c r="C120" s="6" t="e">
        <f>'Open Order'!#REF!</f>
        <v>#REF!</v>
      </c>
      <c r="D120" s="8" t="e">
        <f>'Open Order'!#REF!</f>
        <v>#REF!</v>
      </c>
      <c r="E120" s="9" t="e">
        <f>'Open Order'!#REF!</f>
        <v>#REF!</v>
      </c>
      <c r="F120" s="14" t="e">
        <f>'Open Order'!#REF!</f>
        <v>#REF!</v>
      </c>
      <c r="L120" s="8" t="e">
        <f>'Open Order'!#REF!</f>
        <v>#REF!</v>
      </c>
    </row>
    <row r="121" spans="1:12" ht="30.75" customHeight="1" thickBot="1" x14ac:dyDescent="0.25">
      <c r="A121" s="10" t="e">
        <f>'Open Order'!#REF!</f>
        <v>#REF!</v>
      </c>
      <c r="B121" s="6" t="e">
        <f>'Open Order'!#REF!</f>
        <v>#REF!</v>
      </c>
      <c r="C121" s="6" t="e">
        <f>'Open Order'!#REF!</f>
        <v>#REF!</v>
      </c>
      <c r="D121" s="8" t="e">
        <f>'Open Order'!#REF!</f>
        <v>#REF!</v>
      </c>
      <c r="E121" s="9" t="e">
        <f>'Open Order'!#REF!</f>
        <v>#REF!</v>
      </c>
      <c r="F121" s="14" t="e">
        <f>'Open Order'!#REF!</f>
        <v>#REF!</v>
      </c>
      <c r="L121" s="8" t="e">
        <f>'Open Order'!#REF!</f>
        <v>#REF!</v>
      </c>
    </row>
    <row r="122" spans="1:12" ht="30.75" customHeight="1" thickBot="1" x14ac:dyDescent="0.25">
      <c r="A122" s="10" t="e">
        <f>'Open Order'!#REF!</f>
        <v>#REF!</v>
      </c>
      <c r="B122" s="6" t="e">
        <f>'Open Order'!#REF!</f>
        <v>#REF!</v>
      </c>
      <c r="C122" s="6" t="e">
        <f>'Open Order'!#REF!</f>
        <v>#REF!</v>
      </c>
      <c r="D122" s="8" t="e">
        <f>'Open Order'!#REF!</f>
        <v>#REF!</v>
      </c>
      <c r="E122" s="9" t="e">
        <f>'Open Order'!#REF!</f>
        <v>#REF!</v>
      </c>
      <c r="F122" s="14" t="e">
        <f>'Open Order'!#REF!</f>
        <v>#REF!</v>
      </c>
      <c r="L122" s="8" t="e">
        <f>'Open Order'!#REF!</f>
        <v>#REF!</v>
      </c>
    </row>
    <row r="123" spans="1:12" ht="30.75" customHeight="1" thickBot="1" x14ac:dyDescent="0.25">
      <c r="A123" s="10" t="e">
        <f>'Open Order'!#REF!</f>
        <v>#REF!</v>
      </c>
      <c r="B123" s="6" t="e">
        <f>'Open Order'!#REF!</f>
        <v>#REF!</v>
      </c>
      <c r="C123" s="6" t="e">
        <f>'Open Order'!#REF!</f>
        <v>#REF!</v>
      </c>
      <c r="D123" s="8" t="e">
        <f>'Open Order'!#REF!</f>
        <v>#REF!</v>
      </c>
      <c r="E123" s="9" t="e">
        <f>'Open Order'!#REF!</f>
        <v>#REF!</v>
      </c>
      <c r="F123" s="14" t="e">
        <f>'Open Order'!#REF!</f>
        <v>#REF!</v>
      </c>
      <c r="L123" s="8" t="e">
        <f>'Open Order'!#REF!</f>
        <v>#REF!</v>
      </c>
    </row>
    <row r="124" spans="1:12" ht="30.75" customHeight="1" thickBot="1" x14ac:dyDescent="0.25">
      <c r="A124" s="10" t="e">
        <f>'Open Order'!#REF!</f>
        <v>#REF!</v>
      </c>
      <c r="B124" s="6" t="e">
        <f>'Open Order'!#REF!</f>
        <v>#REF!</v>
      </c>
      <c r="C124" s="6" t="e">
        <f>'Open Order'!#REF!</f>
        <v>#REF!</v>
      </c>
      <c r="D124" s="8" t="e">
        <f>'Open Order'!#REF!</f>
        <v>#REF!</v>
      </c>
      <c r="E124" s="9" t="e">
        <f>'Open Order'!#REF!</f>
        <v>#REF!</v>
      </c>
      <c r="F124" s="14" t="e">
        <f>'Open Order'!#REF!</f>
        <v>#REF!</v>
      </c>
      <c r="L124" s="8" t="e">
        <f>'Open Order'!#REF!</f>
        <v>#REF!</v>
      </c>
    </row>
    <row r="125" spans="1:12" ht="30.75" customHeight="1" thickBot="1" x14ac:dyDescent="0.25">
      <c r="A125" s="10" t="e">
        <f>'Open Order'!#REF!</f>
        <v>#REF!</v>
      </c>
      <c r="B125" s="6" t="e">
        <f>'Open Order'!#REF!</f>
        <v>#REF!</v>
      </c>
      <c r="C125" s="6" t="e">
        <f>'Open Order'!#REF!</f>
        <v>#REF!</v>
      </c>
      <c r="D125" s="8" t="e">
        <f>'Open Order'!#REF!</f>
        <v>#REF!</v>
      </c>
      <c r="E125" s="9" t="e">
        <f>'Open Order'!#REF!</f>
        <v>#REF!</v>
      </c>
      <c r="F125" s="14" t="e">
        <f>'Open Order'!#REF!</f>
        <v>#REF!</v>
      </c>
      <c r="L125" s="8" t="e">
        <f>'Open Order'!#REF!</f>
        <v>#REF!</v>
      </c>
    </row>
    <row r="126" spans="1:12" ht="30.75" customHeight="1" thickBot="1" x14ac:dyDescent="0.25">
      <c r="A126" s="10" t="e">
        <f>'Open Order'!#REF!</f>
        <v>#REF!</v>
      </c>
      <c r="B126" s="6" t="e">
        <f>'Open Order'!#REF!</f>
        <v>#REF!</v>
      </c>
      <c r="C126" s="6" t="e">
        <f>'Open Order'!#REF!</f>
        <v>#REF!</v>
      </c>
      <c r="D126" s="8" t="e">
        <f>'Open Order'!#REF!</f>
        <v>#REF!</v>
      </c>
      <c r="E126" s="9" t="e">
        <f>'Open Order'!#REF!</f>
        <v>#REF!</v>
      </c>
      <c r="F126" s="14" t="e">
        <f>'Open Order'!#REF!</f>
        <v>#REF!</v>
      </c>
      <c r="L126" s="8" t="e">
        <f>'Open Order'!#REF!</f>
        <v>#REF!</v>
      </c>
    </row>
    <row r="127" spans="1:12" ht="30.75" customHeight="1" thickBot="1" x14ac:dyDescent="0.25">
      <c r="A127" s="10" t="e">
        <f>'Open Order'!#REF!</f>
        <v>#REF!</v>
      </c>
      <c r="B127" s="6" t="e">
        <f>'Open Order'!#REF!</f>
        <v>#REF!</v>
      </c>
      <c r="C127" s="6" t="e">
        <f>'Open Order'!#REF!</f>
        <v>#REF!</v>
      </c>
      <c r="D127" s="8" t="e">
        <f>'Open Order'!#REF!</f>
        <v>#REF!</v>
      </c>
      <c r="E127" s="9" t="e">
        <f>'Open Order'!#REF!</f>
        <v>#REF!</v>
      </c>
      <c r="F127" s="14" t="e">
        <f>'Open Order'!#REF!</f>
        <v>#REF!</v>
      </c>
      <c r="L127" s="8" t="e">
        <f>'Open Order'!#REF!</f>
        <v>#REF!</v>
      </c>
    </row>
    <row r="128" spans="1:12" ht="30.75" customHeight="1" thickBot="1" x14ac:dyDescent="0.25">
      <c r="A128" s="10" t="e">
        <f>'Open Order'!#REF!</f>
        <v>#REF!</v>
      </c>
      <c r="B128" s="6" t="e">
        <f>'Open Order'!#REF!</f>
        <v>#REF!</v>
      </c>
      <c r="C128" s="6" t="e">
        <f>'Open Order'!#REF!</f>
        <v>#REF!</v>
      </c>
      <c r="D128" s="8" t="e">
        <f>'Open Order'!#REF!</f>
        <v>#REF!</v>
      </c>
      <c r="E128" s="9" t="e">
        <f>'Open Order'!#REF!</f>
        <v>#REF!</v>
      </c>
      <c r="F128" s="14" t="e">
        <f>'Open Order'!#REF!</f>
        <v>#REF!</v>
      </c>
      <c r="L128" s="8" t="e">
        <f>'Open Order'!#REF!</f>
        <v>#REF!</v>
      </c>
    </row>
    <row r="129" spans="1:12" ht="30.75" customHeight="1" thickBot="1" x14ac:dyDescent="0.25">
      <c r="A129" s="10" t="e">
        <f>'Open Order'!#REF!</f>
        <v>#REF!</v>
      </c>
      <c r="B129" s="6" t="e">
        <f>'Open Order'!#REF!</f>
        <v>#REF!</v>
      </c>
      <c r="C129" s="6" t="e">
        <f>'Open Order'!#REF!</f>
        <v>#REF!</v>
      </c>
      <c r="D129" s="8" t="e">
        <f>'Open Order'!#REF!</f>
        <v>#REF!</v>
      </c>
      <c r="E129" s="9" t="e">
        <f>'Open Order'!#REF!</f>
        <v>#REF!</v>
      </c>
      <c r="F129" s="14" t="e">
        <f>'Open Order'!#REF!</f>
        <v>#REF!</v>
      </c>
      <c r="L129" s="8" t="e">
        <f>'Open Order'!#REF!</f>
        <v>#REF!</v>
      </c>
    </row>
    <row r="130" spans="1:12" ht="30.75" customHeight="1" thickBot="1" x14ac:dyDescent="0.25">
      <c r="A130" s="10" t="e">
        <f>'Open Order'!#REF!</f>
        <v>#REF!</v>
      </c>
      <c r="B130" s="6" t="e">
        <f>'Open Order'!#REF!</f>
        <v>#REF!</v>
      </c>
      <c r="C130" s="6" t="e">
        <f>'Open Order'!#REF!</f>
        <v>#REF!</v>
      </c>
      <c r="D130" s="8" t="e">
        <f>'Open Order'!#REF!</f>
        <v>#REF!</v>
      </c>
      <c r="E130" s="9" t="e">
        <f>'Open Order'!#REF!</f>
        <v>#REF!</v>
      </c>
      <c r="F130" s="14" t="e">
        <f>'Open Order'!#REF!</f>
        <v>#REF!</v>
      </c>
      <c r="L130" s="8" t="e">
        <f>'Open Order'!#REF!</f>
        <v>#REF!</v>
      </c>
    </row>
    <row r="131" spans="1:12" ht="30.75" customHeight="1" thickBot="1" x14ac:dyDescent="0.25">
      <c r="A131" s="10" t="e">
        <f>'Open Order'!#REF!</f>
        <v>#REF!</v>
      </c>
      <c r="B131" s="6" t="e">
        <f>'Open Order'!#REF!</f>
        <v>#REF!</v>
      </c>
      <c r="C131" s="6" t="e">
        <f>'Open Order'!#REF!</f>
        <v>#REF!</v>
      </c>
      <c r="D131" s="8" t="e">
        <f>'Open Order'!#REF!</f>
        <v>#REF!</v>
      </c>
      <c r="E131" s="9" t="e">
        <f>'Open Order'!#REF!</f>
        <v>#REF!</v>
      </c>
      <c r="F131" s="14" t="e">
        <f>'Open Order'!#REF!</f>
        <v>#REF!</v>
      </c>
      <c r="L131" s="8" t="e">
        <f>'Open Order'!#REF!</f>
        <v>#REF!</v>
      </c>
    </row>
    <row r="132" spans="1:12" ht="30.75" customHeight="1" thickBot="1" x14ac:dyDescent="0.25">
      <c r="A132" s="10" t="e">
        <f>'Open Order'!#REF!</f>
        <v>#REF!</v>
      </c>
      <c r="B132" s="6" t="e">
        <f>'Open Order'!#REF!</f>
        <v>#REF!</v>
      </c>
      <c r="C132" s="6" t="e">
        <f>'Open Order'!#REF!</f>
        <v>#REF!</v>
      </c>
      <c r="D132" s="8" t="e">
        <f>'Open Order'!#REF!</f>
        <v>#REF!</v>
      </c>
      <c r="E132" s="9" t="e">
        <f>'Open Order'!#REF!</f>
        <v>#REF!</v>
      </c>
      <c r="F132" s="14" t="e">
        <f>'Open Order'!#REF!</f>
        <v>#REF!</v>
      </c>
      <c r="L132" s="8" t="e">
        <f>'Open Order'!#REF!</f>
        <v>#REF!</v>
      </c>
    </row>
    <row r="133" spans="1:12" ht="30.75" customHeight="1" thickBot="1" x14ac:dyDescent="0.25">
      <c r="A133" s="10" t="e">
        <f>'Open Order'!#REF!</f>
        <v>#REF!</v>
      </c>
      <c r="B133" s="6" t="e">
        <f>'Open Order'!#REF!</f>
        <v>#REF!</v>
      </c>
      <c r="C133" s="6" t="e">
        <f>'Open Order'!#REF!</f>
        <v>#REF!</v>
      </c>
      <c r="D133" s="8" t="e">
        <f>'Open Order'!#REF!</f>
        <v>#REF!</v>
      </c>
      <c r="E133" s="9" t="e">
        <f>'Open Order'!#REF!</f>
        <v>#REF!</v>
      </c>
      <c r="F133" s="14" t="e">
        <f>'Open Order'!#REF!</f>
        <v>#REF!</v>
      </c>
      <c r="L133" s="8" t="e">
        <f>'Open Order'!#REF!</f>
        <v>#REF!</v>
      </c>
    </row>
    <row r="134" spans="1:12" ht="30.75" customHeight="1" thickBot="1" x14ac:dyDescent="0.25">
      <c r="A134" s="10" t="e">
        <f>'Open Order'!#REF!</f>
        <v>#REF!</v>
      </c>
      <c r="B134" s="6" t="e">
        <f>'Open Order'!#REF!</f>
        <v>#REF!</v>
      </c>
      <c r="C134" s="6" t="e">
        <f>'Open Order'!#REF!</f>
        <v>#REF!</v>
      </c>
      <c r="D134" s="8" t="e">
        <f>'Open Order'!#REF!</f>
        <v>#REF!</v>
      </c>
      <c r="E134" s="9" t="e">
        <f>'Open Order'!#REF!</f>
        <v>#REF!</v>
      </c>
      <c r="F134" s="14" t="e">
        <f>'Open Order'!#REF!</f>
        <v>#REF!</v>
      </c>
      <c r="L134" s="8" t="e">
        <f>'Open Order'!#REF!</f>
        <v>#REF!</v>
      </c>
    </row>
    <row r="135" spans="1:12" ht="30.75" customHeight="1" thickBot="1" x14ac:dyDescent="0.25">
      <c r="A135" s="10" t="e">
        <f>'Open Order'!#REF!</f>
        <v>#REF!</v>
      </c>
      <c r="B135" s="6" t="e">
        <f>'Open Order'!#REF!</f>
        <v>#REF!</v>
      </c>
      <c r="C135" s="6" t="e">
        <f>'Open Order'!#REF!</f>
        <v>#REF!</v>
      </c>
      <c r="D135" s="8" t="e">
        <f>'Open Order'!#REF!</f>
        <v>#REF!</v>
      </c>
      <c r="E135" s="9" t="e">
        <f>'Open Order'!#REF!</f>
        <v>#REF!</v>
      </c>
      <c r="F135" s="14" t="e">
        <f>'Open Order'!#REF!</f>
        <v>#REF!</v>
      </c>
      <c r="L135" s="8" t="e">
        <f>'Open Order'!#REF!</f>
        <v>#REF!</v>
      </c>
    </row>
    <row r="136" spans="1:12" ht="30.75" customHeight="1" thickBot="1" x14ac:dyDescent="0.25">
      <c r="A136" s="10" t="e">
        <f>'Open Order'!#REF!</f>
        <v>#REF!</v>
      </c>
      <c r="B136" s="6" t="e">
        <f>'Open Order'!#REF!</f>
        <v>#REF!</v>
      </c>
      <c r="C136" s="6" t="e">
        <f>'Open Order'!#REF!</f>
        <v>#REF!</v>
      </c>
      <c r="D136" s="8" t="e">
        <f>'Open Order'!#REF!</f>
        <v>#REF!</v>
      </c>
      <c r="E136" s="9" t="e">
        <f>'Open Order'!#REF!</f>
        <v>#REF!</v>
      </c>
      <c r="F136" s="14" t="e">
        <f>'Open Order'!#REF!</f>
        <v>#REF!</v>
      </c>
      <c r="L136" s="8" t="e">
        <f>'Open Order'!#REF!</f>
        <v>#REF!</v>
      </c>
    </row>
    <row r="137" spans="1:12" ht="30.75" customHeight="1" thickBot="1" x14ac:dyDescent="0.25">
      <c r="A137" s="10" t="e">
        <f>'Open Order'!#REF!</f>
        <v>#REF!</v>
      </c>
      <c r="B137" s="6" t="e">
        <f>'Open Order'!#REF!</f>
        <v>#REF!</v>
      </c>
      <c r="C137" s="6" t="e">
        <f>'Open Order'!#REF!</f>
        <v>#REF!</v>
      </c>
      <c r="D137" s="8" t="e">
        <f>'Open Order'!#REF!</f>
        <v>#REF!</v>
      </c>
      <c r="E137" s="9" t="e">
        <f>'Open Order'!#REF!</f>
        <v>#REF!</v>
      </c>
      <c r="F137" s="14" t="e">
        <f>'Open Order'!#REF!</f>
        <v>#REF!</v>
      </c>
      <c r="L137" s="8" t="e">
        <f>'Open Order'!#REF!</f>
        <v>#REF!</v>
      </c>
    </row>
    <row r="138" spans="1:12" ht="30.75" customHeight="1" thickBot="1" x14ac:dyDescent="0.25">
      <c r="A138" s="10" t="e">
        <f>'Open Order'!#REF!</f>
        <v>#REF!</v>
      </c>
      <c r="B138" s="6" t="e">
        <f>'Open Order'!#REF!</f>
        <v>#REF!</v>
      </c>
      <c r="C138" s="6" t="e">
        <f>'Open Order'!#REF!</f>
        <v>#REF!</v>
      </c>
      <c r="D138" s="8" t="e">
        <f>'Open Order'!#REF!</f>
        <v>#REF!</v>
      </c>
      <c r="E138" s="9" t="e">
        <f>'Open Order'!#REF!</f>
        <v>#REF!</v>
      </c>
      <c r="F138" s="14" t="e">
        <f>'Open Order'!#REF!</f>
        <v>#REF!</v>
      </c>
      <c r="L138" s="8" t="e">
        <f>'Open Order'!#REF!</f>
        <v>#REF!</v>
      </c>
    </row>
    <row r="139" spans="1:12" ht="30.75" customHeight="1" thickBot="1" x14ac:dyDescent="0.25">
      <c r="A139" s="10" t="e">
        <f>'Open Order'!#REF!</f>
        <v>#REF!</v>
      </c>
      <c r="B139" s="6" t="e">
        <f>'Open Order'!#REF!</f>
        <v>#REF!</v>
      </c>
      <c r="C139" s="6" t="e">
        <f>'Open Order'!#REF!</f>
        <v>#REF!</v>
      </c>
      <c r="D139" s="8" t="e">
        <f>'Open Order'!#REF!</f>
        <v>#REF!</v>
      </c>
      <c r="E139" s="9" t="e">
        <f>'Open Order'!#REF!</f>
        <v>#REF!</v>
      </c>
      <c r="F139" s="14" t="e">
        <f>'Open Order'!#REF!</f>
        <v>#REF!</v>
      </c>
      <c r="L139" s="8" t="e">
        <f>'Open Order'!#REF!</f>
        <v>#REF!</v>
      </c>
    </row>
    <row r="140" spans="1:12" ht="30.75" customHeight="1" thickBot="1" x14ac:dyDescent="0.25">
      <c r="A140" s="10" t="e">
        <f>'Open Order'!#REF!</f>
        <v>#REF!</v>
      </c>
      <c r="B140" s="6" t="e">
        <f>'Open Order'!#REF!</f>
        <v>#REF!</v>
      </c>
      <c r="C140" s="6" t="e">
        <f>'Open Order'!#REF!</f>
        <v>#REF!</v>
      </c>
      <c r="D140" s="8" t="e">
        <f>'Open Order'!#REF!</f>
        <v>#REF!</v>
      </c>
      <c r="E140" s="9" t="e">
        <f>'Open Order'!#REF!</f>
        <v>#REF!</v>
      </c>
      <c r="F140" s="14" t="e">
        <f>'Open Order'!#REF!</f>
        <v>#REF!</v>
      </c>
      <c r="L140" s="8" t="e">
        <f>'Open Order'!#REF!</f>
        <v>#REF!</v>
      </c>
    </row>
    <row r="141" spans="1:12" ht="30.75" customHeight="1" thickBot="1" x14ac:dyDescent="0.25">
      <c r="A141" s="10" t="e">
        <f>'Open Order'!#REF!</f>
        <v>#REF!</v>
      </c>
      <c r="B141" s="6" t="e">
        <f>'Open Order'!#REF!</f>
        <v>#REF!</v>
      </c>
      <c r="C141" s="6" t="e">
        <f>'Open Order'!#REF!</f>
        <v>#REF!</v>
      </c>
      <c r="D141" s="8" t="e">
        <f>'Open Order'!#REF!</f>
        <v>#REF!</v>
      </c>
      <c r="E141" s="9" t="e">
        <f>'Open Order'!#REF!</f>
        <v>#REF!</v>
      </c>
      <c r="F141" s="14" t="e">
        <f>'Open Order'!#REF!</f>
        <v>#REF!</v>
      </c>
      <c r="L141" s="8" t="e">
        <f>'Open Order'!#REF!</f>
        <v>#REF!</v>
      </c>
    </row>
    <row r="142" spans="1:12" ht="30.75" customHeight="1" thickBot="1" x14ac:dyDescent="0.25">
      <c r="A142" s="10" t="e">
        <f>'Open Order'!#REF!</f>
        <v>#REF!</v>
      </c>
      <c r="B142" s="6" t="e">
        <f>'Open Order'!#REF!</f>
        <v>#REF!</v>
      </c>
      <c r="C142" s="6" t="e">
        <f>'Open Order'!#REF!</f>
        <v>#REF!</v>
      </c>
      <c r="D142" s="8" t="e">
        <f>'Open Order'!#REF!</f>
        <v>#REF!</v>
      </c>
      <c r="E142" s="9" t="e">
        <f>'Open Order'!#REF!</f>
        <v>#REF!</v>
      </c>
      <c r="F142" s="14" t="e">
        <f>'Open Order'!#REF!</f>
        <v>#REF!</v>
      </c>
      <c r="L142" s="8" t="e">
        <f>'Open Order'!#REF!</f>
        <v>#REF!</v>
      </c>
    </row>
    <row r="143" spans="1:12" ht="30.75" customHeight="1" thickBot="1" x14ac:dyDescent="0.25">
      <c r="A143" s="10" t="e">
        <f>'Open Order'!#REF!</f>
        <v>#REF!</v>
      </c>
      <c r="B143" s="6" t="e">
        <f>'Open Order'!#REF!</f>
        <v>#REF!</v>
      </c>
      <c r="C143" s="6" t="e">
        <f>'Open Order'!#REF!</f>
        <v>#REF!</v>
      </c>
      <c r="D143" s="8" t="e">
        <f>'Open Order'!#REF!</f>
        <v>#REF!</v>
      </c>
      <c r="E143" s="9" t="e">
        <f>'Open Order'!#REF!</f>
        <v>#REF!</v>
      </c>
      <c r="F143" s="14" t="e">
        <f>'Open Order'!#REF!</f>
        <v>#REF!</v>
      </c>
      <c r="L143" s="8" t="e">
        <f>'Open Order'!#REF!</f>
        <v>#REF!</v>
      </c>
    </row>
    <row r="144" spans="1:12" ht="30.75" customHeight="1" thickBot="1" x14ac:dyDescent="0.25">
      <c r="A144" s="10" t="e">
        <f>'Open Order'!#REF!</f>
        <v>#REF!</v>
      </c>
      <c r="B144" s="6" t="e">
        <f>'Open Order'!#REF!</f>
        <v>#REF!</v>
      </c>
      <c r="C144" s="6" t="e">
        <f>'Open Order'!#REF!</f>
        <v>#REF!</v>
      </c>
      <c r="D144" s="8" t="e">
        <f>'Open Order'!#REF!</f>
        <v>#REF!</v>
      </c>
      <c r="E144" s="9" t="e">
        <f>'Open Order'!#REF!</f>
        <v>#REF!</v>
      </c>
      <c r="F144" s="14" t="e">
        <f>'Open Order'!#REF!</f>
        <v>#REF!</v>
      </c>
      <c r="L144" s="8" t="e">
        <f>'Open Order'!#REF!</f>
        <v>#REF!</v>
      </c>
    </row>
    <row r="145" spans="1:12" ht="30.75" customHeight="1" thickBot="1" x14ac:dyDescent="0.25">
      <c r="A145" s="10" t="e">
        <f>'Open Order'!#REF!</f>
        <v>#REF!</v>
      </c>
      <c r="B145" s="6" t="e">
        <f>'Open Order'!#REF!</f>
        <v>#REF!</v>
      </c>
      <c r="C145" s="6" t="e">
        <f>'Open Order'!#REF!</f>
        <v>#REF!</v>
      </c>
      <c r="D145" s="8" t="e">
        <f>'Open Order'!#REF!</f>
        <v>#REF!</v>
      </c>
      <c r="E145" s="9" t="e">
        <f>'Open Order'!#REF!</f>
        <v>#REF!</v>
      </c>
      <c r="F145" s="14" t="e">
        <f>'Open Order'!#REF!</f>
        <v>#REF!</v>
      </c>
      <c r="L145" s="8" t="e">
        <f>'Open Order'!#REF!</f>
        <v>#REF!</v>
      </c>
    </row>
    <row r="146" spans="1:12" ht="30.75" customHeight="1" thickBot="1" x14ac:dyDescent="0.25">
      <c r="A146" s="10" t="e">
        <f>'Open Order'!#REF!</f>
        <v>#REF!</v>
      </c>
      <c r="B146" s="6" t="e">
        <f>'Open Order'!#REF!</f>
        <v>#REF!</v>
      </c>
      <c r="C146" s="6" t="e">
        <f>'Open Order'!#REF!</f>
        <v>#REF!</v>
      </c>
      <c r="D146" s="8" t="e">
        <f>'Open Order'!#REF!</f>
        <v>#REF!</v>
      </c>
      <c r="E146" s="9" t="e">
        <f>'Open Order'!#REF!</f>
        <v>#REF!</v>
      </c>
      <c r="F146" s="14" t="e">
        <f>'Open Order'!#REF!</f>
        <v>#REF!</v>
      </c>
      <c r="L146" s="8" t="e">
        <f>'Open Order'!#REF!</f>
        <v>#REF!</v>
      </c>
    </row>
    <row r="147" spans="1:12" ht="30.75" customHeight="1" thickBot="1" x14ac:dyDescent="0.25">
      <c r="A147" s="10" t="e">
        <f>'Open Order'!#REF!</f>
        <v>#REF!</v>
      </c>
      <c r="B147" s="6" t="e">
        <f>'Open Order'!#REF!</f>
        <v>#REF!</v>
      </c>
      <c r="C147" s="6" t="e">
        <f>'Open Order'!#REF!</f>
        <v>#REF!</v>
      </c>
      <c r="D147" s="8" t="e">
        <f>'Open Order'!#REF!</f>
        <v>#REF!</v>
      </c>
      <c r="E147" s="9" t="e">
        <f>'Open Order'!#REF!</f>
        <v>#REF!</v>
      </c>
      <c r="F147" s="14" t="e">
        <f>'Open Order'!#REF!</f>
        <v>#REF!</v>
      </c>
      <c r="L147" s="8" t="e">
        <f>'Open Order'!#REF!</f>
        <v>#REF!</v>
      </c>
    </row>
    <row r="148" spans="1:12" ht="30.75" customHeight="1" thickBot="1" x14ac:dyDescent="0.25">
      <c r="A148" s="10" t="e">
        <f>'Open Order'!#REF!</f>
        <v>#REF!</v>
      </c>
      <c r="B148" s="6" t="e">
        <f>'Open Order'!#REF!</f>
        <v>#REF!</v>
      </c>
      <c r="C148" s="6" t="e">
        <f>'Open Order'!#REF!</f>
        <v>#REF!</v>
      </c>
      <c r="D148" s="8" t="e">
        <f>'Open Order'!#REF!</f>
        <v>#REF!</v>
      </c>
      <c r="E148" s="9" t="e">
        <f>'Open Order'!#REF!</f>
        <v>#REF!</v>
      </c>
      <c r="F148" s="14" t="e">
        <f>'Open Order'!#REF!</f>
        <v>#REF!</v>
      </c>
      <c r="L148" s="8" t="e">
        <f>'Open Order'!#REF!</f>
        <v>#REF!</v>
      </c>
    </row>
    <row r="149" spans="1:12" ht="30.75" customHeight="1" thickBot="1" x14ac:dyDescent="0.25">
      <c r="A149" s="10" t="e">
        <f>'Open Order'!#REF!</f>
        <v>#REF!</v>
      </c>
      <c r="B149" s="6" t="e">
        <f>'Open Order'!#REF!</f>
        <v>#REF!</v>
      </c>
      <c r="C149" s="6" t="e">
        <f>'Open Order'!#REF!</f>
        <v>#REF!</v>
      </c>
      <c r="D149" s="8" t="e">
        <f>'Open Order'!#REF!</f>
        <v>#REF!</v>
      </c>
      <c r="E149" s="9" t="e">
        <f>'Open Order'!#REF!</f>
        <v>#REF!</v>
      </c>
      <c r="F149" s="14" t="e">
        <f>'Open Order'!#REF!</f>
        <v>#REF!</v>
      </c>
      <c r="L149" s="8" t="e">
        <f>'Open Order'!#REF!</f>
        <v>#REF!</v>
      </c>
    </row>
    <row r="150" spans="1:12" ht="30.75" customHeight="1" thickBot="1" x14ac:dyDescent="0.25">
      <c r="A150" s="10" t="e">
        <f>'Open Order'!#REF!</f>
        <v>#REF!</v>
      </c>
      <c r="B150" s="6" t="e">
        <f>'Open Order'!#REF!</f>
        <v>#REF!</v>
      </c>
      <c r="C150" s="6" t="e">
        <f>'Open Order'!#REF!</f>
        <v>#REF!</v>
      </c>
      <c r="D150" s="8" t="e">
        <f>'Open Order'!#REF!</f>
        <v>#REF!</v>
      </c>
      <c r="E150" s="9" t="e">
        <f>'Open Order'!#REF!</f>
        <v>#REF!</v>
      </c>
      <c r="F150" s="14" t="e">
        <f>'Open Order'!#REF!</f>
        <v>#REF!</v>
      </c>
      <c r="L150" s="8" t="e">
        <f>'Open Order'!#REF!</f>
        <v>#REF!</v>
      </c>
    </row>
    <row r="151" spans="1:12" ht="30.75" customHeight="1" thickBot="1" x14ac:dyDescent="0.25">
      <c r="A151" s="10" t="e">
        <f>'Open Order'!#REF!</f>
        <v>#REF!</v>
      </c>
      <c r="B151" s="6" t="e">
        <f>'Open Order'!#REF!</f>
        <v>#REF!</v>
      </c>
      <c r="C151" s="6" t="e">
        <f>'Open Order'!#REF!</f>
        <v>#REF!</v>
      </c>
      <c r="D151" s="8" t="e">
        <f>'Open Order'!#REF!</f>
        <v>#REF!</v>
      </c>
      <c r="E151" s="9" t="e">
        <f>'Open Order'!#REF!</f>
        <v>#REF!</v>
      </c>
      <c r="F151" s="14" t="e">
        <f>'Open Order'!#REF!</f>
        <v>#REF!</v>
      </c>
      <c r="L151" s="8" t="e">
        <f>'Open Order'!#REF!</f>
        <v>#REF!</v>
      </c>
    </row>
    <row r="152" spans="1:12" ht="30.75" customHeight="1" thickBot="1" x14ac:dyDescent="0.25">
      <c r="A152" s="10" t="e">
        <f>'Open Order'!#REF!</f>
        <v>#REF!</v>
      </c>
      <c r="B152" s="6" t="e">
        <f>'Open Order'!#REF!</f>
        <v>#REF!</v>
      </c>
      <c r="C152" s="6" t="e">
        <f>'Open Order'!#REF!</f>
        <v>#REF!</v>
      </c>
      <c r="D152" s="8" t="e">
        <f>'Open Order'!#REF!</f>
        <v>#REF!</v>
      </c>
      <c r="E152" s="9" t="e">
        <f>'Open Order'!#REF!</f>
        <v>#REF!</v>
      </c>
      <c r="F152" s="14" t="e">
        <f>'Open Order'!#REF!</f>
        <v>#REF!</v>
      </c>
      <c r="L152" s="8" t="e">
        <f>'Open Order'!#REF!</f>
        <v>#REF!</v>
      </c>
    </row>
    <row r="153" spans="1:12" ht="30.75" customHeight="1" thickBot="1" x14ac:dyDescent="0.25">
      <c r="A153" s="10" t="e">
        <f>'Open Order'!#REF!</f>
        <v>#REF!</v>
      </c>
      <c r="B153" s="6" t="e">
        <f>'Open Order'!#REF!</f>
        <v>#REF!</v>
      </c>
      <c r="C153" s="6" t="e">
        <f>'Open Order'!#REF!</f>
        <v>#REF!</v>
      </c>
      <c r="D153" s="8" t="e">
        <f>'Open Order'!#REF!</f>
        <v>#REF!</v>
      </c>
      <c r="E153" s="9" t="e">
        <f>'Open Order'!#REF!</f>
        <v>#REF!</v>
      </c>
      <c r="F153" s="14" t="e">
        <f>'Open Order'!#REF!</f>
        <v>#REF!</v>
      </c>
      <c r="L153" s="8" t="e">
        <f>'Open Order'!#REF!</f>
        <v>#REF!</v>
      </c>
    </row>
    <row r="154" spans="1:12" ht="30.75" customHeight="1" thickBot="1" x14ac:dyDescent="0.25">
      <c r="A154" s="10" t="e">
        <f>'Open Order'!#REF!</f>
        <v>#REF!</v>
      </c>
      <c r="B154" s="6" t="e">
        <f>'Open Order'!#REF!</f>
        <v>#REF!</v>
      </c>
      <c r="C154" s="6" t="e">
        <f>'Open Order'!#REF!</f>
        <v>#REF!</v>
      </c>
      <c r="D154" s="8" t="e">
        <f>'Open Order'!#REF!</f>
        <v>#REF!</v>
      </c>
      <c r="E154" s="9" t="e">
        <f>'Open Order'!#REF!</f>
        <v>#REF!</v>
      </c>
      <c r="F154" s="14" t="e">
        <f>'Open Order'!#REF!</f>
        <v>#REF!</v>
      </c>
      <c r="L154" s="8" t="e">
        <f>'Open Order'!#REF!</f>
        <v>#REF!</v>
      </c>
    </row>
    <row r="155" spans="1:12" ht="30.75" customHeight="1" thickBot="1" x14ac:dyDescent="0.25">
      <c r="A155" s="10" t="e">
        <f>'Open Order'!#REF!</f>
        <v>#REF!</v>
      </c>
      <c r="B155" s="6" t="e">
        <f>'Open Order'!#REF!</f>
        <v>#REF!</v>
      </c>
      <c r="C155" s="6" t="e">
        <f>'Open Order'!#REF!</f>
        <v>#REF!</v>
      </c>
      <c r="D155" s="8" t="e">
        <f>'Open Order'!#REF!</f>
        <v>#REF!</v>
      </c>
      <c r="E155" s="9" t="e">
        <f>'Open Order'!#REF!</f>
        <v>#REF!</v>
      </c>
      <c r="F155" s="14" t="e">
        <f>'Open Order'!#REF!</f>
        <v>#REF!</v>
      </c>
      <c r="L155" s="8" t="e">
        <f>'Open Order'!#REF!</f>
        <v>#REF!</v>
      </c>
    </row>
    <row r="156" spans="1:12" ht="30.75" customHeight="1" thickBot="1" x14ac:dyDescent="0.25">
      <c r="A156" s="10" t="e">
        <f>'Open Order'!#REF!</f>
        <v>#REF!</v>
      </c>
      <c r="B156" s="6" t="e">
        <f>'Open Order'!#REF!</f>
        <v>#REF!</v>
      </c>
      <c r="C156" s="6" t="e">
        <f>'Open Order'!#REF!</f>
        <v>#REF!</v>
      </c>
      <c r="D156" s="8" t="e">
        <f>'Open Order'!#REF!</f>
        <v>#REF!</v>
      </c>
      <c r="E156" s="9" t="e">
        <f>'Open Order'!#REF!</f>
        <v>#REF!</v>
      </c>
      <c r="F156" s="14" t="e">
        <f>'Open Order'!#REF!</f>
        <v>#REF!</v>
      </c>
      <c r="L156" s="8" t="e">
        <f>'Open Order'!#REF!</f>
        <v>#REF!</v>
      </c>
    </row>
    <row r="157" spans="1:12" ht="30.75" customHeight="1" thickBot="1" x14ac:dyDescent="0.25">
      <c r="A157" s="10" t="e">
        <f>'Open Order'!#REF!</f>
        <v>#REF!</v>
      </c>
      <c r="B157" s="6" t="e">
        <f>'Open Order'!#REF!</f>
        <v>#REF!</v>
      </c>
      <c r="C157" s="6" t="e">
        <f>'Open Order'!#REF!</f>
        <v>#REF!</v>
      </c>
      <c r="D157" s="8" t="e">
        <f>'Open Order'!#REF!</f>
        <v>#REF!</v>
      </c>
      <c r="E157" s="9" t="e">
        <f>'Open Order'!#REF!</f>
        <v>#REF!</v>
      </c>
      <c r="F157" s="14" t="e">
        <f>'Open Order'!#REF!</f>
        <v>#REF!</v>
      </c>
      <c r="L157" s="8" t="e">
        <f>'Open Order'!#REF!</f>
        <v>#REF!</v>
      </c>
    </row>
    <row r="158" spans="1:12" ht="30.75" customHeight="1" thickBot="1" x14ac:dyDescent="0.25">
      <c r="A158" s="10" t="e">
        <f>'Open Order'!#REF!</f>
        <v>#REF!</v>
      </c>
      <c r="B158" s="6" t="e">
        <f>'Open Order'!#REF!</f>
        <v>#REF!</v>
      </c>
      <c r="C158" s="6" t="e">
        <f>'Open Order'!#REF!</f>
        <v>#REF!</v>
      </c>
      <c r="D158" s="8" t="e">
        <f>'Open Order'!#REF!</f>
        <v>#REF!</v>
      </c>
      <c r="E158" s="9" t="e">
        <f>'Open Order'!#REF!</f>
        <v>#REF!</v>
      </c>
      <c r="F158" s="14" t="e">
        <f>'Open Order'!#REF!</f>
        <v>#REF!</v>
      </c>
      <c r="L158" s="8" t="e">
        <f>'Open Order'!#REF!</f>
        <v>#REF!</v>
      </c>
    </row>
    <row r="159" spans="1:12" ht="30.75" customHeight="1" thickBot="1" x14ac:dyDescent="0.25">
      <c r="A159" s="10" t="e">
        <f>'Open Order'!#REF!</f>
        <v>#REF!</v>
      </c>
      <c r="B159" s="6" t="e">
        <f>'Open Order'!#REF!</f>
        <v>#REF!</v>
      </c>
      <c r="C159" s="6" t="e">
        <f>'Open Order'!#REF!</f>
        <v>#REF!</v>
      </c>
      <c r="D159" s="8" t="e">
        <f>'Open Order'!#REF!</f>
        <v>#REF!</v>
      </c>
      <c r="E159" s="9" t="e">
        <f>'Open Order'!#REF!</f>
        <v>#REF!</v>
      </c>
      <c r="F159" s="14" t="e">
        <f>'Open Order'!#REF!</f>
        <v>#REF!</v>
      </c>
      <c r="L159" s="8" t="e">
        <f>'Open Order'!#REF!</f>
        <v>#REF!</v>
      </c>
    </row>
    <row r="160" spans="1:12" ht="30.75" customHeight="1" thickBot="1" x14ac:dyDescent="0.25">
      <c r="A160" s="10" t="e">
        <f>'Open Order'!#REF!</f>
        <v>#REF!</v>
      </c>
      <c r="B160" s="6" t="e">
        <f>'Open Order'!#REF!</f>
        <v>#REF!</v>
      </c>
      <c r="C160" s="6" t="e">
        <f>'Open Order'!#REF!</f>
        <v>#REF!</v>
      </c>
      <c r="D160" s="8" t="e">
        <f>'Open Order'!#REF!</f>
        <v>#REF!</v>
      </c>
      <c r="E160" s="9" t="e">
        <f>'Open Order'!#REF!</f>
        <v>#REF!</v>
      </c>
      <c r="F160" s="14" t="e">
        <f>'Open Order'!#REF!</f>
        <v>#REF!</v>
      </c>
      <c r="L160" s="8" t="e">
        <f>'Open Order'!#REF!</f>
        <v>#REF!</v>
      </c>
    </row>
    <row r="161" spans="1:12" ht="30.75" customHeight="1" thickBot="1" x14ac:dyDescent="0.25">
      <c r="A161" s="10" t="e">
        <f>'Open Order'!#REF!</f>
        <v>#REF!</v>
      </c>
      <c r="B161" s="6" t="e">
        <f>'Open Order'!#REF!</f>
        <v>#REF!</v>
      </c>
      <c r="C161" s="6" t="e">
        <f>'Open Order'!#REF!</f>
        <v>#REF!</v>
      </c>
      <c r="D161" s="8" t="e">
        <f>'Open Order'!#REF!</f>
        <v>#REF!</v>
      </c>
      <c r="E161" s="9" t="e">
        <f>'Open Order'!#REF!</f>
        <v>#REF!</v>
      </c>
      <c r="F161" s="14" t="e">
        <f>'Open Order'!#REF!</f>
        <v>#REF!</v>
      </c>
      <c r="L161" s="8" t="e">
        <f>'Open Order'!#REF!</f>
        <v>#REF!</v>
      </c>
    </row>
    <row r="162" spans="1:12" ht="30.75" customHeight="1" thickBot="1" x14ac:dyDescent="0.25">
      <c r="A162" s="10" t="e">
        <f>'Open Order'!#REF!</f>
        <v>#REF!</v>
      </c>
      <c r="B162" s="6" t="e">
        <f>'Open Order'!#REF!</f>
        <v>#REF!</v>
      </c>
      <c r="C162" s="6" t="e">
        <f>'Open Order'!#REF!</f>
        <v>#REF!</v>
      </c>
      <c r="D162" s="8" t="e">
        <f>'Open Order'!#REF!</f>
        <v>#REF!</v>
      </c>
      <c r="E162" s="9" t="e">
        <f>'Open Order'!#REF!</f>
        <v>#REF!</v>
      </c>
      <c r="F162" s="14" t="e">
        <f>'Open Order'!#REF!</f>
        <v>#REF!</v>
      </c>
      <c r="L162" s="8" t="e">
        <f>'Open Order'!#REF!</f>
        <v>#REF!</v>
      </c>
    </row>
    <row r="163" spans="1:12" ht="30.75" customHeight="1" thickBot="1" x14ac:dyDescent="0.25">
      <c r="A163" s="10" t="e">
        <f>'Open Order'!#REF!</f>
        <v>#REF!</v>
      </c>
      <c r="B163" s="6" t="e">
        <f>'Open Order'!#REF!</f>
        <v>#REF!</v>
      </c>
      <c r="C163" s="6" t="e">
        <f>'Open Order'!#REF!</f>
        <v>#REF!</v>
      </c>
      <c r="D163" s="8" t="e">
        <f>'Open Order'!#REF!</f>
        <v>#REF!</v>
      </c>
      <c r="E163" s="9" t="e">
        <f>'Open Order'!#REF!</f>
        <v>#REF!</v>
      </c>
      <c r="F163" s="14" t="e">
        <f>'Open Order'!#REF!</f>
        <v>#REF!</v>
      </c>
      <c r="L163" s="8" t="e">
        <f>'Open Order'!#REF!</f>
        <v>#REF!</v>
      </c>
    </row>
    <row r="164" spans="1:12" ht="30.75" customHeight="1" thickBot="1" x14ac:dyDescent="0.25">
      <c r="A164" s="10" t="e">
        <f>'Open Order'!#REF!</f>
        <v>#REF!</v>
      </c>
      <c r="B164" s="6" t="e">
        <f>'Open Order'!#REF!</f>
        <v>#REF!</v>
      </c>
      <c r="C164" s="6" t="e">
        <f>'Open Order'!#REF!</f>
        <v>#REF!</v>
      </c>
      <c r="D164" s="8" t="e">
        <f>'Open Order'!#REF!</f>
        <v>#REF!</v>
      </c>
      <c r="E164" s="9" t="e">
        <f>'Open Order'!#REF!</f>
        <v>#REF!</v>
      </c>
      <c r="F164" s="14" t="e">
        <f>'Open Order'!#REF!</f>
        <v>#REF!</v>
      </c>
      <c r="L164" s="8" t="e">
        <f>'Open Order'!#REF!</f>
        <v>#REF!</v>
      </c>
    </row>
    <row r="165" spans="1:12" ht="30.75" customHeight="1" thickBot="1" x14ac:dyDescent="0.25">
      <c r="A165" s="10" t="e">
        <f>'Open Order'!#REF!</f>
        <v>#REF!</v>
      </c>
      <c r="B165" s="6" t="e">
        <f>'Open Order'!#REF!</f>
        <v>#REF!</v>
      </c>
      <c r="C165" s="6" t="e">
        <f>'Open Order'!#REF!</f>
        <v>#REF!</v>
      </c>
      <c r="D165" s="8" t="e">
        <f>'Open Order'!#REF!</f>
        <v>#REF!</v>
      </c>
      <c r="E165" s="9" t="e">
        <f>'Open Order'!#REF!</f>
        <v>#REF!</v>
      </c>
      <c r="F165" s="14" t="e">
        <f>'Open Order'!#REF!</f>
        <v>#REF!</v>
      </c>
      <c r="L165" s="8" t="e">
        <f>'Open Order'!#REF!</f>
        <v>#REF!</v>
      </c>
    </row>
    <row r="166" spans="1:12" ht="30.75" customHeight="1" thickBot="1" x14ac:dyDescent="0.25">
      <c r="A166" s="10" t="e">
        <f>'Open Order'!#REF!</f>
        <v>#REF!</v>
      </c>
      <c r="B166" s="6" t="e">
        <f>'Open Order'!#REF!</f>
        <v>#REF!</v>
      </c>
      <c r="C166" s="6" t="e">
        <f>'Open Order'!#REF!</f>
        <v>#REF!</v>
      </c>
      <c r="D166" s="8" t="e">
        <f>'Open Order'!#REF!</f>
        <v>#REF!</v>
      </c>
      <c r="E166" s="9" t="e">
        <f>'Open Order'!#REF!</f>
        <v>#REF!</v>
      </c>
      <c r="F166" s="14" t="e">
        <f>'Open Order'!#REF!</f>
        <v>#REF!</v>
      </c>
      <c r="L166" s="8" t="e">
        <f>'Open Order'!#REF!</f>
        <v>#REF!</v>
      </c>
    </row>
    <row r="167" spans="1:12" ht="30.75" customHeight="1" thickBot="1" x14ac:dyDescent="0.25">
      <c r="A167" s="10" t="e">
        <f>'Open Order'!#REF!</f>
        <v>#REF!</v>
      </c>
      <c r="B167" s="6" t="e">
        <f>'Open Order'!#REF!</f>
        <v>#REF!</v>
      </c>
      <c r="C167" s="6" t="e">
        <f>'Open Order'!#REF!</f>
        <v>#REF!</v>
      </c>
      <c r="D167" s="8" t="e">
        <f>'Open Order'!#REF!</f>
        <v>#REF!</v>
      </c>
      <c r="E167" s="9" t="e">
        <f>'Open Order'!#REF!</f>
        <v>#REF!</v>
      </c>
      <c r="F167" s="14" t="e">
        <f>'Open Order'!#REF!</f>
        <v>#REF!</v>
      </c>
      <c r="L167" s="8" t="e">
        <f>'Open Order'!#REF!</f>
        <v>#REF!</v>
      </c>
    </row>
    <row r="168" spans="1:12" ht="30.75" customHeight="1" thickBot="1" x14ac:dyDescent="0.25">
      <c r="A168" s="10" t="e">
        <f>'Open Order'!#REF!</f>
        <v>#REF!</v>
      </c>
      <c r="B168" s="6" t="e">
        <f>'Open Order'!#REF!</f>
        <v>#REF!</v>
      </c>
      <c r="C168" s="6" t="e">
        <f>'Open Order'!#REF!</f>
        <v>#REF!</v>
      </c>
      <c r="D168" s="8" t="e">
        <f>'Open Order'!#REF!</f>
        <v>#REF!</v>
      </c>
      <c r="E168" s="9" t="e">
        <f>'Open Order'!#REF!</f>
        <v>#REF!</v>
      </c>
      <c r="F168" s="14" t="e">
        <f>'Open Order'!#REF!</f>
        <v>#REF!</v>
      </c>
      <c r="L168" s="8" t="e">
        <f>'Open Order'!#REF!</f>
        <v>#REF!</v>
      </c>
    </row>
    <row r="169" spans="1:12" ht="30.75" customHeight="1" thickBot="1" x14ac:dyDescent="0.25">
      <c r="A169" s="10" t="e">
        <f>'Open Order'!#REF!</f>
        <v>#REF!</v>
      </c>
      <c r="B169" s="6" t="e">
        <f>'Open Order'!#REF!</f>
        <v>#REF!</v>
      </c>
      <c r="C169" s="6" t="e">
        <f>'Open Order'!#REF!</f>
        <v>#REF!</v>
      </c>
      <c r="D169" s="8" t="e">
        <f>'Open Order'!#REF!</f>
        <v>#REF!</v>
      </c>
      <c r="E169" s="9" t="e">
        <f>'Open Order'!#REF!</f>
        <v>#REF!</v>
      </c>
      <c r="F169" s="14" t="e">
        <f>'Open Order'!#REF!</f>
        <v>#REF!</v>
      </c>
      <c r="L169" s="8" t="e">
        <f>'Open Order'!#REF!</f>
        <v>#REF!</v>
      </c>
    </row>
    <row r="170" spans="1:12" ht="30.75" customHeight="1" thickBot="1" x14ac:dyDescent="0.25">
      <c r="A170" s="10" t="e">
        <f>'Open Order'!#REF!</f>
        <v>#REF!</v>
      </c>
      <c r="B170" s="6" t="e">
        <f>'Open Order'!#REF!</f>
        <v>#REF!</v>
      </c>
      <c r="C170" s="6" t="e">
        <f>'Open Order'!#REF!</f>
        <v>#REF!</v>
      </c>
      <c r="D170" s="8" t="e">
        <f>'Open Order'!#REF!</f>
        <v>#REF!</v>
      </c>
      <c r="E170" s="9" t="e">
        <f>'Open Order'!#REF!</f>
        <v>#REF!</v>
      </c>
      <c r="F170" s="14" t="e">
        <f>'Open Order'!#REF!</f>
        <v>#REF!</v>
      </c>
      <c r="L170" s="8" t="e">
        <f>'Open Order'!#REF!</f>
        <v>#REF!</v>
      </c>
    </row>
    <row r="171" spans="1:12" ht="30.75" customHeight="1" thickBot="1" x14ac:dyDescent="0.25">
      <c r="A171" s="10" t="e">
        <f>'Open Order'!#REF!</f>
        <v>#REF!</v>
      </c>
      <c r="B171" s="6" t="e">
        <f>'Open Order'!#REF!</f>
        <v>#REF!</v>
      </c>
      <c r="C171" s="6" t="e">
        <f>'Open Order'!#REF!</f>
        <v>#REF!</v>
      </c>
      <c r="D171" s="8" t="e">
        <f>'Open Order'!#REF!</f>
        <v>#REF!</v>
      </c>
      <c r="E171" s="9" t="e">
        <f>'Open Order'!#REF!</f>
        <v>#REF!</v>
      </c>
      <c r="F171" s="14" t="e">
        <f>'Open Order'!#REF!</f>
        <v>#REF!</v>
      </c>
      <c r="L171" s="8" t="e">
        <f>'Open Order'!#REF!</f>
        <v>#REF!</v>
      </c>
    </row>
    <row r="172" spans="1:12" ht="30.75" customHeight="1" thickBot="1" x14ac:dyDescent="0.25">
      <c r="A172" s="10" t="e">
        <f>'Open Order'!#REF!</f>
        <v>#REF!</v>
      </c>
      <c r="B172" s="6" t="e">
        <f>'Open Order'!#REF!</f>
        <v>#REF!</v>
      </c>
      <c r="C172" s="6" t="e">
        <f>'Open Order'!#REF!</f>
        <v>#REF!</v>
      </c>
      <c r="D172" s="8" t="e">
        <f>'Open Order'!#REF!</f>
        <v>#REF!</v>
      </c>
      <c r="E172" s="9" t="e">
        <f>'Open Order'!#REF!</f>
        <v>#REF!</v>
      </c>
      <c r="F172" s="14" t="e">
        <f>'Open Order'!#REF!</f>
        <v>#REF!</v>
      </c>
      <c r="L172" s="8" t="e">
        <f>'Open Order'!#REF!</f>
        <v>#REF!</v>
      </c>
    </row>
    <row r="173" spans="1:12" ht="30.75" customHeight="1" thickBot="1" x14ac:dyDescent="0.25">
      <c r="A173" s="10" t="e">
        <f>'Open Order'!#REF!</f>
        <v>#REF!</v>
      </c>
      <c r="B173" s="6" t="e">
        <f>'Open Order'!#REF!</f>
        <v>#REF!</v>
      </c>
      <c r="C173" s="6" t="e">
        <f>'Open Order'!#REF!</f>
        <v>#REF!</v>
      </c>
      <c r="D173" s="8" t="e">
        <f>'Open Order'!#REF!</f>
        <v>#REF!</v>
      </c>
      <c r="E173" s="9" t="e">
        <f>'Open Order'!#REF!</f>
        <v>#REF!</v>
      </c>
      <c r="F173" s="14" t="e">
        <f>'Open Order'!#REF!</f>
        <v>#REF!</v>
      </c>
      <c r="L173" s="8" t="e">
        <f>'Open Order'!#REF!</f>
        <v>#REF!</v>
      </c>
    </row>
    <row r="174" spans="1:12" ht="30.75" customHeight="1" thickBot="1" x14ac:dyDescent="0.25">
      <c r="A174" s="10" t="e">
        <f>'Open Order'!#REF!</f>
        <v>#REF!</v>
      </c>
      <c r="B174" s="6" t="e">
        <f>'Open Order'!#REF!</f>
        <v>#REF!</v>
      </c>
      <c r="C174" s="6" t="e">
        <f>'Open Order'!#REF!</f>
        <v>#REF!</v>
      </c>
      <c r="D174" s="8" t="e">
        <f>'Open Order'!#REF!</f>
        <v>#REF!</v>
      </c>
      <c r="E174" s="9" t="e">
        <f>'Open Order'!#REF!</f>
        <v>#REF!</v>
      </c>
      <c r="F174" s="14" t="e">
        <f>'Open Order'!#REF!</f>
        <v>#REF!</v>
      </c>
      <c r="L174" s="8" t="e">
        <f>'Open Order'!#REF!</f>
        <v>#REF!</v>
      </c>
    </row>
    <row r="175" spans="1:12" ht="30.75" customHeight="1" thickBot="1" x14ac:dyDescent="0.25">
      <c r="A175" s="10" t="e">
        <f>'Open Order'!#REF!</f>
        <v>#REF!</v>
      </c>
      <c r="B175" s="6" t="e">
        <f>'Open Order'!#REF!</f>
        <v>#REF!</v>
      </c>
      <c r="C175" s="6" t="e">
        <f>'Open Order'!#REF!</f>
        <v>#REF!</v>
      </c>
      <c r="D175" s="8" t="e">
        <f>'Open Order'!#REF!</f>
        <v>#REF!</v>
      </c>
      <c r="E175" s="9" t="e">
        <f>'Open Order'!#REF!</f>
        <v>#REF!</v>
      </c>
      <c r="F175" s="14" t="e">
        <f>'Open Order'!#REF!</f>
        <v>#REF!</v>
      </c>
      <c r="L175" s="8" t="e">
        <f>'Open Order'!#REF!</f>
        <v>#REF!</v>
      </c>
    </row>
    <row r="176" spans="1:12" ht="30.75" customHeight="1" thickBot="1" x14ac:dyDescent="0.25">
      <c r="A176" s="10" t="e">
        <f>'Open Order'!#REF!</f>
        <v>#REF!</v>
      </c>
      <c r="B176" s="6" t="e">
        <f>'Open Order'!#REF!</f>
        <v>#REF!</v>
      </c>
      <c r="C176" s="6" t="e">
        <f>'Open Order'!#REF!</f>
        <v>#REF!</v>
      </c>
      <c r="D176" s="8" t="e">
        <f>'Open Order'!#REF!</f>
        <v>#REF!</v>
      </c>
      <c r="E176" s="9" t="e">
        <f>'Open Order'!#REF!</f>
        <v>#REF!</v>
      </c>
      <c r="F176" s="14" t="e">
        <f>'Open Order'!#REF!</f>
        <v>#REF!</v>
      </c>
      <c r="L176" s="8" t="e">
        <f>'Open Order'!#REF!</f>
        <v>#REF!</v>
      </c>
    </row>
    <row r="177" spans="1:12" ht="30.75" customHeight="1" thickBot="1" x14ac:dyDescent="0.25">
      <c r="A177" s="10" t="e">
        <f>'Open Order'!#REF!</f>
        <v>#REF!</v>
      </c>
      <c r="B177" s="6" t="e">
        <f>'Open Order'!#REF!</f>
        <v>#REF!</v>
      </c>
      <c r="C177" s="6" t="e">
        <f>'Open Order'!#REF!</f>
        <v>#REF!</v>
      </c>
      <c r="D177" s="8" t="e">
        <f>'Open Order'!#REF!</f>
        <v>#REF!</v>
      </c>
      <c r="E177" s="9" t="e">
        <f>'Open Order'!#REF!</f>
        <v>#REF!</v>
      </c>
      <c r="F177" s="14" t="e">
        <f>'Open Order'!#REF!</f>
        <v>#REF!</v>
      </c>
      <c r="L177" s="8" t="e">
        <f>'Open Order'!#REF!</f>
        <v>#REF!</v>
      </c>
    </row>
    <row r="178" spans="1:12" ht="30.75" customHeight="1" thickBot="1" x14ac:dyDescent="0.25">
      <c r="A178" s="10" t="e">
        <f>'Open Order'!#REF!</f>
        <v>#REF!</v>
      </c>
      <c r="B178" s="6" t="e">
        <f>'Open Order'!#REF!</f>
        <v>#REF!</v>
      </c>
      <c r="C178" s="6" t="e">
        <f>'Open Order'!#REF!</f>
        <v>#REF!</v>
      </c>
      <c r="D178" s="8" t="e">
        <f>'Open Order'!#REF!</f>
        <v>#REF!</v>
      </c>
      <c r="E178" s="9" t="e">
        <f>'Open Order'!#REF!</f>
        <v>#REF!</v>
      </c>
      <c r="F178" s="14" t="e">
        <f>'Open Order'!#REF!</f>
        <v>#REF!</v>
      </c>
      <c r="L178" s="8" t="e">
        <f>'Open Order'!#REF!</f>
        <v>#REF!</v>
      </c>
    </row>
    <row r="179" spans="1:12" ht="30.75" customHeight="1" thickBot="1" x14ac:dyDescent="0.25">
      <c r="A179" s="10" t="e">
        <f>'Open Order'!#REF!</f>
        <v>#REF!</v>
      </c>
      <c r="B179" s="6" t="e">
        <f>'Open Order'!#REF!</f>
        <v>#REF!</v>
      </c>
      <c r="C179" s="6" t="e">
        <f>'Open Order'!#REF!</f>
        <v>#REF!</v>
      </c>
      <c r="D179" s="8" t="e">
        <f>'Open Order'!#REF!</f>
        <v>#REF!</v>
      </c>
      <c r="E179" s="9" t="e">
        <f>'Open Order'!#REF!</f>
        <v>#REF!</v>
      </c>
      <c r="F179" s="14" t="e">
        <f>'Open Order'!#REF!</f>
        <v>#REF!</v>
      </c>
      <c r="L179" s="8" t="e">
        <f>'Open Order'!#REF!</f>
        <v>#REF!</v>
      </c>
    </row>
    <row r="180" spans="1:12" ht="30.75" customHeight="1" thickBot="1" x14ac:dyDescent="0.25">
      <c r="A180" s="10" t="e">
        <f>'Open Order'!#REF!</f>
        <v>#REF!</v>
      </c>
      <c r="B180" s="6" t="e">
        <f>'Open Order'!#REF!</f>
        <v>#REF!</v>
      </c>
      <c r="C180" s="6" t="e">
        <f>'Open Order'!#REF!</f>
        <v>#REF!</v>
      </c>
      <c r="D180" s="8" t="e">
        <f>'Open Order'!#REF!</f>
        <v>#REF!</v>
      </c>
      <c r="E180" s="9" t="e">
        <f>'Open Order'!#REF!</f>
        <v>#REF!</v>
      </c>
      <c r="F180" s="14" t="e">
        <f>'Open Order'!#REF!</f>
        <v>#REF!</v>
      </c>
      <c r="L180" s="8" t="e">
        <f>'Open Order'!#REF!</f>
        <v>#REF!</v>
      </c>
    </row>
    <row r="181" spans="1:12" ht="30.75" customHeight="1" thickBot="1" x14ac:dyDescent="0.25">
      <c r="A181" s="10" t="e">
        <f>'Open Order'!#REF!</f>
        <v>#REF!</v>
      </c>
      <c r="B181" s="6" t="e">
        <f>'Open Order'!#REF!</f>
        <v>#REF!</v>
      </c>
      <c r="C181" s="6" t="e">
        <f>'Open Order'!#REF!</f>
        <v>#REF!</v>
      </c>
      <c r="D181" s="8" t="e">
        <f>'Open Order'!#REF!</f>
        <v>#REF!</v>
      </c>
      <c r="E181" s="9" t="e">
        <f>'Open Order'!#REF!</f>
        <v>#REF!</v>
      </c>
      <c r="F181" s="14" t="e">
        <f>'Open Order'!#REF!</f>
        <v>#REF!</v>
      </c>
      <c r="L181" s="8" t="e">
        <f>'Open Order'!#REF!</f>
        <v>#REF!</v>
      </c>
    </row>
    <row r="182" spans="1:12" ht="30.75" customHeight="1" thickBot="1" x14ac:dyDescent="0.25">
      <c r="A182" s="10" t="e">
        <f>'Open Order'!#REF!</f>
        <v>#REF!</v>
      </c>
      <c r="B182" s="6" t="e">
        <f>'Open Order'!#REF!</f>
        <v>#REF!</v>
      </c>
      <c r="C182" s="6" t="e">
        <f>'Open Order'!#REF!</f>
        <v>#REF!</v>
      </c>
      <c r="D182" s="8" t="e">
        <f>'Open Order'!#REF!</f>
        <v>#REF!</v>
      </c>
      <c r="E182" s="9" t="e">
        <f>'Open Order'!#REF!</f>
        <v>#REF!</v>
      </c>
      <c r="F182" s="14" t="e">
        <f>'Open Order'!#REF!</f>
        <v>#REF!</v>
      </c>
      <c r="L182" s="8" t="e">
        <f>'Open Order'!#REF!</f>
        <v>#REF!</v>
      </c>
    </row>
    <row r="183" spans="1:12" ht="30.75" customHeight="1" thickBot="1" x14ac:dyDescent="0.25">
      <c r="A183" s="10" t="e">
        <f>'Open Order'!#REF!</f>
        <v>#REF!</v>
      </c>
      <c r="B183" s="6" t="e">
        <f>'Open Order'!#REF!</f>
        <v>#REF!</v>
      </c>
      <c r="C183" s="6" t="e">
        <f>'Open Order'!#REF!</f>
        <v>#REF!</v>
      </c>
      <c r="D183" s="8" t="e">
        <f>'Open Order'!#REF!</f>
        <v>#REF!</v>
      </c>
      <c r="E183" s="9" t="e">
        <f>'Open Order'!#REF!</f>
        <v>#REF!</v>
      </c>
      <c r="F183" s="14" t="e">
        <f>'Open Order'!#REF!</f>
        <v>#REF!</v>
      </c>
      <c r="L183" s="8" t="e">
        <f>'Open Order'!#REF!</f>
        <v>#REF!</v>
      </c>
    </row>
    <row r="184" spans="1:12" ht="30.75" customHeight="1" thickBot="1" x14ac:dyDescent="0.25">
      <c r="A184" s="10" t="e">
        <f>'Open Order'!#REF!</f>
        <v>#REF!</v>
      </c>
      <c r="B184" s="6" t="e">
        <f>'Open Order'!#REF!</f>
        <v>#REF!</v>
      </c>
      <c r="C184" s="6" t="e">
        <f>'Open Order'!#REF!</f>
        <v>#REF!</v>
      </c>
      <c r="D184" s="8" t="e">
        <f>'Open Order'!#REF!</f>
        <v>#REF!</v>
      </c>
      <c r="E184" s="9" t="e">
        <f>'Open Order'!#REF!</f>
        <v>#REF!</v>
      </c>
      <c r="F184" s="14" t="e">
        <f>'Open Order'!#REF!</f>
        <v>#REF!</v>
      </c>
      <c r="L184" s="8" t="e">
        <f>'Open Order'!#REF!</f>
        <v>#REF!</v>
      </c>
    </row>
    <row r="185" spans="1:12" ht="30.75" customHeight="1" thickBot="1" x14ac:dyDescent="0.25">
      <c r="A185" s="10" t="e">
        <f>'Open Order'!#REF!</f>
        <v>#REF!</v>
      </c>
      <c r="B185" s="6" t="e">
        <f>'Open Order'!#REF!</f>
        <v>#REF!</v>
      </c>
      <c r="C185" s="6" t="e">
        <f>'Open Order'!#REF!</f>
        <v>#REF!</v>
      </c>
      <c r="D185" s="8" t="e">
        <f>'Open Order'!#REF!</f>
        <v>#REF!</v>
      </c>
      <c r="E185" s="9" t="e">
        <f>'Open Order'!#REF!</f>
        <v>#REF!</v>
      </c>
      <c r="F185" s="14" t="e">
        <f>'Open Order'!#REF!</f>
        <v>#REF!</v>
      </c>
      <c r="L185" s="8" t="e">
        <f>'Open Order'!#REF!</f>
        <v>#REF!</v>
      </c>
    </row>
    <row r="186" spans="1:12" ht="30.75" customHeight="1" thickBot="1" x14ac:dyDescent="0.25">
      <c r="A186" s="10" t="e">
        <f>'Open Order'!#REF!</f>
        <v>#REF!</v>
      </c>
      <c r="B186" s="6" t="e">
        <f>'Open Order'!#REF!</f>
        <v>#REF!</v>
      </c>
      <c r="C186" s="6" t="e">
        <f>'Open Order'!#REF!</f>
        <v>#REF!</v>
      </c>
      <c r="D186" s="8" t="e">
        <f>'Open Order'!#REF!</f>
        <v>#REF!</v>
      </c>
      <c r="E186" s="9" t="e">
        <f>'Open Order'!#REF!</f>
        <v>#REF!</v>
      </c>
      <c r="F186" s="14" t="e">
        <f>'Open Order'!#REF!</f>
        <v>#REF!</v>
      </c>
      <c r="L186" s="8" t="e">
        <f>'Open Order'!#REF!</f>
        <v>#REF!</v>
      </c>
    </row>
    <row r="187" spans="1:12" ht="30.75" customHeight="1" thickBot="1" x14ac:dyDescent="0.25">
      <c r="A187" s="10" t="e">
        <f>'Open Order'!#REF!</f>
        <v>#REF!</v>
      </c>
      <c r="B187" s="6" t="e">
        <f>'Open Order'!#REF!</f>
        <v>#REF!</v>
      </c>
      <c r="C187" s="6" t="e">
        <f>'Open Order'!#REF!</f>
        <v>#REF!</v>
      </c>
      <c r="D187" s="8" t="e">
        <f>'Open Order'!#REF!</f>
        <v>#REF!</v>
      </c>
      <c r="E187" s="9" t="e">
        <f>'Open Order'!#REF!</f>
        <v>#REF!</v>
      </c>
      <c r="F187" s="14" t="e">
        <f>'Open Order'!#REF!</f>
        <v>#REF!</v>
      </c>
      <c r="L187" s="8" t="e">
        <f>'Open Order'!#REF!</f>
        <v>#REF!</v>
      </c>
    </row>
    <row r="188" spans="1:12" ht="30.75" customHeight="1" thickBot="1" x14ac:dyDescent="0.25">
      <c r="A188" s="10" t="e">
        <f>'Open Order'!#REF!</f>
        <v>#REF!</v>
      </c>
      <c r="B188" s="6" t="e">
        <f>'Open Order'!#REF!</f>
        <v>#REF!</v>
      </c>
      <c r="C188" s="6" t="e">
        <f>'Open Order'!#REF!</f>
        <v>#REF!</v>
      </c>
      <c r="D188" s="8" t="e">
        <f>'Open Order'!#REF!</f>
        <v>#REF!</v>
      </c>
      <c r="E188" s="9" t="e">
        <f>'Open Order'!#REF!</f>
        <v>#REF!</v>
      </c>
      <c r="F188" s="14" t="e">
        <f>'Open Order'!#REF!</f>
        <v>#REF!</v>
      </c>
      <c r="L188" s="8" t="e">
        <f>'Open Order'!#REF!</f>
        <v>#REF!</v>
      </c>
    </row>
    <row r="189" spans="1:12" ht="30.75" customHeight="1" thickBot="1" x14ac:dyDescent="0.25">
      <c r="A189" s="10" t="e">
        <f>'Open Order'!#REF!</f>
        <v>#REF!</v>
      </c>
      <c r="B189" s="6" t="e">
        <f>'Open Order'!#REF!</f>
        <v>#REF!</v>
      </c>
      <c r="C189" s="6" t="e">
        <f>'Open Order'!#REF!</f>
        <v>#REF!</v>
      </c>
      <c r="D189" s="8" t="e">
        <f>'Open Order'!#REF!</f>
        <v>#REF!</v>
      </c>
      <c r="E189" s="9" t="e">
        <f>'Open Order'!#REF!</f>
        <v>#REF!</v>
      </c>
      <c r="F189" s="14" t="e">
        <f>'Open Order'!#REF!</f>
        <v>#REF!</v>
      </c>
      <c r="L189" s="8" t="e">
        <f>'Open Order'!#REF!</f>
        <v>#REF!</v>
      </c>
    </row>
    <row r="190" spans="1:12" ht="30.75" customHeight="1" thickBot="1" x14ac:dyDescent="0.25">
      <c r="A190" s="10" t="e">
        <f>'Open Order'!#REF!</f>
        <v>#REF!</v>
      </c>
      <c r="B190" s="6" t="e">
        <f>'Open Order'!#REF!</f>
        <v>#REF!</v>
      </c>
      <c r="C190" s="6" t="e">
        <f>'Open Order'!#REF!</f>
        <v>#REF!</v>
      </c>
      <c r="D190" s="8" t="e">
        <f>'Open Order'!#REF!</f>
        <v>#REF!</v>
      </c>
      <c r="E190" s="9" t="e">
        <f>'Open Order'!#REF!</f>
        <v>#REF!</v>
      </c>
      <c r="F190" s="14" t="e">
        <f>'Open Order'!#REF!</f>
        <v>#REF!</v>
      </c>
      <c r="L190" s="8" t="e">
        <f>'Open Order'!#REF!</f>
        <v>#REF!</v>
      </c>
    </row>
    <row r="191" spans="1:12" ht="30.75" customHeight="1" thickBot="1" x14ac:dyDescent="0.25">
      <c r="A191" s="10" t="e">
        <f>'Open Order'!#REF!</f>
        <v>#REF!</v>
      </c>
      <c r="B191" s="6" t="e">
        <f>'Open Order'!#REF!</f>
        <v>#REF!</v>
      </c>
      <c r="C191" s="6" t="e">
        <f>'Open Order'!#REF!</f>
        <v>#REF!</v>
      </c>
      <c r="D191" s="8" t="e">
        <f>'Open Order'!#REF!</f>
        <v>#REF!</v>
      </c>
      <c r="E191" s="9" t="e">
        <f>'Open Order'!#REF!</f>
        <v>#REF!</v>
      </c>
      <c r="F191" s="14" t="e">
        <f>'Open Order'!#REF!</f>
        <v>#REF!</v>
      </c>
      <c r="L191" s="8" t="e">
        <f>'Open Order'!#REF!</f>
        <v>#REF!</v>
      </c>
    </row>
    <row r="192" spans="1:12" ht="30.75" customHeight="1" thickBot="1" x14ac:dyDescent="0.25">
      <c r="A192" s="10" t="e">
        <f>'Open Order'!#REF!</f>
        <v>#REF!</v>
      </c>
      <c r="B192" s="6" t="e">
        <f>'Open Order'!#REF!</f>
        <v>#REF!</v>
      </c>
      <c r="C192" s="6" t="e">
        <f>'Open Order'!#REF!</f>
        <v>#REF!</v>
      </c>
      <c r="D192" s="8" t="e">
        <f>'Open Order'!#REF!</f>
        <v>#REF!</v>
      </c>
      <c r="E192" s="9" t="e">
        <f>'Open Order'!#REF!</f>
        <v>#REF!</v>
      </c>
      <c r="F192" s="14" t="e">
        <f>'Open Order'!#REF!</f>
        <v>#REF!</v>
      </c>
      <c r="L192" s="8" t="e">
        <f>'Open Order'!#REF!</f>
        <v>#REF!</v>
      </c>
    </row>
    <row r="193" spans="1:12" ht="30.75" customHeight="1" thickBot="1" x14ac:dyDescent="0.25">
      <c r="A193" s="10" t="e">
        <f>'Open Order'!#REF!</f>
        <v>#REF!</v>
      </c>
      <c r="B193" s="6" t="e">
        <f>'Open Order'!#REF!</f>
        <v>#REF!</v>
      </c>
      <c r="C193" s="6" t="e">
        <f>'Open Order'!#REF!</f>
        <v>#REF!</v>
      </c>
      <c r="D193" s="8" t="e">
        <f>'Open Order'!#REF!</f>
        <v>#REF!</v>
      </c>
      <c r="E193" s="9" t="e">
        <f>'Open Order'!#REF!</f>
        <v>#REF!</v>
      </c>
      <c r="F193" s="14" t="e">
        <f>'Open Order'!#REF!</f>
        <v>#REF!</v>
      </c>
      <c r="L193" s="8" t="e">
        <f>'Open Order'!#REF!</f>
        <v>#REF!</v>
      </c>
    </row>
    <row r="194" spans="1:12" ht="30.75" customHeight="1" thickBot="1" x14ac:dyDescent="0.25">
      <c r="A194" s="10" t="e">
        <f>'Open Order'!#REF!</f>
        <v>#REF!</v>
      </c>
      <c r="B194" s="6" t="e">
        <f>'Open Order'!#REF!</f>
        <v>#REF!</v>
      </c>
      <c r="C194" s="6" t="e">
        <f>'Open Order'!#REF!</f>
        <v>#REF!</v>
      </c>
      <c r="D194" s="8" t="e">
        <f>'Open Order'!#REF!</f>
        <v>#REF!</v>
      </c>
      <c r="E194" s="9" t="e">
        <f>'Open Order'!#REF!</f>
        <v>#REF!</v>
      </c>
      <c r="F194" s="14" t="e">
        <f>'Open Order'!#REF!</f>
        <v>#REF!</v>
      </c>
      <c r="L194" s="8" t="e">
        <f>'Open Order'!#REF!</f>
        <v>#REF!</v>
      </c>
    </row>
    <row r="195" spans="1:12" ht="30.75" customHeight="1" thickBot="1" x14ac:dyDescent="0.25">
      <c r="A195" s="10" t="e">
        <f>'Open Order'!#REF!</f>
        <v>#REF!</v>
      </c>
      <c r="B195" s="6" t="e">
        <f>'Open Order'!#REF!</f>
        <v>#REF!</v>
      </c>
      <c r="C195" s="6" t="e">
        <f>'Open Order'!#REF!</f>
        <v>#REF!</v>
      </c>
      <c r="D195" s="8" t="e">
        <f>'Open Order'!#REF!</f>
        <v>#REF!</v>
      </c>
      <c r="E195" s="9" t="e">
        <f>'Open Order'!#REF!</f>
        <v>#REF!</v>
      </c>
      <c r="F195" s="14" t="e">
        <f>'Open Order'!#REF!</f>
        <v>#REF!</v>
      </c>
      <c r="L195" s="8" t="e">
        <f>'Open Order'!#REF!</f>
        <v>#REF!</v>
      </c>
    </row>
    <row r="196" spans="1:12" ht="30.75" customHeight="1" thickBot="1" x14ac:dyDescent="0.25">
      <c r="A196" s="10" t="e">
        <f>'Open Order'!#REF!</f>
        <v>#REF!</v>
      </c>
      <c r="B196" s="6" t="e">
        <f>'Open Order'!#REF!</f>
        <v>#REF!</v>
      </c>
      <c r="C196" s="6" t="e">
        <f>'Open Order'!#REF!</f>
        <v>#REF!</v>
      </c>
      <c r="D196" s="8" t="e">
        <f>'Open Order'!#REF!</f>
        <v>#REF!</v>
      </c>
      <c r="E196" s="9" t="e">
        <f>'Open Order'!#REF!</f>
        <v>#REF!</v>
      </c>
      <c r="F196" s="14" t="e">
        <f>'Open Order'!#REF!</f>
        <v>#REF!</v>
      </c>
      <c r="L196" s="8" t="e">
        <f>'Open Order'!#REF!</f>
        <v>#REF!</v>
      </c>
    </row>
    <row r="197" spans="1:12" ht="30.75" customHeight="1" thickBot="1" x14ac:dyDescent="0.25">
      <c r="A197" s="10" t="e">
        <f>'Open Order'!#REF!</f>
        <v>#REF!</v>
      </c>
      <c r="B197" s="6" t="e">
        <f>'Open Order'!#REF!</f>
        <v>#REF!</v>
      </c>
      <c r="C197" s="6" t="e">
        <f>'Open Order'!#REF!</f>
        <v>#REF!</v>
      </c>
      <c r="D197" s="8" t="e">
        <f>'Open Order'!#REF!</f>
        <v>#REF!</v>
      </c>
      <c r="E197" s="9" t="e">
        <f>'Open Order'!#REF!</f>
        <v>#REF!</v>
      </c>
      <c r="F197" s="14" t="e">
        <f>'Open Order'!#REF!</f>
        <v>#REF!</v>
      </c>
      <c r="L197" s="8" t="e">
        <f>'Open Order'!#REF!</f>
        <v>#REF!</v>
      </c>
    </row>
    <row r="198" spans="1:12" ht="30.75" customHeight="1" thickBot="1" x14ac:dyDescent="0.25">
      <c r="A198" s="10" t="e">
        <f>'Open Order'!#REF!</f>
        <v>#REF!</v>
      </c>
      <c r="B198" s="6" t="e">
        <f>'Open Order'!#REF!</f>
        <v>#REF!</v>
      </c>
      <c r="C198" s="6" t="e">
        <f>'Open Order'!#REF!</f>
        <v>#REF!</v>
      </c>
      <c r="D198" s="8" t="e">
        <f>'Open Order'!#REF!</f>
        <v>#REF!</v>
      </c>
      <c r="E198" s="9" t="e">
        <f>'Open Order'!#REF!</f>
        <v>#REF!</v>
      </c>
      <c r="F198" s="14" t="e">
        <f>'Open Order'!#REF!</f>
        <v>#REF!</v>
      </c>
      <c r="L198" s="8" t="e">
        <f>'Open Order'!#REF!</f>
        <v>#REF!</v>
      </c>
    </row>
    <row r="199" spans="1:12" ht="30.75" customHeight="1" thickBot="1" x14ac:dyDescent="0.25">
      <c r="A199" s="10" t="e">
        <f>'Open Order'!#REF!</f>
        <v>#REF!</v>
      </c>
      <c r="B199" s="6" t="e">
        <f>'Open Order'!#REF!</f>
        <v>#REF!</v>
      </c>
      <c r="C199" s="6" t="e">
        <f>'Open Order'!#REF!</f>
        <v>#REF!</v>
      </c>
      <c r="D199" s="8" t="e">
        <f>'Open Order'!#REF!</f>
        <v>#REF!</v>
      </c>
      <c r="E199" s="9" t="e">
        <f>'Open Order'!#REF!</f>
        <v>#REF!</v>
      </c>
      <c r="F199" s="14" t="e">
        <f>'Open Order'!#REF!</f>
        <v>#REF!</v>
      </c>
      <c r="L199" s="8" t="e">
        <f>'Open Order'!#REF!</f>
        <v>#REF!</v>
      </c>
    </row>
    <row r="200" spans="1:12" ht="30.75" customHeight="1" thickBot="1" x14ac:dyDescent="0.25">
      <c r="A200" s="10" t="e">
        <f>'Open Order'!#REF!</f>
        <v>#REF!</v>
      </c>
      <c r="B200" s="6" t="e">
        <f>'Open Order'!#REF!</f>
        <v>#REF!</v>
      </c>
      <c r="C200" s="6" t="e">
        <f>'Open Order'!#REF!</f>
        <v>#REF!</v>
      </c>
      <c r="D200" s="8" t="e">
        <f>'Open Order'!#REF!</f>
        <v>#REF!</v>
      </c>
      <c r="E200" s="9" t="e">
        <f>'Open Order'!#REF!</f>
        <v>#REF!</v>
      </c>
      <c r="F200" s="14" t="e">
        <f>'Open Order'!#REF!</f>
        <v>#REF!</v>
      </c>
      <c r="L200" s="8" t="e">
        <f>'Open Order'!#REF!</f>
        <v>#REF!</v>
      </c>
    </row>
    <row r="201" spans="1:12" ht="30.75" customHeight="1" thickBot="1" x14ac:dyDescent="0.25">
      <c r="A201" s="10" t="e">
        <f>'Open Order'!#REF!</f>
        <v>#REF!</v>
      </c>
      <c r="B201" s="6" t="e">
        <f>'Open Order'!#REF!</f>
        <v>#REF!</v>
      </c>
      <c r="C201" s="6" t="e">
        <f>'Open Order'!#REF!</f>
        <v>#REF!</v>
      </c>
      <c r="D201" s="8" t="e">
        <f>'Open Order'!#REF!</f>
        <v>#REF!</v>
      </c>
      <c r="E201" s="9" t="e">
        <f>'Open Order'!#REF!</f>
        <v>#REF!</v>
      </c>
      <c r="F201" s="14" t="e">
        <f>'Open Order'!#REF!</f>
        <v>#REF!</v>
      </c>
      <c r="L201" s="8" t="e">
        <f>'Open Order'!#REF!</f>
        <v>#REF!</v>
      </c>
    </row>
    <row r="202" spans="1:12" ht="30.75" customHeight="1" thickBot="1" x14ac:dyDescent="0.25">
      <c r="A202" s="10" t="e">
        <f>'Open Order'!#REF!</f>
        <v>#REF!</v>
      </c>
      <c r="B202" s="6" t="e">
        <f>'Open Order'!#REF!</f>
        <v>#REF!</v>
      </c>
      <c r="C202" s="6" t="e">
        <f>'Open Order'!#REF!</f>
        <v>#REF!</v>
      </c>
      <c r="D202" s="8" t="e">
        <f>'Open Order'!#REF!</f>
        <v>#REF!</v>
      </c>
      <c r="E202" s="9" t="e">
        <f>'Open Order'!#REF!</f>
        <v>#REF!</v>
      </c>
      <c r="F202" s="14" t="e">
        <f>'Open Order'!#REF!</f>
        <v>#REF!</v>
      </c>
      <c r="L202" s="8" t="e">
        <f>'Open Order'!#REF!</f>
        <v>#REF!</v>
      </c>
    </row>
    <row r="203" spans="1:12" ht="30.75" customHeight="1" thickBot="1" x14ac:dyDescent="0.25">
      <c r="A203" s="10" t="e">
        <f>'Open Order'!#REF!</f>
        <v>#REF!</v>
      </c>
      <c r="B203" s="6" t="e">
        <f>'Open Order'!#REF!</f>
        <v>#REF!</v>
      </c>
      <c r="C203" s="6" t="e">
        <f>'Open Order'!#REF!</f>
        <v>#REF!</v>
      </c>
      <c r="D203" s="8" t="e">
        <f>'Open Order'!#REF!</f>
        <v>#REF!</v>
      </c>
      <c r="E203" s="9" t="e">
        <f>'Open Order'!#REF!</f>
        <v>#REF!</v>
      </c>
      <c r="F203" s="14" t="e">
        <f>'Open Order'!#REF!</f>
        <v>#REF!</v>
      </c>
      <c r="L203" s="8" t="e">
        <f>'Open Order'!#REF!</f>
        <v>#REF!</v>
      </c>
    </row>
    <row r="204" spans="1:12" ht="30.75" customHeight="1" thickBot="1" x14ac:dyDescent="0.25">
      <c r="A204" s="10" t="e">
        <f>'Open Order'!#REF!</f>
        <v>#REF!</v>
      </c>
      <c r="B204" s="6" t="e">
        <f>'Open Order'!#REF!</f>
        <v>#REF!</v>
      </c>
      <c r="C204" s="6" t="e">
        <f>'Open Order'!#REF!</f>
        <v>#REF!</v>
      </c>
      <c r="D204" s="8" t="e">
        <f>'Open Order'!#REF!</f>
        <v>#REF!</v>
      </c>
      <c r="E204" s="9" t="e">
        <f>'Open Order'!#REF!</f>
        <v>#REF!</v>
      </c>
      <c r="F204" s="14" t="e">
        <f>'Open Order'!#REF!</f>
        <v>#REF!</v>
      </c>
      <c r="L204" s="8" t="e">
        <f>'Open Order'!#REF!</f>
        <v>#REF!</v>
      </c>
    </row>
    <row r="205" spans="1:12" ht="30.75" customHeight="1" thickBot="1" x14ac:dyDescent="0.25">
      <c r="A205" s="10" t="e">
        <f>'Open Order'!#REF!</f>
        <v>#REF!</v>
      </c>
      <c r="B205" s="6" t="e">
        <f>'Open Order'!#REF!</f>
        <v>#REF!</v>
      </c>
      <c r="C205" s="6" t="e">
        <f>'Open Order'!#REF!</f>
        <v>#REF!</v>
      </c>
      <c r="D205" s="8" t="e">
        <f>'Open Order'!#REF!</f>
        <v>#REF!</v>
      </c>
      <c r="E205" s="9" t="e">
        <f>'Open Order'!#REF!</f>
        <v>#REF!</v>
      </c>
      <c r="F205" s="14" t="e">
        <f>'Open Order'!#REF!</f>
        <v>#REF!</v>
      </c>
      <c r="L205" s="8" t="e">
        <f>'Open Order'!#REF!</f>
        <v>#REF!</v>
      </c>
    </row>
    <row r="206" spans="1:12" ht="30.75" customHeight="1" thickBot="1" x14ac:dyDescent="0.25">
      <c r="A206" s="10" t="e">
        <f>'Open Order'!#REF!</f>
        <v>#REF!</v>
      </c>
      <c r="B206" s="6" t="e">
        <f>'Open Order'!#REF!</f>
        <v>#REF!</v>
      </c>
      <c r="C206" s="6" t="e">
        <f>'Open Order'!#REF!</f>
        <v>#REF!</v>
      </c>
      <c r="D206" s="8" t="e">
        <f>'Open Order'!#REF!</f>
        <v>#REF!</v>
      </c>
      <c r="E206" s="9" t="e">
        <f>'Open Order'!#REF!</f>
        <v>#REF!</v>
      </c>
      <c r="F206" s="14" t="e">
        <f>'Open Order'!#REF!</f>
        <v>#REF!</v>
      </c>
      <c r="L206" s="8" t="e">
        <f>'Open Order'!#REF!</f>
        <v>#REF!</v>
      </c>
    </row>
    <row r="207" spans="1:12" ht="30.75" customHeight="1" thickBot="1" x14ac:dyDescent="0.25">
      <c r="A207" s="10" t="e">
        <f>'Open Order'!#REF!</f>
        <v>#REF!</v>
      </c>
      <c r="B207" s="6" t="e">
        <f>'Open Order'!#REF!</f>
        <v>#REF!</v>
      </c>
      <c r="C207" s="6" t="e">
        <f>'Open Order'!#REF!</f>
        <v>#REF!</v>
      </c>
      <c r="D207" s="8" t="e">
        <f>'Open Order'!#REF!</f>
        <v>#REF!</v>
      </c>
      <c r="E207" s="9" t="e">
        <f>'Open Order'!#REF!</f>
        <v>#REF!</v>
      </c>
      <c r="F207" s="14" t="e">
        <f>'Open Order'!#REF!</f>
        <v>#REF!</v>
      </c>
      <c r="L207" s="8" t="e">
        <f>'Open Order'!#REF!</f>
        <v>#REF!</v>
      </c>
    </row>
    <row r="208" spans="1:12" ht="30.75" customHeight="1" thickBot="1" x14ac:dyDescent="0.25">
      <c r="A208" s="10" t="e">
        <f>'Open Order'!#REF!</f>
        <v>#REF!</v>
      </c>
      <c r="B208" s="6" t="e">
        <f>'Open Order'!#REF!</f>
        <v>#REF!</v>
      </c>
      <c r="C208" s="6" t="e">
        <f>'Open Order'!#REF!</f>
        <v>#REF!</v>
      </c>
      <c r="D208" s="8" t="e">
        <f>'Open Order'!#REF!</f>
        <v>#REF!</v>
      </c>
      <c r="E208" s="9" t="e">
        <f>'Open Order'!#REF!</f>
        <v>#REF!</v>
      </c>
      <c r="F208" s="14" t="e">
        <f>'Open Order'!#REF!</f>
        <v>#REF!</v>
      </c>
      <c r="L208" s="8" t="e">
        <f>'Open Order'!#REF!</f>
        <v>#REF!</v>
      </c>
    </row>
    <row r="209" spans="1:12" ht="30.75" customHeight="1" thickBot="1" x14ac:dyDescent="0.25">
      <c r="A209" s="10" t="e">
        <f>'Open Order'!#REF!</f>
        <v>#REF!</v>
      </c>
      <c r="B209" s="6" t="e">
        <f>'Open Order'!#REF!</f>
        <v>#REF!</v>
      </c>
      <c r="C209" s="6" t="e">
        <f>'Open Order'!#REF!</f>
        <v>#REF!</v>
      </c>
      <c r="D209" s="8" t="e">
        <f>'Open Order'!#REF!</f>
        <v>#REF!</v>
      </c>
      <c r="E209" s="9" t="e">
        <f>'Open Order'!#REF!</f>
        <v>#REF!</v>
      </c>
      <c r="F209" s="14" t="e">
        <f>'Open Order'!#REF!</f>
        <v>#REF!</v>
      </c>
      <c r="L209" s="8" t="e">
        <f>'Open Order'!#REF!</f>
        <v>#REF!</v>
      </c>
    </row>
    <row r="210" spans="1:12" ht="30.75" customHeight="1" thickBot="1" x14ac:dyDescent="0.25">
      <c r="A210" s="10" t="e">
        <f>'Open Order'!#REF!</f>
        <v>#REF!</v>
      </c>
      <c r="B210" s="6" t="e">
        <f>'Open Order'!#REF!</f>
        <v>#REF!</v>
      </c>
      <c r="C210" s="6" t="e">
        <f>'Open Order'!#REF!</f>
        <v>#REF!</v>
      </c>
      <c r="D210" s="8" t="e">
        <f>'Open Order'!#REF!</f>
        <v>#REF!</v>
      </c>
      <c r="E210" s="9" t="e">
        <f>'Open Order'!#REF!</f>
        <v>#REF!</v>
      </c>
      <c r="F210" s="14" t="e">
        <f>'Open Order'!#REF!</f>
        <v>#REF!</v>
      </c>
      <c r="L210" s="8" t="e">
        <f>'Open Order'!#REF!</f>
        <v>#REF!</v>
      </c>
    </row>
    <row r="211" spans="1:12" ht="30.75" customHeight="1" thickBot="1" x14ac:dyDescent="0.25">
      <c r="A211" s="10" t="e">
        <f>'Open Order'!#REF!</f>
        <v>#REF!</v>
      </c>
      <c r="B211" s="6" t="e">
        <f>'Open Order'!#REF!</f>
        <v>#REF!</v>
      </c>
      <c r="C211" s="6" t="e">
        <f>'Open Order'!#REF!</f>
        <v>#REF!</v>
      </c>
      <c r="D211" s="8" t="e">
        <f>'Open Order'!#REF!</f>
        <v>#REF!</v>
      </c>
      <c r="E211" s="9" t="e">
        <f>'Open Order'!#REF!</f>
        <v>#REF!</v>
      </c>
      <c r="F211" s="14" t="e">
        <f>'Open Order'!#REF!</f>
        <v>#REF!</v>
      </c>
      <c r="L211" s="8" t="e">
        <f>'Open Order'!#REF!</f>
        <v>#REF!</v>
      </c>
    </row>
    <row r="212" spans="1:12" ht="30.75" customHeight="1" thickBot="1" x14ac:dyDescent="0.25">
      <c r="A212" s="10" t="e">
        <f>'Open Order'!#REF!</f>
        <v>#REF!</v>
      </c>
      <c r="B212" s="6" t="e">
        <f>'Open Order'!#REF!</f>
        <v>#REF!</v>
      </c>
      <c r="C212" s="6" t="e">
        <f>'Open Order'!#REF!</f>
        <v>#REF!</v>
      </c>
      <c r="D212" s="8" t="e">
        <f>'Open Order'!#REF!</f>
        <v>#REF!</v>
      </c>
      <c r="E212" s="9" t="e">
        <f>'Open Order'!#REF!</f>
        <v>#REF!</v>
      </c>
      <c r="F212" s="14" t="e">
        <f>'Open Order'!#REF!</f>
        <v>#REF!</v>
      </c>
      <c r="L212" s="8" t="e">
        <f>'Open Order'!#REF!</f>
        <v>#REF!</v>
      </c>
    </row>
    <row r="213" spans="1:12" ht="30.75" customHeight="1" thickBot="1" x14ac:dyDescent="0.25">
      <c r="A213" s="10" t="e">
        <f>'Open Order'!#REF!</f>
        <v>#REF!</v>
      </c>
      <c r="B213" s="6" t="e">
        <f>'Open Order'!#REF!</f>
        <v>#REF!</v>
      </c>
      <c r="C213" s="6" t="e">
        <f>'Open Order'!#REF!</f>
        <v>#REF!</v>
      </c>
      <c r="D213" s="8" t="e">
        <f>'Open Order'!#REF!</f>
        <v>#REF!</v>
      </c>
      <c r="E213" s="9" t="e">
        <f>'Open Order'!#REF!</f>
        <v>#REF!</v>
      </c>
      <c r="F213" s="14" t="e">
        <f>'Open Order'!#REF!</f>
        <v>#REF!</v>
      </c>
      <c r="L213" s="8" t="e">
        <f>'Open Order'!#REF!</f>
        <v>#REF!</v>
      </c>
    </row>
    <row r="214" spans="1:12" ht="30.75" customHeight="1" thickBot="1" x14ac:dyDescent="0.25">
      <c r="A214" s="10" t="e">
        <f>'Open Order'!#REF!</f>
        <v>#REF!</v>
      </c>
      <c r="B214" s="6" t="e">
        <f>'Open Order'!#REF!</f>
        <v>#REF!</v>
      </c>
      <c r="C214" s="6" t="e">
        <f>'Open Order'!#REF!</f>
        <v>#REF!</v>
      </c>
      <c r="D214" s="8" t="e">
        <f>'Open Order'!#REF!</f>
        <v>#REF!</v>
      </c>
      <c r="E214" s="9" t="e">
        <f>'Open Order'!#REF!</f>
        <v>#REF!</v>
      </c>
      <c r="F214" s="14" t="e">
        <f>'Open Order'!#REF!</f>
        <v>#REF!</v>
      </c>
      <c r="L214" s="8" t="e">
        <f>'Open Order'!#REF!</f>
        <v>#REF!</v>
      </c>
    </row>
    <row r="215" spans="1:12" ht="30.75" customHeight="1" thickBot="1" x14ac:dyDescent="0.25">
      <c r="A215" s="10" t="e">
        <f>'Open Order'!#REF!</f>
        <v>#REF!</v>
      </c>
      <c r="B215" s="6" t="e">
        <f>'Open Order'!#REF!</f>
        <v>#REF!</v>
      </c>
      <c r="C215" s="6" t="e">
        <f>'Open Order'!#REF!</f>
        <v>#REF!</v>
      </c>
      <c r="D215" s="8" t="e">
        <f>'Open Order'!#REF!</f>
        <v>#REF!</v>
      </c>
      <c r="E215" s="9" t="e">
        <f>'Open Order'!#REF!</f>
        <v>#REF!</v>
      </c>
      <c r="F215" s="14" t="e">
        <f>'Open Order'!#REF!</f>
        <v>#REF!</v>
      </c>
      <c r="L215" s="8" t="e">
        <f>'Open Order'!#REF!</f>
        <v>#REF!</v>
      </c>
    </row>
    <row r="216" spans="1:12" ht="30.75" customHeight="1" thickBot="1" x14ac:dyDescent="0.25">
      <c r="A216" s="10" t="e">
        <f>'Open Order'!#REF!</f>
        <v>#REF!</v>
      </c>
      <c r="B216" s="6" t="e">
        <f>'Open Order'!#REF!</f>
        <v>#REF!</v>
      </c>
      <c r="C216" s="6" t="e">
        <f>'Open Order'!#REF!</f>
        <v>#REF!</v>
      </c>
      <c r="D216" s="8" t="e">
        <f>'Open Order'!#REF!</f>
        <v>#REF!</v>
      </c>
      <c r="E216" s="9" t="e">
        <f>'Open Order'!#REF!</f>
        <v>#REF!</v>
      </c>
      <c r="F216" s="14" t="e">
        <f>'Open Order'!#REF!</f>
        <v>#REF!</v>
      </c>
      <c r="L216" s="8" t="e">
        <f>'Open Order'!#REF!</f>
        <v>#REF!</v>
      </c>
    </row>
    <row r="217" spans="1:12" ht="30.75" customHeight="1" thickBot="1" x14ac:dyDescent="0.25">
      <c r="A217" s="10" t="e">
        <f>'Open Order'!#REF!</f>
        <v>#REF!</v>
      </c>
      <c r="B217" s="6" t="e">
        <f>'Open Order'!#REF!</f>
        <v>#REF!</v>
      </c>
      <c r="C217" s="6" t="e">
        <f>'Open Order'!#REF!</f>
        <v>#REF!</v>
      </c>
      <c r="D217" s="8" t="e">
        <f>'Open Order'!#REF!</f>
        <v>#REF!</v>
      </c>
      <c r="E217" s="9" t="e">
        <f>'Open Order'!#REF!</f>
        <v>#REF!</v>
      </c>
      <c r="F217" s="14" t="e">
        <f>'Open Order'!#REF!</f>
        <v>#REF!</v>
      </c>
      <c r="L217" s="8" t="e">
        <f>'Open Order'!#REF!</f>
        <v>#REF!</v>
      </c>
    </row>
    <row r="218" spans="1:12" ht="30.75" customHeight="1" thickBot="1" x14ac:dyDescent="0.25">
      <c r="A218" s="10" t="e">
        <f>'Open Order'!#REF!</f>
        <v>#REF!</v>
      </c>
      <c r="B218" s="6" t="e">
        <f>'Open Order'!#REF!</f>
        <v>#REF!</v>
      </c>
      <c r="C218" s="6" t="e">
        <f>'Open Order'!#REF!</f>
        <v>#REF!</v>
      </c>
      <c r="D218" s="8" t="e">
        <f>'Open Order'!#REF!</f>
        <v>#REF!</v>
      </c>
      <c r="E218" s="9" t="e">
        <f>'Open Order'!#REF!</f>
        <v>#REF!</v>
      </c>
      <c r="F218" s="14" t="e">
        <f>'Open Order'!#REF!</f>
        <v>#REF!</v>
      </c>
      <c r="L218" s="8" t="e">
        <f>'Open Order'!#REF!</f>
        <v>#REF!</v>
      </c>
    </row>
    <row r="219" spans="1:12" ht="30.75" customHeight="1" thickBot="1" x14ac:dyDescent="0.25">
      <c r="A219" s="10" t="e">
        <f>'Open Order'!#REF!</f>
        <v>#REF!</v>
      </c>
      <c r="B219" s="6" t="e">
        <f>'Open Order'!#REF!</f>
        <v>#REF!</v>
      </c>
      <c r="C219" s="6" t="e">
        <f>'Open Order'!#REF!</f>
        <v>#REF!</v>
      </c>
      <c r="D219" s="8" t="e">
        <f>'Open Order'!#REF!</f>
        <v>#REF!</v>
      </c>
      <c r="E219" s="9" t="e">
        <f>'Open Order'!#REF!</f>
        <v>#REF!</v>
      </c>
      <c r="F219" s="14" t="e">
        <f>'Open Order'!#REF!</f>
        <v>#REF!</v>
      </c>
      <c r="L219" s="8" t="e">
        <f>'Open Order'!#REF!</f>
        <v>#REF!</v>
      </c>
    </row>
    <row r="220" spans="1:12" ht="30.75" customHeight="1" thickBot="1" x14ac:dyDescent="0.25">
      <c r="A220" s="10" t="e">
        <f>'Open Order'!#REF!</f>
        <v>#REF!</v>
      </c>
      <c r="B220" s="6" t="e">
        <f>'Open Order'!#REF!</f>
        <v>#REF!</v>
      </c>
      <c r="C220" s="6" t="e">
        <f>'Open Order'!#REF!</f>
        <v>#REF!</v>
      </c>
      <c r="D220" s="8" t="e">
        <f>'Open Order'!#REF!</f>
        <v>#REF!</v>
      </c>
      <c r="E220" s="9" t="e">
        <f>'Open Order'!#REF!</f>
        <v>#REF!</v>
      </c>
      <c r="F220" s="14" t="e">
        <f>'Open Order'!#REF!</f>
        <v>#REF!</v>
      </c>
      <c r="L220" s="8" t="e">
        <f>'Open Order'!#REF!</f>
        <v>#REF!</v>
      </c>
    </row>
    <row r="221" spans="1:12" ht="30.75" customHeight="1" thickBot="1" x14ac:dyDescent="0.25">
      <c r="A221" s="10" t="e">
        <f>'Open Order'!#REF!</f>
        <v>#REF!</v>
      </c>
      <c r="B221" s="6" t="e">
        <f>'Open Order'!#REF!</f>
        <v>#REF!</v>
      </c>
      <c r="C221" s="6" t="e">
        <f>'Open Order'!#REF!</f>
        <v>#REF!</v>
      </c>
      <c r="D221" s="8" t="e">
        <f>'Open Order'!#REF!</f>
        <v>#REF!</v>
      </c>
      <c r="E221" s="9" t="e">
        <f>'Open Order'!#REF!</f>
        <v>#REF!</v>
      </c>
      <c r="F221" s="14" t="e">
        <f>'Open Order'!#REF!</f>
        <v>#REF!</v>
      </c>
      <c r="L221" s="8" t="e">
        <f>'Open Order'!#REF!</f>
        <v>#REF!</v>
      </c>
    </row>
    <row r="222" spans="1:12" ht="30.75" customHeight="1" thickBot="1" x14ac:dyDescent="0.25">
      <c r="A222" s="10" t="e">
        <f>'Open Order'!#REF!</f>
        <v>#REF!</v>
      </c>
      <c r="B222" s="6" t="e">
        <f>'Open Order'!#REF!</f>
        <v>#REF!</v>
      </c>
      <c r="C222" s="6" t="e">
        <f>'Open Order'!#REF!</f>
        <v>#REF!</v>
      </c>
      <c r="D222" s="8" t="e">
        <f>'Open Order'!#REF!</f>
        <v>#REF!</v>
      </c>
      <c r="E222" s="9" t="e">
        <f>'Open Order'!#REF!</f>
        <v>#REF!</v>
      </c>
      <c r="F222" s="14" t="e">
        <f>'Open Order'!#REF!</f>
        <v>#REF!</v>
      </c>
      <c r="L222" s="8" t="e">
        <f>'Open Order'!#REF!</f>
        <v>#REF!</v>
      </c>
    </row>
    <row r="223" spans="1:12" ht="30.75" customHeight="1" thickBot="1" x14ac:dyDescent="0.25">
      <c r="A223" s="10" t="e">
        <f>'Open Order'!#REF!</f>
        <v>#REF!</v>
      </c>
      <c r="B223" s="6" t="e">
        <f>'Open Order'!#REF!</f>
        <v>#REF!</v>
      </c>
      <c r="C223" s="6" t="e">
        <f>'Open Order'!#REF!</f>
        <v>#REF!</v>
      </c>
      <c r="D223" s="8" t="e">
        <f>'Open Order'!#REF!</f>
        <v>#REF!</v>
      </c>
      <c r="E223" s="9" t="e">
        <f>'Open Order'!#REF!</f>
        <v>#REF!</v>
      </c>
      <c r="F223" s="14" t="e">
        <f>'Open Order'!#REF!</f>
        <v>#REF!</v>
      </c>
      <c r="L223" s="8" t="e">
        <f>'Open Order'!#REF!</f>
        <v>#REF!</v>
      </c>
    </row>
    <row r="224" spans="1:12" ht="30.75" customHeight="1" thickBot="1" x14ac:dyDescent="0.25">
      <c r="A224" s="10" t="e">
        <f>'Open Order'!#REF!</f>
        <v>#REF!</v>
      </c>
      <c r="B224" s="6" t="e">
        <f>'Open Order'!#REF!</f>
        <v>#REF!</v>
      </c>
      <c r="C224" s="6" t="e">
        <f>'Open Order'!#REF!</f>
        <v>#REF!</v>
      </c>
      <c r="D224" s="8" t="e">
        <f>'Open Order'!#REF!</f>
        <v>#REF!</v>
      </c>
      <c r="E224" s="9" t="e">
        <f>'Open Order'!#REF!</f>
        <v>#REF!</v>
      </c>
      <c r="F224" s="14" t="e">
        <f>'Open Order'!#REF!</f>
        <v>#REF!</v>
      </c>
      <c r="L224" s="8" t="e">
        <f>'Open Order'!#REF!</f>
        <v>#REF!</v>
      </c>
    </row>
    <row r="225" spans="1:12" ht="30.75" customHeight="1" thickBot="1" x14ac:dyDescent="0.25">
      <c r="A225" s="10" t="e">
        <f>'Open Order'!#REF!</f>
        <v>#REF!</v>
      </c>
      <c r="B225" s="6" t="e">
        <f>'Open Order'!#REF!</f>
        <v>#REF!</v>
      </c>
      <c r="C225" s="6" t="e">
        <f>'Open Order'!#REF!</f>
        <v>#REF!</v>
      </c>
      <c r="D225" s="8" t="e">
        <f>'Open Order'!#REF!</f>
        <v>#REF!</v>
      </c>
      <c r="E225" s="9" t="e">
        <f>'Open Order'!#REF!</f>
        <v>#REF!</v>
      </c>
      <c r="F225" s="14" t="e">
        <f>'Open Order'!#REF!</f>
        <v>#REF!</v>
      </c>
      <c r="L225" s="8" t="e">
        <f>'Open Order'!#REF!</f>
        <v>#REF!</v>
      </c>
    </row>
    <row r="226" spans="1:12" ht="30.75" customHeight="1" thickBot="1" x14ac:dyDescent="0.25">
      <c r="A226" s="10" t="e">
        <f>'Open Order'!#REF!</f>
        <v>#REF!</v>
      </c>
      <c r="B226" s="6" t="e">
        <f>'Open Order'!#REF!</f>
        <v>#REF!</v>
      </c>
      <c r="C226" s="6" t="e">
        <f>'Open Order'!#REF!</f>
        <v>#REF!</v>
      </c>
      <c r="D226" s="8" t="e">
        <f>'Open Order'!#REF!</f>
        <v>#REF!</v>
      </c>
      <c r="E226" s="9" t="e">
        <f>'Open Order'!#REF!</f>
        <v>#REF!</v>
      </c>
      <c r="F226" s="14" t="e">
        <f>'Open Order'!#REF!</f>
        <v>#REF!</v>
      </c>
      <c r="L226" s="8" t="e">
        <f>'Open Order'!#REF!</f>
        <v>#REF!</v>
      </c>
    </row>
    <row r="227" spans="1:12" ht="30.75" customHeight="1" thickBot="1" x14ac:dyDescent="0.25">
      <c r="A227" s="10" t="e">
        <f>'Open Order'!#REF!</f>
        <v>#REF!</v>
      </c>
      <c r="B227" s="6" t="e">
        <f>'Open Order'!#REF!</f>
        <v>#REF!</v>
      </c>
      <c r="C227" s="6" t="e">
        <f>'Open Order'!#REF!</f>
        <v>#REF!</v>
      </c>
      <c r="D227" s="8" t="e">
        <f>'Open Order'!#REF!</f>
        <v>#REF!</v>
      </c>
      <c r="E227" s="9" t="e">
        <f>'Open Order'!#REF!</f>
        <v>#REF!</v>
      </c>
      <c r="F227" s="14" t="e">
        <f>'Open Order'!#REF!</f>
        <v>#REF!</v>
      </c>
      <c r="L227" s="8" t="e">
        <f>'Open Order'!#REF!</f>
        <v>#REF!</v>
      </c>
    </row>
    <row r="228" spans="1:12" ht="30.75" customHeight="1" thickBot="1" x14ac:dyDescent="0.25">
      <c r="A228" s="10" t="e">
        <f>'Open Order'!#REF!</f>
        <v>#REF!</v>
      </c>
      <c r="B228" s="6" t="e">
        <f>'Open Order'!#REF!</f>
        <v>#REF!</v>
      </c>
      <c r="C228" s="6" t="e">
        <f>'Open Order'!#REF!</f>
        <v>#REF!</v>
      </c>
      <c r="D228" s="8" t="e">
        <f>'Open Order'!#REF!</f>
        <v>#REF!</v>
      </c>
      <c r="E228" s="9" t="e">
        <f>'Open Order'!#REF!</f>
        <v>#REF!</v>
      </c>
      <c r="F228" s="14" t="e">
        <f>'Open Order'!#REF!</f>
        <v>#REF!</v>
      </c>
      <c r="L228" s="8" t="e">
        <f>'Open Order'!#REF!</f>
        <v>#REF!</v>
      </c>
    </row>
    <row r="229" spans="1:12" ht="30.75" customHeight="1" thickBot="1" x14ac:dyDescent="0.25">
      <c r="A229" s="10" t="e">
        <f>'Open Order'!#REF!</f>
        <v>#REF!</v>
      </c>
      <c r="B229" s="6" t="e">
        <f>'Open Order'!#REF!</f>
        <v>#REF!</v>
      </c>
      <c r="C229" s="6" t="e">
        <f>'Open Order'!#REF!</f>
        <v>#REF!</v>
      </c>
      <c r="D229" s="8" t="e">
        <f>'Open Order'!#REF!</f>
        <v>#REF!</v>
      </c>
      <c r="E229" s="9" t="e">
        <f>'Open Order'!#REF!</f>
        <v>#REF!</v>
      </c>
      <c r="F229" s="14" t="e">
        <f>'Open Order'!#REF!</f>
        <v>#REF!</v>
      </c>
      <c r="L229" s="8" t="e">
        <f>'Open Order'!#REF!</f>
        <v>#REF!</v>
      </c>
    </row>
    <row r="230" spans="1:12" ht="30.75" customHeight="1" thickBot="1" x14ac:dyDescent="0.25">
      <c r="A230" s="10" t="e">
        <f>'Open Order'!#REF!</f>
        <v>#REF!</v>
      </c>
      <c r="B230" s="6" t="e">
        <f>'Open Order'!#REF!</f>
        <v>#REF!</v>
      </c>
      <c r="C230" s="6" t="e">
        <f>'Open Order'!#REF!</f>
        <v>#REF!</v>
      </c>
      <c r="D230" s="8" t="e">
        <f>'Open Order'!#REF!</f>
        <v>#REF!</v>
      </c>
      <c r="E230" s="9" t="e">
        <f>'Open Order'!#REF!</f>
        <v>#REF!</v>
      </c>
      <c r="F230" s="14" t="e">
        <f>'Open Order'!#REF!</f>
        <v>#REF!</v>
      </c>
      <c r="L230" s="8" t="e">
        <f>'Open Order'!#REF!</f>
        <v>#REF!</v>
      </c>
    </row>
    <row r="231" spans="1:12" ht="30.75" customHeight="1" thickBot="1" x14ac:dyDescent="0.25">
      <c r="A231" s="10" t="e">
        <f>'Open Order'!#REF!</f>
        <v>#REF!</v>
      </c>
      <c r="B231" s="6" t="e">
        <f>'Open Order'!#REF!</f>
        <v>#REF!</v>
      </c>
      <c r="C231" s="6" t="e">
        <f>'Open Order'!#REF!</f>
        <v>#REF!</v>
      </c>
      <c r="D231" s="8" t="e">
        <f>'Open Order'!#REF!</f>
        <v>#REF!</v>
      </c>
      <c r="E231" s="9" t="e">
        <f>'Open Order'!#REF!</f>
        <v>#REF!</v>
      </c>
      <c r="F231" s="14" t="e">
        <f>'Open Order'!#REF!</f>
        <v>#REF!</v>
      </c>
      <c r="L231" s="8" t="e">
        <f>'Open Order'!#REF!</f>
        <v>#REF!</v>
      </c>
    </row>
    <row r="232" spans="1:12" ht="30.75" customHeight="1" thickBot="1" x14ac:dyDescent="0.25">
      <c r="A232" s="10" t="e">
        <f>'Open Order'!#REF!</f>
        <v>#REF!</v>
      </c>
      <c r="B232" s="6" t="e">
        <f>'Open Order'!#REF!</f>
        <v>#REF!</v>
      </c>
      <c r="C232" s="6" t="e">
        <f>'Open Order'!#REF!</f>
        <v>#REF!</v>
      </c>
      <c r="D232" s="8" t="e">
        <f>'Open Order'!#REF!</f>
        <v>#REF!</v>
      </c>
      <c r="E232" s="9" t="e">
        <f>'Open Order'!#REF!</f>
        <v>#REF!</v>
      </c>
      <c r="F232" s="14" t="e">
        <f>'Open Order'!#REF!</f>
        <v>#REF!</v>
      </c>
      <c r="L232" s="8" t="e">
        <f>'Open Order'!#REF!</f>
        <v>#REF!</v>
      </c>
    </row>
    <row r="233" spans="1:12" ht="30.75" customHeight="1" thickBot="1" x14ac:dyDescent="0.25">
      <c r="A233" s="10" t="e">
        <f>'Open Order'!#REF!</f>
        <v>#REF!</v>
      </c>
      <c r="B233" s="6" t="e">
        <f>'Open Order'!#REF!</f>
        <v>#REF!</v>
      </c>
      <c r="C233" s="6" t="e">
        <f>'Open Order'!#REF!</f>
        <v>#REF!</v>
      </c>
      <c r="D233" s="8" t="e">
        <f>'Open Order'!#REF!</f>
        <v>#REF!</v>
      </c>
      <c r="E233" s="9" t="e">
        <f>'Open Order'!#REF!</f>
        <v>#REF!</v>
      </c>
      <c r="F233" s="14" t="e">
        <f>'Open Order'!#REF!</f>
        <v>#REF!</v>
      </c>
      <c r="L233" s="8" t="e">
        <f>'Open Order'!#REF!</f>
        <v>#REF!</v>
      </c>
    </row>
    <row r="234" spans="1:12" ht="30.75" customHeight="1" thickBot="1" x14ac:dyDescent="0.25">
      <c r="A234" s="10" t="e">
        <f>'Open Order'!#REF!</f>
        <v>#REF!</v>
      </c>
      <c r="B234" s="6" t="e">
        <f>'Open Order'!#REF!</f>
        <v>#REF!</v>
      </c>
      <c r="C234" s="6" t="e">
        <f>'Open Order'!#REF!</f>
        <v>#REF!</v>
      </c>
      <c r="D234" s="8" t="e">
        <f>'Open Order'!#REF!</f>
        <v>#REF!</v>
      </c>
      <c r="E234" s="9" t="e">
        <f>'Open Order'!#REF!</f>
        <v>#REF!</v>
      </c>
      <c r="F234" s="14" t="e">
        <f>'Open Order'!#REF!</f>
        <v>#REF!</v>
      </c>
      <c r="L234" s="8" t="e">
        <f>'Open Order'!#REF!</f>
        <v>#REF!</v>
      </c>
    </row>
    <row r="235" spans="1:12" ht="30.75" customHeight="1" thickBot="1" x14ac:dyDescent="0.25">
      <c r="A235" s="10" t="e">
        <f>'Open Order'!#REF!</f>
        <v>#REF!</v>
      </c>
      <c r="B235" s="6" t="e">
        <f>'Open Order'!#REF!</f>
        <v>#REF!</v>
      </c>
      <c r="C235" s="6" t="e">
        <f>'Open Order'!#REF!</f>
        <v>#REF!</v>
      </c>
      <c r="D235" s="8" t="e">
        <f>'Open Order'!#REF!</f>
        <v>#REF!</v>
      </c>
      <c r="E235" s="9" t="e">
        <f>'Open Order'!#REF!</f>
        <v>#REF!</v>
      </c>
      <c r="F235" s="14" t="e">
        <f>'Open Order'!#REF!</f>
        <v>#REF!</v>
      </c>
      <c r="L235" s="8" t="e">
        <f>'Open Order'!#REF!</f>
        <v>#REF!</v>
      </c>
    </row>
    <row r="236" spans="1:12" ht="30.75" customHeight="1" thickBot="1" x14ac:dyDescent="0.25">
      <c r="A236" s="10" t="e">
        <f>'Open Order'!#REF!</f>
        <v>#REF!</v>
      </c>
      <c r="B236" s="6" t="e">
        <f>'Open Order'!#REF!</f>
        <v>#REF!</v>
      </c>
      <c r="C236" s="6" t="e">
        <f>'Open Order'!#REF!</f>
        <v>#REF!</v>
      </c>
      <c r="D236" s="8" t="e">
        <f>'Open Order'!#REF!</f>
        <v>#REF!</v>
      </c>
      <c r="E236" s="9" t="e">
        <f>'Open Order'!#REF!</f>
        <v>#REF!</v>
      </c>
      <c r="F236" s="14" t="e">
        <f>'Open Order'!#REF!</f>
        <v>#REF!</v>
      </c>
      <c r="L236" s="8" t="e">
        <f>'Open Order'!#REF!</f>
        <v>#REF!</v>
      </c>
    </row>
    <row r="237" spans="1:12" ht="30.75" customHeight="1" thickBot="1" x14ac:dyDescent="0.25">
      <c r="A237" s="10" t="e">
        <f>'Open Order'!#REF!</f>
        <v>#REF!</v>
      </c>
      <c r="B237" s="6" t="e">
        <f>'Open Order'!#REF!</f>
        <v>#REF!</v>
      </c>
      <c r="C237" s="6" t="e">
        <f>'Open Order'!#REF!</f>
        <v>#REF!</v>
      </c>
      <c r="D237" s="8" t="e">
        <f>'Open Order'!#REF!</f>
        <v>#REF!</v>
      </c>
      <c r="E237" s="9" t="e">
        <f>'Open Order'!#REF!</f>
        <v>#REF!</v>
      </c>
      <c r="F237" s="14" t="e">
        <f>'Open Order'!#REF!</f>
        <v>#REF!</v>
      </c>
      <c r="L237" s="8" t="e">
        <f>'Open Order'!#REF!</f>
        <v>#REF!</v>
      </c>
    </row>
    <row r="238" spans="1:12" ht="30.75" customHeight="1" thickBot="1" x14ac:dyDescent="0.25">
      <c r="A238" s="10" t="e">
        <f>'Open Order'!#REF!</f>
        <v>#REF!</v>
      </c>
      <c r="B238" s="6" t="e">
        <f>'Open Order'!#REF!</f>
        <v>#REF!</v>
      </c>
      <c r="C238" s="6" t="e">
        <f>'Open Order'!#REF!</f>
        <v>#REF!</v>
      </c>
      <c r="D238" s="8" t="e">
        <f>'Open Order'!#REF!</f>
        <v>#REF!</v>
      </c>
      <c r="E238" s="9" t="e">
        <f>'Open Order'!#REF!</f>
        <v>#REF!</v>
      </c>
      <c r="F238" s="14" t="e">
        <f>'Open Order'!#REF!</f>
        <v>#REF!</v>
      </c>
      <c r="L238" s="8" t="e">
        <f>'Open Order'!#REF!</f>
        <v>#REF!</v>
      </c>
    </row>
    <row r="239" spans="1:12" ht="30.75" customHeight="1" thickBot="1" x14ac:dyDescent="0.25">
      <c r="A239" s="10" t="e">
        <f>'Open Order'!#REF!</f>
        <v>#REF!</v>
      </c>
      <c r="B239" s="6" t="e">
        <f>'Open Order'!#REF!</f>
        <v>#REF!</v>
      </c>
      <c r="C239" s="6" t="e">
        <f>'Open Order'!#REF!</f>
        <v>#REF!</v>
      </c>
      <c r="D239" s="8" t="e">
        <f>'Open Order'!#REF!</f>
        <v>#REF!</v>
      </c>
      <c r="E239" s="9" t="e">
        <f>'Open Order'!#REF!</f>
        <v>#REF!</v>
      </c>
      <c r="F239" s="14" t="e">
        <f>'Open Order'!#REF!</f>
        <v>#REF!</v>
      </c>
      <c r="L239" s="8" t="e">
        <f>'Open Order'!#REF!</f>
        <v>#REF!</v>
      </c>
    </row>
    <row r="240" spans="1:12" ht="30.75" customHeight="1" thickBot="1" x14ac:dyDescent="0.25">
      <c r="A240" s="10" t="e">
        <f>'Open Order'!#REF!</f>
        <v>#REF!</v>
      </c>
      <c r="B240" s="6" t="e">
        <f>'Open Order'!#REF!</f>
        <v>#REF!</v>
      </c>
      <c r="C240" s="6" t="e">
        <f>'Open Order'!#REF!</f>
        <v>#REF!</v>
      </c>
      <c r="D240" s="8" t="e">
        <f>'Open Order'!#REF!</f>
        <v>#REF!</v>
      </c>
      <c r="E240" s="9" t="e">
        <f>'Open Order'!#REF!</f>
        <v>#REF!</v>
      </c>
      <c r="F240" s="14" t="e">
        <f>'Open Order'!#REF!</f>
        <v>#REF!</v>
      </c>
      <c r="L240" s="8" t="e">
        <f>'Open Order'!#REF!</f>
        <v>#REF!</v>
      </c>
    </row>
    <row r="241" spans="1:12" ht="30.75" customHeight="1" thickBot="1" x14ac:dyDescent="0.25">
      <c r="A241" s="10" t="e">
        <f>'Open Order'!#REF!</f>
        <v>#REF!</v>
      </c>
      <c r="B241" s="6" t="e">
        <f>'Open Order'!#REF!</f>
        <v>#REF!</v>
      </c>
      <c r="C241" s="6" t="e">
        <f>'Open Order'!#REF!</f>
        <v>#REF!</v>
      </c>
      <c r="D241" s="8" t="e">
        <f>'Open Order'!#REF!</f>
        <v>#REF!</v>
      </c>
      <c r="E241" s="9" t="e">
        <f>'Open Order'!#REF!</f>
        <v>#REF!</v>
      </c>
      <c r="F241" s="14" t="e">
        <f>'Open Order'!#REF!</f>
        <v>#REF!</v>
      </c>
      <c r="L241" s="8" t="e">
        <f>'Open Order'!#REF!</f>
        <v>#REF!</v>
      </c>
    </row>
    <row r="242" spans="1:12" ht="30.75" customHeight="1" thickBot="1" x14ac:dyDescent="0.25">
      <c r="A242" s="10" t="e">
        <f>'Open Order'!#REF!</f>
        <v>#REF!</v>
      </c>
      <c r="B242" s="6" t="e">
        <f>'Open Order'!#REF!</f>
        <v>#REF!</v>
      </c>
      <c r="C242" s="6" t="e">
        <f>'Open Order'!#REF!</f>
        <v>#REF!</v>
      </c>
      <c r="D242" s="8" t="e">
        <f>'Open Order'!#REF!</f>
        <v>#REF!</v>
      </c>
      <c r="E242" s="9" t="e">
        <f>'Open Order'!#REF!</f>
        <v>#REF!</v>
      </c>
      <c r="F242" s="14" t="e">
        <f>'Open Order'!#REF!</f>
        <v>#REF!</v>
      </c>
      <c r="L242" s="8" t="e">
        <f>'Open Order'!#REF!</f>
        <v>#REF!</v>
      </c>
    </row>
    <row r="243" spans="1:12" ht="30.75" customHeight="1" thickBot="1" x14ac:dyDescent="0.25">
      <c r="A243" s="10" t="e">
        <f>'Open Order'!#REF!</f>
        <v>#REF!</v>
      </c>
      <c r="B243" s="6" t="e">
        <f>'Open Order'!#REF!</f>
        <v>#REF!</v>
      </c>
      <c r="C243" s="6" t="e">
        <f>'Open Order'!#REF!</f>
        <v>#REF!</v>
      </c>
      <c r="D243" s="8" t="e">
        <f>'Open Order'!#REF!</f>
        <v>#REF!</v>
      </c>
      <c r="E243" s="9" t="e">
        <f>'Open Order'!#REF!</f>
        <v>#REF!</v>
      </c>
      <c r="F243" s="14" t="e">
        <f>'Open Order'!#REF!</f>
        <v>#REF!</v>
      </c>
      <c r="L243" s="8" t="e">
        <f>'Open Order'!#REF!</f>
        <v>#REF!</v>
      </c>
    </row>
    <row r="244" spans="1:12" ht="30.75" customHeight="1" thickBot="1" x14ac:dyDescent="0.25">
      <c r="A244" s="10" t="e">
        <f>'Open Order'!#REF!</f>
        <v>#REF!</v>
      </c>
      <c r="B244" s="6" t="e">
        <f>'Open Order'!#REF!</f>
        <v>#REF!</v>
      </c>
      <c r="C244" s="6" t="e">
        <f>'Open Order'!#REF!</f>
        <v>#REF!</v>
      </c>
      <c r="D244" s="8" t="e">
        <f>'Open Order'!#REF!</f>
        <v>#REF!</v>
      </c>
      <c r="E244" s="9" t="e">
        <f>'Open Order'!#REF!</f>
        <v>#REF!</v>
      </c>
      <c r="F244" s="14" t="e">
        <f>'Open Order'!#REF!</f>
        <v>#REF!</v>
      </c>
      <c r="L244" s="8" t="e">
        <f>'Open Order'!#REF!</f>
        <v>#REF!</v>
      </c>
    </row>
    <row r="245" spans="1:12" ht="30.75" customHeight="1" thickBot="1" x14ac:dyDescent="0.25">
      <c r="A245" s="10" t="e">
        <f>'Open Order'!#REF!</f>
        <v>#REF!</v>
      </c>
      <c r="B245" s="6" t="e">
        <f>'Open Order'!#REF!</f>
        <v>#REF!</v>
      </c>
      <c r="C245" s="6" t="e">
        <f>'Open Order'!#REF!</f>
        <v>#REF!</v>
      </c>
      <c r="D245" s="8" t="e">
        <f>'Open Order'!#REF!</f>
        <v>#REF!</v>
      </c>
      <c r="E245" s="9" t="e">
        <f>'Open Order'!#REF!</f>
        <v>#REF!</v>
      </c>
      <c r="F245" s="14" t="e">
        <f>'Open Order'!#REF!</f>
        <v>#REF!</v>
      </c>
      <c r="L245" s="8" t="e">
        <f>'Open Order'!#REF!</f>
        <v>#REF!</v>
      </c>
    </row>
    <row r="246" spans="1:12" ht="30.75" customHeight="1" thickBot="1" x14ac:dyDescent="0.25">
      <c r="A246" s="10" t="e">
        <f>'Open Order'!#REF!</f>
        <v>#REF!</v>
      </c>
      <c r="B246" s="6" t="e">
        <f>'Open Order'!#REF!</f>
        <v>#REF!</v>
      </c>
      <c r="C246" s="6" t="e">
        <f>'Open Order'!#REF!</f>
        <v>#REF!</v>
      </c>
      <c r="D246" s="8" t="e">
        <f>'Open Order'!#REF!</f>
        <v>#REF!</v>
      </c>
      <c r="E246" s="9" t="e">
        <f>'Open Order'!#REF!</f>
        <v>#REF!</v>
      </c>
      <c r="F246" s="14" t="e">
        <f>'Open Order'!#REF!</f>
        <v>#REF!</v>
      </c>
      <c r="L246" s="8" t="e">
        <f>'Open Order'!#REF!</f>
        <v>#REF!</v>
      </c>
    </row>
    <row r="247" spans="1:12" ht="30.75" customHeight="1" thickBot="1" x14ac:dyDescent="0.25">
      <c r="A247" s="10" t="e">
        <f>'Open Order'!#REF!</f>
        <v>#REF!</v>
      </c>
      <c r="B247" s="6" t="e">
        <f>'Open Order'!#REF!</f>
        <v>#REF!</v>
      </c>
      <c r="C247" s="6" t="e">
        <f>'Open Order'!#REF!</f>
        <v>#REF!</v>
      </c>
      <c r="D247" s="8" t="e">
        <f>'Open Order'!#REF!</f>
        <v>#REF!</v>
      </c>
      <c r="E247" s="9" t="e">
        <f>'Open Order'!#REF!</f>
        <v>#REF!</v>
      </c>
      <c r="F247" s="14" t="e">
        <f>'Open Order'!#REF!</f>
        <v>#REF!</v>
      </c>
      <c r="L247" s="8" t="e">
        <f>'Open Order'!#REF!</f>
        <v>#REF!</v>
      </c>
    </row>
    <row r="248" spans="1:12" ht="30.75" customHeight="1" thickBot="1" x14ac:dyDescent="0.25">
      <c r="A248" s="10" t="e">
        <f>'Open Order'!#REF!</f>
        <v>#REF!</v>
      </c>
      <c r="B248" s="6" t="e">
        <f>'Open Order'!#REF!</f>
        <v>#REF!</v>
      </c>
      <c r="C248" s="6" t="e">
        <f>'Open Order'!#REF!</f>
        <v>#REF!</v>
      </c>
      <c r="D248" s="8" t="e">
        <f>'Open Order'!#REF!</f>
        <v>#REF!</v>
      </c>
      <c r="E248" s="9" t="e">
        <f>'Open Order'!#REF!</f>
        <v>#REF!</v>
      </c>
      <c r="F248" s="14" t="e">
        <f>'Open Order'!#REF!</f>
        <v>#REF!</v>
      </c>
      <c r="L248" s="8" t="e">
        <f>'Open Order'!#REF!</f>
        <v>#REF!</v>
      </c>
    </row>
    <row r="249" spans="1:12" ht="30.75" customHeight="1" thickBot="1" x14ac:dyDescent="0.25">
      <c r="A249" s="10" t="e">
        <f>'Open Order'!#REF!</f>
        <v>#REF!</v>
      </c>
      <c r="B249" s="6" t="e">
        <f>'Open Order'!#REF!</f>
        <v>#REF!</v>
      </c>
      <c r="C249" s="6" t="e">
        <f>'Open Order'!#REF!</f>
        <v>#REF!</v>
      </c>
      <c r="D249" s="8" t="e">
        <f>'Open Order'!#REF!</f>
        <v>#REF!</v>
      </c>
      <c r="E249" s="9" t="e">
        <f>'Open Order'!#REF!</f>
        <v>#REF!</v>
      </c>
      <c r="F249" s="14" t="e">
        <f>'Open Order'!#REF!</f>
        <v>#REF!</v>
      </c>
      <c r="L249" s="8" t="e">
        <f>'Open Order'!#REF!</f>
        <v>#REF!</v>
      </c>
    </row>
    <row r="250" spans="1:12" ht="30.75" customHeight="1" thickBot="1" x14ac:dyDescent="0.25">
      <c r="A250" s="10" t="e">
        <f>'Open Order'!#REF!</f>
        <v>#REF!</v>
      </c>
      <c r="B250" s="6" t="e">
        <f>'Open Order'!#REF!</f>
        <v>#REF!</v>
      </c>
      <c r="C250" s="6" t="e">
        <f>'Open Order'!#REF!</f>
        <v>#REF!</v>
      </c>
      <c r="D250" s="8" t="e">
        <f>'Open Order'!#REF!</f>
        <v>#REF!</v>
      </c>
      <c r="E250" s="9" t="e">
        <f>'Open Order'!#REF!</f>
        <v>#REF!</v>
      </c>
      <c r="F250" s="14" t="e">
        <f>'Open Order'!#REF!</f>
        <v>#REF!</v>
      </c>
      <c r="L250" s="8" t="e">
        <f>'Open Order'!#REF!</f>
        <v>#REF!</v>
      </c>
    </row>
    <row r="251" spans="1:12" ht="30.75" customHeight="1" thickBot="1" x14ac:dyDescent="0.25">
      <c r="A251" s="10" t="e">
        <f>'Open Order'!#REF!</f>
        <v>#REF!</v>
      </c>
      <c r="B251" s="6" t="e">
        <f>'Open Order'!#REF!</f>
        <v>#REF!</v>
      </c>
      <c r="C251" s="6" t="e">
        <f>'Open Order'!#REF!</f>
        <v>#REF!</v>
      </c>
      <c r="D251" s="8" t="e">
        <f>'Open Order'!#REF!</f>
        <v>#REF!</v>
      </c>
      <c r="E251" s="9" t="e">
        <f>'Open Order'!#REF!</f>
        <v>#REF!</v>
      </c>
      <c r="F251" s="14" t="e">
        <f>'Open Order'!#REF!</f>
        <v>#REF!</v>
      </c>
      <c r="L251" s="8" t="e">
        <f>'Open Order'!#REF!</f>
        <v>#REF!</v>
      </c>
    </row>
    <row r="252" spans="1:12" ht="30.75" customHeight="1" thickBot="1" x14ac:dyDescent="0.25">
      <c r="A252" s="10" t="e">
        <f>'Open Order'!#REF!</f>
        <v>#REF!</v>
      </c>
      <c r="B252" s="6" t="e">
        <f>'Open Order'!#REF!</f>
        <v>#REF!</v>
      </c>
      <c r="C252" s="6" t="e">
        <f>'Open Order'!#REF!</f>
        <v>#REF!</v>
      </c>
      <c r="D252" s="8" t="e">
        <f>'Open Order'!#REF!</f>
        <v>#REF!</v>
      </c>
      <c r="E252" s="9" t="e">
        <f>'Open Order'!#REF!</f>
        <v>#REF!</v>
      </c>
      <c r="F252" s="14" t="e">
        <f>'Open Order'!#REF!</f>
        <v>#REF!</v>
      </c>
      <c r="L252" s="8" t="e">
        <f>'Open Order'!#REF!</f>
        <v>#REF!</v>
      </c>
    </row>
    <row r="253" spans="1:12" ht="30.75" customHeight="1" thickBot="1" x14ac:dyDescent="0.25">
      <c r="A253" s="10" t="e">
        <f>'Open Order'!#REF!</f>
        <v>#REF!</v>
      </c>
      <c r="B253" s="6" t="e">
        <f>'Open Order'!#REF!</f>
        <v>#REF!</v>
      </c>
      <c r="C253" s="6" t="e">
        <f>'Open Order'!#REF!</f>
        <v>#REF!</v>
      </c>
      <c r="D253" s="8" t="e">
        <f>'Open Order'!#REF!</f>
        <v>#REF!</v>
      </c>
      <c r="E253" s="9" t="e">
        <f>'Open Order'!#REF!</f>
        <v>#REF!</v>
      </c>
      <c r="F253" s="14" t="e">
        <f>'Open Order'!#REF!</f>
        <v>#REF!</v>
      </c>
      <c r="L253" s="8" t="e">
        <f>'Open Order'!#REF!</f>
        <v>#REF!</v>
      </c>
    </row>
    <row r="254" spans="1:12" ht="30.75" customHeight="1" thickBot="1" x14ac:dyDescent="0.25">
      <c r="A254" s="10" t="e">
        <f>'Open Order'!#REF!</f>
        <v>#REF!</v>
      </c>
      <c r="B254" s="6" t="e">
        <f>'Open Order'!#REF!</f>
        <v>#REF!</v>
      </c>
      <c r="C254" s="6" t="e">
        <f>'Open Order'!#REF!</f>
        <v>#REF!</v>
      </c>
      <c r="D254" s="8" t="e">
        <f>'Open Order'!#REF!</f>
        <v>#REF!</v>
      </c>
      <c r="E254" s="9" t="e">
        <f>'Open Order'!#REF!</f>
        <v>#REF!</v>
      </c>
      <c r="F254" s="14" t="e">
        <f>'Open Order'!#REF!</f>
        <v>#REF!</v>
      </c>
      <c r="L254" s="8" t="e">
        <f>'Open Order'!#REF!</f>
        <v>#REF!</v>
      </c>
    </row>
    <row r="255" spans="1:12" ht="30.75" customHeight="1" thickBot="1" x14ac:dyDescent="0.25">
      <c r="A255" s="10" t="e">
        <f>'Open Order'!#REF!</f>
        <v>#REF!</v>
      </c>
      <c r="B255" s="6" t="e">
        <f>'Open Order'!#REF!</f>
        <v>#REF!</v>
      </c>
      <c r="C255" s="6" t="e">
        <f>'Open Order'!#REF!</f>
        <v>#REF!</v>
      </c>
      <c r="D255" s="8" t="e">
        <f>'Open Order'!#REF!</f>
        <v>#REF!</v>
      </c>
      <c r="E255" s="9" t="e">
        <f>'Open Order'!#REF!</f>
        <v>#REF!</v>
      </c>
      <c r="F255" s="14" t="e">
        <f>'Open Order'!#REF!</f>
        <v>#REF!</v>
      </c>
      <c r="L255" s="8" t="e">
        <f>'Open Order'!#REF!</f>
        <v>#REF!</v>
      </c>
    </row>
    <row r="256" spans="1:12" ht="30.75" customHeight="1" thickBot="1" x14ac:dyDescent="0.25">
      <c r="A256" s="10" t="e">
        <f>'Open Order'!#REF!</f>
        <v>#REF!</v>
      </c>
      <c r="B256" s="6" t="e">
        <f>'Open Order'!#REF!</f>
        <v>#REF!</v>
      </c>
      <c r="C256" s="6" t="e">
        <f>'Open Order'!#REF!</f>
        <v>#REF!</v>
      </c>
      <c r="D256" s="8" t="e">
        <f>'Open Order'!#REF!</f>
        <v>#REF!</v>
      </c>
      <c r="E256" s="9" t="e">
        <f>'Open Order'!#REF!</f>
        <v>#REF!</v>
      </c>
      <c r="F256" s="14" t="e">
        <f>'Open Order'!#REF!</f>
        <v>#REF!</v>
      </c>
      <c r="L256" s="8" t="e">
        <f>'Open Order'!#REF!</f>
        <v>#REF!</v>
      </c>
    </row>
    <row r="257" spans="1:12" ht="30.75" customHeight="1" thickBot="1" x14ac:dyDescent="0.25">
      <c r="A257" s="10" t="e">
        <f>'Open Order'!#REF!</f>
        <v>#REF!</v>
      </c>
      <c r="B257" s="6" t="e">
        <f>'Open Order'!#REF!</f>
        <v>#REF!</v>
      </c>
      <c r="C257" s="6" t="e">
        <f>'Open Order'!#REF!</f>
        <v>#REF!</v>
      </c>
      <c r="D257" s="8" t="e">
        <f>'Open Order'!#REF!</f>
        <v>#REF!</v>
      </c>
      <c r="E257" s="9" t="e">
        <f>'Open Order'!#REF!</f>
        <v>#REF!</v>
      </c>
      <c r="F257" s="14" t="e">
        <f>'Open Order'!#REF!</f>
        <v>#REF!</v>
      </c>
      <c r="L257" s="8" t="e">
        <f>'Open Order'!#REF!</f>
        <v>#REF!</v>
      </c>
    </row>
    <row r="258" spans="1:12" ht="30.75" customHeight="1" thickBot="1" x14ac:dyDescent="0.25">
      <c r="A258" s="10" t="e">
        <f>'Open Order'!#REF!</f>
        <v>#REF!</v>
      </c>
      <c r="B258" s="6" t="e">
        <f>'Open Order'!#REF!</f>
        <v>#REF!</v>
      </c>
      <c r="C258" s="6" t="e">
        <f>'Open Order'!#REF!</f>
        <v>#REF!</v>
      </c>
      <c r="D258" s="8" t="e">
        <f>'Open Order'!#REF!</f>
        <v>#REF!</v>
      </c>
      <c r="E258" s="9" t="e">
        <f>'Open Order'!#REF!</f>
        <v>#REF!</v>
      </c>
      <c r="F258" s="14" t="e">
        <f>'Open Order'!#REF!</f>
        <v>#REF!</v>
      </c>
      <c r="L258" s="8" t="e">
        <f>'Open Order'!#REF!</f>
        <v>#REF!</v>
      </c>
    </row>
    <row r="259" spans="1:12" ht="30.75" customHeight="1" thickBot="1" x14ac:dyDescent="0.25">
      <c r="A259" s="10" t="e">
        <f>'Open Order'!#REF!</f>
        <v>#REF!</v>
      </c>
      <c r="B259" s="6" t="e">
        <f>'Open Order'!#REF!</f>
        <v>#REF!</v>
      </c>
      <c r="C259" s="6" t="e">
        <f>'Open Order'!#REF!</f>
        <v>#REF!</v>
      </c>
      <c r="D259" s="8" t="e">
        <f>'Open Order'!#REF!</f>
        <v>#REF!</v>
      </c>
      <c r="E259" s="9" t="e">
        <f>'Open Order'!#REF!</f>
        <v>#REF!</v>
      </c>
      <c r="F259" s="14" t="e">
        <f>'Open Order'!#REF!</f>
        <v>#REF!</v>
      </c>
      <c r="L259" s="8" t="e">
        <f>'Open Order'!#REF!</f>
        <v>#REF!</v>
      </c>
    </row>
    <row r="260" spans="1:12" ht="30.75" customHeight="1" thickBot="1" x14ac:dyDescent="0.25">
      <c r="A260" s="10" t="e">
        <f>'Open Order'!#REF!</f>
        <v>#REF!</v>
      </c>
      <c r="B260" s="6" t="e">
        <f>'Open Order'!#REF!</f>
        <v>#REF!</v>
      </c>
      <c r="C260" s="6" t="e">
        <f>'Open Order'!#REF!</f>
        <v>#REF!</v>
      </c>
      <c r="D260" s="8" t="e">
        <f>'Open Order'!#REF!</f>
        <v>#REF!</v>
      </c>
      <c r="E260" s="9" t="e">
        <f>'Open Order'!#REF!</f>
        <v>#REF!</v>
      </c>
      <c r="F260" s="14" t="e">
        <f>'Open Order'!#REF!</f>
        <v>#REF!</v>
      </c>
      <c r="L260" s="8" t="e">
        <f>'Open Order'!#REF!</f>
        <v>#REF!</v>
      </c>
    </row>
    <row r="261" spans="1:12" ht="30.75" customHeight="1" thickBot="1" x14ac:dyDescent="0.25">
      <c r="A261" s="10" t="e">
        <f>'Open Order'!#REF!</f>
        <v>#REF!</v>
      </c>
      <c r="B261" s="6" t="e">
        <f>'Open Order'!#REF!</f>
        <v>#REF!</v>
      </c>
      <c r="C261" s="6" t="e">
        <f>'Open Order'!#REF!</f>
        <v>#REF!</v>
      </c>
      <c r="D261" s="8" t="e">
        <f>'Open Order'!#REF!</f>
        <v>#REF!</v>
      </c>
      <c r="E261" s="9" t="e">
        <f>'Open Order'!#REF!</f>
        <v>#REF!</v>
      </c>
      <c r="F261" s="14" t="e">
        <f>'Open Order'!#REF!</f>
        <v>#REF!</v>
      </c>
      <c r="L261" s="8" t="e">
        <f>'Open Order'!#REF!</f>
        <v>#REF!</v>
      </c>
    </row>
    <row r="262" spans="1:12" ht="30.75" customHeight="1" thickBot="1" x14ac:dyDescent="0.25">
      <c r="A262" s="10" t="e">
        <f>'Open Order'!#REF!</f>
        <v>#REF!</v>
      </c>
      <c r="B262" s="6" t="e">
        <f>'Open Order'!#REF!</f>
        <v>#REF!</v>
      </c>
      <c r="C262" s="6" t="e">
        <f>'Open Order'!#REF!</f>
        <v>#REF!</v>
      </c>
      <c r="D262" s="8" t="e">
        <f>'Open Order'!#REF!</f>
        <v>#REF!</v>
      </c>
      <c r="E262" s="9" t="e">
        <f>'Open Order'!#REF!</f>
        <v>#REF!</v>
      </c>
      <c r="F262" s="14" t="e">
        <f>'Open Order'!#REF!</f>
        <v>#REF!</v>
      </c>
      <c r="L262" s="8" t="e">
        <f>'Open Order'!#REF!</f>
        <v>#REF!</v>
      </c>
    </row>
    <row r="263" spans="1:12" ht="30.75" customHeight="1" thickBot="1" x14ac:dyDescent="0.25">
      <c r="A263" s="10" t="e">
        <f>'Open Order'!#REF!</f>
        <v>#REF!</v>
      </c>
      <c r="B263" s="6" t="e">
        <f>'Open Order'!#REF!</f>
        <v>#REF!</v>
      </c>
      <c r="C263" s="6" t="e">
        <f>'Open Order'!#REF!</f>
        <v>#REF!</v>
      </c>
      <c r="D263" s="8" t="e">
        <f>'Open Order'!#REF!</f>
        <v>#REF!</v>
      </c>
      <c r="E263" s="9" t="e">
        <f>'Open Order'!#REF!</f>
        <v>#REF!</v>
      </c>
      <c r="F263" s="14" t="e">
        <f>'Open Order'!#REF!</f>
        <v>#REF!</v>
      </c>
      <c r="L263" s="8" t="e">
        <f>'Open Order'!#REF!</f>
        <v>#REF!</v>
      </c>
    </row>
    <row r="264" spans="1:12" ht="30.75" customHeight="1" thickBot="1" x14ac:dyDescent="0.25">
      <c r="A264" s="10" t="e">
        <f>'Open Order'!#REF!</f>
        <v>#REF!</v>
      </c>
      <c r="B264" s="6" t="e">
        <f>'Open Order'!#REF!</f>
        <v>#REF!</v>
      </c>
      <c r="C264" s="6" t="e">
        <f>'Open Order'!#REF!</f>
        <v>#REF!</v>
      </c>
      <c r="D264" s="8" t="e">
        <f>'Open Order'!#REF!</f>
        <v>#REF!</v>
      </c>
      <c r="E264" s="9" t="e">
        <f>'Open Order'!#REF!</f>
        <v>#REF!</v>
      </c>
      <c r="F264" s="14" t="e">
        <f>'Open Order'!#REF!</f>
        <v>#REF!</v>
      </c>
      <c r="L264" s="8" t="e">
        <f>'Open Order'!#REF!</f>
        <v>#REF!</v>
      </c>
    </row>
    <row r="265" spans="1:12" ht="30.75" customHeight="1" thickBot="1" x14ac:dyDescent="0.25">
      <c r="A265" s="10" t="e">
        <f>'Open Order'!#REF!</f>
        <v>#REF!</v>
      </c>
      <c r="B265" s="6" t="e">
        <f>'Open Order'!#REF!</f>
        <v>#REF!</v>
      </c>
      <c r="C265" s="6" t="e">
        <f>'Open Order'!#REF!</f>
        <v>#REF!</v>
      </c>
      <c r="D265" s="8" t="e">
        <f>'Open Order'!#REF!</f>
        <v>#REF!</v>
      </c>
      <c r="E265" s="9" t="e">
        <f>'Open Order'!#REF!</f>
        <v>#REF!</v>
      </c>
      <c r="F265" s="14" t="e">
        <f>'Open Order'!#REF!</f>
        <v>#REF!</v>
      </c>
      <c r="L265" s="8" t="e">
        <f>'Open Order'!#REF!</f>
        <v>#REF!</v>
      </c>
    </row>
    <row r="266" spans="1:12" ht="30.75" customHeight="1" thickBot="1" x14ac:dyDescent="0.25">
      <c r="A266" s="10" t="e">
        <f>'Open Order'!#REF!</f>
        <v>#REF!</v>
      </c>
      <c r="B266" s="6" t="e">
        <f>'Open Order'!#REF!</f>
        <v>#REF!</v>
      </c>
      <c r="C266" s="6" t="e">
        <f>'Open Order'!#REF!</f>
        <v>#REF!</v>
      </c>
      <c r="D266" s="8" t="e">
        <f>'Open Order'!#REF!</f>
        <v>#REF!</v>
      </c>
      <c r="E266" s="9" t="e">
        <f>'Open Order'!#REF!</f>
        <v>#REF!</v>
      </c>
      <c r="F266" s="14" t="e">
        <f>'Open Order'!#REF!</f>
        <v>#REF!</v>
      </c>
      <c r="L266" s="8" t="e">
        <f>'Open Order'!#REF!</f>
        <v>#REF!</v>
      </c>
    </row>
    <row r="267" spans="1:12" ht="30.75" customHeight="1" thickBot="1" x14ac:dyDescent="0.25">
      <c r="A267" s="10" t="e">
        <f>'Open Order'!#REF!</f>
        <v>#REF!</v>
      </c>
      <c r="B267" s="6" t="e">
        <f>'Open Order'!#REF!</f>
        <v>#REF!</v>
      </c>
      <c r="C267" s="6" t="e">
        <f>'Open Order'!#REF!</f>
        <v>#REF!</v>
      </c>
      <c r="D267" s="8" t="e">
        <f>'Open Order'!#REF!</f>
        <v>#REF!</v>
      </c>
      <c r="E267" s="9" t="e">
        <f>'Open Order'!#REF!</f>
        <v>#REF!</v>
      </c>
      <c r="F267" s="14" t="e">
        <f>'Open Order'!#REF!</f>
        <v>#REF!</v>
      </c>
      <c r="L267" s="8" t="e">
        <f>'Open Order'!#REF!</f>
        <v>#REF!</v>
      </c>
    </row>
    <row r="268" spans="1:12" ht="30.75" customHeight="1" thickBot="1" x14ac:dyDescent="0.25">
      <c r="A268" s="10" t="e">
        <f>'Open Order'!#REF!</f>
        <v>#REF!</v>
      </c>
      <c r="B268" s="6" t="e">
        <f>'Open Order'!#REF!</f>
        <v>#REF!</v>
      </c>
      <c r="C268" s="6" t="e">
        <f>'Open Order'!#REF!</f>
        <v>#REF!</v>
      </c>
      <c r="D268" s="8" t="e">
        <f>'Open Order'!#REF!</f>
        <v>#REF!</v>
      </c>
      <c r="E268" s="9" t="e">
        <f>'Open Order'!#REF!</f>
        <v>#REF!</v>
      </c>
      <c r="F268" s="14" t="e">
        <f>'Open Order'!#REF!</f>
        <v>#REF!</v>
      </c>
      <c r="L268" s="8" t="e">
        <f>'Open Order'!#REF!</f>
        <v>#REF!</v>
      </c>
    </row>
    <row r="269" spans="1:12" ht="30.75" customHeight="1" thickBot="1" x14ac:dyDescent="0.25">
      <c r="A269" s="10" t="e">
        <f>'Open Order'!#REF!</f>
        <v>#REF!</v>
      </c>
      <c r="B269" s="6" t="e">
        <f>'Open Order'!#REF!</f>
        <v>#REF!</v>
      </c>
      <c r="C269" s="6" t="e">
        <f>'Open Order'!#REF!</f>
        <v>#REF!</v>
      </c>
      <c r="D269" s="8" t="e">
        <f>'Open Order'!#REF!</f>
        <v>#REF!</v>
      </c>
      <c r="E269" s="9" t="e">
        <f>'Open Order'!#REF!</f>
        <v>#REF!</v>
      </c>
      <c r="F269" s="14" t="e">
        <f>'Open Order'!#REF!</f>
        <v>#REF!</v>
      </c>
      <c r="L269" s="8" t="e">
        <f>'Open Order'!#REF!</f>
        <v>#REF!</v>
      </c>
    </row>
    <row r="270" spans="1:12" ht="30.75" customHeight="1" thickBot="1" x14ac:dyDescent="0.25">
      <c r="A270" s="10" t="e">
        <f>'Open Order'!#REF!</f>
        <v>#REF!</v>
      </c>
      <c r="B270" s="6" t="e">
        <f>'Open Order'!#REF!</f>
        <v>#REF!</v>
      </c>
      <c r="C270" s="6" t="e">
        <f>'Open Order'!#REF!</f>
        <v>#REF!</v>
      </c>
      <c r="D270" s="8" t="e">
        <f>'Open Order'!#REF!</f>
        <v>#REF!</v>
      </c>
      <c r="E270" s="9" t="e">
        <f>'Open Order'!#REF!</f>
        <v>#REF!</v>
      </c>
      <c r="F270" s="14" t="e">
        <f>'Open Order'!#REF!</f>
        <v>#REF!</v>
      </c>
      <c r="L270" s="8" t="e">
        <f>'Open Order'!#REF!</f>
        <v>#REF!</v>
      </c>
    </row>
    <row r="271" spans="1:12" ht="30.75" customHeight="1" thickBot="1" x14ac:dyDescent="0.25">
      <c r="A271" s="10" t="e">
        <f>'Open Order'!#REF!</f>
        <v>#REF!</v>
      </c>
      <c r="B271" s="6" t="e">
        <f>'Open Order'!#REF!</f>
        <v>#REF!</v>
      </c>
      <c r="C271" s="6" t="e">
        <f>'Open Order'!#REF!</f>
        <v>#REF!</v>
      </c>
      <c r="D271" s="8" t="e">
        <f>'Open Order'!#REF!</f>
        <v>#REF!</v>
      </c>
      <c r="E271" s="9" t="e">
        <f>'Open Order'!#REF!</f>
        <v>#REF!</v>
      </c>
      <c r="F271" s="14" t="e">
        <f>'Open Order'!#REF!</f>
        <v>#REF!</v>
      </c>
      <c r="L271" s="8" t="e">
        <f>'Open Order'!#REF!</f>
        <v>#REF!</v>
      </c>
    </row>
    <row r="272" spans="1:12" ht="30.75" customHeight="1" thickBot="1" x14ac:dyDescent="0.25">
      <c r="A272" s="10" t="e">
        <f>'Open Order'!#REF!</f>
        <v>#REF!</v>
      </c>
      <c r="B272" s="6" t="e">
        <f>'Open Order'!#REF!</f>
        <v>#REF!</v>
      </c>
      <c r="C272" s="6" t="e">
        <f>'Open Order'!#REF!</f>
        <v>#REF!</v>
      </c>
      <c r="D272" s="8" t="e">
        <f>'Open Order'!#REF!</f>
        <v>#REF!</v>
      </c>
      <c r="E272" s="9" t="e">
        <f>'Open Order'!#REF!</f>
        <v>#REF!</v>
      </c>
      <c r="F272" s="14" t="e">
        <f>'Open Order'!#REF!</f>
        <v>#REF!</v>
      </c>
      <c r="L272" s="8" t="e">
        <f>'Open Order'!#REF!</f>
        <v>#REF!</v>
      </c>
    </row>
    <row r="273" spans="1:12" ht="30.75" customHeight="1" thickBot="1" x14ac:dyDescent="0.25">
      <c r="A273" s="10" t="e">
        <f>'Open Order'!#REF!</f>
        <v>#REF!</v>
      </c>
      <c r="B273" s="6" t="e">
        <f>'Open Order'!#REF!</f>
        <v>#REF!</v>
      </c>
      <c r="C273" s="6" t="e">
        <f>'Open Order'!#REF!</f>
        <v>#REF!</v>
      </c>
      <c r="D273" s="8" t="e">
        <f>'Open Order'!#REF!</f>
        <v>#REF!</v>
      </c>
      <c r="E273" s="9" t="e">
        <f>'Open Order'!#REF!</f>
        <v>#REF!</v>
      </c>
      <c r="F273" s="14" t="e">
        <f>'Open Order'!#REF!</f>
        <v>#REF!</v>
      </c>
      <c r="L273" s="8" t="e">
        <f>'Open Order'!#REF!</f>
        <v>#REF!</v>
      </c>
    </row>
    <row r="274" spans="1:12" ht="30.75" customHeight="1" thickBot="1" x14ac:dyDescent="0.25">
      <c r="A274" s="10" t="e">
        <f>'Open Order'!#REF!</f>
        <v>#REF!</v>
      </c>
      <c r="B274" s="6" t="e">
        <f>'Open Order'!#REF!</f>
        <v>#REF!</v>
      </c>
      <c r="C274" s="6" t="e">
        <f>'Open Order'!#REF!</f>
        <v>#REF!</v>
      </c>
      <c r="D274" s="8" t="e">
        <f>'Open Order'!#REF!</f>
        <v>#REF!</v>
      </c>
      <c r="E274" s="9" t="e">
        <f>'Open Order'!#REF!</f>
        <v>#REF!</v>
      </c>
      <c r="F274" s="14" t="e">
        <f>'Open Order'!#REF!</f>
        <v>#REF!</v>
      </c>
      <c r="L274" s="8" t="e">
        <f>'Open Order'!#REF!</f>
        <v>#REF!</v>
      </c>
    </row>
    <row r="275" spans="1:12" ht="30.75" customHeight="1" thickBot="1" x14ac:dyDescent="0.25">
      <c r="A275" s="10" t="e">
        <f>'Open Order'!#REF!</f>
        <v>#REF!</v>
      </c>
      <c r="B275" s="6" t="e">
        <f>'Open Order'!#REF!</f>
        <v>#REF!</v>
      </c>
      <c r="C275" s="6" t="e">
        <f>'Open Order'!#REF!</f>
        <v>#REF!</v>
      </c>
      <c r="D275" s="8" t="e">
        <f>'Open Order'!#REF!</f>
        <v>#REF!</v>
      </c>
      <c r="E275" s="9" t="e">
        <f>'Open Order'!#REF!</f>
        <v>#REF!</v>
      </c>
      <c r="F275" s="14" t="e">
        <f>'Open Order'!#REF!</f>
        <v>#REF!</v>
      </c>
      <c r="L275" s="8" t="e">
        <f>'Open Order'!#REF!</f>
        <v>#REF!</v>
      </c>
    </row>
    <row r="276" spans="1:12" ht="30.75" customHeight="1" thickBot="1" x14ac:dyDescent="0.25">
      <c r="A276" s="10" t="e">
        <f>'Open Order'!#REF!</f>
        <v>#REF!</v>
      </c>
      <c r="B276" s="6" t="e">
        <f>'Open Order'!#REF!</f>
        <v>#REF!</v>
      </c>
      <c r="C276" s="6" t="e">
        <f>'Open Order'!#REF!</f>
        <v>#REF!</v>
      </c>
      <c r="D276" s="8" t="e">
        <f>'Open Order'!#REF!</f>
        <v>#REF!</v>
      </c>
      <c r="E276" s="9" t="e">
        <f>'Open Order'!#REF!</f>
        <v>#REF!</v>
      </c>
      <c r="F276" s="14" t="e">
        <f>'Open Order'!#REF!</f>
        <v>#REF!</v>
      </c>
      <c r="L276" s="8" t="e">
        <f>'Open Order'!#REF!</f>
        <v>#REF!</v>
      </c>
    </row>
    <row r="277" spans="1:12" ht="30.75" customHeight="1" thickBot="1" x14ac:dyDescent="0.25">
      <c r="A277" s="10" t="e">
        <f>'Open Order'!#REF!</f>
        <v>#REF!</v>
      </c>
      <c r="B277" s="6" t="e">
        <f>'Open Order'!#REF!</f>
        <v>#REF!</v>
      </c>
      <c r="C277" s="6" t="e">
        <f>'Open Order'!#REF!</f>
        <v>#REF!</v>
      </c>
      <c r="D277" s="8" t="e">
        <f>'Open Order'!#REF!</f>
        <v>#REF!</v>
      </c>
      <c r="E277" s="9" t="e">
        <f>'Open Order'!#REF!</f>
        <v>#REF!</v>
      </c>
      <c r="F277" s="14" t="e">
        <f>'Open Order'!#REF!</f>
        <v>#REF!</v>
      </c>
      <c r="L277" s="8" t="e">
        <f>'Open Order'!#REF!</f>
        <v>#REF!</v>
      </c>
    </row>
    <row r="278" spans="1:12" ht="30.75" customHeight="1" thickBot="1" x14ac:dyDescent="0.25">
      <c r="A278" s="10" t="e">
        <f>'Open Order'!#REF!</f>
        <v>#REF!</v>
      </c>
      <c r="B278" s="6" t="e">
        <f>'Open Order'!#REF!</f>
        <v>#REF!</v>
      </c>
      <c r="C278" s="6" t="e">
        <f>'Open Order'!#REF!</f>
        <v>#REF!</v>
      </c>
      <c r="D278" s="8" t="e">
        <f>'Open Order'!#REF!</f>
        <v>#REF!</v>
      </c>
      <c r="E278" s="9" t="e">
        <f>'Open Order'!#REF!</f>
        <v>#REF!</v>
      </c>
      <c r="F278" s="14" t="e">
        <f>'Open Order'!#REF!</f>
        <v>#REF!</v>
      </c>
      <c r="L278" s="8" t="e">
        <f>'Open Order'!#REF!</f>
        <v>#REF!</v>
      </c>
    </row>
    <row r="279" spans="1:12" ht="30.75" customHeight="1" thickBot="1" x14ac:dyDescent="0.25">
      <c r="A279" s="10" t="e">
        <f>'Open Order'!#REF!</f>
        <v>#REF!</v>
      </c>
      <c r="B279" s="6" t="e">
        <f>'Open Order'!#REF!</f>
        <v>#REF!</v>
      </c>
      <c r="C279" s="6" t="e">
        <f>'Open Order'!#REF!</f>
        <v>#REF!</v>
      </c>
      <c r="D279" s="8" t="e">
        <f>'Open Order'!#REF!</f>
        <v>#REF!</v>
      </c>
      <c r="E279" s="9" t="e">
        <f>'Open Order'!#REF!</f>
        <v>#REF!</v>
      </c>
      <c r="F279" s="14" t="e">
        <f>'Open Order'!#REF!</f>
        <v>#REF!</v>
      </c>
      <c r="L279" s="8" t="e">
        <f>'Open Order'!#REF!</f>
        <v>#REF!</v>
      </c>
    </row>
    <row r="280" spans="1:12" ht="30.75" customHeight="1" thickBot="1" x14ac:dyDescent="0.25">
      <c r="A280" s="10" t="e">
        <f>'Open Order'!#REF!</f>
        <v>#REF!</v>
      </c>
      <c r="B280" s="6" t="e">
        <f>'Open Order'!#REF!</f>
        <v>#REF!</v>
      </c>
      <c r="C280" s="6" t="e">
        <f>'Open Order'!#REF!</f>
        <v>#REF!</v>
      </c>
      <c r="D280" s="8" t="e">
        <f>'Open Order'!#REF!</f>
        <v>#REF!</v>
      </c>
      <c r="E280" s="9" t="e">
        <f>'Open Order'!#REF!</f>
        <v>#REF!</v>
      </c>
      <c r="F280" s="14" t="e">
        <f>'Open Order'!#REF!</f>
        <v>#REF!</v>
      </c>
      <c r="L280" s="8" t="e">
        <f>'Open Order'!#REF!</f>
        <v>#REF!</v>
      </c>
    </row>
    <row r="281" spans="1:12" ht="30.75" customHeight="1" thickBot="1" x14ac:dyDescent="0.25">
      <c r="A281" s="10" t="e">
        <f>'Open Order'!#REF!</f>
        <v>#REF!</v>
      </c>
      <c r="B281" s="6" t="e">
        <f>'Open Order'!#REF!</f>
        <v>#REF!</v>
      </c>
      <c r="C281" s="6" t="e">
        <f>'Open Order'!#REF!</f>
        <v>#REF!</v>
      </c>
      <c r="D281" s="8" t="e">
        <f>'Open Order'!#REF!</f>
        <v>#REF!</v>
      </c>
      <c r="E281" s="9" t="e">
        <f>'Open Order'!#REF!</f>
        <v>#REF!</v>
      </c>
      <c r="F281" s="14" t="e">
        <f>'Open Order'!#REF!</f>
        <v>#REF!</v>
      </c>
      <c r="L281" s="8" t="e">
        <f>'Open Order'!#REF!</f>
        <v>#REF!</v>
      </c>
    </row>
    <row r="282" spans="1:12" ht="30.75" customHeight="1" thickBot="1" x14ac:dyDescent="0.25">
      <c r="A282" s="10" t="e">
        <f>'Open Order'!#REF!</f>
        <v>#REF!</v>
      </c>
      <c r="B282" s="6" t="e">
        <f>'Open Order'!#REF!</f>
        <v>#REF!</v>
      </c>
      <c r="C282" s="6" t="e">
        <f>'Open Order'!#REF!</f>
        <v>#REF!</v>
      </c>
      <c r="D282" s="8" t="e">
        <f>'Open Order'!#REF!</f>
        <v>#REF!</v>
      </c>
      <c r="E282" s="9" t="e">
        <f>'Open Order'!#REF!</f>
        <v>#REF!</v>
      </c>
      <c r="F282" s="14" t="e">
        <f>'Open Order'!#REF!</f>
        <v>#REF!</v>
      </c>
      <c r="L282" s="8" t="e">
        <f>'Open Order'!#REF!</f>
        <v>#REF!</v>
      </c>
    </row>
    <row r="283" spans="1:12" ht="30.75" customHeight="1" thickBot="1" x14ac:dyDescent="0.25">
      <c r="A283" s="10" t="e">
        <f>'Open Order'!#REF!</f>
        <v>#REF!</v>
      </c>
      <c r="B283" s="6" t="e">
        <f>'Open Order'!#REF!</f>
        <v>#REF!</v>
      </c>
      <c r="C283" s="6" t="e">
        <f>'Open Order'!#REF!</f>
        <v>#REF!</v>
      </c>
      <c r="D283" s="8" t="e">
        <f>'Open Order'!#REF!</f>
        <v>#REF!</v>
      </c>
      <c r="E283" s="9" t="e">
        <f>'Open Order'!#REF!</f>
        <v>#REF!</v>
      </c>
      <c r="F283" s="14" t="e">
        <f>'Open Order'!#REF!</f>
        <v>#REF!</v>
      </c>
      <c r="L283" s="8" t="e">
        <f>'Open Order'!#REF!</f>
        <v>#REF!</v>
      </c>
    </row>
    <row r="284" spans="1:12" ht="30.75" customHeight="1" thickBot="1" x14ac:dyDescent="0.25">
      <c r="A284" s="10" t="e">
        <f>'Open Order'!#REF!</f>
        <v>#REF!</v>
      </c>
      <c r="B284" s="6" t="e">
        <f>'Open Order'!#REF!</f>
        <v>#REF!</v>
      </c>
      <c r="C284" s="6" t="e">
        <f>'Open Order'!#REF!</f>
        <v>#REF!</v>
      </c>
      <c r="D284" s="8" t="e">
        <f>'Open Order'!#REF!</f>
        <v>#REF!</v>
      </c>
      <c r="E284" s="9" t="e">
        <f>'Open Order'!#REF!</f>
        <v>#REF!</v>
      </c>
      <c r="F284" s="14" t="e">
        <f>'Open Order'!#REF!</f>
        <v>#REF!</v>
      </c>
      <c r="L284" s="8" t="e">
        <f>'Open Order'!#REF!</f>
        <v>#REF!</v>
      </c>
    </row>
    <row r="285" spans="1:12" ht="30.75" customHeight="1" thickBot="1" x14ac:dyDescent="0.25">
      <c r="A285" s="10" t="e">
        <f>'Open Order'!#REF!</f>
        <v>#REF!</v>
      </c>
      <c r="B285" s="6" t="e">
        <f>'Open Order'!#REF!</f>
        <v>#REF!</v>
      </c>
      <c r="C285" s="6" t="e">
        <f>'Open Order'!#REF!</f>
        <v>#REF!</v>
      </c>
      <c r="D285" s="8" t="e">
        <f>'Open Order'!#REF!</f>
        <v>#REF!</v>
      </c>
      <c r="E285" s="9" t="e">
        <f>'Open Order'!#REF!</f>
        <v>#REF!</v>
      </c>
      <c r="F285" s="14" t="e">
        <f>'Open Order'!#REF!</f>
        <v>#REF!</v>
      </c>
      <c r="L285" s="8" t="e">
        <f>'Open Order'!#REF!</f>
        <v>#REF!</v>
      </c>
    </row>
    <row r="286" spans="1:12" ht="30.75" customHeight="1" thickBot="1" x14ac:dyDescent="0.25">
      <c r="A286" s="10" t="e">
        <f>'Open Order'!#REF!</f>
        <v>#REF!</v>
      </c>
      <c r="B286" s="6" t="e">
        <f>'Open Order'!#REF!</f>
        <v>#REF!</v>
      </c>
      <c r="C286" s="6" t="e">
        <f>'Open Order'!#REF!</f>
        <v>#REF!</v>
      </c>
      <c r="D286" s="8" t="e">
        <f>'Open Order'!#REF!</f>
        <v>#REF!</v>
      </c>
      <c r="E286" s="9" t="e">
        <f>'Open Order'!#REF!</f>
        <v>#REF!</v>
      </c>
      <c r="F286" s="14" t="e">
        <f>'Open Order'!#REF!</f>
        <v>#REF!</v>
      </c>
      <c r="L286" s="8" t="e">
        <f>'Open Order'!#REF!</f>
        <v>#REF!</v>
      </c>
    </row>
    <row r="287" spans="1:12" ht="30.75" customHeight="1" thickBot="1" x14ac:dyDescent="0.25">
      <c r="A287" s="10" t="e">
        <f>'Open Order'!#REF!</f>
        <v>#REF!</v>
      </c>
      <c r="B287" s="6" t="e">
        <f>'Open Order'!#REF!</f>
        <v>#REF!</v>
      </c>
      <c r="C287" s="6" t="e">
        <f>'Open Order'!#REF!</f>
        <v>#REF!</v>
      </c>
      <c r="D287" s="8" t="e">
        <f>'Open Order'!#REF!</f>
        <v>#REF!</v>
      </c>
      <c r="E287" s="9" t="e">
        <f>'Open Order'!#REF!</f>
        <v>#REF!</v>
      </c>
      <c r="F287" s="14" t="e">
        <f>'Open Order'!#REF!</f>
        <v>#REF!</v>
      </c>
      <c r="L287" s="8" t="e">
        <f>'Open Order'!#REF!</f>
        <v>#REF!</v>
      </c>
    </row>
    <row r="288" spans="1:12" ht="30.75" customHeight="1" thickBot="1" x14ac:dyDescent="0.25">
      <c r="A288" s="10" t="e">
        <f>'Open Order'!#REF!</f>
        <v>#REF!</v>
      </c>
      <c r="B288" s="6" t="e">
        <f>'Open Order'!#REF!</f>
        <v>#REF!</v>
      </c>
      <c r="C288" s="6" t="e">
        <f>'Open Order'!#REF!</f>
        <v>#REF!</v>
      </c>
      <c r="D288" s="8" t="e">
        <f>'Open Order'!#REF!</f>
        <v>#REF!</v>
      </c>
      <c r="E288" s="9" t="e">
        <f>'Open Order'!#REF!</f>
        <v>#REF!</v>
      </c>
      <c r="F288" s="14" t="e">
        <f>'Open Order'!#REF!</f>
        <v>#REF!</v>
      </c>
      <c r="L288" s="8" t="e">
        <f>'Open Order'!#REF!</f>
        <v>#REF!</v>
      </c>
    </row>
    <row r="289" spans="1:12" ht="30.75" customHeight="1" thickBot="1" x14ac:dyDescent="0.25">
      <c r="A289" s="10" t="e">
        <f>'Open Order'!#REF!</f>
        <v>#REF!</v>
      </c>
      <c r="B289" s="6" t="e">
        <f>'Open Order'!#REF!</f>
        <v>#REF!</v>
      </c>
      <c r="C289" s="6" t="e">
        <f>'Open Order'!#REF!</f>
        <v>#REF!</v>
      </c>
      <c r="D289" s="8" t="e">
        <f>'Open Order'!#REF!</f>
        <v>#REF!</v>
      </c>
      <c r="E289" s="9" t="e">
        <f>'Open Order'!#REF!</f>
        <v>#REF!</v>
      </c>
      <c r="F289" s="14" t="e">
        <f>'Open Order'!#REF!</f>
        <v>#REF!</v>
      </c>
      <c r="L289" s="8" t="e">
        <f>'Open Order'!#REF!</f>
        <v>#REF!</v>
      </c>
    </row>
    <row r="290" spans="1:12" ht="30.75" customHeight="1" thickBot="1" x14ac:dyDescent="0.25">
      <c r="A290" s="10"/>
      <c r="E290" s="9"/>
      <c r="F290" s="14"/>
    </row>
    <row r="291" spans="1:12" ht="30.75" customHeight="1" thickBot="1" x14ac:dyDescent="0.25">
      <c r="A291" s="10"/>
      <c r="E291" s="9"/>
      <c r="F291" s="14"/>
    </row>
    <row r="292" spans="1:12" ht="30.75" customHeight="1" thickBot="1" x14ac:dyDescent="0.25">
      <c r="A292" s="10"/>
      <c r="E292" s="9"/>
      <c r="F292" s="14"/>
    </row>
    <row r="293" spans="1:12" ht="30.75" customHeight="1" thickBot="1" x14ac:dyDescent="0.25">
      <c r="A293" s="10"/>
      <c r="E293" s="9"/>
      <c r="F293" s="14"/>
    </row>
    <row r="294" spans="1:12" ht="30.75" customHeight="1" thickBot="1" x14ac:dyDescent="0.25">
      <c r="A294" s="10"/>
      <c r="E294" s="9"/>
      <c r="F294" s="14"/>
    </row>
    <row r="295" spans="1:12" ht="30.75" customHeight="1" thickBot="1" x14ac:dyDescent="0.25">
      <c r="A295" s="10"/>
      <c r="E295" s="9"/>
      <c r="F295" s="14"/>
    </row>
    <row r="296" spans="1:12" ht="30.75" customHeight="1" thickBot="1" x14ac:dyDescent="0.25">
      <c r="A296" s="10"/>
      <c r="E296" s="9"/>
      <c r="F296" s="14"/>
    </row>
    <row r="297" spans="1:12" ht="30.75" customHeight="1" thickBot="1" x14ac:dyDescent="0.25">
      <c r="A297" s="10"/>
      <c r="E297" s="9"/>
      <c r="F297" s="14"/>
    </row>
    <row r="298" spans="1:12" ht="30.75" customHeight="1" thickBot="1" x14ac:dyDescent="0.25">
      <c r="A298" s="10"/>
      <c r="E298" s="9"/>
      <c r="F298" s="14"/>
    </row>
    <row r="299" spans="1:12" ht="30.75" customHeight="1" thickBot="1" x14ac:dyDescent="0.25">
      <c r="A299" s="10"/>
      <c r="E299" s="9"/>
      <c r="F299" s="14"/>
    </row>
    <row r="300" spans="1:12" ht="30.75" customHeight="1" thickBot="1" x14ac:dyDescent="0.25">
      <c r="A300" s="10"/>
      <c r="E300" s="9"/>
      <c r="F300" s="14"/>
    </row>
    <row r="301" spans="1:12" ht="30.75" customHeight="1" thickBot="1" x14ac:dyDescent="0.25">
      <c r="A301" s="10"/>
      <c r="E301" s="9"/>
      <c r="F301" s="14"/>
    </row>
    <row r="302" spans="1:12" ht="30.75" customHeight="1" thickBot="1" x14ac:dyDescent="0.25">
      <c r="A302" s="10"/>
      <c r="E302" s="9"/>
      <c r="F302" s="14"/>
    </row>
    <row r="303" spans="1:12" ht="30.75" customHeight="1" thickBot="1" x14ac:dyDescent="0.25">
      <c r="A303" s="10"/>
      <c r="E303" s="9"/>
      <c r="F303" s="14"/>
    </row>
    <row r="304" spans="1:12" ht="30.75" customHeight="1" thickBot="1" x14ac:dyDescent="0.25">
      <c r="A304" s="10"/>
      <c r="E304" s="9"/>
      <c r="F304" s="14"/>
    </row>
    <row r="305" spans="1:6" ht="30.75" customHeight="1" thickBot="1" x14ac:dyDescent="0.25">
      <c r="A305" s="10"/>
      <c r="E305" s="9"/>
      <c r="F305" s="14"/>
    </row>
    <row r="306" spans="1:6" ht="30.75" customHeight="1" thickBot="1" x14ac:dyDescent="0.25">
      <c r="A306" s="10"/>
      <c r="E306" s="9"/>
      <c r="F306" s="14"/>
    </row>
    <row r="307" spans="1:6" ht="30.75" customHeight="1" thickBot="1" x14ac:dyDescent="0.25">
      <c r="A307" s="10"/>
      <c r="E307" s="9"/>
      <c r="F307" s="14"/>
    </row>
    <row r="308" spans="1:6" ht="30.75" customHeight="1" thickBot="1" x14ac:dyDescent="0.25">
      <c r="A308" s="10"/>
      <c r="E308" s="9"/>
      <c r="F308" s="14"/>
    </row>
    <row r="309" spans="1:6" ht="30.75" customHeight="1" thickBot="1" x14ac:dyDescent="0.25">
      <c r="A309" s="10"/>
      <c r="E309" s="9"/>
      <c r="F309" s="14"/>
    </row>
    <row r="310" spans="1:6" ht="30.75" customHeight="1" thickBot="1" x14ac:dyDescent="0.25">
      <c r="A310" s="10"/>
      <c r="E310" s="9"/>
      <c r="F310" s="14"/>
    </row>
    <row r="311" spans="1:6" ht="30.75" customHeight="1" thickBot="1" x14ac:dyDescent="0.25">
      <c r="A311" s="10"/>
      <c r="E311" s="9"/>
      <c r="F311" s="14"/>
    </row>
    <row r="312" spans="1:6" ht="30.75" customHeight="1" thickBot="1" x14ac:dyDescent="0.25">
      <c r="A312" s="10"/>
      <c r="E312" s="9"/>
      <c r="F312" s="14"/>
    </row>
    <row r="313" spans="1:6" ht="30.75" customHeight="1" thickBot="1" x14ac:dyDescent="0.25">
      <c r="A313" s="10"/>
      <c r="E313" s="9"/>
      <c r="F313" s="14"/>
    </row>
    <row r="314" spans="1:6" ht="30.75" customHeight="1" thickBot="1" x14ac:dyDescent="0.25">
      <c r="A314" s="10"/>
      <c r="E314" s="9"/>
      <c r="F314" s="14"/>
    </row>
    <row r="315" spans="1:6" ht="30.75" customHeight="1" thickBot="1" x14ac:dyDescent="0.25">
      <c r="A315" s="10"/>
      <c r="E315" s="9"/>
      <c r="F315" s="14"/>
    </row>
    <row r="316" spans="1:6" ht="30.75" customHeight="1" thickBot="1" x14ac:dyDescent="0.25">
      <c r="A316" s="10"/>
      <c r="E316" s="9"/>
      <c r="F316" s="14"/>
    </row>
    <row r="317" spans="1:6" ht="30.75" customHeight="1" thickBot="1" x14ac:dyDescent="0.25">
      <c r="A317" s="10"/>
      <c r="E317" s="9"/>
      <c r="F317" s="14"/>
    </row>
    <row r="318" spans="1:6" ht="30.75" customHeight="1" thickBot="1" x14ac:dyDescent="0.25">
      <c r="A318" s="10"/>
      <c r="E318" s="9"/>
      <c r="F318" s="14"/>
    </row>
    <row r="319" spans="1:6" ht="30.75" customHeight="1" thickBot="1" x14ac:dyDescent="0.25">
      <c r="A319" s="10"/>
      <c r="E319" s="9"/>
      <c r="F319" s="14"/>
    </row>
    <row r="320" spans="1:6" ht="30.75" customHeight="1" thickBot="1" x14ac:dyDescent="0.25">
      <c r="A320" s="10"/>
      <c r="E320" s="9"/>
      <c r="F320" s="14"/>
    </row>
    <row r="321" spans="1:6" ht="30.75" customHeight="1" thickBot="1" x14ac:dyDescent="0.25">
      <c r="A321" s="10"/>
      <c r="E321" s="9"/>
      <c r="F321" s="14"/>
    </row>
    <row r="322" spans="1:6" ht="30.75" customHeight="1" thickBot="1" x14ac:dyDescent="0.25">
      <c r="A322" s="10"/>
      <c r="E322" s="9"/>
      <c r="F322" s="14"/>
    </row>
    <row r="323" spans="1:6" ht="30.75" customHeight="1" thickBot="1" x14ac:dyDescent="0.25">
      <c r="A323" s="10"/>
      <c r="E323" s="9"/>
      <c r="F323" s="14"/>
    </row>
    <row r="324" spans="1:6" ht="30.75" customHeight="1" thickBot="1" x14ac:dyDescent="0.25">
      <c r="A324" s="10"/>
      <c r="E324" s="9"/>
      <c r="F324" s="14"/>
    </row>
    <row r="325" spans="1:6" ht="30.75" customHeight="1" thickBot="1" x14ac:dyDescent="0.25">
      <c r="A325" s="10"/>
      <c r="E325" s="9"/>
      <c r="F325" s="14"/>
    </row>
    <row r="326" spans="1:6" ht="30.75" customHeight="1" thickBot="1" x14ac:dyDescent="0.25">
      <c r="A326" s="10"/>
      <c r="E326" s="9"/>
      <c r="F326" s="14"/>
    </row>
    <row r="327" spans="1:6" ht="30.75" customHeight="1" thickBot="1" x14ac:dyDescent="0.25">
      <c r="A327" s="10"/>
      <c r="E327" s="9"/>
      <c r="F327" s="14"/>
    </row>
    <row r="328" spans="1:6" ht="30.75" customHeight="1" thickBot="1" x14ac:dyDescent="0.25">
      <c r="A328" s="10"/>
      <c r="E328" s="9"/>
      <c r="F328" s="14"/>
    </row>
    <row r="329" spans="1:6" ht="30.75" customHeight="1" thickBot="1" x14ac:dyDescent="0.25">
      <c r="A329" s="10"/>
      <c r="E329" s="9"/>
      <c r="F329" s="14"/>
    </row>
    <row r="330" spans="1:6" ht="30.75" customHeight="1" thickBot="1" x14ac:dyDescent="0.25">
      <c r="A330" s="10"/>
      <c r="E330" s="9"/>
      <c r="F330" s="14"/>
    </row>
    <row r="331" spans="1:6" ht="30.75" customHeight="1" thickBot="1" x14ac:dyDescent="0.25">
      <c r="A331" s="10"/>
      <c r="E331" s="9"/>
      <c r="F331" s="14"/>
    </row>
    <row r="332" spans="1:6" ht="30.75" customHeight="1" thickBot="1" x14ac:dyDescent="0.25">
      <c r="A332" s="10"/>
      <c r="E332" s="9"/>
      <c r="F332" s="14"/>
    </row>
    <row r="333" spans="1:6" ht="30.75" customHeight="1" thickBot="1" x14ac:dyDescent="0.25">
      <c r="A333" s="10"/>
      <c r="E333" s="9"/>
      <c r="F333" s="14"/>
    </row>
    <row r="334" spans="1:6" ht="30.75" customHeight="1" thickBot="1" x14ac:dyDescent="0.25">
      <c r="A334" s="10"/>
      <c r="E334" s="9"/>
      <c r="F334" s="14"/>
    </row>
    <row r="335" spans="1:6" ht="30.75" customHeight="1" thickBot="1" x14ac:dyDescent="0.25">
      <c r="A335" s="10"/>
      <c r="E335" s="9"/>
      <c r="F335" s="14"/>
    </row>
    <row r="336" spans="1:6" ht="30.75" customHeight="1" thickBot="1" x14ac:dyDescent="0.25">
      <c r="A336" s="10"/>
      <c r="E336" s="9"/>
      <c r="F336" s="14"/>
    </row>
    <row r="337" spans="1:6" ht="30.75" customHeight="1" thickBot="1" x14ac:dyDescent="0.25">
      <c r="A337" s="10"/>
      <c r="E337" s="9"/>
      <c r="F337" s="14"/>
    </row>
    <row r="338" spans="1:6" ht="30.75" customHeight="1" thickBot="1" x14ac:dyDescent="0.25">
      <c r="A338" s="10"/>
      <c r="E338" s="9"/>
      <c r="F338" s="14"/>
    </row>
    <row r="339" spans="1:6" ht="30.75" customHeight="1" thickBot="1" x14ac:dyDescent="0.25">
      <c r="A339" s="10"/>
      <c r="E339" s="9"/>
      <c r="F339" s="14"/>
    </row>
    <row r="340" spans="1:6" ht="30.75" customHeight="1" thickBot="1" x14ac:dyDescent="0.25">
      <c r="A340" s="10"/>
      <c r="E340" s="9"/>
      <c r="F340" s="14"/>
    </row>
    <row r="341" spans="1:6" ht="30.75" customHeight="1" thickBot="1" x14ac:dyDescent="0.25">
      <c r="A341" s="10"/>
      <c r="E341" s="9"/>
      <c r="F341" s="14"/>
    </row>
    <row r="342" spans="1:6" ht="30.75" customHeight="1" thickBot="1" x14ac:dyDescent="0.25">
      <c r="A342" s="10"/>
      <c r="E342" s="9"/>
      <c r="F342" s="14"/>
    </row>
    <row r="343" spans="1:6" ht="30.75" customHeight="1" thickBot="1" x14ac:dyDescent="0.25">
      <c r="A343" s="10"/>
      <c r="E343" s="9"/>
      <c r="F343" s="14"/>
    </row>
    <row r="344" spans="1:6" ht="30.75" customHeight="1" thickBot="1" x14ac:dyDescent="0.25">
      <c r="A344" s="10"/>
      <c r="E344" s="9"/>
      <c r="F344" s="14"/>
    </row>
    <row r="345" spans="1:6" ht="30.75" customHeight="1" thickBot="1" x14ac:dyDescent="0.25">
      <c r="A345" s="10"/>
      <c r="E345" s="9"/>
      <c r="F345" s="14"/>
    </row>
    <row r="346" spans="1:6" ht="30.75" customHeight="1" thickBot="1" x14ac:dyDescent="0.25">
      <c r="A346" s="10"/>
      <c r="E346" s="9"/>
      <c r="F346" s="14"/>
    </row>
    <row r="347" spans="1:6" ht="30.75" customHeight="1" thickBot="1" x14ac:dyDescent="0.25">
      <c r="A347" s="10"/>
      <c r="E347" s="9"/>
      <c r="F347" s="14"/>
    </row>
    <row r="348" spans="1:6" ht="30.75" customHeight="1" thickBot="1" x14ac:dyDescent="0.25">
      <c r="A348" s="10"/>
      <c r="E348" s="9"/>
      <c r="F348" s="14"/>
    </row>
    <row r="349" spans="1:6" ht="30.75" customHeight="1" thickBot="1" x14ac:dyDescent="0.25">
      <c r="A349" s="10"/>
      <c r="E349" s="9"/>
      <c r="F349" s="14"/>
    </row>
    <row r="350" spans="1:6" ht="30.75" customHeight="1" thickBot="1" x14ac:dyDescent="0.25">
      <c r="A350" s="10"/>
      <c r="E350" s="9"/>
      <c r="F350" s="14"/>
    </row>
    <row r="351" spans="1:6" ht="30.75" customHeight="1" thickBot="1" x14ac:dyDescent="0.25">
      <c r="A351" s="10"/>
      <c r="E351" s="9"/>
      <c r="F351" s="14"/>
    </row>
    <row r="352" spans="1:6" ht="30.75" customHeight="1" thickBot="1" x14ac:dyDescent="0.25">
      <c r="A352" s="10"/>
      <c r="E352" s="9"/>
      <c r="F352" s="14"/>
    </row>
    <row r="353" spans="1:6" ht="30.75" customHeight="1" thickBot="1" x14ac:dyDescent="0.25">
      <c r="A353" s="10"/>
      <c r="E353" s="9"/>
      <c r="F353" s="14"/>
    </row>
    <row r="354" spans="1:6" ht="30.75" customHeight="1" thickBot="1" x14ac:dyDescent="0.25">
      <c r="A354" s="10"/>
      <c r="E354" s="9"/>
      <c r="F354" s="14"/>
    </row>
    <row r="355" spans="1:6" ht="30.75" customHeight="1" thickBot="1" x14ac:dyDescent="0.25">
      <c r="A355" s="10"/>
      <c r="E355" s="9"/>
      <c r="F355" s="14"/>
    </row>
    <row r="356" spans="1:6" ht="30.75" customHeight="1" thickBot="1" x14ac:dyDescent="0.25">
      <c r="A356" s="10"/>
      <c r="E356" s="9"/>
      <c r="F356" s="14"/>
    </row>
    <row r="357" spans="1:6" ht="30.75" customHeight="1" thickBot="1" x14ac:dyDescent="0.25">
      <c r="A357" s="10"/>
      <c r="E357" s="9"/>
      <c r="F357" s="14"/>
    </row>
    <row r="358" spans="1:6" ht="30.75" customHeight="1" thickBot="1" x14ac:dyDescent="0.25">
      <c r="A358" s="10"/>
      <c r="E358" s="9"/>
      <c r="F358" s="14"/>
    </row>
    <row r="359" spans="1:6" ht="30.75" customHeight="1" thickBot="1" x14ac:dyDescent="0.25">
      <c r="A359" s="10"/>
      <c r="E359" s="9"/>
      <c r="F359" s="14"/>
    </row>
    <row r="360" spans="1:6" ht="30.75" customHeight="1" thickBot="1" x14ac:dyDescent="0.25">
      <c r="A360" s="10"/>
      <c r="E360" s="9"/>
      <c r="F360" s="14"/>
    </row>
    <row r="361" spans="1:6" ht="30.75" customHeight="1" thickBot="1" x14ac:dyDescent="0.25">
      <c r="A361" s="10"/>
      <c r="E361" s="9"/>
      <c r="F361" s="14"/>
    </row>
    <row r="362" spans="1:6" ht="30.75" customHeight="1" thickBot="1" x14ac:dyDescent="0.25">
      <c r="A362" s="10"/>
      <c r="E362" s="9"/>
      <c r="F362" s="14"/>
    </row>
    <row r="363" spans="1:6" ht="30.75" customHeight="1" thickBot="1" x14ac:dyDescent="0.25">
      <c r="A363" s="10"/>
      <c r="E363" s="9"/>
      <c r="F363" s="14"/>
    </row>
    <row r="364" spans="1:6" ht="30.75" customHeight="1" thickBot="1" x14ac:dyDescent="0.25">
      <c r="A364" s="10"/>
      <c r="E364" s="9"/>
      <c r="F364" s="14"/>
    </row>
    <row r="365" spans="1:6" ht="30.75" customHeight="1" thickBot="1" x14ac:dyDescent="0.25">
      <c r="A365" s="10"/>
      <c r="E365" s="9"/>
      <c r="F365" s="14"/>
    </row>
    <row r="366" spans="1:6" ht="30.75" customHeight="1" thickBot="1" x14ac:dyDescent="0.25">
      <c r="A366" s="10"/>
      <c r="E366" s="9"/>
      <c r="F366" s="14"/>
    </row>
    <row r="367" spans="1:6" ht="30.75" customHeight="1" thickBot="1" x14ac:dyDescent="0.25">
      <c r="A367" s="10"/>
      <c r="E367" s="9"/>
      <c r="F367" s="14"/>
    </row>
    <row r="368" spans="1:6" ht="30.75" customHeight="1" thickBot="1" x14ac:dyDescent="0.25">
      <c r="A368" s="10"/>
      <c r="E368" s="9"/>
      <c r="F368" s="14"/>
    </row>
    <row r="369" spans="1:6" ht="30.75" customHeight="1" thickBot="1" x14ac:dyDescent="0.25">
      <c r="A369" s="10"/>
      <c r="E369" s="9"/>
      <c r="F369" s="14"/>
    </row>
    <row r="370" spans="1:6" ht="30.75" customHeight="1" thickBot="1" x14ac:dyDescent="0.25">
      <c r="A370" s="10"/>
      <c r="E370" s="9"/>
      <c r="F370" s="14"/>
    </row>
    <row r="371" spans="1:6" ht="30.75" customHeight="1" thickBot="1" x14ac:dyDescent="0.25">
      <c r="A371" s="10"/>
      <c r="E371" s="9"/>
      <c r="F371" s="14"/>
    </row>
    <row r="372" spans="1:6" ht="30.75" customHeight="1" thickBot="1" x14ac:dyDescent="0.25">
      <c r="A372" s="10"/>
      <c r="E372" s="9"/>
      <c r="F372" s="14"/>
    </row>
    <row r="373" spans="1:6" ht="30.75" customHeight="1" thickBot="1" x14ac:dyDescent="0.25">
      <c r="A373" s="10"/>
      <c r="E373" s="9"/>
      <c r="F373" s="14"/>
    </row>
    <row r="374" spans="1:6" ht="30.75" customHeight="1" thickBot="1" x14ac:dyDescent="0.25">
      <c r="A374" s="10"/>
      <c r="E374" s="9"/>
      <c r="F374" s="14"/>
    </row>
    <row r="375" spans="1:6" ht="30.75" customHeight="1" thickBot="1" x14ac:dyDescent="0.25">
      <c r="A375" s="10"/>
      <c r="E375" s="9"/>
      <c r="F375" s="14"/>
    </row>
    <row r="376" spans="1:6" ht="30.75" customHeight="1" thickBot="1" x14ac:dyDescent="0.25">
      <c r="A376" s="10"/>
      <c r="E376" s="9"/>
      <c r="F376" s="14"/>
    </row>
    <row r="377" spans="1:6" ht="30.75" customHeight="1" thickBot="1" x14ac:dyDescent="0.25">
      <c r="A377" s="10"/>
      <c r="E377" s="9"/>
      <c r="F377" s="14"/>
    </row>
    <row r="378" spans="1:6" ht="30.75" customHeight="1" thickBot="1" x14ac:dyDescent="0.25">
      <c r="A378" s="10"/>
      <c r="E378" s="9"/>
      <c r="F378" s="14"/>
    </row>
    <row r="379" spans="1:6" ht="30.75" customHeight="1" thickBot="1" x14ac:dyDescent="0.25">
      <c r="A379" s="10"/>
      <c r="E379" s="9"/>
      <c r="F379" s="14"/>
    </row>
    <row r="380" spans="1:6" ht="30.75" customHeight="1" thickBot="1" x14ac:dyDescent="0.25">
      <c r="A380" s="10"/>
      <c r="E380" s="9"/>
      <c r="F380" s="14"/>
    </row>
    <row r="381" spans="1:6" ht="30.75" customHeight="1" thickBot="1" x14ac:dyDescent="0.25">
      <c r="A381" s="10"/>
      <c r="E381" s="9"/>
      <c r="F381" s="14"/>
    </row>
    <row r="382" spans="1:6" ht="30.75" customHeight="1" thickBot="1" x14ac:dyDescent="0.25">
      <c r="A382" s="10"/>
      <c r="E382" s="9"/>
      <c r="F382" s="14"/>
    </row>
    <row r="383" spans="1:6" ht="30.75" customHeight="1" thickBot="1" x14ac:dyDescent="0.25">
      <c r="A383" s="10"/>
      <c r="E383" s="9"/>
      <c r="F383" s="14"/>
    </row>
    <row r="384" spans="1:6" ht="30.75" customHeight="1" thickBot="1" x14ac:dyDescent="0.25">
      <c r="A384" s="10"/>
      <c r="E384" s="9"/>
      <c r="F384" s="14"/>
    </row>
    <row r="385" spans="1:6" ht="30.75" customHeight="1" thickBot="1" x14ac:dyDescent="0.25">
      <c r="A385" s="10"/>
      <c r="E385" s="9"/>
      <c r="F385" s="14"/>
    </row>
    <row r="386" spans="1:6" ht="30.75" customHeight="1" thickBot="1" x14ac:dyDescent="0.25">
      <c r="A386" s="10"/>
      <c r="E386" s="9"/>
      <c r="F386" s="14"/>
    </row>
    <row r="387" spans="1:6" ht="30.75" customHeight="1" thickBot="1" x14ac:dyDescent="0.25">
      <c r="A387" s="10"/>
      <c r="E387" s="9"/>
      <c r="F387" s="14"/>
    </row>
    <row r="388" spans="1:6" ht="30.75" customHeight="1" thickBot="1" x14ac:dyDescent="0.25">
      <c r="A388" s="10"/>
      <c r="E388" s="9"/>
      <c r="F388" s="14"/>
    </row>
    <row r="389" spans="1:6" ht="30.75" customHeight="1" thickBot="1" x14ac:dyDescent="0.25">
      <c r="A389" s="10"/>
      <c r="E389" s="9"/>
      <c r="F389" s="14"/>
    </row>
    <row r="390" spans="1:6" ht="30.75" customHeight="1" thickBot="1" x14ac:dyDescent="0.25">
      <c r="A390" s="10"/>
      <c r="E390" s="9"/>
      <c r="F390" s="14"/>
    </row>
    <row r="391" spans="1:6" ht="30.75" customHeight="1" thickBot="1" x14ac:dyDescent="0.25">
      <c r="A391" s="10"/>
      <c r="E391" s="9"/>
      <c r="F391" s="14"/>
    </row>
    <row r="392" spans="1:6" ht="30.75" customHeight="1" thickBot="1" x14ac:dyDescent="0.25">
      <c r="A392" s="10"/>
      <c r="E392" s="9"/>
      <c r="F392" s="14"/>
    </row>
    <row r="393" spans="1:6" ht="30.75" customHeight="1" thickBot="1" x14ac:dyDescent="0.25">
      <c r="A393" s="10"/>
      <c r="E393" s="9"/>
      <c r="F393" s="14"/>
    </row>
    <row r="394" spans="1:6" ht="30.75" customHeight="1" thickBot="1" x14ac:dyDescent="0.25">
      <c r="A394" s="10"/>
      <c r="E394" s="9"/>
      <c r="F394" s="14"/>
    </row>
    <row r="395" spans="1:6" ht="30.75" customHeight="1" thickBot="1" x14ac:dyDescent="0.25">
      <c r="A395" s="10"/>
      <c r="E395" s="9"/>
      <c r="F395" s="14"/>
    </row>
    <row r="396" spans="1:6" ht="30.75" customHeight="1" thickBot="1" x14ac:dyDescent="0.25">
      <c r="A396" s="10"/>
      <c r="E396" s="9"/>
      <c r="F396" s="14"/>
    </row>
    <row r="397" spans="1:6" ht="30.75" customHeight="1" thickBot="1" x14ac:dyDescent="0.25">
      <c r="A397" s="10"/>
      <c r="E397" s="9"/>
      <c r="F397" s="14"/>
    </row>
    <row r="398" spans="1:6" ht="30.75" customHeight="1" thickBot="1" x14ac:dyDescent="0.25">
      <c r="A398" s="10"/>
      <c r="E398" s="9"/>
      <c r="F398" s="14"/>
    </row>
    <row r="399" spans="1:6" ht="30.75" customHeight="1" thickBot="1" x14ac:dyDescent="0.25">
      <c r="A399" s="10"/>
      <c r="E399" s="9"/>
      <c r="F399" s="14"/>
    </row>
    <row r="400" spans="1:6" ht="30.75" customHeight="1" thickBot="1" x14ac:dyDescent="0.25">
      <c r="A400" s="10"/>
      <c r="E400" s="9"/>
      <c r="F400" s="14"/>
    </row>
    <row r="401" spans="1:6" ht="30.75" customHeight="1" thickBot="1" x14ac:dyDescent="0.25">
      <c r="A401" s="10"/>
      <c r="E401" s="9"/>
      <c r="F401" s="14"/>
    </row>
    <row r="402" spans="1:6" ht="30.75" customHeight="1" thickBot="1" x14ac:dyDescent="0.25">
      <c r="A402" s="10"/>
      <c r="E402" s="9"/>
      <c r="F402" s="14"/>
    </row>
    <row r="403" spans="1:6" ht="30.75" customHeight="1" thickBot="1" x14ac:dyDescent="0.25">
      <c r="A403" s="10"/>
      <c r="E403" s="9"/>
      <c r="F403" s="14"/>
    </row>
    <row r="404" spans="1:6" ht="30.75" customHeight="1" thickBot="1" x14ac:dyDescent="0.25">
      <c r="A404" s="10"/>
      <c r="E404" s="9"/>
      <c r="F404" s="14"/>
    </row>
    <row r="405" spans="1:6" ht="30.75" customHeight="1" thickBot="1" x14ac:dyDescent="0.25">
      <c r="A405" s="10"/>
      <c r="E405" s="9"/>
      <c r="F405" s="14"/>
    </row>
    <row r="406" spans="1:6" ht="30.75" customHeight="1" thickBot="1" x14ac:dyDescent="0.25">
      <c r="A406" s="10"/>
      <c r="E406" s="9"/>
      <c r="F406" s="14"/>
    </row>
    <row r="407" spans="1:6" ht="30.75" customHeight="1" thickBot="1" x14ac:dyDescent="0.25">
      <c r="A407" s="10"/>
      <c r="E407" s="9"/>
      <c r="F407" s="14"/>
    </row>
    <row r="408" spans="1:6" ht="30.75" customHeight="1" thickBot="1" x14ac:dyDescent="0.25">
      <c r="A408" s="10"/>
      <c r="E408" s="9"/>
      <c r="F408" s="14"/>
    </row>
    <row r="409" spans="1:6" ht="30.75" customHeight="1" thickBot="1" x14ac:dyDescent="0.25">
      <c r="A409" s="10"/>
      <c r="E409" s="9"/>
      <c r="F409" s="14"/>
    </row>
    <row r="410" spans="1:6" ht="30.75" customHeight="1" thickBot="1" x14ac:dyDescent="0.25">
      <c r="A410" s="10"/>
      <c r="E410" s="9"/>
      <c r="F410" s="14"/>
    </row>
    <row r="411" spans="1:6" ht="30.75" customHeight="1" thickBot="1" x14ac:dyDescent="0.25">
      <c r="A411" s="10"/>
      <c r="E411" s="9"/>
      <c r="F411" s="14"/>
    </row>
    <row r="412" spans="1:6" ht="30.75" customHeight="1" thickBot="1" x14ac:dyDescent="0.25">
      <c r="A412" s="10"/>
      <c r="E412" s="9"/>
      <c r="F412" s="14"/>
    </row>
    <row r="413" spans="1:6" ht="30.75" customHeight="1" thickBot="1" x14ac:dyDescent="0.25">
      <c r="A413" s="10"/>
      <c r="E413" s="9"/>
      <c r="F413" s="14"/>
    </row>
    <row r="414" spans="1:6" ht="30.75" customHeight="1" thickBot="1" x14ac:dyDescent="0.25">
      <c r="A414" s="10"/>
      <c r="E414" s="9"/>
      <c r="F414" s="14"/>
    </row>
    <row r="415" spans="1:6" ht="30.75" customHeight="1" thickBot="1" x14ac:dyDescent="0.25">
      <c r="A415" s="10"/>
      <c r="E415" s="9"/>
      <c r="F415" s="14"/>
    </row>
    <row r="416" spans="1:6" ht="30.75" customHeight="1" thickBot="1" x14ac:dyDescent="0.25">
      <c r="A416" s="10"/>
      <c r="E416" s="9"/>
      <c r="F416" s="14"/>
    </row>
    <row r="417" spans="1:6" ht="30.75" customHeight="1" thickBot="1" x14ac:dyDescent="0.25">
      <c r="A417" s="10"/>
      <c r="E417" s="9"/>
      <c r="F417" s="14"/>
    </row>
    <row r="418" spans="1:6" ht="30.75" customHeight="1" thickBot="1" x14ac:dyDescent="0.25">
      <c r="A418" s="10"/>
      <c r="E418" s="9"/>
      <c r="F418" s="14"/>
    </row>
    <row r="419" spans="1:6" ht="30.75" customHeight="1" thickBot="1" x14ac:dyDescent="0.25">
      <c r="A419" s="10"/>
      <c r="E419" s="9"/>
      <c r="F419" s="14"/>
    </row>
    <row r="420" spans="1:6" ht="30.75" customHeight="1" thickBot="1" x14ac:dyDescent="0.25">
      <c r="A420" s="10"/>
      <c r="E420" s="9"/>
      <c r="F420" s="14"/>
    </row>
    <row r="421" spans="1:6" ht="30.75" customHeight="1" thickBot="1" x14ac:dyDescent="0.25">
      <c r="A421" s="10"/>
      <c r="E421" s="9"/>
      <c r="F421" s="14"/>
    </row>
    <row r="422" spans="1:6" ht="30.75" customHeight="1" thickBot="1" x14ac:dyDescent="0.25">
      <c r="A422" s="10"/>
      <c r="E422" s="9"/>
      <c r="F422" s="14"/>
    </row>
    <row r="423" spans="1:6" ht="30.75" customHeight="1" thickBot="1" x14ac:dyDescent="0.25">
      <c r="A423" s="10"/>
      <c r="E423" s="9"/>
      <c r="F423" s="14"/>
    </row>
    <row r="424" spans="1:6" ht="30.75" customHeight="1" thickBot="1" x14ac:dyDescent="0.25">
      <c r="A424" s="10"/>
      <c r="E424" s="9"/>
      <c r="F424" s="14"/>
    </row>
    <row r="425" spans="1:6" ht="30.75" customHeight="1" thickBot="1" x14ac:dyDescent="0.25">
      <c r="A425" s="10"/>
      <c r="E425" s="9"/>
      <c r="F425" s="14"/>
    </row>
    <row r="426" spans="1:6" ht="30.75" customHeight="1" thickBot="1" x14ac:dyDescent="0.25">
      <c r="A426" s="10"/>
      <c r="E426" s="9"/>
      <c r="F426" s="14"/>
    </row>
    <row r="427" spans="1:6" ht="30.75" customHeight="1" thickBot="1" x14ac:dyDescent="0.25">
      <c r="A427" s="10"/>
      <c r="E427" s="9"/>
      <c r="F427" s="14"/>
    </row>
    <row r="428" spans="1:6" ht="30.75" customHeight="1" thickBot="1" x14ac:dyDescent="0.25">
      <c r="A428" s="10"/>
      <c r="E428" s="9"/>
      <c r="F428" s="14"/>
    </row>
    <row r="429" spans="1:6" ht="30.75" customHeight="1" thickBot="1" x14ac:dyDescent="0.25">
      <c r="A429" s="10"/>
      <c r="E429" s="9"/>
      <c r="F429" s="14"/>
    </row>
    <row r="430" spans="1:6" ht="30.75" customHeight="1" thickBot="1" x14ac:dyDescent="0.25">
      <c r="A430" s="10"/>
      <c r="E430" s="9"/>
      <c r="F430" s="14"/>
    </row>
    <row r="431" spans="1:6" ht="30.75" customHeight="1" thickBot="1" x14ac:dyDescent="0.25">
      <c r="A431" s="10"/>
      <c r="E431" s="9"/>
      <c r="F431" s="14"/>
    </row>
    <row r="432" spans="1:6" ht="30.75" customHeight="1" thickBot="1" x14ac:dyDescent="0.25">
      <c r="A432" s="10"/>
      <c r="E432" s="9"/>
      <c r="F432" s="14"/>
    </row>
    <row r="433" spans="1:6" ht="30.75" customHeight="1" thickBot="1" x14ac:dyDescent="0.25">
      <c r="A433" s="10"/>
      <c r="E433" s="9"/>
      <c r="F433" s="14"/>
    </row>
    <row r="434" spans="1:6" ht="30.75" customHeight="1" thickBot="1" x14ac:dyDescent="0.25">
      <c r="A434" s="10"/>
      <c r="E434" s="9"/>
      <c r="F434" s="14"/>
    </row>
    <row r="435" spans="1:6" ht="30.75" customHeight="1" thickBot="1" x14ac:dyDescent="0.25">
      <c r="A435" s="10"/>
      <c r="E435" s="9"/>
      <c r="F435" s="14"/>
    </row>
    <row r="436" spans="1:6" ht="30.75" customHeight="1" thickBot="1" x14ac:dyDescent="0.25">
      <c r="A436" s="10"/>
      <c r="E436" s="9"/>
      <c r="F436" s="14"/>
    </row>
    <row r="437" spans="1:6" ht="30.75" customHeight="1" thickBot="1" x14ac:dyDescent="0.25">
      <c r="A437" s="10"/>
      <c r="E437" s="9"/>
      <c r="F437" s="14"/>
    </row>
    <row r="438" spans="1:6" ht="30.75" customHeight="1" thickBot="1" x14ac:dyDescent="0.25">
      <c r="A438" s="10"/>
      <c r="E438" s="9"/>
      <c r="F438" s="14"/>
    </row>
    <row r="439" spans="1:6" ht="30.75" customHeight="1" thickBot="1" x14ac:dyDescent="0.25">
      <c r="A439" s="10"/>
      <c r="E439" s="9"/>
      <c r="F439" s="14"/>
    </row>
    <row r="440" spans="1:6" ht="30.75" customHeight="1" thickBot="1" x14ac:dyDescent="0.25">
      <c r="A440" s="10"/>
      <c r="E440" s="9"/>
      <c r="F440" s="14"/>
    </row>
    <row r="441" spans="1:6" ht="30.75" customHeight="1" thickBot="1" x14ac:dyDescent="0.25">
      <c r="A441" s="10"/>
      <c r="E441" s="9"/>
      <c r="F441" s="14"/>
    </row>
    <row r="442" spans="1:6" ht="30.75" customHeight="1" thickBot="1" x14ac:dyDescent="0.25">
      <c r="A442" s="10"/>
      <c r="E442" s="9"/>
      <c r="F442" s="14"/>
    </row>
    <row r="443" spans="1:6" ht="30.75" customHeight="1" thickBot="1" x14ac:dyDescent="0.25">
      <c r="A443" s="10"/>
      <c r="E443" s="9"/>
      <c r="F443" s="14"/>
    </row>
    <row r="444" spans="1:6" ht="30.75" customHeight="1" thickBot="1" x14ac:dyDescent="0.25">
      <c r="A444" s="10"/>
      <c r="E444" s="9"/>
      <c r="F444" s="14"/>
    </row>
    <row r="445" spans="1:6" ht="30.75" customHeight="1" thickBot="1" x14ac:dyDescent="0.25">
      <c r="A445" s="10"/>
      <c r="E445" s="9"/>
      <c r="F445" s="14"/>
    </row>
    <row r="446" spans="1:6" ht="30.75" customHeight="1" thickBot="1" x14ac:dyDescent="0.25">
      <c r="A446" s="10"/>
      <c r="E446" s="9"/>
      <c r="F446" s="14"/>
    </row>
    <row r="447" spans="1:6" ht="30.75" customHeight="1" thickBot="1" x14ac:dyDescent="0.25">
      <c r="A447" s="10"/>
      <c r="E447" s="9"/>
      <c r="F447" s="14"/>
    </row>
    <row r="448" spans="1:6" ht="30.75" customHeight="1" thickBot="1" x14ac:dyDescent="0.25">
      <c r="A448" s="10"/>
      <c r="E448" s="9"/>
      <c r="F448" s="14"/>
    </row>
    <row r="449" spans="1:6" ht="30.75" customHeight="1" thickBot="1" x14ac:dyDescent="0.25">
      <c r="A449" s="10"/>
      <c r="E449" s="9"/>
      <c r="F449" s="14"/>
    </row>
    <row r="450" spans="1:6" ht="30.75" customHeight="1" thickBot="1" x14ac:dyDescent="0.25">
      <c r="A450" s="10"/>
      <c r="E450" s="9"/>
      <c r="F450" s="14"/>
    </row>
    <row r="451" spans="1:6" ht="30.75" customHeight="1" thickBot="1" x14ac:dyDescent="0.25">
      <c r="A451" s="10"/>
      <c r="E451" s="9"/>
      <c r="F451" s="14"/>
    </row>
    <row r="452" spans="1:6" ht="30.75" customHeight="1" thickBot="1" x14ac:dyDescent="0.25">
      <c r="A452" s="10"/>
      <c r="E452" s="9"/>
      <c r="F452" s="14"/>
    </row>
    <row r="453" spans="1:6" ht="30.75" customHeight="1" thickBot="1" x14ac:dyDescent="0.25">
      <c r="A453" s="10"/>
      <c r="E453" s="9"/>
      <c r="F453" s="14"/>
    </row>
    <row r="454" spans="1:6" ht="30.75" customHeight="1" thickBot="1" x14ac:dyDescent="0.25">
      <c r="A454" s="10"/>
      <c r="E454" s="9"/>
      <c r="F454" s="14"/>
    </row>
    <row r="455" spans="1:6" ht="30.75" customHeight="1" thickBot="1" x14ac:dyDescent="0.25">
      <c r="A455" s="10"/>
      <c r="E455" s="9"/>
      <c r="F455" s="14"/>
    </row>
    <row r="456" spans="1:6" ht="30.75" customHeight="1" thickBot="1" x14ac:dyDescent="0.25">
      <c r="A456" s="10"/>
      <c r="E456" s="9"/>
      <c r="F456" s="14"/>
    </row>
    <row r="457" spans="1:6" ht="30.75" customHeight="1" thickBot="1" x14ac:dyDescent="0.25">
      <c r="A457" s="10"/>
      <c r="E457" s="9"/>
      <c r="F457" s="14"/>
    </row>
    <row r="458" spans="1:6" ht="30.75" customHeight="1" thickBot="1" x14ac:dyDescent="0.25">
      <c r="A458" s="10"/>
      <c r="E458" s="9"/>
      <c r="F458" s="14"/>
    </row>
    <row r="459" spans="1:6" ht="30.75" customHeight="1" thickBot="1" x14ac:dyDescent="0.25">
      <c r="A459" s="10"/>
      <c r="E459" s="9"/>
      <c r="F459" s="14"/>
    </row>
    <row r="460" spans="1:6" ht="30.75" customHeight="1" thickBot="1" x14ac:dyDescent="0.25">
      <c r="A460" s="10"/>
      <c r="E460" s="9"/>
      <c r="F460" s="14"/>
    </row>
    <row r="461" spans="1:6" ht="30.75" customHeight="1" thickBot="1" x14ac:dyDescent="0.25">
      <c r="A461" s="10"/>
      <c r="E461" s="9"/>
      <c r="F461" s="14"/>
    </row>
    <row r="462" spans="1:6" ht="30.75" customHeight="1" thickBot="1" x14ac:dyDescent="0.25">
      <c r="A462" s="10"/>
      <c r="E462" s="9"/>
      <c r="F462" s="14"/>
    </row>
    <row r="463" spans="1:6" ht="30.75" customHeight="1" thickBot="1" x14ac:dyDescent="0.25">
      <c r="A463" s="10"/>
      <c r="E463" s="9"/>
      <c r="F463" s="14"/>
    </row>
    <row r="464" spans="1:6" ht="30.75" customHeight="1" thickBot="1" x14ac:dyDescent="0.25">
      <c r="A464" s="10"/>
      <c r="E464" s="9"/>
      <c r="F464" s="14"/>
    </row>
    <row r="465" spans="1:6" ht="30.75" customHeight="1" thickBot="1" x14ac:dyDescent="0.25">
      <c r="A465" s="10"/>
      <c r="E465" s="9"/>
      <c r="F465" s="14"/>
    </row>
    <row r="466" spans="1:6" ht="30.75" customHeight="1" thickBot="1" x14ac:dyDescent="0.25">
      <c r="A466" s="10"/>
      <c r="E466" s="9"/>
      <c r="F466" s="14"/>
    </row>
    <row r="467" spans="1:6" ht="30.75" customHeight="1" thickBot="1" x14ac:dyDescent="0.25">
      <c r="A467" s="10"/>
      <c r="E467" s="9"/>
      <c r="F467" s="14"/>
    </row>
    <row r="468" spans="1:6" ht="30.75" customHeight="1" thickBot="1" x14ac:dyDescent="0.25">
      <c r="A468" s="10"/>
      <c r="E468" s="9"/>
      <c r="F468" s="14"/>
    </row>
    <row r="469" spans="1:6" ht="30.75" customHeight="1" thickBot="1" x14ac:dyDescent="0.25">
      <c r="A469" s="10"/>
      <c r="E469" s="9"/>
      <c r="F469" s="14"/>
    </row>
    <row r="470" spans="1:6" ht="30.75" customHeight="1" thickBot="1" x14ac:dyDescent="0.25">
      <c r="A470" s="10"/>
      <c r="E470" s="9"/>
      <c r="F470" s="14"/>
    </row>
    <row r="471" spans="1:6" ht="30.75" customHeight="1" thickBot="1" x14ac:dyDescent="0.25">
      <c r="A471" s="10"/>
      <c r="E471" s="9"/>
      <c r="F471" s="14"/>
    </row>
    <row r="472" spans="1:6" ht="30.75" customHeight="1" thickBot="1" x14ac:dyDescent="0.25">
      <c r="A472" s="10"/>
      <c r="E472" s="9"/>
      <c r="F472" s="14"/>
    </row>
    <row r="473" spans="1:6" ht="30.75" customHeight="1" thickBot="1" x14ac:dyDescent="0.25">
      <c r="A473" s="10"/>
      <c r="E473" s="9"/>
      <c r="F473" s="14"/>
    </row>
    <row r="474" spans="1:6" ht="30.75" customHeight="1" thickBot="1" x14ac:dyDescent="0.25">
      <c r="A474" s="10"/>
      <c r="E474" s="9"/>
      <c r="F474" s="14"/>
    </row>
    <row r="475" spans="1:6" ht="30.75" customHeight="1" thickBot="1" x14ac:dyDescent="0.25">
      <c r="A475" s="10"/>
      <c r="E475" s="9"/>
      <c r="F475" s="14"/>
    </row>
    <row r="476" spans="1:6" ht="30.75" customHeight="1" thickBot="1" x14ac:dyDescent="0.25">
      <c r="A476" s="10"/>
      <c r="E476" s="9"/>
      <c r="F476" s="14"/>
    </row>
    <row r="477" spans="1:6" ht="30.75" customHeight="1" thickBot="1" x14ac:dyDescent="0.25">
      <c r="A477" s="10"/>
      <c r="E477" s="9"/>
      <c r="F477" s="14"/>
    </row>
    <row r="478" spans="1:6" ht="30.75" customHeight="1" thickBot="1" x14ac:dyDescent="0.25">
      <c r="A478" s="10"/>
      <c r="E478" s="9"/>
      <c r="F478" s="14"/>
    </row>
    <row r="479" spans="1:6" ht="30.75" customHeight="1" thickBot="1" x14ac:dyDescent="0.25">
      <c r="A479" s="10"/>
      <c r="E479" s="9"/>
      <c r="F479" s="14"/>
    </row>
    <row r="480" spans="1:6" ht="30.75" customHeight="1" thickBot="1" x14ac:dyDescent="0.25">
      <c r="A480" s="10"/>
      <c r="E480" s="9"/>
      <c r="F480" s="14"/>
    </row>
    <row r="481" spans="1:6" ht="30.75" customHeight="1" thickBot="1" x14ac:dyDescent="0.25">
      <c r="A481" s="10"/>
      <c r="E481" s="9"/>
      <c r="F481" s="14"/>
    </row>
    <row r="482" spans="1:6" ht="30.75" customHeight="1" thickBot="1" x14ac:dyDescent="0.25">
      <c r="A482" s="10"/>
      <c r="E482" s="9"/>
      <c r="F482" s="14"/>
    </row>
    <row r="483" spans="1:6" ht="30.75" customHeight="1" thickBot="1" x14ac:dyDescent="0.25">
      <c r="A483" s="10"/>
      <c r="E483" s="9"/>
      <c r="F483" s="14"/>
    </row>
    <row r="484" spans="1:6" ht="30.75" customHeight="1" thickBot="1" x14ac:dyDescent="0.25">
      <c r="A484" s="10"/>
      <c r="E484" s="9"/>
      <c r="F484" s="14"/>
    </row>
    <row r="485" spans="1:6" ht="30.75" customHeight="1" thickBot="1" x14ac:dyDescent="0.25">
      <c r="A485" s="10"/>
      <c r="E485" s="9"/>
      <c r="F485" s="14"/>
    </row>
    <row r="486" spans="1:6" ht="30.75" customHeight="1" thickBot="1" x14ac:dyDescent="0.25">
      <c r="A486" s="10"/>
      <c r="E486" s="9"/>
      <c r="F486" s="14"/>
    </row>
    <row r="487" spans="1:6" ht="30.75" customHeight="1" thickBot="1" x14ac:dyDescent="0.25">
      <c r="A487" s="10"/>
      <c r="E487" s="9"/>
      <c r="F487" s="14"/>
    </row>
    <row r="488" spans="1:6" ht="30.75" customHeight="1" thickBot="1" x14ac:dyDescent="0.25">
      <c r="A488" s="10"/>
      <c r="E488" s="9"/>
      <c r="F488" s="14"/>
    </row>
    <row r="489" spans="1:6" ht="30.75" customHeight="1" thickBot="1" x14ac:dyDescent="0.25">
      <c r="A489" s="10"/>
      <c r="E489" s="9"/>
      <c r="F489" s="14"/>
    </row>
    <row r="490" spans="1:6" ht="30.75" customHeight="1" thickBot="1" x14ac:dyDescent="0.25">
      <c r="A490" s="10"/>
      <c r="E490" s="9"/>
      <c r="F490" s="14"/>
    </row>
    <row r="491" spans="1:6" ht="30.75" customHeight="1" thickBot="1" x14ac:dyDescent="0.25">
      <c r="A491" s="10"/>
      <c r="E491" s="9"/>
      <c r="F491" s="14"/>
    </row>
    <row r="492" spans="1:6" ht="30.75" customHeight="1" thickBot="1" x14ac:dyDescent="0.25">
      <c r="A492" s="10"/>
      <c r="E492" s="9"/>
      <c r="F492" s="14"/>
    </row>
    <row r="493" spans="1:6" ht="30.75" customHeight="1" thickBot="1" x14ac:dyDescent="0.25">
      <c r="A493" s="10"/>
      <c r="E493" s="9"/>
      <c r="F493" s="14"/>
    </row>
    <row r="494" spans="1:6" ht="30.75" customHeight="1" thickBot="1" x14ac:dyDescent="0.25">
      <c r="A494" s="10"/>
      <c r="E494" s="9"/>
      <c r="F494" s="14"/>
    </row>
    <row r="495" spans="1:6" ht="30.75" customHeight="1" thickBot="1" x14ac:dyDescent="0.25">
      <c r="A495" s="10"/>
      <c r="E495" s="9"/>
      <c r="F495" s="14"/>
    </row>
    <row r="496" spans="1:6" ht="30.75" customHeight="1" thickBot="1" x14ac:dyDescent="0.25">
      <c r="A496" s="10"/>
      <c r="E496" s="9"/>
      <c r="F496" s="14"/>
    </row>
    <row r="497" spans="1:6" ht="30.75" customHeight="1" thickBot="1" x14ac:dyDescent="0.25">
      <c r="A497" s="10"/>
      <c r="E497" s="9"/>
      <c r="F497" s="14"/>
    </row>
    <row r="498" spans="1:6" ht="30.75" customHeight="1" thickBot="1" x14ac:dyDescent="0.25">
      <c r="A498" s="10"/>
      <c r="E498" s="9"/>
      <c r="F498" s="14"/>
    </row>
    <row r="499" spans="1:6" ht="30.75" customHeight="1" thickBot="1" x14ac:dyDescent="0.25">
      <c r="A499" s="10"/>
      <c r="E499" s="9"/>
      <c r="F499" s="14"/>
    </row>
    <row r="500" spans="1:6" ht="30.75" customHeight="1" thickBot="1" x14ac:dyDescent="0.25">
      <c r="A500" s="10"/>
      <c r="E500" s="9"/>
      <c r="F500" s="14"/>
    </row>
    <row r="501" spans="1:6" ht="30.75" customHeight="1" thickBot="1" x14ac:dyDescent="0.25">
      <c r="A501" s="10"/>
      <c r="E501" s="9"/>
      <c r="F501" s="14"/>
    </row>
    <row r="502" spans="1:6" ht="30.75" customHeight="1" thickBot="1" x14ac:dyDescent="0.25">
      <c r="A502" s="10"/>
      <c r="E502" s="9"/>
      <c r="F502" s="14"/>
    </row>
    <row r="503" spans="1:6" ht="30.75" customHeight="1" thickBot="1" x14ac:dyDescent="0.25">
      <c r="A503" s="10"/>
      <c r="E503" s="9"/>
      <c r="F503" s="14"/>
    </row>
    <row r="504" spans="1:6" ht="30.75" customHeight="1" thickBot="1" x14ac:dyDescent="0.25">
      <c r="A504" s="10"/>
      <c r="E504" s="9"/>
      <c r="F504" s="14"/>
    </row>
    <row r="505" spans="1:6" ht="30.75" customHeight="1" thickBot="1" x14ac:dyDescent="0.25">
      <c r="A505" s="10"/>
      <c r="E505" s="9"/>
      <c r="F505" s="14"/>
    </row>
    <row r="506" spans="1:6" ht="30.75" customHeight="1" thickBot="1" x14ac:dyDescent="0.25">
      <c r="A506" s="10"/>
      <c r="E506" s="9"/>
      <c r="F506" s="14"/>
    </row>
    <row r="507" spans="1:6" ht="30.75" customHeight="1" thickBot="1" x14ac:dyDescent="0.25">
      <c r="A507" s="10"/>
      <c r="E507" s="9"/>
      <c r="F507" s="14"/>
    </row>
    <row r="508" spans="1:6" ht="30.75" customHeight="1" thickBot="1" x14ac:dyDescent="0.25">
      <c r="A508" s="10"/>
      <c r="E508" s="9"/>
      <c r="F508" s="14"/>
    </row>
    <row r="509" spans="1:6" ht="30.75" customHeight="1" thickBot="1" x14ac:dyDescent="0.25">
      <c r="A509" s="10"/>
      <c r="E509" s="9"/>
      <c r="F509" s="14"/>
    </row>
    <row r="510" spans="1:6" ht="30.75" customHeight="1" thickBot="1" x14ac:dyDescent="0.25">
      <c r="A510" s="10"/>
      <c r="E510" s="9"/>
      <c r="F510" s="14"/>
    </row>
    <row r="511" spans="1:6" ht="30.75" customHeight="1" thickBot="1" x14ac:dyDescent="0.25">
      <c r="A511" s="10"/>
      <c r="E511" s="9"/>
      <c r="F511" s="14"/>
    </row>
    <row r="512" spans="1:6" ht="30.75" customHeight="1" thickBot="1" x14ac:dyDescent="0.25">
      <c r="A512" s="10"/>
      <c r="E512" s="9"/>
      <c r="F512" s="14"/>
    </row>
    <row r="513" spans="1:6" ht="30.75" customHeight="1" thickBot="1" x14ac:dyDescent="0.25">
      <c r="A513" s="10"/>
      <c r="E513" s="9"/>
      <c r="F513" s="14"/>
    </row>
    <row r="514" spans="1:6" ht="30.75" customHeight="1" thickBot="1" x14ac:dyDescent="0.25">
      <c r="A514" s="10"/>
      <c r="E514" s="9"/>
      <c r="F514" s="14"/>
    </row>
    <row r="515" spans="1:6" ht="30.75" customHeight="1" thickBot="1" x14ac:dyDescent="0.25">
      <c r="A515" s="10"/>
      <c r="E515" s="9"/>
      <c r="F515" s="14"/>
    </row>
    <row r="516" spans="1:6" ht="30.75" customHeight="1" thickBot="1" x14ac:dyDescent="0.25">
      <c r="A516" s="10"/>
      <c r="E516" s="9"/>
      <c r="F516" s="14"/>
    </row>
    <row r="517" spans="1:6" ht="30.75" customHeight="1" thickBot="1" x14ac:dyDescent="0.25">
      <c r="A517" s="10"/>
      <c r="E517" s="9"/>
      <c r="F517" s="14"/>
    </row>
    <row r="518" spans="1:6" ht="30.75" customHeight="1" thickBot="1" x14ac:dyDescent="0.25">
      <c r="A518" s="10"/>
      <c r="E518" s="9"/>
      <c r="F518" s="14"/>
    </row>
    <row r="519" spans="1:6" ht="30.75" customHeight="1" thickBot="1" x14ac:dyDescent="0.25">
      <c r="A519" s="10"/>
      <c r="E519" s="9"/>
      <c r="F519" s="14"/>
    </row>
    <row r="520" spans="1:6" ht="30.75" customHeight="1" thickBot="1" x14ac:dyDescent="0.25">
      <c r="A520" s="10"/>
      <c r="E520" s="9"/>
      <c r="F520" s="14"/>
    </row>
    <row r="521" spans="1:6" ht="30.75" customHeight="1" thickBot="1" x14ac:dyDescent="0.25">
      <c r="A521" s="10"/>
      <c r="E521" s="9"/>
      <c r="F521" s="14"/>
    </row>
    <row r="522" spans="1:6" ht="30.75" customHeight="1" thickBot="1" x14ac:dyDescent="0.25">
      <c r="A522" s="10"/>
      <c r="E522" s="9"/>
      <c r="F522" s="14"/>
    </row>
    <row r="523" spans="1:6" ht="30.75" customHeight="1" thickBot="1" x14ac:dyDescent="0.25">
      <c r="A523" s="10"/>
      <c r="E523" s="9"/>
      <c r="F523" s="14"/>
    </row>
    <row r="524" spans="1:6" ht="30.75" customHeight="1" thickBot="1" x14ac:dyDescent="0.25">
      <c r="A524" s="10"/>
      <c r="E524" s="9"/>
      <c r="F524" s="14"/>
    </row>
    <row r="525" spans="1:6" ht="30.75" customHeight="1" thickBot="1" x14ac:dyDescent="0.25">
      <c r="A525" s="10"/>
      <c r="E525" s="9"/>
      <c r="F525" s="14"/>
    </row>
    <row r="526" spans="1:6" ht="30.75" customHeight="1" thickBot="1" x14ac:dyDescent="0.25">
      <c r="A526" s="10"/>
      <c r="E526" s="9"/>
      <c r="F526" s="14"/>
    </row>
    <row r="527" spans="1:6" ht="30.75" customHeight="1" thickBot="1" x14ac:dyDescent="0.25">
      <c r="A527" s="10"/>
      <c r="E527" s="9"/>
      <c r="F527" s="14"/>
    </row>
    <row r="528" spans="1:6" ht="30.75" customHeight="1" thickBot="1" x14ac:dyDescent="0.25">
      <c r="A528" s="10"/>
      <c r="E528" s="9"/>
      <c r="F528" s="14"/>
    </row>
    <row r="529" spans="1:6" ht="30.75" customHeight="1" thickBot="1" x14ac:dyDescent="0.25">
      <c r="A529" s="10"/>
      <c r="E529" s="9"/>
      <c r="F529" s="14"/>
    </row>
    <row r="530" spans="1:6" ht="30.75" customHeight="1" thickBot="1" x14ac:dyDescent="0.25">
      <c r="A530" s="10"/>
      <c r="E530" s="9"/>
      <c r="F530" s="14"/>
    </row>
    <row r="531" spans="1:6" ht="30.75" customHeight="1" thickBot="1" x14ac:dyDescent="0.25">
      <c r="A531" s="10"/>
      <c r="E531" s="9"/>
      <c r="F531" s="14"/>
    </row>
    <row r="532" spans="1:6" ht="30.75" customHeight="1" thickBot="1" x14ac:dyDescent="0.25">
      <c r="A532" s="10"/>
      <c r="E532" s="9"/>
      <c r="F532" s="14"/>
    </row>
    <row r="533" spans="1:6" ht="30.75" customHeight="1" thickBot="1" x14ac:dyDescent="0.25">
      <c r="A533" s="10"/>
      <c r="E533" s="9"/>
      <c r="F533" s="14"/>
    </row>
    <row r="534" spans="1:6" ht="30.75" customHeight="1" thickBot="1" x14ac:dyDescent="0.25">
      <c r="A534" s="10"/>
      <c r="E534" s="9"/>
      <c r="F534" s="14"/>
    </row>
    <row r="535" spans="1:6" ht="30.75" customHeight="1" thickBot="1" x14ac:dyDescent="0.25">
      <c r="A535" s="10"/>
      <c r="E535" s="9"/>
      <c r="F535" s="14"/>
    </row>
    <row r="536" spans="1:6" ht="30.75" customHeight="1" thickBot="1" x14ac:dyDescent="0.25">
      <c r="A536" s="10"/>
      <c r="E536" s="9"/>
      <c r="F536" s="14"/>
    </row>
    <row r="537" spans="1:6" ht="30.75" customHeight="1" thickBot="1" x14ac:dyDescent="0.25">
      <c r="A537" s="10"/>
      <c r="E537" s="9"/>
      <c r="F537" s="14"/>
    </row>
    <row r="538" spans="1:6" ht="30.75" customHeight="1" thickBot="1" x14ac:dyDescent="0.25">
      <c r="A538" s="10"/>
      <c r="E538" s="9"/>
      <c r="F538" s="14"/>
    </row>
    <row r="539" spans="1:6" ht="30.75" customHeight="1" thickBot="1" x14ac:dyDescent="0.25">
      <c r="A539" s="10"/>
      <c r="E539" s="9"/>
      <c r="F539" s="14"/>
    </row>
    <row r="540" spans="1:6" ht="30.75" customHeight="1" thickBot="1" x14ac:dyDescent="0.25">
      <c r="A540" s="10"/>
      <c r="E540" s="9"/>
      <c r="F540" s="14"/>
    </row>
    <row r="541" spans="1:6" ht="30.75" customHeight="1" thickBot="1" x14ac:dyDescent="0.25">
      <c r="A541" s="10"/>
      <c r="E541" s="9"/>
      <c r="F541" s="14"/>
    </row>
    <row r="542" spans="1:6" ht="30.75" customHeight="1" thickBot="1" x14ac:dyDescent="0.25">
      <c r="A542" s="10"/>
      <c r="E542" s="9"/>
      <c r="F542" s="14"/>
    </row>
    <row r="543" spans="1:6" ht="30.75" customHeight="1" thickBot="1" x14ac:dyDescent="0.25">
      <c r="A543" s="10"/>
      <c r="E543" s="9"/>
      <c r="F543" s="14"/>
    </row>
    <row r="544" spans="1:6" ht="30.75" customHeight="1" thickBot="1" x14ac:dyDescent="0.25">
      <c r="A544" s="10"/>
      <c r="E544" s="9"/>
      <c r="F544" s="14"/>
    </row>
    <row r="545" spans="1:6" ht="30.75" customHeight="1" thickBot="1" x14ac:dyDescent="0.25">
      <c r="A545" s="10"/>
      <c r="E545" s="9"/>
      <c r="F545" s="14"/>
    </row>
    <row r="546" spans="1:6" ht="30.75" customHeight="1" thickBot="1" x14ac:dyDescent="0.25">
      <c r="A546" s="10"/>
      <c r="E546" s="9"/>
      <c r="F546" s="14"/>
    </row>
    <row r="547" spans="1:6" ht="30.75" customHeight="1" thickBot="1" x14ac:dyDescent="0.25">
      <c r="A547" s="10"/>
      <c r="E547" s="9"/>
      <c r="F547" s="14"/>
    </row>
    <row r="548" spans="1:6" ht="30.75" customHeight="1" thickBot="1" x14ac:dyDescent="0.25">
      <c r="A548" s="10"/>
      <c r="E548" s="9"/>
      <c r="F548" s="14"/>
    </row>
    <row r="549" spans="1:6" ht="30.75" customHeight="1" thickBot="1" x14ac:dyDescent="0.25">
      <c r="A549" s="10"/>
      <c r="E549" s="9"/>
      <c r="F549" s="14"/>
    </row>
    <row r="550" spans="1:6" ht="30.75" customHeight="1" thickBot="1" x14ac:dyDescent="0.25">
      <c r="A550" s="10"/>
      <c r="E550" s="9"/>
      <c r="F550" s="14"/>
    </row>
    <row r="551" spans="1:6" ht="30.75" customHeight="1" thickBot="1" x14ac:dyDescent="0.25">
      <c r="A551" s="10"/>
      <c r="E551" s="9"/>
      <c r="F551" s="14"/>
    </row>
    <row r="552" spans="1:6" ht="30.75" customHeight="1" thickBot="1" x14ac:dyDescent="0.25">
      <c r="A552" s="10"/>
      <c r="E552" s="9"/>
      <c r="F552" s="14"/>
    </row>
    <row r="553" spans="1:6" ht="30.75" customHeight="1" thickBot="1" x14ac:dyDescent="0.25">
      <c r="A553" s="10"/>
      <c r="E553" s="9"/>
      <c r="F553" s="14"/>
    </row>
    <row r="554" spans="1:6" ht="30.75" customHeight="1" thickBot="1" x14ac:dyDescent="0.25">
      <c r="A554" s="10"/>
      <c r="E554" s="9"/>
      <c r="F554" s="14"/>
    </row>
    <row r="555" spans="1:6" ht="30.75" customHeight="1" thickBot="1" x14ac:dyDescent="0.25">
      <c r="A555" s="10"/>
      <c r="E555" s="9"/>
      <c r="F555" s="14"/>
    </row>
    <row r="556" spans="1:6" ht="30.75" customHeight="1" thickBot="1" x14ac:dyDescent="0.25">
      <c r="A556" s="10"/>
      <c r="E556" s="9"/>
      <c r="F556" s="14"/>
    </row>
    <row r="557" spans="1:6" ht="30.75" customHeight="1" thickBot="1" x14ac:dyDescent="0.25">
      <c r="A557" s="10"/>
      <c r="E557" s="9"/>
      <c r="F557" s="14"/>
    </row>
    <row r="558" spans="1:6" ht="30.75" customHeight="1" thickBot="1" x14ac:dyDescent="0.25">
      <c r="A558" s="10"/>
      <c r="E558" s="9"/>
      <c r="F558" s="14"/>
    </row>
    <row r="559" spans="1:6" ht="30.75" customHeight="1" thickBot="1" x14ac:dyDescent="0.25">
      <c r="A559" s="10"/>
      <c r="E559" s="9"/>
      <c r="F559" s="14"/>
    </row>
    <row r="560" spans="1:6" ht="30.75" customHeight="1" thickBot="1" x14ac:dyDescent="0.25">
      <c r="A560" s="10"/>
      <c r="E560" s="9"/>
      <c r="F560" s="14"/>
    </row>
    <row r="561" spans="1:6" ht="30.75" customHeight="1" thickBot="1" x14ac:dyDescent="0.25">
      <c r="A561" s="10"/>
      <c r="E561" s="9"/>
      <c r="F561" s="14"/>
    </row>
    <row r="562" spans="1:6" ht="30.75" customHeight="1" thickBot="1" x14ac:dyDescent="0.25">
      <c r="A562" s="10"/>
      <c r="E562" s="9"/>
      <c r="F562" s="14"/>
    </row>
    <row r="563" spans="1:6" ht="30.75" customHeight="1" thickBot="1" x14ac:dyDescent="0.25">
      <c r="A563" s="10"/>
      <c r="E563" s="9"/>
      <c r="F563" s="14"/>
    </row>
    <row r="564" spans="1:6" ht="30.75" customHeight="1" thickBot="1" x14ac:dyDescent="0.25">
      <c r="A564" s="10"/>
      <c r="E564" s="9"/>
      <c r="F564" s="14"/>
    </row>
    <row r="565" spans="1:6" ht="30.75" customHeight="1" thickBot="1" x14ac:dyDescent="0.25">
      <c r="A565" s="10"/>
      <c r="E565" s="9"/>
      <c r="F565" s="14"/>
    </row>
    <row r="566" spans="1:6" ht="30.75" customHeight="1" thickBot="1" x14ac:dyDescent="0.25">
      <c r="A566" s="10"/>
      <c r="E566" s="9"/>
      <c r="F566" s="14"/>
    </row>
    <row r="567" spans="1:6" ht="30.75" customHeight="1" thickBot="1" x14ac:dyDescent="0.25">
      <c r="A567" s="10"/>
      <c r="E567" s="9"/>
      <c r="F567" s="14"/>
    </row>
    <row r="568" spans="1:6" ht="30.75" customHeight="1" thickBot="1" x14ac:dyDescent="0.25">
      <c r="A568" s="10"/>
      <c r="E568" s="9"/>
      <c r="F568" s="14"/>
    </row>
    <row r="569" spans="1:6" ht="30.75" customHeight="1" thickBot="1" x14ac:dyDescent="0.25">
      <c r="A569" s="10"/>
      <c r="E569" s="9"/>
      <c r="F569" s="14"/>
    </row>
    <row r="570" spans="1:6" ht="30.75" customHeight="1" thickBot="1" x14ac:dyDescent="0.25">
      <c r="A570" s="10"/>
      <c r="E570" s="9"/>
      <c r="F570" s="14"/>
    </row>
    <row r="571" spans="1:6" ht="30.75" customHeight="1" thickBot="1" x14ac:dyDescent="0.25">
      <c r="A571" s="10"/>
      <c r="E571" s="9"/>
      <c r="F571" s="14"/>
    </row>
    <row r="572" spans="1:6" ht="30.75" customHeight="1" thickBot="1" x14ac:dyDescent="0.25">
      <c r="A572" s="10"/>
      <c r="E572" s="9"/>
      <c r="F572" s="14"/>
    </row>
    <row r="573" spans="1:6" ht="30.75" customHeight="1" thickBot="1" x14ac:dyDescent="0.25">
      <c r="A573" s="10"/>
      <c r="E573" s="9"/>
      <c r="F573" s="14"/>
    </row>
    <row r="574" spans="1:6" ht="30.75" customHeight="1" thickBot="1" x14ac:dyDescent="0.25">
      <c r="A574" s="10"/>
      <c r="E574" s="9"/>
      <c r="F574" s="14"/>
    </row>
    <row r="575" spans="1:6" ht="30.75" customHeight="1" thickBot="1" x14ac:dyDescent="0.25">
      <c r="A575" s="10"/>
      <c r="E575" s="9"/>
      <c r="F575" s="14"/>
    </row>
    <row r="576" spans="1:6" ht="30.75" customHeight="1" thickBot="1" x14ac:dyDescent="0.25">
      <c r="A576" s="10"/>
      <c r="E576" s="9"/>
      <c r="F576" s="14"/>
    </row>
    <row r="577" spans="1:6" ht="30.75" customHeight="1" thickBot="1" x14ac:dyDescent="0.25">
      <c r="A577" s="10"/>
      <c r="E577" s="9"/>
      <c r="F577" s="14"/>
    </row>
    <row r="578" spans="1:6" ht="30.75" customHeight="1" thickBot="1" x14ac:dyDescent="0.25">
      <c r="A578" s="10"/>
      <c r="E578" s="9"/>
      <c r="F578" s="14"/>
    </row>
    <row r="579" spans="1:6" ht="30.75" customHeight="1" thickBot="1" x14ac:dyDescent="0.25">
      <c r="A579" s="10"/>
      <c r="E579" s="9"/>
      <c r="F579" s="14"/>
    </row>
    <row r="580" spans="1:6" ht="30.75" customHeight="1" thickBot="1" x14ac:dyDescent="0.25">
      <c r="A580" s="10"/>
      <c r="E580" s="9"/>
      <c r="F580" s="14"/>
    </row>
    <row r="581" spans="1:6" ht="30.75" customHeight="1" thickBot="1" x14ac:dyDescent="0.25">
      <c r="A581" s="10"/>
      <c r="E581" s="9"/>
      <c r="F581" s="14"/>
    </row>
    <row r="582" spans="1:6" ht="30.75" customHeight="1" thickBot="1" x14ac:dyDescent="0.25">
      <c r="A582" s="10"/>
      <c r="E582" s="9"/>
      <c r="F582" s="14"/>
    </row>
    <row r="583" spans="1:6" ht="30.75" customHeight="1" thickBot="1" x14ac:dyDescent="0.25">
      <c r="A583" s="10"/>
      <c r="E583" s="9"/>
      <c r="F583" s="14"/>
    </row>
    <row r="584" spans="1:6" ht="30.75" customHeight="1" thickBot="1" x14ac:dyDescent="0.25">
      <c r="A584" s="10"/>
      <c r="E584" s="9"/>
      <c r="F584" s="14"/>
    </row>
    <row r="585" spans="1:6" ht="30.75" customHeight="1" thickBot="1" x14ac:dyDescent="0.25">
      <c r="A585" s="10"/>
      <c r="E585" s="9"/>
      <c r="F585" s="14"/>
    </row>
    <row r="586" spans="1:6" ht="30.75" customHeight="1" thickBot="1" x14ac:dyDescent="0.25">
      <c r="A586" s="10"/>
      <c r="E586" s="9"/>
      <c r="F586" s="14"/>
    </row>
    <row r="587" spans="1:6" ht="30.75" customHeight="1" thickBot="1" x14ac:dyDescent="0.25">
      <c r="A587" s="10"/>
      <c r="E587" s="9"/>
      <c r="F587" s="14"/>
    </row>
    <row r="588" spans="1:6" ht="30.75" customHeight="1" thickBot="1" x14ac:dyDescent="0.25">
      <c r="A588" s="10"/>
      <c r="E588" s="9"/>
      <c r="F588" s="14"/>
    </row>
    <row r="589" spans="1:6" ht="30.75" customHeight="1" thickBot="1" x14ac:dyDescent="0.25">
      <c r="A589" s="10"/>
      <c r="E589" s="9"/>
      <c r="F589" s="14"/>
    </row>
    <row r="590" spans="1:6" ht="30.75" customHeight="1" thickBot="1" x14ac:dyDescent="0.25">
      <c r="A590" s="10"/>
      <c r="E590" s="9"/>
      <c r="F590" s="14"/>
    </row>
    <row r="591" spans="1:6" ht="30.75" customHeight="1" thickBot="1" x14ac:dyDescent="0.25">
      <c r="A591" s="10"/>
      <c r="E591" s="9"/>
      <c r="F591" s="14"/>
    </row>
    <row r="592" spans="1:6" ht="30.75" customHeight="1" thickBot="1" x14ac:dyDescent="0.25">
      <c r="A592" s="10"/>
      <c r="E592" s="9"/>
      <c r="F592" s="14"/>
    </row>
    <row r="593" spans="1:6" ht="30.75" customHeight="1" thickBot="1" x14ac:dyDescent="0.25">
      <c r="A593" s="10"/>
      <c r="E593" s="9"/>
      <c r="F593" s="14"/>
    </row>
    <row r="594" spans="1:6" ht="30.75" customHeight="1" thickBot="1" x14ac:dyDescent="0.25">
      <c r="A594" s="10"/>
      <c r="E594" s="9"/>
      <c r="F594" s="14"/>
    </row>
    <row r="595" spans="1:6" ht="30.75" customHeight="1" thickBot="1" x14ac:dyDescent="0.25">
      <c r="A595" s="10"/>
      <c r="E595" s="9"/>
      <c r="F595" s="14"/>
    </row>
    <row r="596" spans="1:6" ht="30.75" customHeight="1" thickBot="1" x14ac:dyDescent="0.25">
      <c r="A596" s="10"/>
      <c r="E596" s="9"/>
      <c r="F596" s="14"/>
    </row>
    <row r="597" spans="1:6" ht="30.75" customHeight="1" thickBot="1" x14ac:dyDescent="0.25">
      <c r="A597" s="10"/>
      <c r="E597" s="9"/>
      <c r="F597" s="14"/>
    </row>
    <row r="598" spans="1:6" ht="30.75" customHeight="1" thickBot="1" x14ac:dyDescent="0.25">
      <c r="A598" s="10"/>
      <c r="E598" s="9"/>
      <c r="F598" s="14"/>
    </row>
    <row r="599" spans="1:6" ht="30.75" customHeight="1" thickBot="1" x14ac:dyDescent="0.25">
      <c r="A599" s="10"/>
      <c r="E599" s="9"/>
      <c r="F599" s="14"/>
    </row>
    <row r="600" spans="1:6" ht="30.75" customHeight="1" thickBot="1" x14ac:dyDescent="0.25">
      <c r="A600" s="10"/>
      <c r="E600" s="9"/>
      <c r="F600" s="14"/>
    </row>
    <row r="601" spans="1:6" ht="30.75" customHeight="1" thickBot="1" x14ac:dyDescent="0.25">
      <c r="A601" s="10"/>
      <c r="E601" s="9"/>
      <c r="F601" s="14"/>
    </row>
    <row r="602" spans="1:6" ht="30.75" customHeight="1" thickBot="1" x14ac:dyDescent="0.25">
      <c r="A602" s="10"/>
      <c r="E602" s="9"/>
      <c r="F602" s="14"/>
    </row>
    <row r="603" spans="1:6" ht="30.75" customHeight="1" thickBot="1" x14ac:dyDescent="0.25">
      <c r="A603" s="10"/>
      <c r="E603" s="9"/>
      <c r="F603" s="14"/>
    </row>
    <row r="604" spans="1:6" ht="30.75" customHeight="1" thickBot="1" x14ac:dyDescent="0.25">
      <c r="A604" s="10"/>
      <c r="E604" s="9"/>
      <c r="F604" s="14"/>
    </row>
    <row r="605" spans="1:6" ht="30.75" customHeight="1" thickBot="1" x14ac:dyDescent="0.25">
      <c r="A605" s="10"/>
      <c r="E605" s="9"/>
      <c r="F605" s="14"/>
    </row>
    <row r="606" spans="1:6" ht="30.75" customHeight="1" thickBot="1" x14ac:dyDescent="0.25">
      <c r="A606" s="10"/>
      <c r="E606" s="9"/>
      <c r="F606" s="14"/>
    </row>
    <row r="607" spans="1:6" ht="30.75" customHeight="1" thickBot="1" x14ac:dyDescent="0.25">
      <c r="A607" s="10"/>
      <c r="E607" s="9"/>
      <c r="F607" s="14"/>
    </row>
    <row r="608" spans="1:6" ht="30.75" customHeight="1" thickBot="1" x14ac:dyDescent="0.25">
      <c r="A608" s="10"/>
      <c r="E608" s="9"/>
      <c r="F608" s="14"/>
    </row>
    <row r="609" spans="1:6" ht="30.75" customHeight="1" thickBot="1" x14ac:dyDescent="0.25">
      <c r="A609" s="10"/>
      <c r="E609" s="9"/>
      <c r="F609" s="14"/>
    </row>
    <row r="610" spans="1:6" ht="30.75" customHeight="1" thickBot="1" x14ac:dyDescent="0.25">
      <c r="A610" s="10"/>
      <c r="E610" s="9"/>
      <c r="F610" s="14"/>
    </row>
    <row r="611" spans="1:6" ht="30.75" customHeight="1" thickBot="1" x14ac:dyDescent="0.25">
      <c r="A611" s="10"/>
      <c r="E611" s="9"/>
      <c r="F611" s="14"/>
    </row>
    <row r="612" spans="1:6" ht="30.75" customHeight="1" thickBot="1" x14ac:dyDescent="0.25">
      <c r="A612" s="10"/>
      <c r="E612" s="9"/>
      <c r="F612" s="14"/>
    </row>
    <row r="613" spans="1:6" ht="30.75" customHeight="1" thickBot="1" x14ac:dyDescent="0.25">
      <c r="A613" s="10"/>
      <c r="E613" s="9"/>
      <c r="F613" s="14"/>
    </row>
    <row r="614" spans="1:6" ht="30.75" customHeight="1" thickBot="1" x14ac:dyDescent="0.25">
      <c r="A614" s="10"/>
      <c r="E614" s="9"/>
      <c r="F614" s="14"/>
    </row>
    <row r="615" spans="1:6" ht="30.75" customHeight="1" thickBot="1" x14ac:dyDescent="0.25">
      <c r="A615" s="10"/>
      <c r="E615" s="9"/>
      <c r="F615" s="14"/>
    </row>
    <row r="616" spans="1:6" ht="30.75" customHeight="1" thickBot="1" x14ac:dyDescent="0.25">
      <c r="A616" s="10"/>
      <c r="E616" s="9"/>
      <c r="F616" s="14"/>
    </row>
    <row r="617" spans="1:6" ht="30.75" customHeight="1" thickBot="1" x14ac:dyDescent="0.25">
      <c r="A617" s="10"/>
      <c r="E617" s="9"/>
      <c r="F617" s="14"/>
    </row>
    <row r="618" spans="1:6" ht="30.75" customHeight="1" thickBot="1" x14ac:dyDescent="0.25">
      <c r="A618" s="10"/>
      <c r="E618" s="9"/>
      <c r="F618" s="14"/>
    </row>
    <row r="619" spans="1:6" ht="30.75" customHeight="1" thickBot="1" x14ac:dyDescent="0.25">
      <c r="A619" s="10"/>
      <c r="E619" s="9"/>
      <c r="F619" s="14"/>
    </row>
    <row r="620" spans="1:6" ht="30.75" customHeight="1" thickBot="1" x14ac:dyDescent="0.25">
      <c r="A620" s="10"/>
      <c r="E620" s="9"/>
      <c r="F620" s="14"/>
    </row>
    <row r="621" spans="1:6" ht="30.75" customHeight="1" thickBot="1" x14ac:dyDescent="0.25">
      <c r="A621" s="10"/>
      <c r="E621" s="9"/>
      <c r="F621" s="14"/>
    </row>
    <row r="622" spans="1:6" ht="30.75" customHeight="1" thickBot="1" x14ac:dyDescent="0.25">
      <c r="A622" s="10"/>
      <c r="E622" s="9"/>
      <c r="F622" s="14"/>
    </row>
    <row r="623" spans="1:6" ht="30.75" customHeight="1" thickBot="1" x14ac:dyDescent="0.25">
      <c r="A623" s="10"/>
      <c r="E623" s="9"/>
      <c r="F623" s="14"/>
    </row>
    <row r="624" spans="1:6" ht="30.75" customHeight="1" thickBot="1" x14ac:dyDescent="0.25">
      <c r="A624" s="10"/>
      <c r="E624" s="9"/>
      <c r="F624" s="14"/>
    </row>
    <row r="625" spans="1:6" ht="30.75" customHeight="1" thickBot="1" x14ac:dyDescent="0.25">
      <c r="A625" s="10"/>
      <c r="E625" s="9"/>
      <c r="F625" s="14"/>
    </row>
    <row r="626" spans="1:6" ht="30.75" customHeight="1" thickBot="1" x14ac:dyDescent="0.25">
      <c r="A626" s="10"/>
      <c r="E626" s="9"/>
      <c r="F626" s="14"/>
    </row>
    <row r="627" spans="1:6" ht="30.75" customHeight="1" thickBot="1" x14ac:dyDescent="0.25">
      <c r="A627" s="10"/>
      <c r="E627" s="9"/>
      <c r="F627" s="14"/>
    </row>
    <row r="628" spans="1:6" ht="30.75" customHeight="1" thickBot="1" x14ac:dyDescent="0.25">
      <c r="A628" s="10"/>
      <c r="E628" s="9"/>
      <c r="F628" s="14"/>
    </row>
    <row r="629" spans="1:6" ht="30.75" customHeight="1" thickBot="1" x14ac:dyDescent="0.25">
      <c r="A629" s="10"/>
      <c r="E629" s="9"/>
      <c r="F629" s="14"/>
    </row>
    <row r="630" spans="1:6" ht="30.75" customHeight="1" thickBot="1" x14ac:dyDescent="0.25">
      <c r="A630" s="10"/>
      <c r="E630" s="9"/>
      <c r="F630" s="14"/>
    </row>
    <row r="631" spans="1:6" ht="30.75" customHeight="1" thickBot="1" x14ac:dyDescent="0.25">
      <c r="A631" s="10"/>
      <c r="E631" s="9"/>
      <c r="F631" s="14"/>
    </row>
    <row r="632" spans="1:6" ht="30.75" customHeight="1" thickBot="1" x14ac:dyDescent="0.25">
      <c r="A632" s="10"/>
      <c r="E632" s="9"/>
      <c r="F632" s="14"/>
    </row>
    <row r="633" spans="1:6" ht="30.75" customHeight="1" thickBot="1" x14ac:dyDescent="0.25">
      <c r="A633" s="10"/>
      <c r="E633" s="9"/>
      <c r="F633" s="14"/>
    </row>
    <row r="634" spans="1:6" ht="30.75" customHeight="1" thickBot="1" x14ac:dyDescent="0.25">
      <c r="A634" s="10"/>
      <c r="E634" s="9"/>
      <c r="F634" s="14"/>
    </row>
    <row r="635" spans="1:6" ht="30.75" customHeight="1" thickBot="1" x14ac:dyDescent="0.25">
      <c r="A635" s="10"/>
      <c r="E635" s="9"/>
      <c r="F635" s="14"/>
    </row>
    <row r="636" spans="1:6" ht="30.75" customHeight="1" thickBot="1" x14ac:dyDescent="0.25">
      <c r="A636" s="10"/>
      <c r="E636" s="9"/>
      <c r="F636" s="14"/>
    </row>
    <row r="637" spans="1:6" ht="30.75" customHeight="1" thickBot="1" x14ac:dyDescent="0.25">
      <c r="A637" s="10"/>
      <c r="E637" s="9"/>
      <c r="F637" s="14"/>
    </row>
    <row r="638" spans="1:6" ht="30.75" customHeight="1" thickBot="1" x14ac:dyDescent="0.25">
      <c r="A638" s="10"/>
      <c r="E638" s="9"/>
      <c r="F638" s="14"/>
    </row>
    <row r="639" spans="1:6" ht="30.75" customHeight="1" thickBot="1" x14ac:dyDescent="0.25">
      <c r="A639" s="10"/>
      <c r="E639" s="9"/>
      <c r="F639" s="14"/>
    </row>
    <row r="640" spans="1:6" ht="30.75" customHeight="1" thickBot="1" x14ac:dyDescent="0.25">
      <c r="A640" s="10"/>
      <c r="E640" s="9"/>
      <c r="F640" s="14"/>
    </row>
    <row r="641" spans="1:6" ht="30.75" customHeight="1" thickBot="1" x14ac:dyDescent="0.25">
      <c r="A641" s="10"/>
      <c r="E641" s="9"/>
      <c r="F641" s="14"/>
    </row>
    <row r="642" spans="1:6" ht="30.75" customHeight="1" thickBot="1" x14ac:dyDescent="0.25">
      <c r="A642" s="10"/>
      <c r="E642" s="9"/>
      <c r="F642" s="14"/>
    </row>
    <row r="643" spans="1:6" ht="30.75" customHeight="1" thickBot="1" x14ac:dyDescent="0.25">
      <c r="A643" s="10"/>
      <c r="E643" s="9"/>
      <c r="F643" s="14"/>
    </row>
    <row r="644" spans="1:6" ht="30.75" customHeight="1" thickBot="1" x14ac:dyDescent="0.25">
      <c r="A644" s="10"/>
      <c r="E644" s="9"/>
      <c r="F644" s="14"/>
    </row>
    <row r="645" spans="1:6" ht="30.75" customHeight="1" thickBot="1" x14ac:dyDescent="0.25">
      <c r="A645" s="10"/>
      <c r="E645" s="9"/>
      <c r="F645" s="14"/>
    </row>
    <row r="646" spans="1:6" ht="30.75" customHeight="1" thickBot="1" x14ac:dyDescent="0.25">
      <c r="A646" s="10"/>
      <c r="E646" s="9"/>
      <c r="F646" s="14"/>
    </row>
    <row r="647" spans="1:6" ht="30.75" customHeight="1" thickBot="1" x14ac:dyDescent="0.25">
      <c r="A647" s="10"/>
      <c r="E647" s="9"/>
      <c r="F647" s="14"/>
    </row>
    <row r="648" spans="1:6" ht="30.75" customHeight="1" thickBot="1" x14ac:dyDescent="0.25">
      <c r="A648" s="10"/>
      <c r="E648" s="9"/>
      <c r="F648" s="14"/>
    </row>
    <row r="649" spans="1:6" ht="30.75" customHeight="1" thickBot="1" x14ac:dyDescent="0.25">
      <c r="A649" s="10"/>
      <c r="E649" s="9"/>
      <c r="F649" s="14"/>
    </row>
    <row r="650" spans="1:6" ht="30.75" customHeight="1" thickBot="1" x14ac:dyDescent="0.25">
      <c r="A650" s="10"/>
      <c r="E650" s="9"/>
      <c r="F650" s="14"/>
    </row>
    <row r="651" spans="1:6" ht="30.75" customHeight="1" thickBot="1" x14ac:dyDescent="0.25">
      <c r="A651" s="10"/>
      <c r="E651" s="9"/>
      <c r="F651" s="14"/>
    </row>
    <row r="652" spans="1:6" ht="30.75" customHeight="1" thickBot="1" x14ac:dyDescent="0.25">
      <c r="A652" s="10"/>
      <c r="E652" s="9"/>
      <c r="F652" s="14"/>
    </row>
    <row r="653" spans="1:6" ht="30.75" customHeight="1" thickBot="1" x14ac:dyDescent="0.25">
      <c r="A653" s="10"/>
      <c r="E653" s="9"/>
      <c r="F653" s="14"/>
    </row>
    <row r="654" spans="1:6" ht="30.75" customHeight="1" thickBot="1" x14ac:dyDescent="0.25">
      <c r="A654" s="10"/>
      <c r="E654" s="9"/>
      <c r="F654" s="14"/>
    </row>
    <row r="655" spans="1:6" ht="30.75" customHeight="1" thickBot="1" x14ac:dyDescent="0.25">
      <c r="A655" s="10"/>
      <c r="E655" s="9"/>
      <c r="F655" s="14"/>
    </row>
    <row r="656" spans="1:6" ht="30.75" customHeight="1" thickBot="1" x14ac:dyDescent="0.25">
      <c r="A656" s="10"/>
      <c r="E656" s="9"/>
      <c r="F656" s="14"/>
    </row>
    <row r="657" spans="1:6" ht="30.75" customHeight="1" thickBot="1" x14ac:dyDescent="0.25">
      <c r="A657" s="10"/>
      <c r="E657" s="9"/>
      <c r="F657" s="14"/>
    </row>
    <row r="658" spans="1:6" ht="30.75" customHeight="1" thickBot="1" x14ac:dyDescent="0.25">
      <c r="A658" s="10"/>
      <c r="E658" s="9"/>
      <c r="F658" s="14"/>
    </row>
    <row r="659" spans="1:6" ht="30.75" customHeight="1" thickBot="1" x14ac:dyDescent="0.25">
      <c r="A659" s="10"/>
      <c r="E659" s="9"/>
      <c r="F659" s="14"/>
    </row>
    <row r="660" spans="1:6" ht="30.75" customHeight="1" thickBot="1" x14ac:dyDescent="0.25">
      <c r="A660" s="10"/>
      <c r="E660" s="9"/>
      <c r="F660" s="14"/>
    </row>
    <row r="661" spans="1:6" ht="30.75" customHeight="1" thickBot="1" x14ac:dyDescent="0.25">
      <c r="A661" s="10"/>
      <c r="E661" s="9"/>
      <c r="F661" s="14"/>
    </row>
    <row r="662" spans="1:6" ht="30.75" customHeight="1" thickBot="1" x14ac:dyDescent="0.25">
      <c r="A662" s="10"/>
      <c r="E662" s="9"/>
      <c r="F662" s="14"/>
    </row>
    <row r="663" spans="1:6" ht="30.75" customHeight="1" thickBot="1" x14ac:dyDescent="0.25">
      <c r="A663" s="10"/>
      <c r="E663" s="9"/>
      <c r="F663" s="14"/>
    </row>
    <row r="664" spans="1:6" ht="30.75" customHeight="1" thickBot="1" x14ac:dyDescent="0.25">
      <c r="A664" s="10"/>
      <c r="E664" s="9"/>
      <c r="F664" s="14"/>
    </row>
    <row r="665" spans="1:6" ht="30.75" customHeight="1" thickBot="1" x14ac:dyDescent="0.25">
      <c r="A665" s="10"/>
      <c r="E665" s="9"/>
      <c r="F665" s="14"/>
    </row>
    <row r="666" spans="1:6" ht="30.75" customHeight="1" thickBot="1" x14ac:dyDescent="0.25">
      <c r="A666" s="10"/>
      <c r="E666" s="9"/>
      <c r="F666" s="14"/>
    </row>
    <row r="667" spans="1:6" ht="30.75" customHeight="1" thickBot="1" x14ac:dyDescent="0.25">
      <c r="A667" s="10"/>
      <c r="E667" s="9"/>
      <c r="F667" s="14"/>
    </row>
    <row r="668" spans="1:6" ht="30.75" customHeight="1" thickBot="1" x14ac:dyDescent="0.25">
      <c r="A668" s="10"/>
      <c r="E668" s="9"/>
      <c r="F668" s="14"/>
    </row>
    <row r="669" spans="1:6" ht="30.75" customHeight="1" thickBot="1" x14ac:dyDescent="0.25">
      <c r="A669" s="10"/>
      <c r="E669" s="9"/>
      <c r="F669" s="14"/>
    </row>
    <row r="670" spans="1:6" ht="30.75" customHeight="1" thickBot="1" x14ac:dyDescent="0.25">
      <c r="A670" s="10"/>
      <c r="E670" s="9"/>
      <c r="F670" s="14"/>
    </row>
    <row r="671" spans="1:6" ht="30.75" customHeight="1" thickBot="1" x14ac:dyDescent="0.25">
      <c r="A671" s="10"/>
      <c r="E671" s="9"/>
      <c r="F671" s="14"/>
    </row>
    <row r="672" spans="1:6" ht="30.75" customHeight="1" thickBot="1" x14ac:dyDescent="0.25">
      <c r="A672" s="10"/>
      <c r="E672" s="9"/>
      <c r="F672" s="14"/>
    </row>
    <row r="673" spans="1:6" ht="30.75" customHeight="1" thickBot="1" x14ac:dyDescent="0.25">
      <c r="A673" s="10"/>
      <c r="E673" s="9"/>
      <c r="F673" s="14"/>
    </row>
    <row r="674" spans="1:6" ht="30.75" customHeight="1" thickBot="1" x14ac:dyDescent="0.25">
      <c r="A674" s="10"/>
      <c r="E674" s="9"/>
      <c r="F674" s="14"/>
    </row>
    <row r="675" spans="1:6" ht="30.75" customHeight="1" thickBot="1" x14ac:dyDescent="0.25">
      <c r="A675" s="10"/>
      <c r="E675" s="9"/>
      <c r="F675" s="14"/>
    </row>
    <row r="676" spans="1:6" ht="30.75" customHeight="1" thickBot="1" x14ac:dyDescent="0.25">
      <c r="A676" s="10"/>
      <c r="E676" s="9"/>
      <c r="F676" s="14"/>
    </row>
    <row r="677" spans="1:6" ht="30.75" customHeight="1" thickBot="1" x14ac:dyDescent="0.25">
      <c r="A677" s="10"/>
      <c r="E677" s="9"/>
      <c r="F677" s="14"/>
    </row>
    <row r="678" spans="1:6" ht="30.75" customHeight="1" thickBot="1" x14ac:dyDescent="0.25">
      <c r="A678" s="10"/>
      <c r="E678" s="9"/>
      <c r="F678" s="14"/>
    </row>
    <row r="679" spans="1:6" ht="30.75" customHeight="1" thickBot="1" x14ac:dyDescent="0.25">
      <c r="A679" s="10"/>
      <c r="E679" s="9"/>
      <c r="F679" s="14"/>
    </row>
    <row r="680" spans="1:6" ht="30.75" customHeight="1" thickBot="1" x14ac:dyDescent="0.25">
      <c r="A680" s="10"/>
      <c r="E680" s="9"/>
      <c r="F680" s="14"/>
    </row>
    <row r="681" spans="1:6" ht="30.75" customHeight="1" thickBot="1" x14ac:dyDescent="0.25">
      <c r="A681" s="10"/>
      <c r="E681" s="9"/>
      <c r="F681" s="14"/>
    </row>
    <row r="682" spans="1:6" ht="30.75" customHeight="1" thickBot="1" x14ac:dyDescent="0.25">
      <c r="A682" s="10"/>
      <c r="E682" s="9"/>
      <c r="F682" s="14"/>
    </row>
    <row r="683" spans="1:6" ht="30.75" customHeight="1" thickBot="1" x14ac:dyDescent="0.25">
      <c r="A683" s="10"/>
      <c r="E683" s="9"/>
      <c r="F683" s="14"/>
    </row>
    <row r="684" spans="1:6" ht="30.75" customHeight="1" thickBot="1" x14ac:dyDescent="0.25">
      <c r="A684" s="10"/>
      <c r="E684" s="9"/>
      <c r="F684" s="14"/>
    </row>
    <row r="685" spans="1:6" ht="30.75" customHeight="1" thickBot="1" x14ac:dyDescent="0.25">
      <c r="A685" s="10"/>
      <c r="E685" s="9"/>
      <c r="F685" s="14"/>
    </row>
    <row r="686" spans="1:6" ht="30.75" customHeight="1" thickBot="1" x14ac:dyDescent="0.25">
      <c r="A686" s="10"/>
      <c r="E686" s="9"/>
      <c r="F686" s="14"/>
    </row>
    <row r="687" spans="1:6" ht="30.75" customHeight="1" thickBot="1" x14ac:dyDescent="0.25">
      <c r="A687" s="10"/>
      <c r="E687" s="9"/>
      <c r="F687" s="14"/>
    </row>
    <row r="688" spans="1:6" ht="30.75" customHeight="1" thickBot="1" x14ac:dyDescent="0.25">
      <c r="A688" s="10"/>
      <c r="E688" s="9"/>
      <c r="F688" s="14"/>
    </row>
    <row r="689" spans="1:6" ht="30.75" customHeight="1" thickBot="1" x14ac:dyDescent="0.25">
      <c r="A689" s="10"/>
      <c r="E689" s="9"/>
      <c r="F689" s="14"/>
    </row>
    <row r="690" spans="1:6" ht="30.75" customHeight="1" thickBot="1" x14ac:dyDescent="0.25">
      <c r="A690" s="10"/>
      <c r="E690" s="9"/>
      <c r="F690" s="14"/>
    </row>
    <row r="691" spans="1:6" ht="30.75" customHeight="1" thickBot="1" x14ac:dyDescent="0.25">
      <c r="A691" s="10"/>
      <c r="E691" s="9"/>
      <c r="F691" s="14"/>
    </row>
    <row r="692" spans="1:6" ht="30.75" customHeight="1" thickBot="1" x14ac:dyDescent="0.25">
      <c r="A692" s="10"/>
      <c r="E692" s="9"/>
      <c r="F692" s="14"/>
    </row>
    <row r="693" spans="1:6" ht="30.75" customHeight="1" thickBot="1" x14ac:dyDescent="0.25">
      <c r="A693" s="10"/>
      <c r="E693" s="9"/>
      <c r="F693" s="14"/>
    </row>
    <row r="694" spans="1:6" ht="30.75" customHeight="1" thickBot="1" x14ac:dyDescent="0.25">
      <c r="A694" s="10"/>
      <c r="E694" s="9"/>
      <c r="F694" s="14"/>
    </row>
    <row r="695" spans="1:6" ht="30.75" customHeight="1" thickBot="1" x14ac:dyDescent="0.25">
      <c r="A695" s="10"/>
      <c r="E695" s="9"/>
      <c r="F695" s="14"/>
    </row>
    <row r="696" spans="1:6" ht="30.75" customHeight="1" thickBot="1" x14ac:dyDescent="0.25">
      <c r="A696" s="10"/>
      <c r="E696" s="9"/>
      <c r="F696" s="14"/>
    </row>
    <row r="697" spans="1:6" ht="30.75" customHeight="1" thickBot="1" x14ac:dyDescent="0.25">
      <c r="A697" s="10"/>
      <c r="E697" s="9"/>
      <c r="F697" s="14"/>
    </row>
    <row r="698" spans="1:6" ht="30.75" customHeight="1" thickBot="1" x14ac:dyDescent="0.25">
      <c r="A698" s="10"/>
      <c r="E698" s="9"/>
      <c r="F698" s="14"/>
    </row>
    <row r="699" spans="1:6" ht="30.75" customHeight="1" thickBot="1" x14ac:dyDescent="0.25">
      <c r="A699" s="10"/>
      <c r="E699" s="9"/>
      <c r="F699" s="14"/>
    </row>
    <row r="700" spans="1:6" ht="30.75" customHeight="1" thickBot="1" x14ac:dyDescent="0.25">
      <c r="A700" s="10"/>
      <c r="E700" s="9"/>
      <c r="F700" s="14"/>
    </row>
    <row r="701" spans="1:6" ht="30.75" customHeight="1" thickBot="1" x14ac:dyDescent="0.25">
      <c r="A701" s="10"/>
      <c r="E701" s="9"/>
      <c r="F701" s="14"/>
    </row>
    <row r="702" spans="1:6" ht="30.75" customHeight="1" thickBot="1" x14ac:dyDescent="0.25">
      <c r="A702" s="10"/>
      <c r="E702" s="9"/>
      <c r="F702" s="14"/>
    </row>
    <row r="703" spans="1:6" ht="30.75" customHeight="1" thickBot="1" x14ac:dyDescent="0.25">
      <c r="A703" s="10"/>
      <c r="E703" s="9"/>
      <c r="F703" s="14"/>
    </row>
    <row r="704" spans="1:6" ht="30.75" customHeight="1" thickBot="1" x14ac:dyDescent="0.25">
      <c r="A704" s="10"/>
      <c r="E704" s="9"/>
      <c r="F704" s="14"/>
    </row>
    <row r="705" spans="1:6" ht="30.75" customHeight="1" thickBot="1" x14ac:dyDescent="0.25">
      <c r="A705" s="10"/>
      <c r="E705" s="9"/>
      <c r="F705" s="14"/>
    </row>
    <row r="706" spans="1:6" ht="30.75" customHeight="1" thickBot="1" x14ac:dyDescent="0.25">
      <c r="A706" s="10"/>
      <c r="E706" s="9"/>
      <c r="F706" s="14"/>
    </row>
    <row r="707" spans="1:6" ht="30.75" customHeight="1" thickBot="1" x14ac:dyDescent="0.25">
      <c r="A707" s="10"/>
      <c r="E707" s="9"/>
      <c r="F707" s="14"/>
    </row>
    <row r="708" spans="1:6" ht="30.75" customHeight="1" thickBot="1" x14ac:dyDescent="0.25">
      <c r="A708" s="10"/>
      <c r="E708" s="9"/>
      <c r="F708" s="14"/>
    </row>
    <row r="709" spans="1:6" ht="30.75" customHeight="1" thickBot="1" x14ac:dyDescent="0.25">
      <c r="A709" s="10"/>
      <c r="E709" s="9"/>
      <c r="F709" s="14"/>
    </row>
    <row r="710" spans="1:6" ht="30.75" customHeight="1" thickBot="1" x14ac:dyDescent="0.25">
      <c r="A710" s="10"/>
      <c r="E710" s="9"/>
      <c r="F710" s="14"/>
    </row>
    <row r="711" spans="1:6" ht="30.75" customHeight="1" thickBot="1" x14ac:dyDescent="0.25">
      <c r="A711" s="10"/>
      <c r="E711" s="9"/>
      <c r="F711" s="14"/>
    </row>
    <row r="712" spans="1:6" ht="30.75" customHeight="1" thickBot="1" x14ac:dyDescent="0.25">
      <c r="A712" s="10"/>
      <c r="E712" s="9"/>
      <c r="F712" s="14"/>
    </row>
    <row r="713" spans="1:6" ht="30.75" customHeight="1" thickBot="1" x14ac:dyDescent="0.25">
      <c r="A713" s="10"/>
      <c r="E713" s="9"/>
      <c r="F713" s="14"/>
    </row>
    <row r="714" spans="1:6" ht="30.75" customHeight="1" thickBot="1" x14ac:dyDescent="0.25">
      <c r="A714" s="10"/>
      <c r="E714" s="9"/>
      <c r="F714" s="14"/>
    </row>
    <row r="715" spans="1:6" ht="30.75" customHeight="1" thickBot="1" x14ac:dyDescent="0.25">
      <c r="A715" s="10"/>
      <c r="E715" s="9"/>
      <c r="F715" s="14"/>
    </row>
    <row r="716" spans="1:6" ht="30.75" customHeight="1" thickBot="1" x14ac:dyDescent="0.25">
      <c r="A716" s="10"/>
      <c r="E716" s="9"/>
      <c r="F716" s="14"/>
    </row>
    <row r="717" spans="1:6" ht="30.75" customHeight="1" thickBot="1" x14ac:dyDescent="0.25">
      <c r="A717" s="10"/>
      <c r="E717" s="9"/>
      <c r="F717" s="14"/>
    </row>
    <row r="718" spans="1:6" ht="30.75" customHeight="1" thickBot="1" x14ac:dyDescent="0.25">
      <c r="A718" s="10"/>
      <c r="E718" s="9"/>
      <c r="F718" s="14"/>
    </row>
    <row r="719" spans="1:6" ht="30.75" customHeight="1" thickBot="1" x14ac:dyDescent="0.25">
      <c r="A719" s="10"/>
      <c r="E719" s="9"/>
      <c r="F719" s="14"/>
    </row>
    <row r="720" spans="1:6" ht="30.75" customHeight="1" thickBot="1" x14ac:dyDescent="0.25">
      <c r="A720" s="10"/>
      <c r="E720" s="9"/>
      <c r="F720" s="14"/>
    </row>
    <row r="721" spans="1:6" ht="30.75" customHeight="1" thickBot="1" x14ac:dyDescent="0.25">
      <c r="A721" s="10"/>
      <c r="E721" s="9"/>
      <c r="F721" s="14"/>
    </row>
    <row r="722" spans="1:6" ht="30.75" customHeight="1" thickBot="1" x14ac:dyDescent="0.25">
      <c r="A722" s="10"/>
      <c r="E722" s="9"/>
      <c r="F722" s="14"/>
    </row>
    <row r="723" spans="1:6" ht="30.75" customHeight="1" thickBot="1" x14ac:dyDescent="0.25">
      <c r="A723" s="10"/>
      <c r="E723" s="9"/>
      <c r="F723" s="14"/>
    </row>
    <row r="724" spans="1:6" ht="30.75" customHeight="1" thickBot="1" x14ac:dyDescent="0.25">
      <c r="A724" s="10"/>
      <c r="E724" s="9"/>
      <c r="F724" s="14"/>
    </row>
    <row r="725" spans="1:6" ht="30.75" customHeight="1" thickBot="1" x14ac:dyDescent="0.25">
      <c r="A725" s="10"/>
      <c r="E725" s="9"/>
      <c r="F725" s="14"/>
    </row>
    <row r="726" spans="1:6" ht="30.75" customHeight="1" thickBot="1" x14ac:dyDescent="0.25">
      <c r="A726" s="10"/>
      <c r="E726" s="9"/>
      <c r="F726" s="14"/>
    </row>
    <row r="727" spans="1:6" ht="30.75" customHeight="1" thickBot="1" x14ac:dyDescent="0.25">
      <c r="A727" s="10"/>
      <c r="E727" s="9"/>
      <c r="F727" s="14"/>
    </row>
    <row r="728" spans="1:6" ht="30.75" customHeight="1" thickBot="1" x14ac:dyDescent="0.25">
      <c r="A728" s="10"/>
      <c r="E728" s="9"/>
      <c r="F728" s="14"/>
    </row>
    <row r="729" spans="1:6" ht="30.75" customHeight="1" thickBot="1" x14ac:dyDescent="0.25">
      <c r="A729" s="10"/>
      <c r="E729" s="9"/>
      <c r="F729" s="14"/>
    </row>
    <row r="730" spans="1:6" ht="30.75" customHeight="1" thickBot="1" x14ac:dyDescent="0.25">
      <c r="A730" s="10"/>
      <c r="E730" s="9"/>
      <c r="F730" s="14"/>
    </row>
    <row r="731" spans="1:6" ht="30.75" customHeight="1" thickBot="1" x14ac:dyDescent="0.25">
      <c r="A731" s="10"/>
      <c r="E731" s="9"/>
      <c r="F731" s="14"/>
    </row>
    <row r="732" spans="1:6" ht="30.75" customHeight="1" thickBot="1" x14ac:dyDescent="0.25">
      <c r="A732" s="10"/>
      <c r="E732" s="9"/>
      <c r="F732" s="14"/>
    </row>
    <row r="733" spans="1:6" ht="30.75" customHeight="1" thickBot="1" x14ac:dyDescent="0.25">
      <c r="A733" s="10"/>
      <c r="E733" s="9"/>
      <c r="F733" s="14"/>
    </row>
    <row r="734" spans="1:6" ht="30.75" customHeight="1" thickBot="1" x14ac:dyDescent="0.25">
      <c r="A734" s="10"/>
      <c r="E734" s="9"/>
      <c r="F734" s="14"/>
    </row>
    <row r="735" spans="1:6" ht="30.75" customHeight="1" thickBot="1" x14ac:dyDescent="0.25">
      <c r="A735" s="10"/>
      <c r="E735" s="9"/>
      <c r="F735" s="14"/>
    </row>
    <row r="736" spans="1:6" ht="30.75" customHeight="1" thickBot="1" x14ac:dyDescent="0.25">
      <c r="A736" s="10"/>
      <c r="E736" s="9"/>
      <c r="F736" s="14"/>
    </row>
    <row r="737" spans="1:6" ht="30.75" customHeight="1" thickBot="1" x14ac:dyDescent="0.25">
      <c r="A737" s="10"/>
      <c r="E737" s="9"/>
      <c r="F737" s="14"/>
    </row>
    <row r="738" spans="1:6" ht="30.75" customHeight="1" thickBot="1" x14ac:dyDescent="0.25">
      <c r="A738" s="10"/>
      <c r="E738" s="9"/>
      <c r="F738" s="14"/>
    </row>
    <row r="739" spans="1:6" ht="30.75" customHeight="1" thickBot="1" x14ac:dyDescent="0.25">
      <c r="A739" s="10"/>
      <c r="E739" s="9"/>
      <c r="F739" s="14"/>
    </row>
    <row r="740" spans="1:6" ht="30.75" customHeight="1" thickBot="1" x14ac:dyDescent="0.25">
      <c r="A740" s="10"/>
      <c r="E740" s="9"/>
      <c r="F740" s="14"/>
    </row>
    <row r="741" spans="1:6" ht="30.75" customHeight="1" thickBot="1" x14ac:dyDescent="0.25">
      <c r="A741" s="10"/>
      <c r="E741" s="9"/>
      <c r="F741" s="14"/>
    </row>
    <row r="742" spans="1:6" ht="30.75" customHeight="1" thickBot="1" x14ac:dyDescent="0.25">
      <c r="A742" s="10"/>
      <c r="E742" s="9"/>
      <c r="F742" s="14"/>
    </row>
    <row r="743" spans="1:6" ht="30.75" customHeight="1" thickBot="1" x14ac:dyDescent="0.25">
      <c r="A743" s="10"/>
      <c r="E743" s="9"/>
      <c r="F743" s="14"/>
    </row>
    <row r="744" spans="1:6" ht="30.75" customHeight="1" thickBot="1" x14ac:dyDescent="0.25">
      <c r="A744" s="10"/>
      <c r="E744" s="9"/>
      <c r="F744" s="14"/>
    </row>
    <row r="745" spans="1:6" ht="30.75" customHeight="1" thickBot="1" x14ac:dyDescent="0.25">
      <c r="A745" s="10"/>
      <c r="E745" s="9"/>
      <c r="F745" s="14"/>
    </row>
    <row r="746" spans="1:6" ht="30.75" customHeight="1" thickBot="1" x14ac:dyDescent="0.25">
      <c r="A746" s="10"/>
      <c r="E746" s="9"/>
      <c r="F746" s="14"/>
    </row>
    <row r="747" spans="1:6" ht="30.75" customHeight="1" thickBot="1" x14ac:dyDescent="0.25">
      <c r="A747" s="10"/>
      <c r="E747" s="9"/>
      <c r="F747" s="14"/>
    </row>
    <row r="748" spans="1:6" ht="30.75" customHeight="1" thickBot="1" x14ac:dyDescent="0.25">
      <c r="A748" s="10"/>
      <c r="E748" s="9"/>
      <c r="F748" s="14"/>
    </row>
    <row r="749" spans="1:6" ht="30.75" customHeight="1" thickBot="1" x14ac:dyDescent="0.25">
      <c r="A749" s="10"/>
      <c r="E749" s="9"/>
      <c r="F749" s="14"/>
    </row>
    <row r="750" spans="1:6" ht="30.75" customHeight="1" thickBot="1" x14ac:dyDescent="0.25">
      <c r="A750" s="10"/>
      <c r="E750" s="9"/>
      <c r="F750" s="14"/>
    </row>
    <row r="751" spans="1:6" ht="30.75" customHeight="1" thickBot="1" x14ac:dyDescent="0.25">
      <c r="A751" s="10"/>
      <c r="E751" s="9"/>
      <c r="F751" s="14"/>
    </row>
    <row r="752" spans="1:6" ht="30.75" customHeight="1" thickBot="1" x14ac:dyDescent="0.25">
      <c r="A752" s="10"/>
      <c r="E752" s="9"/>
      <c r="F752" s="14"/>
    </row>
    <row r="753" spans="1:6" ht="30.75" customHeight="1" thickBot="1" x14ac:dyDescent="0.25">
      <c r="A753" s="10"/>
      <c r="E753" s="9"/>
      <c r="F753" s="14"/>
    </row>
    <row r="754" spans="1:6" ht="30.75" customHeight="1" thickBot="1" x14ac:dyDescent="0.25">
      <c r="A754" s="10"/>
      <c r="E754" s="9"/>
      <c r="F754" s="14"/>
    </row>
    <row r="755" spans="1:6" ht="30.75" customHeight="1" thickBot="1" x14ac:dyDescent="0.25">
      <c r="A755" s="10"/>
      <c r="E755" s="9"/>
      <c r="F755" s="14"/>
    </row>
    <row r="756" spans="1:6" ht="30.75" customHeight="1" thickBot="1" x14ac:dyDescent="0.25">
      <c r="A756" s="10"/>
      <c r="E756" s="9"/>
      <c r="F756" s="14"/>
    </row>
    <row r="757" spans="1:6" ht="30.75" customHeight="1" thickBot="1" x14ac:dyDescent="0.25">
      <c r="A757" s="10"/>
      <c r="E757" s="9"/>
      <c r="F757" s="14"/>
    </row>
    <row r="758" spans="1:6" ht="30.75" customHeight="1" thickBot="1" x14ac:dyDescent="0.25">
      <c r="A758" s="10"/>
      <c r="E758" s="9"/>
      <c r="F758" s="14"/>
    </row>
    <row r="759" spans="1:6" ht="30.75" customHeight="1" thickBot="1" x14ac:dyDescent="0.25">
      <c r="A759" s="10"/>
      <c r="E759" s="9"/>
      <c r="F759" s="14"/>
    </row>
    <row r="760" spans="1:6" ht="30.75" customHeight="1" thickBot="1" x14ac:dyDescent="0.25">
      <c r="A760" s="10"/>
      <c r="E760" s="9"/>
      <c r="F760" s="14"/>
    </row>
    <row r="761" spans="1:6" ht="30.75" customHeight="1" thickBot="1" x14ac:dyDescent="0.25">
      <c r="A761" s="10"/>
      <c r="E761" s="9"/>
      <c r="F761" s="14"/>
    </row>
    <row r="762" spans="1:6" ht="30.75" customHeight="1" thickBot="1" x14ac:dyDescent="0.25">
      <c r="A762" s="10"/>
      <c r="E762" s="9"/>
      <c r="F762" s="14"/>
    </row>
    <row r="763" spans="1:6" ht="30.75" customHeight="1" thickBot="1" x14ac:dyDescent="0.25">
      <c r="A763" s="10"/>
      <c r="E763" s="9"/>
      <c r="F763" s="14"/>
    </row>
    <row r="764" spans="1:6" ht="30.75" customHeight="1" thickBot="1" x14ac:dyDescent="0.25">
      <c r="A764" s="10"/>
      <c r="E764" s="9"/>
      <c r="F764" s="14"/>
    </row>
    <row r="765" spans="1:6" ht="30.75" customHeight="1" thickBot="1" x14ac:dyDescent="0.25">
      <c r="A765" s="10"/>
      <c r="E765" s="9"/>
      <c r="F765" s="14"/>
    </row>
    <row r="766" spans="1:6" ht="30.75" customHeight="1" thickBot="1" x14ac:dyDescent="0.25">
      <c r="A766" s="10"/>
      <c r="E766" s="9"/>
      <c r="F766" s="14"/>
    </row>
    <row r="767" spans="1:6" ht="30.75" customHeight="1" thickBot="1" x14ac:dyDescent="0.25">
      <c r="A767" s="10"/>
      <c r="E767" s="9"/>
      <c r="F767" s="14"/>
    </row>
    <row r="768" spans="1:6" ht="30.75" customHeight="1" thickBot="1" x14ac:dyDescent="0.25">
      <c r="A768" s="10"/>
      <c r="E768" s="9"/>
      <c r="F768" s="14"/>
    </row>
    <row r="769" spans="1:6" ht="30.75" customHeight="1" thickBot="1" x14ac:dyDescent="0.25">
      <c r="A769" s="10"/>
      <c r="E769" s="9"/>
      <c r="F769" s="14"/>
    </row>
    <row r="770" spans="1:6" ht="30.75" customHeight="1" thickBot="1" x14ac:dyDescent="0.25">
      <c r="A770" s="10"/>
      <c r="E770" s="9"/>
      <c r="F770" s="14"/>
    </row>
    <row r="771" spans="1:6" ht="30.75" customHeight="1" thickBot="1" x14ac:dyDescent="0.25">
      <c r="A771" s="10"/>
      <c r="E771" s="9"/>
      <c r="F771" s="14"/>
    </row>
    <row r="772" spans="1:6" ht="30.75" customHeight="1" thickBot="1" x14ac:dyDescent="0.25">
      <c r="A772" s="10"/>
      <c r="E772" s="9"/>
      <c r="F772" s="14"/>
    </row>
    <row r="773" spans="1:6" ht="30.75" customHeight="1" thickBot="1" x14ac:dyDescent="0.25">
      <c r="A773" s="10"/>
      <c r="E773" s="9"/>
      <c r="F773" s="14"/>
    </row>
    <row r="774" spans="1:6" ht="30.75" customHeight="1" thickBot="1" x14ac:dyDescent="0.25">
      <c r="A774" s="10"/>
      <c r="E774" s="9"/>
      <c r="F774" s="14"/>
    </row>
    <row r="775" spans="1:6" ht="30.75" customHeight="1" thickBot="1" x14ac:dyDescent="0.25">
      <c r="A775" s="10"/>
      <c r="E775" s="9"/>
      <c r="F775" s="14"/>
    </row>
    <row r="776" spans="1:6" ht="30.75" customHeight="1" thickBot="1" x14ac:dyDescent="0.25">
      <c r="A776" s="10"/>
      <c r="E776" s="9"/>
      <c r="F776" s="14"/>
    </row>
    <row r="777" spans="1:6" ht="30.75" customHeight="1" thickBot="1" x14ac:dyDescent="0.25">
      <c r="A777" s="10"/>
      <c r="E777" s="9"/>
      <c r="F777" s="14"/>
    </row>
    <row r="778" spans="1:6" ht="30.75" customHeight="1" thickBot="1" x14ac:dyDescent="0.25">
      <c r="A778" s="10"/>
      <c r="E778" s="9"/>
      <c r="F778" s="14"/>
    </row>
    <row r="779" spans="1:6" ht="30.75" customHeight="1" thickBot="1" x14ac:dyDescent="0.25">
      <c r="A779" s="10"/>
      <c r="E779" s="9"/>
      <c r="F779" s="14"/>
    </row>
    <row r="780" spans="1:6" ht="30.75" customHeight="1" thickBot="1" x14ac:dyDescent="0.25">
      <c r="A780" s="10"/>
      <c r="E780" s="9"/>
      <c r="F780" s="14"/>
    </row>
    <row r="781" spans="1:6" ht="30.75" customHeight="1" thickBot="1" x14ac:dyDescent="0.25">
      <c r="A781" s="10"/>
      <c r="E781" s="9"/>
      <c r="F781" s="14"/>
    </row>
    <row r="782" spans="1:6" ht="30.75" customHeight="1" thickBot="1" x14ac:dyDescent="0.25">
      <c r="A782" s="10"/>
      <c r="E782" s="9"/>
      <c r="F782" s="14"/>
    </row>
    <row r="783" spans="1:6" ht="30.75" customHeight="1" thickBot="1" x14ac:dyDescent="0.25">
      <c r="A783" s="10"/>
      <c r="E783" s="9"/>
      <c r="F783" s="14"/>
    </row>
    <row r="784" spans="1:6" ht="30.75" customHeight="1" thickBot="1" x14ac:dyDescent="0.25">
      <c r="A784" s="10"/>
      <c r="E784" s="9"/>
      <c r="F784" s="14"/>
    </row>
    <row r="785" spans="1:6" ht="30.75" customHeight="1" thickBot="1" x14ac:dyDescent="0.25">
      <c r="A785" s="10"/>
      <c r="E785" s="9"/>
      <c r="F785" s="14"/>
    </row>
    <row r="786" spans="1:6" ht="30.75" customHeight="1" thickBot="1" x14ac:dyDescent="0.25">
      <c r="A786" s="10"/>
      <c r="E786" s="9"/>
      <c r="F786" s="14"/>
    </row>
    <row r="787" spans="1:6" ht="30.75" customHeight="1" thickBot="1" x14ac:dyDescent="0.25">
      <c r="A787" s="10"/>
      <c r="E787" s="9"/>
      <c r="F787" s="14"/>
    </row>
    <row r="788" spans="1:6" ht="30.75" customHeight="1" thickBot="1" x14ac:dyDescent="0.25">
      <c r="A788" s="10"/>
      <c r="E788" s="9"/>
      <c r="F788" s="14"/>
    </row>
    <row r="789" spans="1:6" ht="30.75" customHeight="1" thickBot="1" x14ac:dyDescent="0.25">
      <c r="A789" s="10"/>
      <c r="E789" s="9"/>
      <c r="F789" s="14"/>
    </row>
    <row r="790" spans="1:6" ht="30.75" customHeight="1" thickBot="1" x14ac:dyDescent="0.25">
      <c r="A790" s="10"/>
      <c r="E790" s="9"/>
      <c r="F790" s="14"/>
    </row>
    <row r="791" spans="1:6" ht="30.75" customHeight="1" thickBot="1" x14ac:dyDescent="0.25">
      <c r="A791" s="10"/>
      <c r="E791" s="9"/>
      <c r="F791" s="14"/>
    </row>
    <row r="792" spans="1:6" ht="30.75" customHeight="1" thickBot="1" x14ac:dyDescent="0.25">
      <c r="A792" s="10"/>
      <c r="E792" s="9"/>
      <c r="F792" s="14"/>
    </row>
    <row r="793" spans="1:6" ht="30.75" customHeight="1" thickBot="1" x14ac:dyDescent="0.25">
      <c r="A793" s="10"/>
      <c r="E793" s="9"/>
      <c r="F793" s="14"/>
    </row>
    <row r="794" spans="1:6" ht="30.75" customHeight="1" thickBot="1" x14ac:dyDescent="0.25">
      <c r="A794" s="10"/>
      <c r="E794" s="9"/>
      <c r="F794" s="14"/>
    </row>
    <row r="795" spans="1:6" ht="30.75" customHeight="1" thickBot="1" x14ac:dyDescent="0.25">
      <c r="A795" s="10"/>
      <c r="E795" s="9"/>
      <c r="F795" s="14"/>
    </row>
    <row r="796" spans="1:6" ht="30.75" customHeight="1" thickBot="1" x14ac:dyDescent="0.25">
      <c r="A796" s="10"/>
      <c r="E796" s="9"/>
      <c r="F796" s="14"/>
    </row>
    <row r="797" spans="1:6" ht="30.75" customHeight="1" thickBot="1" x14ac:dyDescent="0.25">
      <c r="A797" s="10"/>
      <c r="E797" s="9"/>
      <c r="F797" s="14"/>
    </row>
    <row r="798" spans="1:6" ht="30.75" customHeight="1" thickBot="1" x14ac:dyDescent="0.25">
      <c r="A798" s="10"/>
      <c r="E798" s="9"/>
      <c r="F798" s="14"/>
    </row>
    <row r="799" spans="1:6" ht="30.75" customHeight="1" thickBot="1" x14ac:dyDescent="0.25">
      <c r="A799" s="10"/>
      <c r="E799" s="9"/>
      <c r="F799" s="14"/>
    </row>
    <row r="800" spans="1:6" ht="30.75" customHeight="1" thickBot="1" x14ac:dyDescent="0.25">
      <c r="A800" s="10"/>
      <c r="E800" s="9"/>
      <c r="F800" s="14"/>
    </row>
    <row r="801" spans="1:6" ht="30.75" customHeight="1" thickBot="1" x14ac:dyDescent="0.25">
      <c r="A801" s="10"/>
      <c r="E801" s="9"/>
      <c r="F801" s="14"/>
    </row>
    <row r="802" spans="1:6" ht="30.75" customHeight="1" thickBot="1" x14ac:dyDescent="0.25">
      <c r="A802" s="10"/>
      <c r="E802" s="9"/>
      <c r="F802" s="14"/>
    </row>
    <row r="803" spans="1:6" ht="30.75" customHeight="1" thickBot="1" x14ac:dyDescent="0.25">
      <c r="A803" s="10"/>
      <c r="E803" s="9"/>
      <c r="F803" s="14"/>
    </row>
    <row r="804" spans="1:6" ht="30.75" customHeight="1" thickBot="1" x14ac:dyDescent="0.25">
      <c r="A804" s="10"/>
      <c r="E804" s="9"/>
      <c r="F804" s="14"/>
    </row>
    <row r="805" spans="1:6" ht="30.75" customHeight="1" thickBot="1" x14ac:dyDescent="0.25">
      <c r="A805" s="10"/>
      <c r="E805" s="9"/>
      <c r="F805" s="14"/>
    </row>
    <row r="806" spans="1:6" ht="30.75" customHeight="1" thickBot="1" x14ac:dyDescent="0.25">
      <c r="A806" s="10"/>
      <c r="E806" s="9"/>
      <c r="F806" s="14"/>
    </row>
    <row r="807" spans="1:6" ht="30.75" customHeight="1" thickBot="1" x14ac:dyDescent="0.25">
      <c r="A807" s="10"/>
      <c r="E807" s="9"/>
      <c r="F807" s="14"/>
    </row>
    <row r="808" spans="1:6" ht="30.75" customHeight="1" thickBot="1" x14ac:dyDescent="0.25">
      <c r="A808" s="10"/>
      <c r="E808" s="9"/>
      <c r="F808" s="14"/>
    </row>
    <row r="809" spans="1:6" ht="30.75" customHeight="1" thickBot="1" x14ac:dyDescent="0.25">
      <c r="A809" s="10"/>
      <c r="E809" s="9"/>
      <c r="F809" s="14"/>
    </row>
    <row r="810" spans="1:6" ht="30.75" customHeight="1" thickBot="1" x14ac:dyDescent="0.25">
      <c r="A810" s="10"/>
      <c r="E810" s="9"/>
      <c r="F810" s="14"/>
    </row>
    <row r="811" spans="1:6" ht="30.75" customHeight="1" thickBot="1" x14ac:dyDescent="0.25">
      <c r="A811" s="10"/>
      <c r="E811" s="9"/>
      <c r="F811" s="14"/>
    </row>
    <row r="812" spans="1:6" ht="30.75" customHeight="1" thickBot="1" x14ac:dyDescent="0.25">
      <c r="A812" s="10"/>
      <c r="E812" s="9"/>
      <c r="F812" s="14"/>
    </row>
    <row r="813" spans="1:6" ht="30.75" customHeight="1" thickBot="1" x14ac:dyDescent="0.25">
      <c r="A813" s="10"/>
      <c r="E813" s="9"/>
      <c r="F813" s="14"/>
    </row>
    <row r="814" spans="1:6" ht="30.75" customHeight="1" thickBot="1" x14ac:dyDescent="0.25">
      <c r="A814" s="10"/>
      <c r="E814" s="9"/>
      <c r="F814" s="14"/>
    </row>
    <row r="815" spans="1:6" ht="30.75" customHeight="1" thickBot="1" x14ac:dyDescent="0.25">
      <c r="A815" s="10"/>
      <c r="E815" s="9"/>
      <c r="F815" s="14"/>
    </row>
    <row r="816" spans="1:6" ht="30.75" customHeight="1" thickBot="1" x14ac:dyDescent="0.25">
      <c r="A816" s="10"/>
      <c r="E816" s="9"/>
      <c r="F816" s="14"/>
    </row>
    <row r="817" spans="1:6" ht="30.75" customHeight="1" thickBot="1" x14ac:dyDescent="0.25">
      <c r="A817" s="10"/>
      <c r="E817" s="9"/>
      <c r="F817" s="14"/>
    </row>
    <row r="818" spans="1:6" ht="30.75" customHeight="1" thickBot="1" x14ac:dyDescent="0.25">
      <c r="A818" s="10"/>
      <c r="E818" s="9"/>
      <c r="F818" s="14"/>
    </row>
    <row r="819" spans="1:6" ht="30.75" customHeight="1" thickBot="1" x14ac:dyDescent="0.25">
      <c r="A819" s="10"/>
      <c r="E819" s="9"/>
      <c r="F819" s="14"/>
    </row>
    <row r="820" spans="1:6" ht="30.75" customHeight="1" thickBot="1" x14ac:dyDescent="0.25">
      <c r="A820" s="10"/>
      <c r="E820" s="9"/>
      <c r="F820" s="14"/>
    </row>
    <row r="821" spans="1:6" ht="30.75" customHeight="1" thickBot="1" x14ac:dyDescent="0.25">
      <c r="A821" s="10"/>
      <c r="E821" s="9"/>
      <c r="F821" s="14"/>
    </row>
    <row r="822" spans="1:6" ht="30.75" customHeight="1" thickBot="1" x14ac:dyDescent="0.25">
      <c r="A822" s="10"/>
      <c r="E822" s="9"/>
      <c r="F822" s="14"/>
    </row>
    <row r="823" spans="1:6" ht="30.75" customHeight="1" thickBot="1" x14ac:dyDescent="0.25">
      <c r="A823" s="10"/>
      <c r="E823" s="9"/>
      <c r="F823" s="14"/>
    </row>
    <row r="824" spans="1:6" ht="30.75" customHeight="1" thickBot="1" x14ac:dyDescent="0.25">
      <c r="A824" s="10"/>
      <c r="E824" s="9"/>
      <c r="F824" s="14"/>
    </row>
    <row r="825" spans="1:6" ht="30.75" customHeight="1" thickBot="1" x14ac:dyDescent="0.25">
      <c r="A825" s="10"/>
      <c r="E825" s="9"/>
      <c r="F825" s="14"/>
    </row>
    <row r="826" spans="1:6" ht="30.75" customHeight="1" thickBot="1" x14ac:dyDescent="0.25">
      <c r="A826" s="10"/>
      <c r="E826" s="9"/>
      <c r="F826" s="14"/>
    </row>
    <row r="827" spans="1:6" ht="30.75" customHeight="1" thickBot="1" x14ac:dyDescent="0.25">
      <c r="A827" s="10"/>
      <c r="E827" s="9"/>
      <c r="F827" s="14"/>
    </row>
    <row r="828" spans="1:6" ht="30.75" customHeight="1" thickBot="1" x14ac:dyDescent="0.25">
      <c r="A828" s="10"/>
      <c r="E828" s="9"/>
      <c r="F828" s="14"/>
    </row>
    <row r="829" spans="1:6" ht="30.75" customHeight="1" thickBot="1" x14ac:dyDescent="0.25">
      <c r="A829" s="10"/>
      <c r="E829" s="9"/>
      <c r="F829" s="14"/>
    </row>
    <row r="830" spans="1:6" ht="30.75" customHeight="1" thickBot="1" x14ac:dyDescent="0.25">
      <c r="A830" s="10"/>
      <c r="E830" s="9"/>
      <c r="F830" s="14"/>
    </row>
    <row r="831" spans="1:6" ht="30.75" customHeight="1" thickBot="1" x14ac:dyDescent="0.25">
      <c r="A831" s="10"/>
      <c r="E831" s="9"/>
      <c r="F831" s="14"/>
    </row>
    <row r="832" spans="1:6" ht="30.75" customHeight="1" thickBot="1" x14ac:dyDescent="0.25">
      <c r="A832" s="10"/>
      <c r="E832" s="9"/>
      <c r="F832" s="14"/>
    </row>
    <row r="833" spans="1:6" ht="30.75" customHeight="1" thickBot="1" x14ac:dyDescent="0.25">
      <c r="A833" s="10"/>
      <c r="E833" s="9"/>
      <c r="F833" s="14"/>
    </row>
    <row r="834" spans="1:6" ht="30.75" customHeight="1" thickBot="1" x14ac:dyDescent="0.25">
      <c r="A834" s="10"/>
      <c r="E834" s="9"/>
      <c r="F834" s="14"/>
    </row>
    <row r="835" spans="1:6" ht="30.75" customHeight="1" thickBot="1" x14ac:dyDescent="0.25">
      <c r="A835" s="10"/>
      <c r="E835" s="9"/>
      <c r="F835" s="14"/>
    </row>
    <row r="836" spans="1:6" ht="30.75" customHeight="1" thickBot="1" x14ac:dyDescent="0.25">
      <c r="A836" s="10"/>
      <c r="E836" s="9"/>
      <c r="F836" s="14"/>
    </row>
    <row r="837" spans="1:6" ht="30.75" customHeight="1" thickBot="1" x14ac:dyDescent="0.25">
      <c r="A837" s="10"/>
      <c r="E837" s="9"/>
      <c r="F837" s="14"/>
    </row>
    <row r="838" spans="1:6" ht="30.75" customHeight="1" thickBot="1" x14ac:dyDescent="0.25">
      <c r="A838" s="10"/>
      <c r="E838" s="9"/>
      <c r="F838" s="14"/>
    </row>
    <row r="839" spans="1:6" ht="30.75" customHeight="1" thickBot="1" x14ac:dyDescent="0.25">
      <c r="A839" s="10"/>
      <c r="E839" s="9"/>
      <c r="F839" s="14"/>
    </row>
    <row r="840" spans="1:6" ht="30.75" customHeight="1" thickBot="1" x14ac:dyDescent="0.25">
      <c r="A840" s="10"/>
      <c r="E840" s="9"/>
      <c r="F840" s="14"/>
    </row>
    <row r="841" spans="1:6" ht="30.75" customHeight="1" thickBot="1" x14ac:dyDescent="0.25">
      <c r="A841" s="10"/>
      <c r="E841" s="9"/>
      <c r="F841" s="14"/>
    </row>
    <row r="842" spans="1:6" ht="30.75" customHeight="1" thickBot="1" x14ac:dyDescent="0.25">
      <c r="A842" s="10"/>
      <c r="E842" s="9"/>
      <c r="F842" s="14"/>
    </row>
    <row r="843" spans="1:6" ht="30.75" customHeight="1" thickBot="1" x14ac:dyDescent="0.25">
      <c r="A843" s="10"/>
      <c r="E843" s="9"/>
      <c r="F843" s="14"/>
    </row>
    <row r="844" spans="1:6" ht="30.75" customHeight="1" thickBot="1" x14ac:dyDescent="0.25">
      <c r="A844" s="10"/>
      <c r="E844" s="9"/>
      <c r="F844" s="14"/>
    </row>
    <row r="845" spans="1:6" ht="30.75" customHeight="1" thickBot="1" x14ac:dyDescent="0.25">
      <c r="A845" s="10"/>
      <c r="E845" s="9"/>
      <c r="F845" s="14"/>
    </row>
    <row r="846" spans="1:6" ht="30.75" customHeight="1" thickBot="1" x14ac:dyDescent="0.25">
      <c r="A846" s="10"/>
      <c r="E846" s="9"/>
      <c r="F846" s="14"/>
    </row>
    <row r="847" spans="1:6" ht="30.75" customHeight="1" thickBot="1" x14ac:dyDescent="0.25">
      <c r="A847" s="10"/>
      <c r="E847" s="9"/>
      <c r="F847" s="14"/>
    </row>
    <row r="848" spans="1:6" ht="30.75" customHeight="1" thickBot="1" x14ac:dyDescent="0.25">
      <c r="A848" s="10"/>
      <c r="E848" s="9"/>
      <c r="F848" s="14"/>
    </row>
    <row r="849" spans="1:6" ht="30.75" customHeight="1" thickBot="1" x14ac:dyDescent="0.25">
      <c r="A849" s="10"/>
      <c r="E849" s="9"/>
      <c r="F849" s="14"/>
    </row>
    <row r="850" spans="1:6" ht="30.75" customHeight="1" thickBot="1" x14ac:dyDescent="0.25">
      <c r="A850" s="10"/>
      <c r="E850" s="9"/>
      <c r="F850" s="14"/>
    </row>
    <row r="851" spans="1:6" ht="30.75" customHeight="1" thickBot="1" x14ac:dyDescent="0.25">
      <c r="A851" s="10"/>
      <c r="E851" s="9"/>
      <c r="F851" s="14"/>
    </row>
    <row r="852" spans="1:6" ht="30.75" customHeight="1" thickBot="1" x14ac:dyDescent="0.25">
      <c r="A852" s="10"/>
      <c r="E852" s="9"/>
      <c r="F852" s="14"/>
    </row>
    <row r="853" spans="1:6" ht="30.75" customHeight="1" thickBot="1" x14ac:dyDescent="0.25">
      <c r="A853" s="10"/>
      <c r="E853" s="9"/>
      <c r="F853" s="14"/>
    </row>
    <row r="854" spans="1:6" ht="30.75" customHeight="1" thickBot="1" x14ac:dyDescent="0.25">
      <c r="A854" s="10"/>
      <c r="E854" s="9"/>
      <c r="F854" s="14"/>
    </row>
    <row r="855" spans="1:6" ht="30.75" customHeight="1" thickBot="1" x14ac:dyDescent="0.25">
      <c r="A855" s="10"/>
      <c r="E855" s="9"/>
      <c r="F855" s="14"/>
    </row>
    <row r="856" spans="1:6" ht="30.75" customHeight="1" thickBot="1" x14ac:dyDescent="0.25">
      <c r="A856" s="10"/>
      <c r="E856" s="9"/>
      <c r="F856" s="14"/>
    </row>
    <row r="857" spans="1:6" ht="30.75" customHeight="1" thickBot="1" x14ac:dyDescent="0.25">
      <c r="A857" s="10"/>
      <c r="E857" s="9"/>
      <c r="F857" s="14"/>
    </row>
    <row r="858" spans="1:6" ht="30.75" customHeight="1" thickBot="1" x14ac:dyDescent="0.25">
      <c r="A858" s="10"/>
      <c r="E858" s="9"/>
      <c r="F858" s="14"/>
    </row>
    <row r="859" spans="1:6" ht="30.75" customHeight="1" thickBot="1" x14ac:dyDescent="0.25">
      <c r="A859" s="10"/>
      <c r="E859" s="9"/>
      <c r="F859" s="14"/>
    </row>
    <row r="860" spans="1:6" ht="30.75" customHeight="1" thickBot="1" x14ac:dyDescent="0.25">
      <c r="A860" s="10"/>
      <c r="E860" s="9"/>
      <c r="F860" s="14"/>
    </row>
    <row r="861" spans="1:6" ht="30.75" customHeight="1" thickBot="1" x14ac:dyDescent="0.25">
      <c r="A861" s="10"/>
      <c r="E861" s="9"/>
      <c r="F861" s="14"/>
    </row>
    <row r="862" spans="1:6" ht="30.75" customHeight="1" thickBot="1" x14ac:dyDescent="0.25">
      <c r="A862" s="10"/>
      <c r="E862" s="9"/>
      <c r="F862" s="14"/>
    </row>
    <row r="863" spans="1:6" ht="30.75" customHeight="1" thickBot="1" x14ac:dyDescent="0.25">
      <c r="A863" s="10"/>
      <c r="E863" s="9"/>
      <c r="F863" s="14"/>
    </row>
    <row r="864" spans="1:6" ht="30.75" customHeight="1" thickBot="1" x14ac:dyDescent="0.25">
      <c r="A864" s="10"/>
      <c r="E864" s="9"/>
      <c r="F864" s="14"/>
    </row>
    <row r="865" spans="1:6" ht="30.75" customHeight="1" thickBot="1" x14ac:dyDescent="0.25">
      <c r="A865" s="10"/>
      <c r="E865" s="9"/>
      <c r="F865" s="14"/>
    </row>
    <row r="866" spans="1:6" ht="30.75" customHeight="1" thickBot="1" x14ac:dyDescent="0.25">
      <c r="A866" s="10"/>
      <c r="E866" s="9"/>
      <c r="F866" s="14"/>
    </row>
    <row r="867" spans="1:6" ht="30.75" customHeight="1" thickBot="1" x14ac:dyDescent="0.25">
      <c r="A867" s="10"/>
      <c r="E867" s="9"/>
      <c r="F867" s="14"/>
    </row>
    <row r="868" spans="1:6" ht="30.75" customHeight="1" thickBot="1" x14ac:dyDescent="0.25">
      <c r="A868" s="10"/>
      <c r="E868" s="9"/>
      <c r="F868" s="14"/>
    </row>
    <row r="869" spans="1:6" ht="30.75" customHeight="1" thickBot="1" x14ac:dyDescent="0.25">
      <c r="A869" s="10"/>
      <c r="E869" s="9"/>
      <c r="F869" s="14"/>
    </row>
    <row r="870" spans="1:6" ht="30.75" customHeight="1" thickBot="1" x14ac:dyDescent="0.25">
      <c r="A870" s="10"/>
      <c r="E870" s="9"/>
      <c r="F870" s="14"/>
    </row>
    <row r="871" spans="1:6" ht="30.75" customHeight="1" thickBot="1" x14ac:dyDescent="0.25">
      <c r="A871" s="10"/>
      <c r="E871" s="9"/>
      <c r="F871" s="14"/>
    </row>
    <row r="872" spans="1:6" ht="30.75" customHeight="1" thickBot="1" x14ac:dyDescent="0.25">
      <c r="A872" s="10"/>
      <c r="E872" s="9"/>
      <c r="F872" s="14"/>
    </row>
    <row r="873" spans="1:6" ht="30.75" customHeight="1" thickBot="1" x14ac:dyDescent="0.25">
      <c r="A873" s="10"/>
      <c r="E873" s="9"/>
      <c r="F873" s="14"/>
    </row>
    <row r="874" spans="1:6" ht="30.75" customHeight="1" thickBot="1" x14ac:dyDescent="0.25">
      <c r="A874" s="10"/>
      <c r="E874" s="9"/>
      <c r="F874" s="14"/>
    </row>
    <row r="875" spans="1:6" ht="30.75" customHeight="1" thickBot="1" x14ac:dyDescent="0.25">
      <c r="A875" s="10"/>
      <c r="E875" s="9"/>
      <c r="F875" s="14"/>
    </row>
    <row r="876" spans="1:6" ht="30.75" customHeight="1" thickBot="1" x14ac:dyDescent="0.25">
      <c r="A876" s="10"/>
      <c r="E876" s="9"/>
      <c r="F876" s="14"/>
    </row>
    <row r="877" spans="1:6" ht="30.75" customHeight="1" thickBot="1" x14ac:dyDescent="0.25">
      <c r="A877" s="10"/>
      <c r="E877" s="9"/>
      <c r="F877" s="14"/>
    </row>
    <row r="878" spans="1:6" ht="30.75" customHeight="1" thickBot="1" x14ac:dyDescent="0.25">
      <c r="A878" s="10"/>
      <c r="E878" s="9"/>
      <c r="F878" s="14"/>
    </row>
    <row r="879" spans="1:6" ht="30.75" customHeight="1" thickBot="1" x14ac:dyDescent="0.25">
      <c r="A879" s="10"/>
      <c r="E879" s="9"/>
      <c r="F879" s="14"/>
    </row>
    <row r="880" spans="1:6" ht="30.75" customHeight="1" thickBot="1" x14ac:dyDescent="0.25">
      <c r="A880" s="10"/>
      <c r="E880" s="9"/>
      <c r="F880" s="14"/>
    </row>
    <row r="881" spans="1:6" ht="30.75" customHeight="1" thickBot="1" x14ac:dyDescent="0.25">
      <c r="A881" s="10"/>
      <c r="E881" s="9"/>
      <c r="F881" s="14"/>
    </row>
    <row r="882" spans="1:6" ht="30.75" customHeight="1" thickBot="1" x14ac:dyDescent="0.25">
      <c r="A882" s="10"/>
      <c r="E882" s="9"/>
      <c r="F882" s="14"/>
    </row>
    <row r="883" spans="1:6" ht="30.75" customHeight="1" thickBot="1" x14ac:dyDescent="0.25">
      <c r="A883" s="10"/>
      <c r="E883" s="9"/>
      <c r="F883" s="14"/>
    </row>
    <row r="884" spans="1:6" ht="30.75" customHeight="1" thickBot="1" x14ac:dyDescent="0.25">
      <c r="A884" s="10"/>
      <c r="E884" s="9"/>
      <c r="F884" s="14"/>
    </row>
    <row r="885" spans="1:6" ht="30.75" customHeight="1" thickBot="1" x14ac:dyDescent="0.25">
      <c r="A885" s="10"/>
      <c r="E885" s="9"/>
      <c r="F885" s="14"/>
    </row>
    <row r="886" spans="1:6" ht="30.75" customHeight="1" thickBot="1" x14ac:dyDescent="0.25">
      <c r="A886" s="10"/>
      <c r="E886" s="9"/>
      <c r="F886" s="14"/>
    </row>
    <row r="887" spans="1:6" ht="30.75" customHeight="1" thickBot="1" x14ac:dyDescent="0.25">
      <c r="A887" s="10"/>
      <c r="E887" s="9"/>
      <c r="F887" s="14"/>
    </row>
    <row r="888" spans="1:6" ht="30.75" customHeight="1" thickBot="1" x14ac:dyDescent="0.25">
      <c r="A888" s="10"/>
      <c r="E888" s="9"/>
      <c r="F888" s="14"/>
    </row>
    <row r="889" spans="1:6" ht="30.75" customHeight="1" thickBot="1" x14ac:dyDescent="0.25">
      <c r="A889" s="10"/>
      <c r="E889" s="9"/>
      <c r="F889" s="14"/>
    </row>
    <row r="890" spans="1:6" ht="30.75" customHeight="1" thickBot="1" x14ac:dyDescent="0.25">
      <c r="A890" s="10"/>
      <c r="E890" s="9"/>
      <c r="F890" s="14"/>
    </row>
    <row r="891" spans="1:6" ht="30.75" customHeight="1" thickBot="1" x14ac:dyDescent="0.25">
      <c r="A891" s="10"/>
      <c r="E891" s="9"/>
      <c r="F891" s="14"/>
    </row>
    <row r="892" spans="1:6" ht="30.75" customHeight="1" thickBot="1" x14ac:dyDescent="0.25">
      <c r="A892" s="10"/>
      <c r="E892" s="9"/>
      <c r="F892" s="14"/>
    </row>
    <row r="893" spans="1:6" ht="30.75" customHeight="1" thickBot="1" x14ac:dyDescent="0.25">
      <c r="A893" s="10"/>
      <c r="E893" s="9"/>
      <c r="F893" s="14"/>
    </row>
    <row r="894" spans="1:6" ht="30.75" customHeight="1" thickBot="1" x14ac:dyDescent="0.25">
      <c r="A894" s="10"/>
      <c r="E894" s="9"/>
      <c r="F894" s="14"/>
    </row>
    <row r="895" spans="1:6" ht="30.75" customHeight="1" thickBot="1" x14ac:dyDescent="0.25">
      <c r="A895" s="10"/>
      <c r="E895" s="9"/>
      <c r="F895" s="14"/>
    </row>
    <row r="896" spans="1:6" ht="30.75" customHeight="1" thickBot="1" x14ac:dyDescent="0.25">
      <c r="A896" s="10"/>
      <c r="E896" s="9"/>
      <c r="F896" s="14"/>
    </row>
    <row r="897" spans="1:6" ht="30.75" customHeight="1" thickBot="1" x14ac:dyDescent="0.25">
      <c r="A897" s="10"/>
      <c r="E897" s="9"/>
      <c r="F897" s="14"/>
    </row>
    <row r="898" spans="1:6" ht="30.75" customHeight="1" thickBot="1" x14ac:dyDescent="0.25">
      <c r="A898" s="10"/>
      <c r="E898" s="9"/>
      <c r="F898" s="14"/>
    </row>
    <row r="899" spans="1:6" ht="30.75" customHeight="1" thickBot="1" x14ac:dyDescent="0.25">
      <c r="A899" s="10"/>
      <c r="E899" s="9"/>
      <c r="F899" s="14"/>
    </row>
    <row r="900" spans="1:6" ht="30.75" customHeight="1" thickBot="1" x14ac:dyDescent="0.25">
      <c r="A900" s="10"/>
      <c r="E900" s="9"/>
      <c r="F900" s="14"/>
    </row>
    <row r="901" spans="1:6" ht="30.75" customHeight="1" thickBot="1" x14ac:dyDescent="0.25">
      <c r="A901" s="10"/>
      <c r="E901" s="9"/>
      <c r="F901" s="14"/>
    </row>
    <row r="902" spans="1:6" ht="30.75" customHeight="1" thickBot="1" x14ac:dyDescent="0.25">
      <c r="A902" s="10"/>
      <c r="E902" s="9"/>
      <c r="F902" s="14"/>
    </row>
    <row r="903" spans="1:6" ht="30.75" customHeight="1" thickBot="1" x14ac:dyDescent="0.25">
      <c r="A903" s="10"/>
      <c r="E903" s="9"/>
      <c r="F903" s="14"/>
    </row>
    <row r="904" spans="1:6" ht="30.75" customHeight="1" thickBot="1" x14ac:dyDescent="0.25">
      <c r="A904" s="10"/>
      <c r="E904" s="9"/>
      <c r="F904" s="14"/>
    </row>
    <row r="905" spans="1:6" ht="30.75" customHeight="1" thickBot="1" x14ac:dyDescent="0.25">
      <c r="A905" s="10"/>
      <c r="E905" s="9"/>
      <c r="F905" s="14"/>
    </row>
    <row r="906" spans="1:6" ht="30.75" customHeight="1" thickBot="1" x14ac:dyDescent="0.25">
      <c r="A906" s="10"/>
      <c r="E906" s="9"/>
      <c r="F906" s="14"/>
    </row>
    <row r="907" spans="1:6" ht="30.75" customHeight="1" thickBot="1" x14ac:dyDescent="0.25">
      <c r="A907" s="10"/>
      <c r="E907" s="9"/>
      <c r="F907" s="14"/>
    </row>
    <row r="908" spans="1:6" ht="30.75" customHeight="1" thickBot="1" x14ac:dyDescent="0.25">
      <c r="A908" s="10"/>
      <c r="E908" s="9"/>
      <c r="F908" s="14"/>
    </row>
    <row r="909" spans="1:6" ht="30.75" customHeight="1" thickBot="1" x14ac:dyDescent="0.25">
      <c r="A909" s="10"/>
      <c r="E909" s="9"/>
      <c r="F909" s="14"/>
    </row>
    <row r="910" spans="1:6" ht="30.75" customHeight="1" thickBot="1" x14ac:dyDescent="0.25">
      <c r="A910" s="10"/>
      <c r="E910" s="9"/>
      <c r="F910" s="14"/>
    </row>
    <row r="911" spans="1:6" ht="30.75" customHeight="1" thickBot="1" x14ac:dyDescent="0.25">
      <c r="A911" s="10"/>
      <c r="E911" s="9"/>
      <c r="F911" s="14"/>
    </row>
    <row r="912" spans="1:6" ht="30.75" customHeight="1" thickBot="1" x14ac:dyDescent="0.25">
      <c r="A912" s="10"/>
      <c r="E912" s="9"/>
      <c r="F912" s="14"/>
    </row>
    <row r="913" spans="1:6" ht="30.75" customHeight="1" thickBot="1" x14ac:dyDescent="0.25">
      <c r="A913" s="10"/>
      <c r="E913" s="9"/>
      <c r="F913" s="14"/>
    </row>
    <row r="914" spans="1:6" ht="30.75" customHeight="1" thickBot="1" x14ac:dyDescent="0.25">
      <c r="A914" s="10"/>
      <c r="E914" s="9"/>
      <c r="F914" s="14"/>
    </row>
    <row r="915" spans="1:6" ht="30.75" customHeight="1" thickBot="1" x14ac:dyDescent="0.25">
      <c r="A915" s="10"/>
      <c r="E915" s="9"/>
      <c r="F915" s="14"/>
    </row>
    <row r="916" spans="1:6" ht="30.75" customHeight="1" thickBot="1" x14ac:dyDescent="0.25">
      <c r="A916" s="10"/>
      <c r="E916" s="9"/>
      <c r="F916" s="14"/>
    </row>
    <row r="917" spans="1:6" ht="30.75" customHeight="1" thickBot="1" x14ac:dyDescent="0.25">
      <c r="A917" s="10"/>
      <c r="E917" s="9"/>
      <c r="F917" s="14"/>
    </row>
    <row r="918" spans="1:6" ht="30.75" customHeight="1" thickBot="1" x14ac:dyDescent="0.25">
      <c r="A918" s="10"/>
      <c r="E918" s="9"/>
      <c r="F918" s="14"/>
    </row>
    <row r="919" spans="1:6" ht="30.75" customHeight="1" thickBot="1" x14ac:dyDescent="0.25">
      <c r="A919" s="10"/>
      <c r="E919" s="9"/>
      <c r="F919" s="14"/>
    </row>
    <row r="920" spans="1:6" ht="30.75" customHeight="1" thickBot="1" x14ac:dyDescent="0.25">
      <c r="A920" s="10"/>
      <c r="E920" s="9"/>
      <c r="F920" s="14"/>
    </row>
    <row r="921" spans="1:6" ht="30.75" customHeight="1" thickBot="1" x14ac:dyDescent="0.25">
      <c r="A921" s="10"/>
      <c r="E921" s="9"/>
      <c r="F921" s="14"/>
    </row>
    <row r="922" spans="1:6" ht="30.75" customHeight="1" thickBot="1" x14ac:dyDescent="0.25">
      <c r="A922" s="10"/>
      <c r="E922" s="9"/>
      <c r="F922" s="14"/>
    </row>
    <row r="923" spans="1:6" ht="30.75" customHeight="1" thickBot="1" x14ac:dyDescent="0.25">
      <c r="A923" s="10"/>
      <c r="E923" s="9"/>
      <c r="F923" s="14"/>
    </row>
    <row r="924" spans="1:6" ht="30.75" customHeight="1" thickBot="1" x14ac:dyDescent="0.25">
      <c r="A924" s="10"/>
      <c r="E924" s="9"/>
      <c r="F924" s="14"/>
    </row>
    <row r="925" spans="1:6" ht="30.75" customHeight="1" thickBot="1" x14ac:dyDescent="0.25">
      <c r="A925" s="10"/>
      <c r="E925" s="9"/>
      <c r="F925" s="14"/>
    </row>
    <row r="926" spans="1:6" ht="30.75" customHeight="1" thickBot="1" x14ac:dyDescent="0.25">
      <c r="A926" s="10"/>
      <c r="E926" s="9"/>
      <c r="F926" s="14"/>
    </row>
    <row r="927" spans="1:6" ht="30.75" customHeight="1" thickBot="1" x14ac:dyDescent="0.25">
      <c r="A927" s="10"/>
      <c r="E927" s="9"/>
      <c r="F927" s="14"/>
    </row>
    <row r="928" spans="1:6" ht="30.75" customHeight="1" thickBot="1" x14ac:dyDescent="0.25">
      <c r="A928" s="10"/>
      <c r="E928" s="9"/>
      <c r="F928" s="14"/>
    </row>
    <row r="929" spans="1:6" ht="30.75" customHeight="1" thickBot="1" x14ac:dyDescent="0.25">
      <c r="A929" s="10"/>
      <c r="E929" s="9"/>
      <c r="F929" s="14"/>
    </row>
    <row r="930" spans="1:6" ht="30.75" customHeight="1" thickBot="1" x14ac:dyDescent="0.25">
      <c r="A930" s="10"/>
      <c r="E930" s="9"/>
      <c r="F930" s="14"/>
    </row>
    <row r="931" spans="1:6" ht="30.75" customHeight="1" thickBot="1" x14ac:dyDescent="0.25">
      <c r="A931" s="10"/>
      <c r="E931" s="9"/>
      <c r="F931" s="14"/>
    </row>
    <row r="932" spans="1:6" ht="30.75" customHeight="1" thickBot="1" x14ac:dyDescent="0.25">
      <c r="A932" s="10"/>
      <c r="E932" s="9"/>
      <c r="F932" s="14"/>
    </row>
    <row r="933" spans="1:6" ht="30.75" customHeight="1" thickBot="1" x14ac:dyDescent="0.25">
      <c r="A933" s="10"/>
      <c r="E933" s="9"/>
      <c r="F933" s="14"/>
    </row>
    <row r="934" spans="1:6" ht="30.75" customHeight="1" thickBot="1" x14ac:dyDescent="0.25">
      <c r="A934" s="10"/>
      <c r="E934" s="9"/>
      <c r="F934" s="14"/>
    </row>
    <row r="935" spans="1:6" ht="30.75" customHeight="1" thickBot="1" x14ac:dyDescent="0.25">
      <c r="A935" s="10"/>
      <c r="E935" s="9"/>
      <c r="F935" s="14"/>
    </row>
    <row r="936" spans="1:6" ht="30.75" customHeight="1" thickBot="1" x14ac:dyDescent="0.25">
      <c r="A936" s="10"/>
      <c r="E936" s="9"/>
      <c r="F936" s="14"/>
    </row>
    <row r="937" spans="1:6" ht="30.75" customHeight="1" thickBot="1" x14ac:dyDescent="0.25">
      <c r="A937" s="10"/>
      <c r="E937" s="9"/>
      <c r="F937" s="14"/>
    </row>
    <row r="938" spans="1:6" ht="30.75" customHeight="1" thickBot="1" x14ac:dyDescent="0.25">
      <c r="A938" s="10"/>
      <c r="E938" s="9"/>
      <c r="F938" s="14"/>
    </row>
    <row r="939" spans="1:6" ht="30.75" customHeight="1" thickBot="1" x14ac:dyDescent="0.25">
      <c r="A939" s="10"/>
      <c r="E939" s="9"/>
      <c r="F939" s="14"/>
    </row>
    <row r="940" spans="1:6" ht="30.75" customHeight="1" thickBot="1" x14ac:dyDescent="0.25">
      <c r="A940" s="10"/>
      <c r="E940" s="9"/>
      <c r="F940" s="14"/>
    </row>
    <row r="941" spans="1:6" ht="30.75" customHeight="1" thickBot="1" x14ac:dyDescent="0.25">
      <c r="A941" s="10"/>
      <c r="E941" s="9"/>
      <c r="F941" s="14"/>
    </row>
    <row r="942" spans="1:6" ht="30.75" customHeight="1" thickBot="1" x14ac:dyDescent="0.25">
      <c r="A942" s="10"/>
      <c r="E942" s="9"/>
      <c r="F942" s="14"/>
    </row>
    <row r="943" spans="1:6" ht="30.75" customHeight="1" thickBot="1" x14ac:dyDescent="0.25">
      <c r="A943" s="10"/>
      <c r="E943" s="9"/>
      <c r="F943" s="14"/>
    </row>
    <row r="944" spans="1:6" ht="30.75" customHeight="1" thickBot="1" x14ac:dyDescent="0.25">
      <c r="A944" s="10"/>
      <c r="E944" s="9"/>
      <c r="F944" s="14"/>
    </row>
    <row r="945" spans="1:6" ht="30.75" customHeight="1" thickBot="1" x14ac:dyDescent="0.25">
      <c r="A945" s="10"/>
      <c r="E945" s="9"/>
      <c r="F945" s="14"/>
    </row>
    <row r="946" spans="1:6" ht="30.75" customHeight="1" thickBot="1" x14ac:dyDescent="0.25">
      <c r="A946" s="10"/>
      <c r="E946" s="9"/>
      <c r="F946" s="14"/>
    </row>
    <row r="947" spans="1:6" ht="30.75" customHeight="1" thickBot="1" x14ac:dyDescent="0.25">
      <c r="A947" s="10"/>
      <c r="E947" s="9"/>
      <c r="F947" s="14"/>
    </row>
    <row r="948" spans="1:6" ht="30.75" customHeight="1" thickBot="1" x14ac:dyDescent="0.25">
      <c r="A948" s="10"/>
      <c r="E948" s="9"/>
      <c r="F948" s="14"/>
    </row>
    <row r="949" spans="1:6" ht="30.75" customHeight="1" thickBot="1" x14ac:dyDescent="0.25">
      <c r="A949" s="10"/>
      <c r="E949" s="9"/>
      <c r="F949" s="14"/>
    </row>
    <row r="950" spans="1:6" ht="30.75" customHeight="1" thickBot="1" x14ac:dyDescent="0.25">
      <c r="A950" s="10"/>
      <c r="E950" s="9"/>
      <c r="F950" s="14"/>
    </row>
    <row r="951" spans="1:6" ht="30.75" customHeight="1" thickBot="1" x14ac:dyDescent="0.25">
      <c r="A951" s="10"/>
      <c r="E951" s="9"/>
      <c r="F951" s="14"/>
    </row>
    <row r="952" spans="1:6" ht="30.75" customHeight="1" thickBot="1" x14ac:dyDescent="0.25">
      <c r="A952" s="10"/>
      <c r="E952" s="9"/>
      <c r="F952" s="14"/>
    </row>
    <row r="953" spans="1:6" ht="30.75" customHeight="1" thickBot="1" x14ac:dyDescent="0.25">
      <c r="A953" s="10"/>
      <c r="E953" s="9"/>
      <c r="F953" s="14"/>
    </row>
    <row r="954" spans="1:6" ht="30.75" customHeight="1" thickBot="1" x14ac:dyDescent="0.25">
      <c r="A954" s="10"/>
      <c r="E954" s="9"/>
      <c r="F954" s="14"/>
    </row>
    <row r="955" spans="1:6" ht="30.75" customHeight="1" thickBot="1" x14ac:dyDescent="0.25">
      <c r="A955" s="10"/>
      <c r="E955" s="9"/>
      <c r="F955" s="14"/>
    </row>
    <row r="956" spans="1:6" ht="30.75" customHeight="1" thickBot="1" x14ac:dyDescent="0.25">
      <c r="A956" s="10"/>
      <c r="E956" s="9"/>
      <c r="F956" s="14"/>
    </row>
    <row r="957" spans="1:6" ht="30.75" customHeight="1" thickBot="1" x14ac:dyDescent="0.25">
      <c r="A957" s="10"/>
      <c r="E957" s="9"/>
      <c r="F957" s="14"/>
    </row>
    <row r="958" spans="1:6" ht="30.75" customHeight="1" thickBot="1" x14ac:dyDescent="0.25">
      <c r="A958" s="10"/>
      <c r="E958" s="9"/>
      <c r="F958" s="14"/>
    </row>
    <row r="959" spans="1:6" ht="30.75" customHeight="1" thickBot="1" x14ac:dyDescent="0.25">
      <c r="A959" s="10"/>
      <c r="E959" s="9"/>
      <c r="F959" s="14"/>
    </row>
    <row r="960" spans="1:6" ht="30.75" customHeight="1" thickBot="1" x14ac:dyDescent="0.25">
      <c r="A960" s="10"/>
      <c r="E960" s="9"/>
      <c r="F960" s="14"/>
    </row>
    <row r="961" spans="1:6" ht="30.75" customHeight="1" thickBot="1" x14ac:dyDescent="0.25">
      <c r="A961" s="10"/>
      <c r="E961" s="9"/>
      <c r="F961" s="14"/>
    </row>
    <row r="962" spans="1:6" ht="30.75" customHeight="1" thickBot="1" x14ac:dyDescent="0.25">
      <c r="A962" s="10"/>
      <c r="E962" s="9"/>
      <c r="F962" s="14"/>
    </row>
    <row r="963" spans="1:6" ht="30.75" customHeight="1" thickBot="1" x14ac:dyDescent="0.25">
      <c r="A963" s="10"/>
      <c r="E963" s="9"/>
      <c r="F963" s="14"/>
    </row>
    <row r="964" spans="1:6" ht="30.75" customHeight="1" thickBot="1" x14ac:dyDescent="0.25">
      <c r="A964" s="10"/>
      <c r="E964" s="9"/>
      <c r="F964" s="14"/>
    </row>
    <row r="965" spans="1:6" ht="30.75" customHeight="1" thickBot="1" x14ac:dyDescent="0.25">
      <c r="A965" s="10"/>
      <c r="E965" s="9"/>
      <c r="F965" s="14"/>
    </row>
    <row r="966" spans="1:6" ht="30.75" customHeight="1" thickBot="1" x14ac:dyDescent="0.25">
      <c r="A966" s="10"/>
      <c r="E966" s="9"/>
      <c r="F966" s="14"/>
    </row>
    <row r="967" spans="1:6" ht="30.75" customHeight="1" thickBot="1" x14ac:dyDescent="0.25">
      <c r="A967" s="10"/>
      <c r="E967" s="9"/>
      <c r="F967" s="14"/>
    </row>
    <row r="968" spans="1:6" ht="30.75" customHeight="1" thickBot="1" x14ac:dyDescent="0.25">
      <c r="A968" s="10"/>
      <c r="E968" s="9"/>
      <c r="F968" s="14"/>
    </row>
    <row r="969" spans="1:6" ht="30.75" customHeight="1" thickBot="1" x14ac:dyDescent="0.25">
      <c r="A969" s="10"/>
      <c r="E969" s="9"/>
      <c r="F969" s="14"/>
    </row>
    <row r="970" spans="1:6" ht="30.75" customHeight="1" thickBot="1" x14ac:dyDescent="0.25">
      <c r="A970" s="10"/>
      <c r="E970" s="9"/>
      <c r="F970" s="14"/>
    </row>
    <row r="971" spans="1:6" ht="30.75" customHeight="1" thickBot="1" x14ac:dyDescent="0.25">
      <c r="A971" s="10"/>
      <c r="E971" s="9"/>
      <c r="F971" s="14"/>
    </row>
    <row r="972" spans="1:6" ht="30.75" customHeight="1" thickBot="1" x14ac:dyDescent="0.25">
      <c r="A972" s="10"/>
      <c r="E972" s="9"/>
      <c r="F972" s="14"/>
    </row>
    <row r="973" spans="1:6" ht="30.75" customHeight="1" thickBot="1" x14ac:dyDescent="0.25">
      <c r="A973" s="10"/>
      <c r="E973" s="9"/>
      <c r="F973" s="14"/>
    </row>
    <row r="974" spans="1:6" ht="30.75" customHeight="1" thickBot="1" x14ac:dyDescent="0.25">
      <c r="A974" s="10"/>
      <c r="E974" s="9"/>
      <c r="F974" s="14"/>
    </row>
    <row r="975" spans="1:6" ht="30.75" customHeight="1" thickBot="1" x14ac:dyDescent="0.25">
      <c r="A975" s="10"/>
      <c r="E975" s="9"/>
      <c r="F975" s="14"/>
    </row>
    <row r="976" spans="1:6" ht="30.75" customHeight="1" thickBot="1" x14ac:dyDescent="0.25">
      <c r="A976" s="10"/>
      <c r="E976" s="9"/>
      <c r="F976" s="14"/>
    </row>
    <row r="977" spans="1:6" ht="30.75" customHeight="1" thickBot="1" x14ac:dyDescent="0.25">
      <c r="A977" s="10"/>
      <c r="E977" s="9"/>
      <c r="F977" s="14"/>
    </row>
    <row r="978" spans="1:6" ht="30.75" customHeight="1" thickBot="1" x14ac:dyDescent="0.25">
      <c r="A978" s="10"/>
      <c r="E978" s="9"/>
      <c r="F978" s="14"/>
    </row>
    <row r="979" spans="1:6" ht="30.75" customHeight="1" thickBot="1" x14ac:dyDescent="0.25">
      <c r="A979" s="10"/>
      <c r="E979" s="9"/>
      <c r="F979" s="14"/>
    </row>
    <row r="980" spans="1:6" ht="30.75" customHeight="1" thickBot="1" x14ac:dyDescent="0.25">
      <c r="A980" s="10"/>
      <c r="E980" s="9"/>
      <c r="F980" s="14"/>
    </row>
    <row r="981" spans="1:6" ht="30.75" customHeight="1" thickBot="1" x14ac:dyDescent="0.25">
      <c r="A981" s="10"/>
      <c r="E981" s="9"/>
      <c r="F981" s="14"/>
    </row>
    <row r="982" spans="1:6" ht="30.75" customHeight="1" thickBot="1" x14ac:dyDescent="0.25">
      <c r="A982" s="10"/>
      <c r="E982" s="9"/>
      <c r="F982" s="14"/>
    </row>
    <row r="983" spans="1:6" ht="30.75" customHeight="1" thickBot="1" x14ac:dyDescent="0.25">
      <c r="A983" s="10"/>
      <c r="E983" s="9"/>
      <c r="F983" s="14"/>
    </row>
    <row r="984" spans="1:6" ht="30.75" customHeight="1" thickBot="1" x14ac:dyDescent="0.25">
      <c r="A984" s="10"/>
      <c r="E984" s="9"/>
      <c r="F984" s="14"/>
    </row>
    <row r="985" spans="1:6" ht="30.75" customHeight="1" thickBot="1" x14ac:dyDescent="0.25">
      <c r="A985" s="10"/>
      <c r="E985" s="9"/>
      <c r="F985" s="14"/>
    </row>
    <row r="986" spans="1:6" ht="30.75" customHeight="1" thickBot="1" x14ac:dyDescent="0.25">
      <c r="A986" s="10"/>
      <c r="E986" s="9"/>
      <c r="F986" s="14"/>
    </row>
    <row r="987" spans="1:6" ht="30.75" customHeight="1" thickBot="1" x14ac:dyDescent="0.25">
      <c r="A987" s="10"/>
      <c r="E987" s="9"/>
      <c r="F987" s="14"/>
    </row>
    <row r="988" spans="1:6" ht="30.75" customHeight="1" thickBot="1" x14ac:dyDescent="0.25">
      <c r="A988" s="10"/>
      <c r="E988" s="9"/>
      <c r="F988" s="14"/>
    </row>
    <row r="989" spans="1:6" ht="30.75" customHeight="1" thickBot="1" x14ac:dyDescent="0.25">
      <c r="A989" s="10"/>
      <c r="E989" s="9"/>
      <c r="F989" s="14"/>
    </row>
    <row r="990" spans="1:6" ht="30.75" customHeight="1" thickBot="1" x14ac:dyDescent="0.25">
      <c r="A990" s="10"/>
      <c r="E990" s="9"/>
      <c r="F990" s="14"/>
    </row>
    <row r="991" spans="1:6" ht="30.75" customHeight="1" thickBot="1" x14ac:dyDescent="0.25">
      <c r="A991" s="10"/>
      <c r="E991" s="9"/>
      <c r="F991" s="14"/>
    </row>
    <row r="992" spans="1:6" ht="30.75" customHeight="1" thickBot="1" x14ac:dyDescent="0.25">
      <c r="A992" s="10"/>
      <c r="E992" s="9"/>
      <c r="F992" s="14"/>
    </row>
    <row r="993" spans="1:6" ht="30.75" customHeight="1" thickBot="1" x14ac:dyDescent="0.25">
      <c r="A993" s="10"/>
      <c r="E993" s="9"/>
      <c r="F993" s="14"/>
    </row>
    <row r="994" spans="1:6" ht="30.75" customHeight="1" thickBot="1" x14ac:dyDescent="0.25">
      <c r="A994" s="10"/>
      <c r="E994" s="9"/>
      <c r="F994" s="14"/>
    </row>
    <row r="995" spans="1:6" ht="30.75" customHeight="1" thickBot="1" x14ac:dyDescent="0.25">
      <c r="A995" s="10"/>
      <c r="E995" s="9"/>
      <c r="F995" s="14"/>
    </row>
    <row r="996" spans="1:6" ht="30.75" customHeight="1" thickBot="1" x14ac:dyDescent="0.25">
      <c r="A996" s="10"/>
      <c r="E996" s="9"/>
      <c r="F996" s="14"/>
    </row>
    <row r="997" spans="1:6" ht="30.75" customHeight="1" thickBot="1" x14ac:dyDescent="0.25">
      <c r="A997" s="10"/>
      <c r="E997" s="9"/>
      <c r="F997" s="14"/>
    </row>
    <row r="998" spans="1:6" ht="30.75" customHeight="1" thickBot="1" x14ac:dyDescent="0.25">
      <c r="A998" s="10"/>
      <c r="E998" s="9"/>
      <c r="F998" s="14"/>
    </row>
    <row r="999" spans="1:6" ht="30.75" customHeight="1" thickBot="1" x14ac:dyDescent="0.25">
      <c r="A999" s="10"/>
      <c r="E999" s="9"/>
      <c r="F999" s="14"/>
    </row>
    <row r="1000" spans="1:6" ht="30.75" customHeight="1" thickBot="1" x14ac:dyDescent="0.25">
      <c r="A1000" s="10"/>
      <c r="E1000" s="9"/>
      <c r="F1000" s="14"/>
    </row>
    <row r="1001" spans="1:6" ht="30.75" customHeight="1" thickBot="1" x14ac:dyDescent="0.25">
      <c r="A1001" s="10"/>
      <c r="E1001" s="9"/>
      <c r="F1001" s="14"/>
    </row>
    <row r="1002" spans="1:6" ht="30.75" customHeight="1" thickBot="1" x14ac:dyDescent="0.25">
      <c r="A1002" s="10"/>
      <c r="E1002" s="9"/>
      <c r="F1002" s="14"/>
    </row>
    <row r="1003" spans="1:6" ht="30.75" customHeight="1" thickBot="1" x14ac:dyDescent="0.25">
      <c r="A1003" s="10"/>
      <c r="E1003" s="9"/>
      <c r="F1003" s="14"/>
    </row>
    <row r="1004" spans="1:6" ht="30.75" customHeight="1" thickBot="1" x14ac:dyDescent="0.25">
      <c r="A1004" s="10"/>
      <c r="E1004" s="9"/>
      <c r="F1004" s="14"/>
    </row>
    <row r="1005" spans="1:6" ht="30.75" customHeight="1" thickBot="1" x14ac:dyDescent="0.25">
      <c r="A1005" s="10"/>
      <c r="E1005" s="9"/>
      <c r="F1005" s="14"/>
    </row>
    <row r="1006" spans="1:6" ht="30.75" customHeight="1" thickBot="1" x14ac:dyDescent="0.25">
      <c r="A1006" s="10"/>
      <c r="E1006" s="9"/>
      <c r="F1006" s="14"/>
    </row>
    <row r="1007" spans="1:6" ht="30.75" customHeight="1" thickBot="1" x14ac:dyDescent="0.25">
      <c r="A1007" s="10"/>
      <c r="E1007" s="9"/>
      <c r="F1007" s="14"/>
    </row>
    <row r="1008" spans="1:6" ht="30.75" customHeight="1" thickBot="1" x14ac:dyDescent="0.25">
      <c r="A1008" s="10"/>
      <c r="E1008" s="9"/>
      <c r="F1008" s="14"/>
    </row>
    <row r="1009" spans="1:6" ht="30.75" customHeight="1" thickBot="1" x14ac:dyDescent="0.25">
      <c r="A1009" s="10"/>
      <c r="E1009" s="9"/>
      <c r="F1009" s="14"/>
    </row>
    <row r="1010" spans="1:6" ht="30.75" customHeight="1" thickBot="1" x14ac:dyDescent="0.25">
      <c r="A1010" s="10"/>
      <c r="E1010" s="9"/>
      <c r="F1010" s="14"/>
    </row>
    <row r="1011" spans="1:6" ht="30.75" customHeight="1" thickBot="1" x14ac:dyDescent="0.25">
      <c r="A1011" s="10"/>
      <c r="E1011" s="9"/>
      <c r="F1011" s="14"/>
    </row>
    <row r="1012" spans="1:6" ht="30.75" customHeight="1" thickBot="1" x14ac:dyDescent="0.25">
      <c r="A1012" s="10"/>
      <c r="E1012" s="9"/>
      <c r="F1012" s="14"/>
    </row>
    <row r="1013" spans="1:6" ht="30.75" customHeight="1" thickBot="1" x14ac:dyDescent="0.25">
      <c r="A1013" s="10"/>
      <c r="E1013" s="9"/>
      <c r="F1013" s="14"/>
    </row>
    <row r="1014" spans="1:6" ht="30.75" customHeight="1" thickBot="1" x14ac:dyDescent="0.25">
      <c r="A1014" s="10"/>
      <c r="E1014" s="9"/>
      <c r="F1014" s="14"/>
    </row>
    <row r="1015" spans="1:6" ht="30.75" customHeight="1" thickBot="1" x14ac:dyDescent="0.25">
      <c r="A1015" s="10"/>
      <c r="E1015" s="9"/>
      <c r="F1015" s="14"/>
    </row>
    <row r="1016" spans="1:6" ht="30.75" customHeight="1" thickBot="1" x14ac:dyDescent="0.25">
      <c r="A1016" s="10"/>
      <c r="E1016" s="9"/>
      <c r="F1016" s="14"/>
    </row>
    <row r="1017" spans="1:6" ht="30.75" customHeight="1" thickBot="1" x14ac:dyDescent="0.25">
      <c r="A1017" s="10"/>
      <c r="E1017" s="9"/>
      <c r="F1017" s="14"/>
    </row>
    <row r="1018" spans="1:6" ht="30.75" customHeight="1" thickBot="1" x14ac:dyDescent="0.25">
      <c r="A1018" s="10"/>
      <c r="E1018" s="9"/>
      <c r="F1018" s="14"/>
    </row>
    <row r="1019" spans="1:6" ht="30.75" customHeight="1" thickBot="1" x14ac:dyDescent="0.25">
      <c r="A1019" s="10"/>
      <c r="E1019" s="9"/>
      <c r="F1019" s="14"/>
    </row>
    <row r="1020" spans="1:6" ht="30.75" customHeight="1" thickBot="1" x14ac:dyDescent="0.25">
      <c r="A1020" s="10"/>
      <c r="E1020" s="9"/>
      <c r="F1020" s="14"/>
    </row>
    <row r="1021" spans="1:6" ht="30.75" customHeight="1" thickBot="1" x14ac:dyDescent="0.25">
      <c r="A1021" s="10"/>
      <c r="E1021" s="9"/>
      <c r="F1021" s="14"/>
    </row>
    <row r="1022" spans="1:6" ht="30.75" customHeight="1" thickBot="1" x14ac:dyDescent="0.25">
      <c r="A1022" s="10"/>
      <c r="E1022" s="9"/>
      <c r="F1022" s="14"/>
    </row>
    <row r="1023" spans="1:6" ht="30.75" customHeight="1" thickBot="1" x14ac:dyDescent="0.25">
      <c r="A1023" s="10"/>
      <c r="E1023" s="9"/>
      <c r="F1023" s="14"/>
    </row>
    <row r="1024" spans="1:6" ht="30.75" customHeight="1" thickBot="1" x14ac:dyDescent="0.25">
      <c r="A1024" s="10"/>
      <c r="E1024" s="9"/>
      <c r="F1024" s="14"/>
    </row>
    <row r="1025" spans="1:6" ht="30.75" customHeight="1" thickBot="1" x14ac:dyDescent="0.25">
      <c r="A1025" s="10"/>
      <c r="E1025" s="9"/>
      <c r="F1025" s="14"/>
    </row>
    <row r="1026" spans="1:6" ht="30.75" customHeight="1" thickBot="1" x14ac:dyDescent="0.25">
      <c r="A1026" s="10"/>
      <c r="E1026" s="9"/>
      <c r="F1026" s="14"/>
    </row>
    <row r="1027" spans="1:6" ht="30.75" customHeight="1" thickBot="1" x14ac:dyDescent="0.25">
      <c r="A1027" s="10"/>
      <c r="E1027" s="9"/>
      <c r="F1027" s="14"/>
    </row>
    <row r="1028" spans="1:6" ht="30.75" customHeight="1" thickBot="1" x14ac:dyDescent="0.25">
      <c r="A1028" s="10"/>
      <c r="E1028" s="9"/>
      <c r="F1028" s="14"/>
    </row>
    <row r="1029" spans="1:6" ht="30.75" customHeight="1" thickBot="1" x14ac:dyDescent="0.25">
      <c r="A1029" s="10"/>
      <c r="E1029" s="9"/>
      <c r="F1029" s="14"/>
    </row>
    <row r="1030" spans="1:6" ht="30.75" customHeight="1" thickBot="1" x14ac:dyDescent="0.25">
      <c r="A1030" s="10"/>
      <c r="E1030" s="9"/>
      <c r="F1030" s="14"/>
    </row>
    <row r="1031" spans="1:6" ht="30.75" customHeight="1" thickBot="1" x14ac:dyDescent="0.25">
      <c r="A1031" s="10"/>
      <c r="E1031" s="9"/>
      <c r="F1031" s="14"/>
    </row>
    <row r="1032" spans="1:6" ht="30.75" customHeight="1" thickBot="1" x14ac:dyDescent="0.25">
      <c r="A1032" s="10"/>
      <c r="E1032" s="9"/>
      <c r="F1032" s="14"/>
    </row>
    <row r="1033" spans="1:6" ht="30.75" customHeight="1" thickBot="1" x14ac:dyDescent="0.25">
      <c r="A1033" s="10"/>
      <c r="E1033" s="9"/>
      <c r="F1033" s="14"/>
    </row>
    <row r="1034" spans="1:6" ht="30.75" customHeight="1" thickBot="1" x14ac:dyDescent="0.25">
      <c r="A1034" s="10"/>
      <c r="E1034" s="9"/>
      <c r="F1034" s="14"/>
    </row>
    <row r="1035" spans="1:6" ht="30.75" customHeight="1" thickBot="1" x14ac:dyDescent="0.25">
      <c r="A1035" s="10"/>
      <c r="E1035" s="9"/>
      <c r="F1035" s="14"/>
    </row>
    <row r="1036" spans="1:6" ht="30.75" customHeight="1" thickBot="1" x14ac:dyDescent="0.25">
      <c r="A1036" s="10"/>
      <c r="E1036" s="9"/>
      <c r="F1036" s="14"/>
    </row>
    <row r="1037" spans="1:6" ht="30.75" customHeight="1" thickBot="1" x14ac:dyDescent="0.25">
      <c r="A1037" s="10"/>
      <c r="E1037" s="9"/>
      <c r="F1037" s="14"/>
    </row>
    <row r="1038" spans="1:6" ht="30.75" customHeight="1" thickBot="1" x14ac:dyDescent="0.25">
      <c r="A1038" s="10"/>
      <c r="E1038" s="9"/>
      <c r="F1038" s="14"/>
    </row>
    <row r="1039" spans="1:6" ht="30.75" customHeight="1" thickBot="1" x14ac:dyDescent="0.25">
      <c r="A1039" s="10"/>
      <c r="E1039" s="9"/>
      <c r="F1039" s="14"/>
    </row>
    <row r="1040" spans="1:6" ht="30.75" customHeight="1" thickBot="1" x14ac:dyDescent="0.25">
      <c r="A1040" s="10"/>
      <c r="E1040" s="9"/>
      <c r="F1040" s="14"/>
    </row>
    <row r="1041" spans="1:6" ht="30.75" customHeight="1" thickBot="1" x14ac:dyDescent="0.25">
      <c r="A1041" s="10"/>
      <c r="E1041" s="9"/>
      <c r="F1041" s="14"/>
    </row>
    <row r="1042" spans="1:6" ht="30.75" customHeight="1" thickBot="1" x14ac:dyDescent="0.25">
      <c r="A1042" s="10"/>
      <c r="E1042" s="9"/>
      <c r="F1042" s="14"/>
    </row>
    <row r="1043" spans="1:6" ht="30.75" customHeight="1" thickBot="1" x14ac:dyDescent="0.25">
      <c r="A1043" s="10"/>
      <c r="E1043" s="9"/>
      <c r="F1043" s="14"/>
    </row>
    <row r="1044" spans="1:6" ht="30.75" customHeight="1" thickBot="1" x14ac:dyDescent="0.25">
      <c r="A1044" s="10"/>
      <c r="E1044" s="9"/>
      <c r="F1044" s="14"/>
    </row>
    <row r="1045" spans="1:6" ht="30.75" customHeight="1" thickBot="1" x14ac:dyDescent="0.25">
      <c r="A1045" s="10"/>
      <c r="E1045" s="9"/>
      <c r="F1045" s="14"/>
    </row>
    <row r="1046" spans="1:6" ht="30.75" customHeight="1" thickBot="1" x14ac:dyDescent="0.25">
      <c r="A1046" s="10"/>
      <c r="E1046" s="9"/>
      <c r="F1046" s="14"/>
    </row>
    <row r="1047" spans="1:6" ht="30.75" customHeight="1" thickBot="1" x14ac:dyDescent="0.25">
      <c r="A1047" s="10"/>
      <c r="E1047" s="9"/>
      <c r="F1047" s="14"/>
    </row>
    <row r="1048" spans="1:6" ht="30.75" customHeight="1" thickBot="1" x14ac:dyDescent="0.25">
      <c r="A1048" s="10"/>
      <c r="E1048" s="9"/>
      <c r="F1048" s="14"/>
    </row>
    <row r="1049" spans="1:6" ht="30.75" customHeight="1" thickBot="1" x14ac:dyDescent="0.25">
      <c r="A1049" s="10"/>
      <c r="E1049" s="9"/>
      <c r="F1049" s="14"/>
    </row>
    <row r="1050" spans="1:6" ht="30.75" customHeight="1" thickBot="1" x14ac:dyDescent="0.25">
      <c r="A1050" s="10"/>
      <c r="E1050" s="9"/>
      <c r="F1050" s="14"/>
    </row>
    <row r="1051" spans="1:6" ht="30.75" customHeight="1" thickBot="1" x14ac:dyDescent="0.25">
      <c r="A1051" s="10"/>
      <c r="E1051" s="9"/>
      <c r="F1051" s="14"/>
    </row>
    <row r="1052" spans="1:6" ht="30.75" customHeight="1" thickBot="1" x14ac:dyDescent="0.25">
      <c r="A1052" s="10"/>
      <c r="E1052" s="9"/>
      <c r="F1052" s="14"/>
    </row>
    <row r="1053" spans="1:6" ht="30.75" customHeight="1" thickBot="1" x14ac:dyDescent="0.25">
      <c r="A1053" s="10"/>
      <c r="E1053" s="9"/>
      <c r="F1053" s="14"/>
    </row>
    <row r="1054" spans="1:6" ht="30.75" customHeight="1" thickBot="1" x14ac:dyDescent="0.25">
      <c r="A1054" s="10"/>
      <c r="E1054" s="9"/>
      <c r="F1054" s="14"/>
    </row>
    <row r="1055" spans="1:6" ht="30.75" customHeight="1" thickBot="1" x14ac:dyDescent="0.25">
      <c r="A1055" s="10"/>
      <c r="E1055" s="9"/>
      <c r="F1055" s="14"/>
    </row>
    <row r="1056" spans="1:6" ht="30.75" customHeight="1" thickBot="1" x14ac:dyDescent="0.25">
      <c r="A1056" s="10"/>
      <c r="E1056" s="9"/>
      <c r="F1056" s="14"/>
    </row>
    <row r="1057" spans="1:6" ht="30.75" customHeight="1" thickBot="1" x14ac:dyDescent="0.25">
      <c r="A1057" s="10"/>
      <c r="E1057" s="9"/>
      <c r="F1057" s="14"/>
    </row>
    <row r="1058" spans="1:6" ht="30.75" customHeight="1" thickBot="1" x14ac:dyDescent="0.25">
      <c r="A1058" s="10"/>
      <c r="E1058" s="9"/>
      <c r="F1058" s="14"/>
    </row>
    <row r="1059" spans="1:6" ht="30.75" customHeight="1" thickBot="1" x14ac:dyDescent="0.25">
      <c r="A1059" s="10"/>
      <c r="E1059" s="9"/>
      <c r="F1059" s="14"/>
    </row>
    <row r="1060" spans="1:6" ht="30.75" customHeight="1" thickBot="1" x14ac:dyDescent="0.25">
      <c r="A1060" s="10"/>
      <c r="E1060" s="9"/>
      <c r="F1060" s="14"/>
    </row>
    <row r="1061" spans="1:6" ht="30.75" customHeight="1" thickBot="1" x14ac:dyDescent="0.25">
      <c r="A1061" s="10"/>
      <c r="E1061" s="9"/>
      <c r="F1061" s="14"/>
    </row>
    <row r="1062" spans="1:6" ht="30.75" customHeight="1" thickBot="1" x14ac:dyDescent="0.25">
      <c r="A1062" s="10"/>
      <c r="E1062" s="9"/>
      <c r="F1062" s="14"/>
    </row>
    <row r="1063" spans="1:6" ht="30.75" customHeight="1" thickBot="1" x14ac:dyDescent="0.25">
      <c r="A1063" s="10"/>
      <c r="E1063" s="9"/>
      <c r="F1063" s="14"/>
    </row>
    <row r="1064" spans="1:6" ht="30.75" customHeight="1" thickBot="1" x14ac:dyDescent="0.25">
      <c r="A1064" s="10"/>
      <c r="E1064" s="9"/>
      <c r="F1064" s="14"/>
    </row>
    <row r="1065" spans="1:6" ht="30.75" customHeight="1" thickBot="1" x14ac:dyDescent="0.25">
      <c r="A1065" s="10"/>
      <c r="E1065" s="9"/>
      <c r="F1065" s="14"/>
    </row>
    <row r="1066" spans="1:6" ht="30.75" customHeight="1" thickBot="1" x14ac:dyDescent="0.25">
      <c r="A1066" s="10"/>
      <c r="E1066" s="9"/>
      <c r="F1066" s="14"/>
    </row>
    <row r="1067" spans="1:6" ht="30.75" customHeight="1" thickBot="1" x14ac:dyDescent="0.25">
      <c r="A1067" s="10"/>
      <c r="E1067" s="9"/>
      <c r="F1067" s="14"/>
    </row>
    <row r="1068" spans="1:6" ht="30.75" customHeight="1" thickBot="1" x14ac:dyDescent="0.25">
      <c r="A1068" s="10"/>
      <c r="E1068" s="9"/>
      <c r="F1068" s="14"/>
    </row>
    <row r="1069" spans="1:6" ht="30.75" customHeight="1" thickBot="1" x14ac:dyDescent="0.25">
      <c r="A1069" s="10"/>
      <c r="E1069" s="9"/>
      <c r="F1069" s="14"/>
    </row>
    <row r="1070" spans="1:6" ht="30.75" customHeight="1" thickBot="1" x14ac:dyDescent="0.25">
      <c r="A1070" s="10"/>
      <c r="E1070" s="9"/>
      <c r="F1070" s="14"/>
    </row>
    <row r="1071" spans="1:6" ht="30.75" customHeight="1" thickBot="1" x14ac:dyDescent="0.25">
      <c r="A1071" s="10"/>
      <c r="E1071" s="9"/>
      <c r="F1071" s="14"/>
    </row>
    <row r="1072" spans="1:6" ht="30.75" customHeight="1" thickBot="1" x14ac:dyDescent="0.25">
      <c r="A1072" s="10"/>
      <c r="E1072" s="9"/>
      <c r="F1072" s="14"/>
    </row>
    <row r="1073" spans="1:6" ht="30.75" customHeight="1" thickBot="1" x14ac:dyDescent="0.25">
      <c r="A1073" s="10"/>
      <c r="E1073" s="9"/>
      <c r="F1073" s="14"/>
    </row>
    <row r="1074" spans="1:6" ht="30.75" customHeight="1" thickBot="1" x14ac:dyDescent="0.25">
      <c r="A1074" s="10"/>
      <c r="E1074" s="9"/>
      <c r="F1074" s="14"/>
    </row>
    <row r="1075" spans="1:6" ht="30.75" customHeight="1" thickBot="1" x14ac:dyDescent="0.25">
      <c r="A1075" s="10"/>
      <c r="E1075" s="9"/>
      <c r="F1075" s="14"/>
    </row>
    <row r="1076" spans="1:6" ht="30.75" customHeight="1" thickBot="1" x14ac:dyDescent="0.25">
      <c r="A1076" s="10"/>
      <c r="E1076" s="9"/>
      <c r="F1076" s="14"/>
    </row>
    <row r="1077" spans="1:6" ht="30.75" customHeight="1" thickBot="1" x14ac:dyDescent="0.25">
      <c r="A1077" s="10"/>
      <c r="E1077" s="9"/>
      <c r="F1077" s="14"/>
    </row>
    <row r="1078" spans="1:6" ht="30.75" customHeight="1" thickBot="1" x14ac:dyDescent="0.25">
      <c r="A1078" s="10"/>
      <c r="E1078" s="9"/>
      <c r="F1078" s="14"/>
    </row>
    <row r="1079" spans="1:6" ht="30.75" customHeight="1" thickBot="1" x14ac:dyDescent="0.25">
      <c r="A1079" s="10"/>
      <c r="E1079" s="9"/>
      <c r="F1079" s="14"/>
    </row>
    <row r="1080" spans="1:6" ht="30.75" customHeight="1" thickBot="1" x14ac:dyDescent="0.25">
      <c r="A1080" s="10"/>
      <c r="E1080" s="9"/>
      <c r="F1080" s="14"/>
    </row>
    <row r="1081" spans="1:6" ht="30.75" customHeight="1" thickBot="1" x14ac:dyDescent="0.25">
      <c r="A1081" s="10"/>
      <c r="E1081" s="9"/>
      <c r="F1081" s="14"/>
    </row>
    <row r="1082" spans="1:6" ht="30.75" customHeight="1" thickBot="1" x14ac:dyDescent="0.25">
      <c r="A1082" s="10"/>
      <c r="E1082" s="9"/>
      <c r="F1082" s="14"/>
    </row>
    <row r="1083" spans="1:6" ht="30.75" customHeight="1" thickBot="1" x14ac:dyDescent="0.25">
      <c r="A1083" s="10"/>
      <c r="E1083" s="9"/>
      <c r="F1083" s="14"/>
    </row>
    <row r="1084" spans="1:6" ht="30.75" customHeight="1" thickBot="1" x14ac:dyDescent="0.25">
      <c r="A1084" s="10"/>
      <c r="E1084" s="9"/>
      <c r="F1084" s="14"/>
    </row>
    <row r="1085" spans="1:6" ht="30.75" customHeight="1" thickBot="1" x14ac:dyDescent="0.25">
      <c r="A1085" s="10"/>
      <c r="E1085" s="9"/>
      <c r="F1085" s="14"/>
    </row>
    <row r="1086" spans="1:6" ht="30.75" customHeight="1" thickBot="1" x14ac:dyDescent="0.25">
      <c r="A1086" s="10"/>
      <c r="E1086" s="9"/>
      <c r="F1086" s="14"/>
    </row>
    <row r="1087" spans="1:6" ht="30.75" customHeight="1" thickBot="1" x14ac:dyDescent="0.25">
      <c r="A1087" s="10"/>
      <c r="E1087" s="9"/>
      <c r="F1087" s="14"/>
    </row>
    <row r="1088" spans="1:6" ht="30.75" customHeight="1" thickBot="1" x14ac:dyDescent="0.25">
      <c r="A1088" s="10"/>
      <c r="E1088" s="9"/>
      <c r="F1088" s="14"/>
    </row>
    <row r="1089" spans="1:6" ht="30.75" customHeight="1" thickBot="1" x14ac:dyDescent="0.25">
      <c r="A1089" s="10"/>
      <c r="E1089" s="9"/>
      <c r="F1089" s="14"/>
    </row>
    <row r="1090" spans="1:6" ht="30.75" customHeight="1" thickBot="1" x14ac:dyDescent="0.25">
      <c r="A1090" s="10"/>
      <c r="E1090" s="9"/>
      <c r="F1090" s="14"/>
    </row>
    <row r="1091" spans="1:6" ht="30.75" customHeight="1" thickBot="1" x14ac:dyDescent="0.25">
      <c r="A1091" s="10"/>
      <c r="E1091" s="9"/>
      <c r="F1091" s="14"/>
    </row>
    <row r="1092" spans="1:6" ht="30.75" customHeight="1" thickBot="1" x14ac:dyDescent="0.25">
      <c r="A1092" s="10"/>
      <c r="E1092" s="9"/>
      <c r="F1092" s="14"/>
    </row>
    <row r="1093" spans="1:6" ht="30.75" customHeight="1" thickBot="1" x14ac:dyDescent="0.25">
      <c r="A1093" s="10"/>
      <c r="E1093" s="9"/>
      <c r="F1093" s="14"/>
    </row>
    <row r="1094" spans="1:6" ht="30.75" customHeight="1" thickBot="1" x14ac:dyDescent="0.25">
      <c r="A1094" s="10"/>
      <c r="E1094" s="9"/>
      <c r="F1094" s="14"/>
    </row>
    <row r="1095" spans="1:6" ht="30.75" customHeight="1" thickBot="1" x14ac:dyDescent="0.25">
      <c r="A1095" s="10"/>
      <c r="E1095" s="9"/>
      <c r="F1095" s="14"/>
    </row>
    <row r="1096" spans="1:6" ht="30.75" customHeight="1" thickBot="1" x14ac:dyDescent="0.25">
      <c r="A1096" s="10"/>
      <c r="E1096" s="9"/>
      <c r="F1096" s="14"/>
    </row>
    <row r="1097" spans="1:6" ht="30.75" customHeight="1" thickBot="1" x14ac:dyDescent="0.25">
      <c r="A1097" s="10"/>
      <c r="E1097" s="9"/>
      <c r="F1097" s="14"/>
    </row>
    <row r="1098" spans="1:6" ht="30.75" customHeight="1" thickBot="1" x14ac:dyDescent="0.25">
      <c r="A1098" s="10"/>
      <c r="E1098" s="9"/>
      <c r="F1098" s="14"/>
    </row>
    <row r="1099" spans="1:6" ht="30.75" customHeight="1" thickBot="1" x14ac:dyDescent="0.25">
      <c r="A1099" s="10"/>
      <c r="E1099" s="9"/>
      <c r="F1099" s="14"/>
    </row>
    <row r="1100" spans="1:6" ht="30.75" customHeight="1" thickBot="1" x14ac:dyDescent="0.25">
      <c r="A1100" s="10"/>
      <c r="E1100" s="9"/>
      <c r="F1100" s="14"/>
    </row>
    <row r="1101" spans="1:6" ht="30.75" customHeight="1" thickBot="1" x14ac:dyDescent="0.25">
      <c r="A1101" s="10"/>
      <c r="E1101" s="9"/>
      <c r="F1101" s="14"/>
    </row>
    <row r="1102" spans="1:6" ht="30.75" customHeight="1" thickBot="1" x14ac:dyDescent="0.25">
      <c r="A1102" s="10"/>
      <c r="E1102" s="9"/>
      <c r="F1102" s="14"/>
    </row>
    <row r="1103" spans="1:6" ht="30.75" customHeight="1" thickBot="1" x14ac:dyDescent="0.25">
      <c r="A1103" s="10"/>
      <c r="E1103" s="9"/>
      <c r="F1103" s="14"/>
    </row>
    <row r="1104" spans="1:6" ht="30.75" customHeight="1" thickBot="1" x14ac:dyDescent="0.25">
      <c r="A1104" s="10"/>
      <c r="E1104" s="9"/>
      <c r="F1104" s="14"/>
    </row>
    <row r="1105" spans="1:6" ht="30.75" customHeight="1" thickBot="1" x14ac:dyDescent="0.25">
      <c r="A1105" s="10"/>
      <c r="E1105" s="9"/>
      <c r="F1105" s="14"/>
    </row>
    <row r="1106" spans="1:6" ht="30.75" customHeight="1" thickBot="1" x14ac:dyDescent="0.25">
      <c r="A1106" s="10"/>
      <c r="E1106" s="9"/>
      <c r="F1106" s="14"/>
    </row>
    <row r="1107" spans="1:6" ht="30.75" customHeight="1" thickBot="1" x14ac:dyDescent="0.25">
      <c r="A1107" s="10"/>
      <c r="E1107" s="9"/>
      <c r="F1107" s="14"/>
    </row>
    <row r="1108" spans="1:6" ht="30.75" customHeight="1" thickBot="1" x14ac:dyDescent="0.25">
      <c r="A1108" s="10"/>
      <c r="E1108" s="9"/>
      <c r="F1108" s="14"/>
    </row>
    <row r="1109" spans="1:6" ht="30.75" customHeight="1" thickBot="1" x14ac:dyDescent="0.25">
      <c r="A1109" s="10"/>
      <c r="E1109" s="9"/>
      <c r="F1109" s="14"/>
    </row>
    <row r="1110" spans="1:6" ht="30.75" customHeight="1" thickBot="1" x14ac:dyDescent="0.25">
      <c r="A1110" s="10"/>
      <c r="E1110" s="9"/>
      <c r="F1110" s="14"/>
    </row>
    <row r="1111" spans="1:6" ht="30.75" customHeight="1" thickBot="1" x14ac:dyDescent="0.25">
      <c r="A1111" s="10"/>
      <c r="E1111" s="9"/>
      <c r="F1111" s="14"/>
    </row>
    <row r="1112" spans="1:6" ht="30.75" customHeight="1" thickBot="1" x14ac:dyDescent="0.25">
      <c r="A1112" s="10"/>
      <c r="E1112" s="9"/>
      <c r="F1112" s="14"/>
    </row>
    <row r="1113" spans="1:6" ht="30.75" customHeight="1" thickBot="1" x14ac:dyDescent="0.25">
      <c r="A1113" s="10"/>
      <c r="E1113" s="9"/>
      <c r="F1113" s="14"/>
    </row>
    <row r="1114" spans="1:6" ht="30.75" customHeight="1" thickBot="1" x14ac:dyDescent="0.25">
      <c r="A1114" s="10"/>
      <c r="E1114" s="9"/>
      <c r="F1114" s="14"/>
    </row>
    <row r="1115" spans="1:6" ht="30.75" customHeight="1" thickBot="1" x14ac:dyDescent="0.25">
      <c r="A1115" s="10"/>
      <c r="E1115" s="9"/>
      <c r="F1115" s="14"/>
    </row>
    <row r="1116" spans="1:6" ht="30.75" customHeight="1" thickBot="1" x14ac:dyDescent="0.25">
      <c r="A1116" s="10"/>
      <c r="E1116" s="9"/>
      <c r="F1116" s="14"/>
    </row>
    <row r="1117" spans="1:6" ht="30.75" customHeight="1" thickBot="1" x14ac:dyDescent="0.25">
      <c r="A1117" s="10"/>
      <c r="E1117" s="9"/>
      <c r="F1117" s="14"/>
    </row>
    <row r="1118" spans="1:6" ht="30.75" customHeight="1" thickBot="1" x14ac:dyDescent="0.25">
      <c r="A1118" s="10"/>
      <c r="E1118" s="9"/>
      <c r="F1118" s="14"/>
    </row>
    <row r="1119" spans="1:6" ht="30.75" customHeight="1" thickBot="1" x14ac:dyDescent="0.25">
      <c r="A1119" s="10"/>
      <c r="E1119" s="9"/>
      <c r="F1119" s="14"/>
    </row>
    <row r="1120" spans="1:6" ht="30.75" customHeight="1" thickBot="1" x14ac:dyDescent="0.25">
      <c r="A1120" s="10"/>
      <c r="E1120" s="9"/>
      <c r="F1120" s="14"/>
    </row>
    <row r="1121" spans="1:6" ht="30.75" customHeight="1" thickBot="1" x14ac:dyDescent="0.25">
      <c r="A1121" s="10"/>
      <c r="E1121" s="9"/>
      <c r="F1121" s="14"/>
    </row>
    <row r="1122" spans="1:6" ht="30.75" customHeight="1" thickBot="1" x14ac:dyDescent="0.25">
      <c r="A1122" s="10"/>
      <c r="E1122" s="9"/>
      <c r="F1122" s="14"/>
    </row>
    <row r="1123" spans="1:6" ht="30.75" customHeight="1" thickBot="1" x14ac:dyDescent="0.25">
      <c r="A1123" s="10"/>
      <c r="E1123" s="9"/>
      <c r="F1123" s="14"/>
    </row>
    <row r="1124" spans="1:6" ht="30.75" customHeight="1" thickBot="1" x14ac:dyDescent="0.25">
      <c r="A1124" s="10"/>
      <c r="E1124" s="9"/>
      <c r="F1124" s="14"/>
    </row>
    <row r="1125" spans="1:6" ht="30.75" customHeight="1" thickBot="1" x14ac:dyDescent="0.25">
      <c r="A1125" s="10"/>
      <c r="E1125" s="9"/>
      <c r="F1125" s="14"/>
    </row>
    <row r="1126" spans="1:6" ht="30.75" customHeight="1" thickBot="1" x14ac:dyDescent="0.25">
      <c r="A1126" s="10"/>
      <c r="E1126" s="9"/>
      <c r="F1126" s="14"/>
    </row>
    <row r="1127" spans="1:6" ht="30.75" customHeight="1" thickBot="1" x14ac:dyDescent="0.25">
      <c r="A1127" s="10"/>
      <c r="E1127" s="9"/>
      <c r="F1127" s="14"/>
    </row>
    <row r="1128" spans="1:6" ht="30.75" customHeight="1" thickBot="1" x14ac:dyDescent="0.25">
      <c r="A1128" s="10"/>
      <c r="E1128" s="9"/>
      <c r="F1128" s="14"/>
    </row>
    <row r="1129" spans="1:6" ht="30.75" customHeight="1" thickBot="1" x14ac:dyDescent="0.25">
      <c r="A1129" s="10"/>
      <c r="E1129" s="9"/>
      <c r="F1129" s="14"/>
    </row>
    <row r="1130" spans="1:6" ht="30.75" customHeight="1" thickBot="1" x14ac:dyDescent="0.25">
      <c r="A1130" s="10"/>
      <c r="E1130" s="9"/>
      <c r="F1130" s="14"/>
    </row>
    <row r="1131" spans="1:6" ht="30.75" customHeight="1" thickBot="1" x14ac:dyDescent="0.25">
      <c r="A1131" s="10"/>
      <c r="E1131" s="9"/>
      <c r="F1131" s="14"/>
    </row>
    <row r="1132" spans="1:6" ht="30.75" customHeight="1" thickBot="1" x14ac:dyDescent="0.25">
      <c r="A1132" s="10"/>
      <c r="E1132" s="9"/>
      <c r="F1132" s="14"/>
    </row>
    <row r="1133" spans="1:6" ht="30.75" customHeight="1" thickBot="1" x14ac:dyDescent="0.25">
      <c r="A1133" s="10"/>
      <c r="E1133" s="9"/>
      <c r="F1133" s="14"/>
    </row>
    <row r="1134" spans="1:6" ht="30.75" customHeight="1" thickBot="1" x14ac:dyDescent="0.25">
      <c r="A1134" s="10"/>
      <c r="E1134" s="9"/>
      <c r="F1134" s="14"/>
    </row>
    <row r="1135" spans="1:6" ht="30.75" customHeight="1" thickBot="1" x14ac:dyDescent="0.25">
      <c r="A1135" s="10"/>
      <c r="E1135" s="9"/>
      <c r="F1135" s="14"/>
    </row>
    <row r="1136" spans="1:6" ht="30.75" customHeight="1" thickBot="1" x14ac:dyDescent="0.25">
      <c r="A1136" s="10"/>
      <c r="E1136" s="9"/>
      <c r="F1136" s="14"/>
    </row>
    <row r="1137" spans="1:6" ht="30.75" customHeight="1" thickBot="1" x14ac:dyDescent="0.25">
      <c r="A1137" s="10"/>
      <c r="E1137" s="9"/>
      <c r="F1137" s="14"/>
    </row>
    <row r="1138" spans="1:6" ht="30.75" customHeight="1" thickBot="1" x14ac:dyDescent="0.25">
      <c r="A1138" s="10"/>
      <c r="E1138" s="9"/>
      <c r="F1138" s="14"/>
    </row>
    <row r="1139" spans="1:6" ht="30.75" customHeight="1" thickBot="1" x14ac:dyDescent="0.25">
      <c r="A1139" s="10"/>
      <c r="E1139" s="9"/>
      <c r="F1139" s="14"/>
    </row>
    <row r="1140" spans="1:6" ht="30.75" customHeight="1" thickBot="1" x14ac:dyDescent="0.25">
      <c r="A1140" s="10"/>
      <c r="E1140" s="9"/>
      <c r="F1140" s="14"/>
    </row>
    <row r="1141" spans="1:6" ht="30.75" customHeight="1" thickBot="1" x14ac:dyDescent="0.25">
      <c r="A1141" s="10"/>
      <c r="E1141" s="9"/>
      <c r="F1141" s="14"/>
    </row>
    <row r="1142" spans="1:6" ht="30.75" customHeight="1" thickBot="1" x14ac:dyDescent="0.25">
      <c r="A1142" s="10"/>
      <c r="E1142" s="9"/>
      <c r="F1142" s="14"/>
    </row>
    <row r="1143" spans="1:6" ht="30.75" customHeight="1" thickBot="1" x14ac:dyDescent="0.25">
      <c r="A1143" s="10"/>
      <c r="E1143" s="9"/>
      <c r="F1143" s="14"/>
    </row>
    <row r="1144" spans="1:6" ht="30.75" customHeight="1" thickBot="1" x14ac:dyDescent="0.25">
      <c r="A1144" s="10"/>
      <c r="E1144" s="9"/>
      <c r="F1144" s="14"/>
    </row>
    <row r="1145" spans="1:6" ht="30.75" customHeight="1" thickBot="1" x14ac:dyDescent="0.25">
      <c r="A1145" s="10"/>
      <c r="E1145" s="9"/>
      <c r="F1145" s="14"/>
    </row>
    <row r="1146" spans="1:6" ht="30.75" customHeight="1" thickBot="1" x14ac:dyDescent="0.25">
      <c r="A1146" s="10"/>
      <c r="E1146" s="9"/>
      <c r="F1146" s="14"/>
    </row>
    <row r="1147" spans="1:6" ht="30.75" customHeight="1" thickBot="1" x14ac:dyDescent="0.25">
      <c r="A1147" s="10"/>
      <c r="E1147" s="9"/>
      <c r="F1147" s="14"/>
    </row>
    <row r="1148" spans="1:6" ht="30.75" customHeight="1" thickBot="1" x14ac:dyDescent="0.25">
      <c r="A1148" s="10"/>
      <c r="E1148" s="9"/>
      <c r="F1148" s="14"/>
    </row>
    <row r="1149" spans="1:6" ht="30.75" customHeight="1" thickBot="1" x14ac:dyDescent="0.25">
      <c r="A1149" s="10"/>
      <c r="E1149" s="9"/>
      <c r="F1149" s="14"/>
    </row>
    <row r="1150" spans="1:6" ht="30.75" customHeight="1" thickBot="1" x14ac:dyDescent="0.25">
      <c r="A1150" s="10"/>
      <c r="E1150" s="9"/>
      <c r="F1150" s="14"/>
    </row>
    <row r="1151" spans="1:6" ht="30.75" customHeight="1" thickBot="1" x14ac:dyDescent="0.25">
      <c r="A1151" s="10"/>
      <c r="E1151" s="9"/>
      <c r="F1151" s="14"/>
    </row>
    <row r="1152" spans="1:6" ht="30.75" customHeight="1" thickBot="1" x14ac:dyDescent="0.25">
      <c r="A1152" s="10"/>
      <c r="E1152" s="9"/>
      <c r="F1152" s="14"/>
    </row>
    <row r="1153" spans="1:6" ht="30.75" customHeight="1" thickBot="1" x14ac:dyDescent="0.25">
      <c r="A1153" s="10"/>
      <c r="E1153" s="9"/>
      <c r="F1153" s="14"/>
    </row>
    <row r="1154" spans="1:6" ht="30.75" customHeight="1" thickBot="1" x14ac:dyDescent="0.25">
      <c r="A1154" s="10"/>
      <c r="E1154" s="9"/>
      <c r="F1154" s="14"/>
    </row>
    <row r="1155" spans="1:6" ht="30.75" customHeight="1" thickBot="1" x14ac:dyDescent="0.25">
      <c r="A1155" s="10"/>
      <c r="E1155" s="9"/>
      <c r="F1155" s="14"/>
    </row>
    <row r="1156" spans="1:6" ht="30.75" customHeight="1" thickBot="1" x14ac:dyDescent="0.25">
      <c r="A1156" s="10"/>
      <c r="E1156" s="9"/>
      <c r="F1156" s="14"/>
    </row>
    <row r="1157" spans="1:6" ht="30.75" customHeight="1" thickBot="1" x14ac:dyDescent="0.25">
      <c r="A1157" s="10"/>
      <c r="E1157" s="9"/>
      <c r="F1157" s="14"/>
    </row>
    <row r="1158" spans="1:6" ht="30.75" customHeight="1" thickBot="1" x14ac:dyDescent="0.25">
      <c r="A1158" s="10"/>
      <c r="E1158" s="9"/>
      <c r="F1158" s="14"/>
    </row>
    <row r="1159" spans="1:6" ht="30.75" customHeight="1" thickBot="1" x14ac:dyDescent="0.25">
      <c r="A1159" s="10"/>
      <c r="E1159" s="9"/>
      <c r="F1159" s="14"/>
    </row>
    <row r="1160" spans="1:6" ht="30.75" customHeight="1" thickBot="1" x14ac:dyDescent="0.25">
      <c r="A1160" s="10"/>
      <c r="E1160" s="9"/>
      <c r="F1160" s="14"/>
    </row>
    <row r="1161" spans="1:6" ht="30.75" customHeight="1" thickBot="1" x14ac:dyDescent="0.25">
      <c r="A1161" s="10"/>
      <c r="E1161" s="9"/>
      <c r="F1161" s="14"/>
    </row>
    <row r="1162" spans="1:6" ht="30.75" customHeight="1" thickBot="1" x14ac:dyDescent="0.25">
      <c r="A1162" s="10"/>
      <c r="E1162" s="9"/>
      <c r="F1162" s="14"/>
    </row>
    <row r="1163" spans="1:6" ht="30.75" customHeight="1" thickBot="1" x14ac:dyDescent="0.25">
      <c r="A1163" s="10"/>
      <c r="E1163" s="9"/>
      <c r="F1163" s="14"/>
    </row>
    <row r="1164" spans="1:6" ht="30.75" customHeight="1" thickBot="1" x14ac:dyDescent="0.25">
      <c r="A1164" s="10"/>
      <c r="E1164" s="9"/>
      <c r="F1164" s="14"/>
    </row>
    <row r="1165" spans="1:6" ht="30.75" customHeight="1" thickBot="1" x14ac:dyDescent="0.25">
      <c r="A1165" s="10"/>
      <c r="E1165" s="9"/>
      <c r="F1165" s="14"/>
    </row>
    <row r="1166" spans="1:6" ht="30.75" customHeight="1" thickBot="1" x14ac:dyDescent="0.25">
      <c r="A1166" s="10"/>
      <c r="E1166" s="9"/>
      <c r="F1166" s="14"/>
    </row>
    <row r="1167" spans="1:6" ht="30.75" customHeight="1" thickBot="1" x14ac:dyDescent="0.25">
      <c r="A1167" s="10"/>
      <c r="E1167" s="9"/>
      <c r="F1167" s="14"/>
    </row>
    <row r="1168" spans="1:6" ht="30.75" customHeight="1" thickBot="1" x14ac:dyDescent="0.25">
      <c r="A1168" s="10"/>
      <c r="E1168" s="9"/>
      <c r="F1168" s="14"/>
    </row>
    <row r="1169" spans="1:6" ht="30.75" customHeight="1" thickBot="1" x14ac:dyDescent="0.25">
      <c r="A1169" s="10"/>
      <c r="E1169" s="9"/>
      <c r="F1169" s="14"/>
    </row>
    <row r="1170" spans="1:6" ht="30.75" customHeight="1" thickBot="1" x14ac:dyDescent="0.25">
      <c r="A1170" s="10"/>
      <c r="E1170" s="9"/>
      <c r="F1170" s="14"/>
    </row>
    <row r="1171" spans="1:6" ht="30.75" customHeight="1" thickBot="1" x14ac:dyDescent="0.25">
      <c r="A1171" s="10"/>
      <c r="E1171" s="9"/>
      <c r="F1171" s="14"/>
    </row>
    <row r="1172" spans="1:6" ht="30.75" customHeight="1" thickBot="1" x14ac:dyDescent="0.25">
      <c r="A1172" s="10"/>
      <c r="E1172" s="9"/>
      <c r="F1172" s="14"/>
    </row>
    <row r="1173" spans="1:6" ht="30.75" customHeight="1" thickBot="1" x14ac:dyDescent="0.25">
      <c r="A1173" s="10"/>
      <c r="E1173" s="9"/>
      <c r="F1173" s="14"/>
    </row>
    <row r="1174" spans="1:6" ht="30.75" customHeight="1" thickBot="1" x14ac:dyDescent="0.25">
      <c r="A1174" s="10"/>
      <c r="E1174" s="9"/>
      <c r="F1174" s="14"/>
    </row>
    <row r="1175" spans="1:6" ht="30.75" customHeight="1" thickBot="1" x14ac:dyDescent="0.25">
      <c r="A1175" s="10"/>
      <c r="E1175" s="9"/>
      <c r="F1175" s="14"/>
    </row>
    <row r="1176" spans="1:6" ht="30.75" customHeight="1" thickBot="1" x14ac:dyDescent="0.25">
      <c r="A1176" s="10"/>
      <c r="E1176" s="9"/>
      <c r="F1176" s="14"/>
    </row>
    <row r="1177" spans="1:6" ht="30.75" customHeight="1" thickBot="1" x14ac:dyDescent="0.25">
      <c r="A1177" s="10"/>
      <c r="E1177" s="9"/>
      <c r="F1177" s="14"/>
    </row>
    <row r="1178" spans="1:6" ht="30.75" customHeight="1" thickBot="1" x14ac:dyDescent="0.25">
      <c r="A1178" s="10"/>
      <c r="E1178" s="9"/>
      <c r="F1178" s="14"/>
    </row>
    <row r="1179" spans="1:6" ht="30.75" customHeight="1" thickBot="1" x14ac:dyDescent="0.25">
      <c r="A1179" s="10"/>
      <c r="E1179" s="9"/>
      <c r="F1179" s="14"/>
    </row>
    <row r="1180" spans="1:6" ht="30.75" customHeight="1" thickBot="1" x14ac:dyDescent="0.25">
      <c r="A1180" s="10"/>
      <c r="E1180" s="9"/>
      <c r="F1180" s="14"/>
    </row>
    <row r="1181" spans="1:6" ht="30.75" customHeight="1" thickBot="1" x14ac:dyDescent="0.25">
      <c r="A1181" s="10"/>
      <c r="E1181" s="9"/>
      <c r="F1181" s="14"/>
    </row>
    <row r="1182" spans="1:6" ht="30.75" customHeight="1" thickBot="1" x14ac:dyDescent="0.25">
      <c r="A1182" s="10"/>
      <c r="E1182" s="9"/>
      <c r="F1182" s="14"/>
    </row>
    <row r="1183" spans="1:6" ht="30.75" customHeight="1" thickBot="1" x14ac:dyDescent="0.25">
      <c r="A1183" s="10"/>
      <c r="E1183" s="9"/>
      <c r="F1183" s="14"/>
    </row>
    <row r="1184" spans="1:6" ht="30.75" customHeight="1" thickBot="1" x14ac:dyDescent="0.25">
      <c r="A1184" s="10"/>
      <c r="E1184" s="9"/>
      <c r="F1184" s="14"/>
    </row>
    <row r="1185" spans="1:6" ht="30.75" customHeight="1" thickBot="1" x14ac:dyDescent="0.25">
      <c r="A1185" s="10"/>
      <c r="E1185" s="9"/>
      <c r="F1185" s="14"/>
    </row>
    <row r="1186" spans="1:6" ht="30.75" customHeight="1" thickBot="1" x14ac:dyDescent="0.25">
      <c r="A1186" s="10"/>
      <c r="E1186" s="9"/>
      <c r="F1186" s="14"/>
    </row>
    <row r="1187" spans="1:6" ht="30.75" customHeight="1" thickBot="1" x14ac:dyDescent="0.25">
      <c r="A1187" s="10"/>
      <c r="E1187" s="9"/>
      <c r="F1187" s="14"/>
    </row>
    <row r="1188" spans="1:6" ht="30.75" customHeight="1" thickBot="1" x14ac:dyDescent="0.25">
      <c r="A1188" s="10"/>
      <c r="E1188" s="9"/>
      <c r="F1188" s="14"/>
    </row>
    <row r="1189" spans="1:6" ht="30.75" customHeight="1" thickBot="1" x14ac:dyDescent="0.25">
      <c r="A1189" s="10"/>
      <c r="E1189" s="9"/>
      <c r="F1189" s="14"/>
    </row>
    <row r="1190" spans="1:6" ht="30.75" customHeight="1" thickBot="1" x14ac:dyDescent="0.25">
      <c r="A1190" s="10"/>
      <c r="E1190" s="9"/>
      <c r="F1190" s="14"/>
    </row>
    <row r="1191" spans="1:6" ht="30.75" customHeight="1" thickBot="1" x14ac:dyDescent="0.25">
      <c r="A1191" s="10"/>
      <c r="E1191" s="9"/>
      <c r="F1191" s="14"/>
    </row>
    <row r="1192" spans="1:6" ht="30.75" customHeight="1" thickBot="1" x14ac:dyDescent="0.25">
      <c r="A1192" s="10"/>
      <c r="E1192" s="9"/>
      <c r="F1192" s="14"/>
    </row>
    <row r="1193" spans="1:6" ht="30.75" customHeight="1" thickBot="1" x14ac:dyDescent="0.25">
      <c r="A1193" s="10"/>
      <c r="E1193" s="9"/>
      <c r="F1193" s="14"/>
    </row>
    <row r="1194" spans="1:6" ht="30.75" customHeight="1" thickBot="1" x14ac:dyDescent="0.25">
      <c r="A1194" s="10"/>
      <c r="E1194" s="9"/>
      <c r="F1194" s="14"/>
    </row>
    <row r="1195" spans="1:6" ht="30.75" customHeight="1" thickBot="1" x14ac:dyDescent="0.25">
      <c r="A1195" s="10"/>
      <c r="E1195" s="9"/>
      <c r="F1195" s="14"/>
    </row>
    <row r="1196" spans="1:6" ht="30.75" customHeight="1" thickBot="1" x14ac:dyDescent="0.25">
      <c r="A1196" s="10"/>
      <c r="E1196" s="9"/>
      <c r="F1196" s="14"/>
    </row>
    <row r="1197" spans="1:6" ht="30.75" customHeight="1" thickBot="1" x14ac:dyDescent="0.25">
      <c r="A1197" s="10"/>
      <c r="E1197" s="9"/>
      <c r="F1197" s="14"/>
    </row>
    <row r="1198" spans="1:6" ht="30.75" customHeight="1" thickBot="1" x14ac:dyDescent="0.25">
      <c r="A1198" s="10"/>
      <c r="E1198" s="9"/>
      <c r="F1198" s="14"/>
    </row>
    <row r="1199" spans="1:6" ht="30.75" customHeight="1" thickBot="1" x14ac:dyDescent="0.25">
      <c r="A1199" s="10"/>
      <c r="E1199" s="9"/>
      <c r="F1199" s="14"/>
    </row>
    <row r="1200" spans="1:6" ht="30.75" customHeight="1" thickBot="1" x14ac:dyDescent="0.25">
      <c r="A1200" s="10"/>
      <c r="E1200" s="9"/>
      <c r="F1200" s="14"/>
    </row>
    <row r="1201" spans="1:6" ht="30.75" customHeight="1" thickBot="1" x14ac:dyDescent="0.25">
      <c r="A1201" s="10"/>
      <c r="E1201" s="9"/>
      <c r="F1201" s="14"/>
    </row>
    <row r="1202" spans="1:6" ht="30.75" customHeight="1" thickBot="1" x14ac:dyDescent="0.25">
      <c r="A1202" s="10"/>
      <c r="E1202" s="9"/>
      <c r="F1202" s="14"/>
    </row>
    <row r="1203" spans="1:6" ht="30.75" customHeight="1" thickBot="1" x14ac:dyDescent="0.25">
      <c r="A1203" s="10"/>
      <c r="E1203" s="9"/>
      <c r="F1203" s="14"/>
    </row>
    <row r="1204" spans="1:6" ht="30.75" customHeight="1" thickBot="1" x14ac:dyDescent="0.25">
      <c r="A1204" s="10"/>
      <c r="E1204" s="9"/>
      <c r="F1204" s="14"/>
    </row>
    <row r="1205" spans="1:6" ht="30.75" customHeight="1" thickBot="1" x14ac:dyDescent="0.25">
      <c r="A1205" s="10"/>
      <c r="E1205" s="9"/>
      <c r="F1205" s="14"/>
    </row>
    <row r="1206" spans="1:6" ht="30.75" customHeight="1" thickBot="1" x14ac:dyDescent="0.25">
      <c r="A1206" s="10"/>
      <c r="E1206" s="9"/>
      <c r="F1206" s="14"/>
    </row>
    <row r="1207" spans="1:6" ht="30.75" customHeight="1" thickBot="1" x14ac:dyDescent="0.25">
      <c r="A1207" s="10"/>
      <c r="E1207" s="9"/>
      <c r="F1207" s="14"/>
    </row>
    <row r="1208" spans="1:6" ht="30.75" customHeight="1" thickBot="1" x14ac:dyDescent="0.25">
      <c r="A1208" s="10"/>
      <c r="E1208" s="9"/>
      <c r="F1208" s="14"/>
    </row>
    <row r="1209" spans="1:6" ht="30.75" customHeight="1" thickBot="1" x14ac:dyDescent="0.25">
      <c r="A1209" s="10"/>
      <c r="E1209" s="9"/>
      <c r="F1209" s="14"/>
    </row>
    <row r="1210" spans="1:6" ht="30.75" customHeight="1" thickBot="1" x14ac:dyDescent="0.25">
      <c r="A1210" s="10"/>
      <c r="E1210" s="9"/>
      <c r="F1210" s="14"/>
    </row>
    <row r="1211" spans="1:6" ht="30.75" customHeight="1" thickBot="1" x14ac:dyDescent="0.25">
      <c r="A1211" s="10"/>
      <c r="E1211" s="9"/>
      <c r="F1211" s="14"/>
    </row>
    <row r="1212" spans="1:6" ht="30.75" customHeight="1" thickBot="1" x14ac:dyDescent="0.25">
      <c r="A1212" s="10"/>
      <c r="E1212" s="9"/>
      <c r="F1212" s="14"/>
    </row>
    <row r="1213" spans="1:6" ht="30.75" customHeight="1" thickBot="1" x14ac:dyDescent="0.25">
      <c r="A1213" s="10"/>
      <c r="E1213" s="9"/>
      <c r="F1213" s="14"/>
    </row>
    <row r="1214" spans="1:6" ht="30.75" customHeight="1" thickBot="1" x14ac:dyDescent="0.25">
      <c r="A1214" s="10"/>
      <c r="E1214" s="9"/>
      <c r="F1214" s="14"/>
    </row>
    <row r="1215" spans="1:6" ht="30.75" customHeight="1" thickBot="1" x14ac:dyDescent="0.25">
      <c r="A1215" s="10"/>
      <c r="E1215" s="9"/>
      <c r="F1215" s="14"/>
    </row>
    <row r="1216" spans="1:6" ht="30.75" customHeight="1" thickBot="1" x14ac:dyDescent="0.25">
      <c r="A1216" s="10"/>
      <c r="E1216" s="9"/>
      <c r="F1216" s="14"/>
    </row>
    <row r="1217" spans="1:6" ht="30.75" customHeight="1" thickBot="1" x14ac:dyDescent="0.25">
      <c r="A1217" s="10"/>
      <c r="E1217" s="9"/>
      <c r="F1217" s="14"/>
    </row>
    <row r="1218" spans="1:6" ht="30.75" customHeight="1" thickBot="1" x14ac:dyDescent="0.25">
      <c r="A1218" s="10"/>
      <c r="E1218" s="9"/>
      <c r="F1218" s="14"/>
    </row>
    <row r="1219" spans="1:6" ht="30.75" customHeight="1" thickBot="1" x14ac:dyDescent="0.25">
      <c r="A1219" s="10"/>
      <c r="E1219" s="9"/>
      <c r="F1219" s="14"/>
    </row>
    <row r="1220" spans="1:6" ht="30.75" customHeight="1" thickBot="1" x14ac:dyDescent="0.25">
      <c r="A1220" s="10"/>
      <c r="E1220" s="9"/>
      <c r="F1220" s="14"/>
    </row>
    <row r="1221" spans="1:6" ht="30.75" customHeight="1" thickBot="1" x14ac:dyDescent="0.25">
      <c r="A1221" s="10"/>
      <c r="E1221" s="9"/>
      <c r="F1221" s="14"/>
    </row>
    <row r="1222" spans="1:6" ht="30.75" customHeight="1" thickBot="1" x14ac:dyDescent="0.25">
      <c r="A1222" s="10"/>
      <c r="E1222" s="9"/>
      <c r="F1222" s="14"/>
    </row>
    <row r="1223" spans="1:6" ht="30.75" customHeight="1" thickBot="1" x14ac:dyDescent="0.25">
      <c r="A1223" s="10"/>
      <c r="E1223" s="9"/>
      <c r="F1223" s="14"/>
    </row>
    <row r="1224" spans="1:6" ht="30.75" customHeight="1" thickBot="1" x14ac:dyDescent="0.25">
      <c r="A1224" s="10"/>
      <c r="E1224" s="9"/>
      <c r="F1224" s="14"/>
    </row>
    <row r="1225" spans="1:6" ht="30.75" customHeight="1" thickBot="1" x14ac:dyDescent="0.25">
      <c r="A1225" s="10"/>
      <c r="E1225" s="9"/>
      <c r="F1225" s="14"/>
    </row>
    <row r="1226" spans="1:6" ht="30.75" customHeight="1" thickBot="1" x14ac:dyDescent="0.25">
      <c r="A1226" s="10"/>
      <c r="E1226" s="9"/>
      <c r="F1226" s="14"/>
    </row>
    <row r="1227" spans="1:6" ht="30.75" customHeight="1" thickBot="1" x14ac:dyDescent="0.25">
      <c r="A1227" s="10"/>
      <c r="E1227" s="9"/>
      <c r="F1227" s="14"/>
    </row>
    <row r="1228" spans="1:6" ht="30.75" customHeight="1" thickBot="1" x14ac:dyDescent="0.25">
      <c r="A1228" s="10"/>
      <c r="E1228" s="9"/>
      <c r="F1228" s="14"/>
    </row>
    <row r="1229" spans="1:6" ht="30.75" customHeight="1" thickBot="1" x14ac:dyDescent="0.25">
      <c r="A1229" s="10"/>
      <c r="E1229" s="9"/>
      <c r="F1229" s="14"/>
    </row>
    <row r="1230" spans="1:6" ht="30.75" customHeight="1" thickBot="1" x14ac:dyDescent="0.25">
      <c r="A1230" s="10"/>
      <c r="E1230" s="9"/>
      <c r="F1230" s="14"/>
    </row>
    <row r="1231" spans="1:6" ht="30.75" customHeight="1" thickBot="1" x14ac:dyDescent="0.25">
      <c r="A1231" s="10"/>
      <c r="E1231" s="9"/>
      <c r="F1231" s="14"/>
    </row>
    <row r="1232" spans="1:6" ht="30.75" customHeight="1" thickBot="1" x14ac:dyDescent="0.25">
      <c r="A1232" s="10"/>
      <c r="E1232" s="9"/>
      <c r="F1232" s="14"/>
    </row>
    <row r="1233" spans="1:6" ht="30.75" customHeight="1" thickBot="1" x14ac:dyDescent="0.25">
      <c r="A1233" s="10"/>
      <c r="E1233" s="9"/>
      <c r="F1233" s="14"/>
    </row>
    <row r="1234" spans="1:6" ht="30.75" customHeight="1" thickBot="1" x14ac:dyDescent="0.25">
      <c r="A1234" s="10"/>
      <c r="E1234" s="9"/>
      <c r="F1234" s="14"/>
    </row>
    <row r="1235" spans="1:6" ht="30.75" customHeight="1" thickBot="1" x14ac:dyDescent="0.25">
      <c r="A1235" s="10"/>
      <c r="E1235" s="9"/>
      <c r="F1235" s="14"/>
    </row>
    <row r="1236" spans="1:6" ht="30.75" customHeight="1" thickBot="1" x14ac:dyDescent="0.25">
      <c r="A1236" s="10"/>
      <c r="E1236" s="9"/>
      <c r="F1236" s="14"/>
    </row>
    <row r="1237" spans="1:6" ht="30.75" customHeight="1" thickBot="1" x14ac:dyDescent="0.25">
      <c r="A1237" s="10"/>
      <c r="E1237" s="9"/>
      <c r="F1237" s="14"/>
    </row>
    <row r="1238" spans="1:6" ht="30.75" customHeight="1" thickBot="1" x14ac:dyDescent="0.25">
      <c r="A1238" s="10"/>
      <c r="E1238" s="9"/>
      <c r="F1238" s="14"/>
    </row>
    <row r="1239" spans="1:6" ht="30.75" customHeight="1" thickBot="1" x14ac:dyDescent="0.25">
      <c r="A1239" s="10"/>
      <c r="E1239" s="9"/>
      <c r="F1239" s="14"/>
    </row>
    <row r="1240" spans="1:6" ht="30.75" customHeight="1" thickBot="1" x14ac:dyDescent="0.25">
      <c r="A1240" s="10"/>
      <c r="E1240" s="9"/>
      <c r="F1240" s="14"/>
    </row>
    <row r="1241" spans="1:6" ht="30.75" customHeight="1" thickBot="1" x14ac:dyDescent="0.25">
      <c r="A1241" s="10"/>
      <c r="E1241" s="9"/>
      <c r="F1241" s="14"/>
    </row>
    <row r="1242" spans="1:6" ht="30.75" customHeight="1" thickBot="1" x14ac:dyDescent="0.25">
      <c r="A1242" s="10"/>
      <c r="E1242" s="9"/>
      <c r="F1242" s="14"/>
    </row>
    <row r="1243" spans="1:6" ht="30.75" customHeight="1" thickBot="1" x14ac:dyDescent="0.25">
      <c r="A1243" s="10"/>
      <c r="E1243" s="9"/>
      <c r="F1243" s="14"/>
    </row>
    <row r="1244" spans="1:6" ht="30.75" customHeight="1" thickBot="1" x14ac:dyDescent="0.25">
      <c r="A1244" s="10"/>
      <c r="E1244" s="9"/>
      <c r="F1244" s="14"/>
    </row>
    <row r="1245" spans="1:6" ht="30.75" customHeight="1" thickBot="1" x14ac:dyDescent="0.25">
      <c r="A1245" s="10"/>
      <c r="E1245" s="9"/>
      <c r="F1245" s="14"/>
    </row>
    <row r="1246" spans="1:6" ht="30.75" customHeight="1" thickBot="1" x14ac:dyDescent="0.25">
      <c r="A1246" s="10"/>
      <c r="E1246" s="9"/>
      <c r="F1246" s="14"/>
    </row>
    <row r="1247" spans="1:6" ht="30.75" customHeight="1" thickBot="1" x14ac:dyDescent="0.25">
      <c r="A1247" s="10"/>
      <c r="E1247" s="9"/>
      <c r="F1247" s="14"/>
    </row>
    <row r="1248" spans="1:6" ht="30.75" customHeight="1" thickBot="1" x14ac:dyDescent="0.25">
      <c r="A1248" s="10"/>
      <c r="E1248" s="9"/>
      <c r="F1248" s="14"/>
    </row>
    <row r="1249" spans="1:6" ht="30.75" customHeight="1" thickBot="1" x14ac:dyDescent="0.25">
      <c r="A1249" s="10"/>
      <c r="E1249" s="9"/>
      <c r="F1249" s="14"/>
    </row>
    <row r="1250" spans="1:6" ht="30.75" customHeight="1" thickBot="1" x14ac:dyDescent="0.25">
      <c r="A1250" s="10"/>
      <c r="E1250" s="9"/>
      <c r="F1250" s="14"/>
    </row>
    <row r="1251" spans="1:6" ht="30.75" customHeight="1" thickBot="1" x14ac:dyDescent="0.25">
      <c r="A1251" s="10"/>
      <c r="E1251" s="9"/>
      <c r="F1251" s="14"/>
    </row>
    <row r="1252" spans="1:6" ht="30.75" customHeight="1" thickBot="1" x14ac:dyDescent="0.25">
      <c r="A1252" s="10"/>
      <c r="E1252" s="9"/>
      <c r="F1252" s="14"/>
    </row>
    <row r="1253" spans="1:6" ht="30.75" customHeight="1" thickBot="1" x14ac:dyDescent="0.25">
      <c r="A1253" s="10"/>
      <c r="E1253" s="9"/>
      <c r="F1253" s="14"/>
    </row>
    <row r="1254" spans="1:6" ht="30.75" customHeight="1" thickBot="1" x14ac:dyDescent="0.25">
      <c r="A1254" s="10"/>
      <c r="E1254" s="9"/>
      <c r="F1254" s="14"/>
    </row>
    <row r="1255" spans="1:6" ht="30.75" customHeight="1" thickBot="1" x14ac:dyDescent="0.25">
      <c r="A1255" s="10"/>
      <c r="E1255" s="9"/>
      <c r="F1255" s="14"/>
    </row>
    <row r="1256" spans="1:6" ht="30.75" customHeight="1" thickBot="1" x14ac:dyDescent="0.25">
      <c r="A1256" s="10"/>
      <c r="E1256" s="9"/>
      <c r="F1256" s="14"/>
    </row>
    <row r="1257" spans="1:6" ht="30.75" customHeight="1" thickBot="1" x14ac:dyDescent="0.25">
      <c r="A1257" s="10"/>
      <c r="E1257" s="9"/>
      <c r="F1257" s="14"/>
    </row>
    <row r="1258" spans="1:6" ht="30.75" customHeight="1" thickBot="1" x14ac:dyDescent="0.25">
      <c r="A1258" s="10"/>
      <c r="E1258" s="9"/>
      <c r="F1258" s="14"/>
    </row>
    <row r="1259" spans="1:6" ht="30.75" customHeight="1" thickBot="1" x14ac:dyDescent="0.25">
      <c r="A1259" s="10"/>
      <c r="E1259" s="9"/>
      <c r="F1259" s="14"/>
    </row>
    <row r="1260" spans="1:6" ht="30.75" customHeight="1" thickBot="1" x14ac:dyDescent="0.25">
      <c r="A1260" s="10"/>
      <c r="E1260" s="9"/>
      <c r="F1260" s="14"/>
    </row>
    <row r="1261" spans="1:6" ht="30.75" customHeight="1" thickBot="1" x14ac:dyDescent="0.25">
      <c r="A1261" s="10"/>
      <c r="E1261" s="9"/>
      <c r="F1261" s="14"/>
    </row>
    <row r="1262" spans="1:6" ht="30.75" customHeight="1" thickBot="1" x14ac:dyDescent="0.25">
      <c r="A1262" s="10"/>
      <c r="E1262" s="9"/>
      <c r="F1262" s="14"/>
    </row>
    <row r="1263" spans="1:6" ht="30.75" customHeight="1" thickBot="1" x14ac:dyDescent="0.25">
      <c r="A1263" s="10"/>
      <c r="E1263" s="9"/>
      <c r="F1263" s="14"/>
    </row>
    <row r="1264" spans="1:6" ht="30.75" customHeight="1" thickBot="1" x14ac:dyDescent="0.25">
      <c r="A1264" s="10"/>
      <c r="E1264" s="9"/>
      <c r="F1264" s="14"/>
    </row>
    <row r="1265" spans="1:6" ht="30.75" customHeight="1" thickBot="1" x14ac:dyDescent="0.25">
      <c r="A1265" s="10"/>
      <c r="E1265" s="9"/>
      <c r="F1265" s="14"/>
    </row>
    <row r="1266" spans="1:6" ht="30.75" customHeight="1" thickBot="1" x14ac:dyDescent="0.25">
      <c r="A1266" s="10"/>
      <c r="E1266" s="9"/>
      <c r="F1266" s="14"/>
    </row>
    <row r="1267" spans="1:6" ht="30.75" customHeight="1" thickBot="1" x14ac:dyDescent="0.25">
      <c r="A1267" s="10"/>
      <c r="E1267" s="9"/>
      <c r="F1267" s="14"/>
    </row>
    <row r="1268" spans="1:6" ht="30.75" customHeight="1" thickBot="1" x14ac:dyDescent="0.25">
      <c r="A1268" s="10"/>
      <c r="E1268" s="9"/>
      <c r="F1268" s="14"/>
    </row>
    <row r="1269" spans="1:6" ht="30.75" customHeight="1" thickBot="1" x14ac:dyDescent="0.25">
      <c r="A1269" s="10"/>
      <c r="E1269" s="9"/>
      <c r="F1269" s="14"/>
    </row>
    <row r="1270" spans="1:6" ht="30.75" customHeight="1" thickBot="1" x14ac:dyDescent="0.25">
      <c r="A1270" s="10"/>
      <c r="E1270" s="9"/>
      <c r="F1270" s="14"/>
    </row>
    <row r="1271" spans="1:6" ht="30.75" customHeight="1" thickBot="1" x14ac:dyDescent="0.25">
      <c r="A1271" s="10"/>
      <c r="E1271" s="9"/>
      <c r="F1271" s="14"/>
    </row>
    <row r="1272" spans="1:6" ht="30.75" customHeight="1" thickBot="1" x14ac:dyDescent="0.25">
      <c r="A1272" s="10"/>
      <c r="E1272" s="9"/>
      <c r="F1272" s="14"/>
    </row>
    <row r="1273" spans="1:6" ht="30.75" customHeight="1" thickBot="1" x14ac:dyDescent="0.25">
      <c r="A1273" s="10"/>
      <c r="E1273" s="9"/>
      <c r="F1273" s="14"/>
    </row>
    <row r="1274" spans="1:6" ht="30.75" customHeight="1" thickBot="1" x14ac:dyDescent="0.25">
      <c r="A1274" s="10"/>
      <c r="E1274" s="9"/>
      <c r="F1274" s="14"/>
    </row>
    <row r="1275" spans="1:6" ht="30.75" customHeight="1" thickBot="1" x14ac:dyDescent="0.25">
      <c r="A1275" s="10"/>
      <c r="E1275" s="9"/>
      <c r="F1275" s="14"/>
    </row>
    <row r="1276" spans="1:6" ht="30.75" customHeight="1" thickBot="1" x14ac:dyDescent="0.25">
      <c r="A1276" s="10"/>
      <c r="E1276" s="9"/>
      <c r="F1276" s="14"/>
    </row>
    <row r="1277" spans="1:6" ht="30.75" customHeight="1" thickBot="1" x14ac:dyDescent="0.25">
      <c r="A1277" s="10"/>
      <c r="E1277" s="9"/>
      <c r="F1277" s="14"/>
    </row>
    <row r="1278" spans="1:6" ht="30.75" customHeight="1" thickBot="1" x14ac:dyDescent="0.25">
      <c r="A1278" s="10"/>
      <c r="E1278" s="9"/>
      <c r="F1278" s="14"/>
    </row>
    <row r="1279" spans="1:6" ht="30.75" customHeight="1" thickBot="1" x14ac:dyDescent="0.25">
      <c r="A1279" s="10"/>
      <c r="E1279" s="9"/>
      <c r="F1279" s="14"/>
    </row>
    <row r="1280" spans="1:6" ht="30.75" customHeight="1" thickBot="1" x14ac:dyDescent="0.25">
      <c r="A1280" s="10"/>
      <c r="E1280" s="9"/>
      <c r="F1280" s="14"/>
    </row>
    <row r="1281" spans="1:6" ht="30.75" customHeight="1" thickBot="1" x14ac:dyDescent="0.25">
      <c r="A1281" s="10"/>
      <c r="E1281" s="9"/>
      <c r="F1281" s="14"/>
    </row>
    <row r="1282" spans="1:6" ht="30.75" customHeight="1" thickBot="1" x14ac:dyDescent="0.25">
      <c r="A1282" s="10"/>
      <c r="E1282" s="9"/>
      <c r="F1282" s="14"/>
    </row>
    <row r="1283" spans="1:6" ht="30.75" customHeight="1" thickBot="1" x14ac:dyDescent="0.25">
      <c r="A1283" s="10"/>
      <c r="E1283" s="9"/>
      <c r="F1283" s="14"/>
    </row>
    <row r="1284" spans="1:6" ht="30.75" customHeight="1" thickBot="1" x14ac:dyDescent="0.25">
      <c r="A1284" s="10"/>
      <c r="E1284" s="9"/>
      <c r="F1284" s="14"/>
    </row>
    <row r="1285" spans="1:6" ht="30.75" customHeight="1" thickBot="1" x14ac:dyDescent="0.25">
      <c r="A1285" s="10"/>
      <c r="E1285" s="9"/>
      <c r="F1285" s="14"/>
    </row>
    <row r="1286" spans="1:6" ht="30.75" customHeight="1" thickBot="1" x14ac:dyDescent="0.25">
      <c r="A1286" s="10"/>
      <c r="E1286" s="9"/>
      <c r="F1286" s="14"/>
    </row>
    <row r="1287" spans="1:6" ht="30.75" customHeight="1" thickBot="1" x14ac:dyDescent="0.25">
      <c r="A1287" s="10"/>
      <c r="E1287" s="9"/>
      <c r="F1287" s="14"/>
    </row>
    <row r="1288" spans="1:6" ht="30.75" customHeight="1" thickBot="1" x14ac:dyDescent="0.25">
      <c r="A1288" s="10"/>
      <c r="E1288" s="9"/>
      <c r="F1288" s="14"/>
    </row>
    <row r="1289" spans="1:6" ht="30.75" customHeight="1" thickBot="1" x14ac:dyDescent="0.25">
      <c r="A1289" s="10"/>
      <c r="E1289" s="9"/>
      <c r="F1289" s="14"/>
    </row>
    <row r="1290" spans="1:6" ht="30.75" customHeight="1" thickBot="1" x14ac:dyDescent="0.25">
      <c r="A1290" s="10"/>
      <c r="E1290" s="9"/>
      <c r="F1290" s="14"/>
    </row>
    <row r="1291" spans="1:6" ht="30.75" customHeight="1" thickBot="1" x14ac:dyDescent="0.25">
      <c r="A1291" s="10"/>
      <c r="E1291" s="9"/>
      <c r="F1291" s="14"/>
    </row>
    <row r="1292" spans="1:6" ht="30.75" customHeight="1" thickBot="1" x14ac:dyDescent="0.25">
      <c r="A1292" s="10"/>
      <c r="E1292" s="9"/>
      <c r="F1292" s="14"/>
    </row>
    <row r="1293" spans="1:6" ht="30.75" customHeight="1" thickBot="1" x14ac:dyDescent="0.25">
      <c r="A1293" s="10"/>
      <c r="E1293" s="9"/>
      <c r="F1293" s="14"/>
    </row>
    <row r="1294" spans="1:6" ht="30.75" customHeight="1" thickBot="1" x14ac:dyDescent="0.25">
      <c r="A1294" s="10"/>
      <c r="E1294" s="9"/>
      <c r="F1294" s="14"/>
    </row>
    <row r="1295" spans="1:6" ht="30.75" customHeight="1" thickBot="1" x14ac:dyDescent="0.25">
      <c r="A1295" s="10"/>
      <c r="E1295" s="9"/>
      <c r="F1295" s="14"/>
    </row>
    <row r="1296" spans="1:6" ht="30.75" customHeight="1" thickBot="1" x14ac:dyDescent="0.25">
      <c r="A1296" s="10"/>
      <c r="E1296" s="9"/>
      <c r="F1296" s="14"/>
    </row>
    <row r="1297" spans="1:6" ht="30.75" customHeight="1" thickBot="1" x14ac:dyDescent="0.25">
      <c r="A1297" s="10"/>
      <c r="E1297" s="9"/>
      <c r="F1297" s="14"/>
    </row>
    <row r="1298" spans="1:6" ht="30.75" customHeight="1" thickBot="1" x14ac:dyDescent="0.25">
      <c r="A1298" s="10"/>
      <c r="E1298" s="9"/>
      <c r="F1298" s="14"/>
    </row>
    <row r="1299" spans="1:6" ht="30.75" customHeight="1" thickBot="1" x14ac:dyDescent="0.25">
      <c r="A1299" s="10"/>
      <c r="E1299" s="9"/>
      <c r="F1299" s="14"/>
    </row>
    <row r="1300" spans="1:6" ht="30.75" customHeight="1" thickBot="1" x14ac:dyDescent="0.25">
      <c r="A1300" s="10"/>
      <c r="E1300" s="9"/>
      <c r="F1300" s="14"/>
    </row>
    <row r="1301" spans="1:6" ht="30.75" customHeight="1" thickBot="1" x14ac:dyDescent="0.25">
      <c r="A1301" s="10"/>
      <c r="E1301" s="9"/>
      <c r="F1301" s="14"/>
    </row>
    <row r="1302" spans="1:6" ht="30.75" customHeight="1" thickBot="1" x14ac:dyDescent="0.25">
      <c r="A1302" s="10"/>
      <c r="E1302" s="9"/>
      <c r="F1302" s="14"/>
    </row>
    <row r="1303" spans="1:6" ht="30.75" customHeight="1" thickBot="1" x14ac:dyDescent="0.25">
      <c r="A1303" s="10"/>
      <c r="E1303" s="9"/>
      <c r="F1303" s="14"/>
    </row>
    <row r="1304" spans="1:6" ht="30.75" customHeight="1" thickBot="1" x14ac:dyDescent="0.25">
      <c r="A1304" s="10"/>
      <c r="E1304" s="9"/>
      <c r="F1304" s="14"/>
    </row>
    <row r="1305" spans="1:6" ht="30.75" customHeight="1" thickBot="1" x14ac:dyDescent="0.25">
      <c r="A1305" s="10"/>
      <c r="E1305" s="9"/>
      <c r="F1305" s="14"/>
    </row>
    <row r="1306" spans="1:6" ht="30.75" customHeight="1" thickBot="1" x14ac:dyDescent="0.25">
      <c r="A1306" s="10"/>
      <c r="E1306" s="9"/>
      <c r="F1306" s="14"/>
    </row>
    <row r="1307" spans="1:6" ht="30.75" customHeight="1" thickBot="1" x14ac:dyDescent="0.25">
      <c r="A1307" s="10"/>
      <c r="E1307" s="9"/>
      <c r="F1307" s="14"/>
    </row>
    <row r="1308" spans="1:6" ht="30.75" customHeight="1" thickBot="1" x14ac:dyDescent="0.25">
      <c r="A1308" s="10"/>
      <c r="E1308" s="9"/>
      <c r="F1308" s="14"/>
    </row>
    <row r="1309" spans="1:6" ht="30.75" customHeight="1" thickBot="1" x14ac:dyDescent="0.25">
      <c r="A1309" s="10"/>
      <c r="E1309" s="9"/>
      <c r="F1309" s="14"/>
    </row>
    <row r="1310" spans="1:6" ht="30.75" customHeight="1" thickBot="1" x14ac:dyDescent="0.25">
      <c r="A1310" s="10"/>
      <c r="E1310" s="9"/>
      <c r="F1310" s="14"/>
    </row>
    <row r="1311" spans="1:6" ht="30.75" customHeight="1" thickBot="1" x14ac:dyDescent="0.25">
      <c r="A1311" s="10"/>
      <c r="E1311" s="9"/>
      <c r="F1311" s="14"/>
    </row>
    <row r="1312" spans="1:6" ht="30.75" customHeight="1" thickBot="1" x14ac:dyDescent="0.25">
      <c r="A1312" s="10"/>
      <c r="E1312" s="9"/>
      <c r="F1312" s="14"/>
    </row>
    <row r="1313" spans="1:6" ht="30.75" customHeight="1" thickBot="1" x14ac:dyDescent="0.25">
      <c r="A1313" s="10"/>
      <c r="E1313" s="9"/>
      <c r="F1313" s="14"/>
    </row>
    <row r="1314" spans="1:6" ht="30.75" customHeight="1" thickBot="1" x14ac:dyDescent="0.25">
      <c r="A1314" s="10"/>
      <c r="E1314" s="9"/>
      <c r="F1314" s="14"/>
    </row>
    <row r="1315" spans="1:6" ht="30.75" customHeight="1" thickBot="1" x14ac:dyDescent="0.25">
      <c r="A1315" s="10"/>
      <c r="E1315" s="9"/>
      <c r="F1315" s="14"/>
    </row>
    <row r="1316" spans="1:6" ht="30.75" customHeight="1" thickBot="1" x14ac:dyDescent="0.25">
      <c r="A1316" s="10"/>
      <c r="E1316" s="9"/>
      <c r="F1316" s="14"/>
    </row>
    <row r="1317" spans="1:6" ht="30.75" customHeight="1" thickBot="1" x14ac:dyDescent="0.25">
      <c r="A1317" s="10"/>
      <c r="E1317" s="9"/>
      <c r="F1317" s="14"/>
    </row>
    <row r="1318" spans="1:6" ht="30.75" customHeight="1" thickBot="1" x14ac:dyDescent="0.25">
      <c r="A1318" s="10"/>
      <c r="E1318" s="9"/>
      <c r="F1318" s="14"/>
    </row>
    <row r="1319" spans="1:6" ht="30.75" customHeight="1" thickBot="1" x14ac:dyDescent="0.25">
      <c r="A1319" s="10"/>
      <c r="E1319" s="9"/>
      <c r="F1319" s="14"/>
    </row>
    <row r="1320" spans="1:6" ht="30.75" customHeight="1" thickBot="1" x14ac:dyDescent="0.25">
      <c r="A1320" s="10"/>
      <c r="E1320" s="9"/>
      <c r="F1320" s="14"/>
    </row>
    <row r="1321" spans="1:6" ht="30.75" customHeight="1" thickBot="1" x14ac:dyDescent="0.25">
      <c r="A1321" s="10"/>
      <c r="E1321" s="9"/>
      <c r="F1321" s="14"/>
    </row>
    <row r="1322" spans="1:6" ht="30.75" customHeight="1" thickBot="1" x14ac:dyDescent="0.25">
      <c r="A1322" s="10"/>
      <c r="E1322" s="9"/>
      <c r="F1322" s="14"/>
    </row>
    <row r="1323" spans="1:6" ht="30.75" customHeight="1" thickBot="1" x14ac:dyDescent="0.25">
      <c r="A1323" s="10"/>
      <c r="E1323" s="9"/>
      <c r="F1323" s="14"/>
    </row>
    <row r="1324" spans="1:6" ht="30.75" customHeight="1" thickBot="1" x14ac:dyDescent="0.25">
      <c r="A1324" s="10"/>
      <c r="E1324" s="9"/>
      <c r="F1324" s="14"/>
    </row>
    <row r="1325" spans="1:6" ht="30.75" customHeight="1" thickBot="1" x14ac:dyDescent="0.25">
      <c r="A1325" s="10"/>
      <c r="E1325" s="9"/>
      <c r="F1325" s="14"/>
    </row>
    <row r="1326" spans="1:6" ht="30.75" customHeight="1" thickBot="1" x14ac:dyDescent="0.25">
      <c r="A1326" s="10"/>
      <c r="E1326" s="9"/>
      <c r="F1326" s="14"/>
    </row>
    <row r="1327" spans="1:6" ht="30.75" customHeight="1" thickBot="1" x14ac:dyDescent="0.25">
      <c r="A1327" s="10"/>
      <c r="E1327" s="9"/>
      <c r="F1327" s="14"/>
    </row>
    <row r="1328" spans="1:6" ht="30.75" customHeight="1" thickBot="1" x14ac:dyDescent="0.25">
      <c r="A1328" s="10"/>
      <c r="E1328" s="9"/>
      <c r="F1328" s="14"/>
    </row>
    <row r="1329" spans="1:6" ht="30.75" customHeight="1" thickBot="1" x14ac:dyDescent="0.25">
      <c r="A1329" s="10"/>
      <c r="E1329" s="9"/>
      <c r="F1329" s="14"/>
    </row>
    <row r="1330" spans="1:6" ht="30.75" customHeight="1" thickBot="1" x14ac:dyDescent="0.25">
      <c r="A1330" s="10"/>
      <c r="E1330" s="9"/>
      <c r="F1330" s="14"/>
    </row>
    <row r="1331" spans="1:6" ht="30.75" customHeight="1" thickBot="1" x14ac:dyDescent="0.25">
      <c r="A1331" s="10"/>
      <c r="E1331" s="9"/>
      <c r="F1331" s="14"/>
    </row>
    <row r="1332" spans="1:6" ht="30.75" customHeight="1" thickBot="1" x14ac:dyDescent="0.25">
      <c r="A1332" s="10"/>
      <c r="E1332" s="9"/>
      <c r="F1332" s="14"/>
    </row>
    <row r="1333" spans="1:6" ht="30.75" customHeight="1" thickBot="1" x14ac:dyDescent="0.25">
      <c r="A1333" s="10"/>
      <c r="E1333" s="9"/>
      <c r="F1333" s="14"/>
    </row>
    <row r="1334" spans="1:6" ht="30.75" customHeight="1" thickBot="1" x14ac:dyDescent="0.25">
      <c r="A1334" s="10"/>
      <c r="E1334" s="9"/>
      <c r="F1334" s="14"/>
    </row>
    <row r="1335" spans="1:6" ht="30.75" customHeight="1" thickBot="1" x14ac:dyDescent="0.25">
      <c r="A1335" s="10"/>
      <c r="E1335" s="9"/>
      <c r="F1335" s="14"/>
    </row>
    <row r="1336" spans="1:6" ht="30.75" customHeight="1" thickBot="1" x14ac:dyDescent="0.25">
      <c r="A1336" s="10"/>
      <c r="E1336" s="9"/>
      <c r="F1336" s="14"/>
    </row>
    <row r="1337" spans="1:6" ht="30.75" customHeight="1" thickBot="1" x14ac:dyDescent="0.25">
      <c r="A1337" s="10"/>
      <c r="E1337" s="9"/>
      <c r="F1337" s="14"/>
    </row>
    <row r="1338" spans="1:6" ht="30.75" customHeight="1" thickBot="1" x14ac:dyDescent="0.25">
      <c r="A1338" s="10"/>
      <c r="E1338" s="9"/>
      <c r="F1338" s="14"/>
    </row>
    <row r="1339" spans="1:6" ht="30.75" customHeight="1" thickBot="1" x14ac:dyDescent="0.25">
      <c r="A1339" s="10"/>
      <c r="E1339" s="9"/>
      <c r="F1339" s="14"/>
    </row>
    <row r="1340" spans="1:6" ht="30.75" customHeight="1" thickBot="1" x14ac:dyDescent="0.25">
      <c r="A1340" s="10"/>
      <c r="E1340" s="9"/>
      <c r="F1340" s="14"/>
    </row>
    <row r="1341" spans="1:6" ht="30.75" customHeight="1" thickBot="1" x14ac:dyDescent="0.25">
      <c r="A1341" s="10"/>
      <c r="E1341" s="9"/>
      <c r="F1341" s="14"/>
    </row>
    <row r="1342" spans="1:6" ht="30.75" customHeight="1" thickBot="1" x14ac:dyDescent="0.25">
      <c r="A1342" s="10"/>
      <c r="E1342" s="9"/>
      <c r="F1342" s="14"/>
    </row>
    <row r="1343" spans="1:6" ht="30.75" customHeight="1" thickBot="1" x14ac:dyDescent="0.25">
      <c r="A1343" s="10"/>
      <c r="E1343" s="9"/>
      <c r="F1343" s="14"/>
    </row>
    <row r="1344" spans="1:6" ht="30.75" customHeight="1" thickBot="1" x14ac:dyDescent="0.25">
      <c r="A1344" s="10"/>
      <c r="E1344" s="9"/>
      <c r="F1344" s="14"/>
    </row>
    <row r="1345" spans="1:6" ht="30.75" customHeight="1" thickBot="1" x14ac:dyDescent="0.25">
      <c r="A1345" s="10"/>
      <c r="E1345" s="9"/>
      <c r="F1345" s="14"/>
    </row>
    <row r="1346" spans="1:6" ht="30.75" customHeight="1" thickBot="1" x14ac:dyDescent="0.25">
      <c r="A1346" s="10"/>
      <c r="E1346" s="9"/>
      <c r="F1346" s="14"/>
    </row>
    <row r="1347" spans="1:6" ht="30.75" customHeight="1" thickBot="1" x14ac:dyDescent="0.25">
      <c r="A1347" s="10"/>
      <c r="E1347" s="9"/>
      <c r="F1347" s="14"/>
    </row>
    <row r="1348" spans="1:6" ht="30.75" customHeight="1" thickBot="1" x14ac:dyDescent="0.25">
      <c r="A1348" s="10"/>
      <c r="E1348" s="9"/>
      <c r="F1348" s="14"/>
    </row>
    <row r="1349" spans="1:6" ht="30.75" customHeight="1" thickBot="1" x14ac:dyDescent="0.25">
      <c r="A1349" s="10"/>
      <c r="E1349" s="9"/>
      <c r="F1349" s="14"/>
    </row>
    <row r="1350" spans="1:6" ht="30.75" customHeight="1" thickBot="1" x14ac:dyDescent="0.25">
      <c r="A1350" s="10"/>
      <c r="E1350" s="9"/>
      <c r="F1350" s="14"/>
    </row>
    <row r="1351" spans="1:6" ht="30.75" customHeight="1" thickBot="1" x14ac:dyDescent="0.25">
      <c r="A1351" s="10"/>
      <c r="E1351" s="9"/>
      <c r="F1351" s="14"/>
    </row>
    <row r="1352" spans="1:6" ht="30.75" customHeight="1" thickBot="1" x14ac:dyDescent="0.25">
      <c r="A1352" s="10"/>
      <c r="E1352" s="9"/>
      <c r="F1352" s="14"/>
    </row>
    <row r="1353" spans="1:6" ht="30.75" customHeight="1" thickBot="1" x14ac:dyDescent="0.25">
      <c r="A1353" s="10"/>
      <c r="E1353" s="9"/>
      <c r="F1353" s="14"/>
    </row>
    <row r="1354" spans="1:6" ht="30.75" customHeight="1" thickBot="1" x14ac:dyDescent="0.25">
      <c r="A1354" s="10"/>
      <c r="E1354" s="9"/>
      <c r="F1354" s="14"/>
    </row>
    <row r="1355" spans="1:6" ht="30.75" customHeight="1" thickBot="1" x14ac:dyDescent="0.25">
      <c r="A1355" s="10"/>
      <c r="E1355" s="9"/>
      <c r="F1355" s="14"/>
    </row>
    <row r="1356" spans="1:6" ht="30.75" customHeight="1" thickBot="1" x14ac:dyDescent="0.25">
      <c r="A1356" s="10"/>
      <c r="E1356" s="9"/>
      <c r="F1356" s="14"/>
    </row>
    <row r="1357" spans="1:6" ht="30.75" customHeight="1" thickBot="1" x14ac:dyDescent="0.25">
      <c r="A1357" s="10"/>
      <c r="E1357" s="9"/>
      <c r="F1357" s="14"/>
    </row>
    <row r="1358" spans="1:6" ht="30.75" customHeight="1" thickBot="1" x14ac:dyDescent="0.25">
      <c r="A1358" s="10"/>
      <c r="E1358" s="9"/>
      <c r="F1358" s="14"/>
    </row>
    <row r="1359" spans="1:6" ht="30.75" customHeight="1" thickBot="1" x14ac:dyDescent="0.25">
      <c r="A1359" s="10"/>
      <c r="E1359" s="9"/>
      <c r="F1359" s="14"/>
    </row>
    <row r="1360" spans="1:6" ht="30.75" customHeight="1" thickBot="1" x14ac:dyDescent="0.25">
      <c r="A1360" s="10"/>
      <c r="E1360" s="9"/>
      <c r="F1360" s="14"/>
    </row>
    <row r="1361" spans="1:6" ht="30.75" customHeight="1" thickBot="1" x14ac:dyDescent="0.25">
      <c r="A1361" s="10"/>
      <c r="E1361" s="9"/>
      <c r="F1361" s="14"/>
    </row>
    <row r="1362" spans="1:6" ht="30.75" customHeight="1" thickBot="1" x14ac:dyDescent="0.25">
      <c r="A1362" s="10"/>
      <c r="E1362" s="9"/>
      <c r="F1362" s="14"/>
    </row>
    <row r="1363" spans="1:6" ht="30.75" customHeight="1" thickBot="1" x14ac:dyDescent="0.25">
      <c r="A1363" s="10"/>
      <c r="E1363" s="9"/>
      <c r="F1363" s="14"/>
    </row>
    <row r="1364" spans="1:6" ht="30.75" customHeight="1" thickBot="1" x14ac:dyDescent="0.25">
      <c r="A1364" s="10"/>
      <c r="E1364" s="9"/>
      <c r="F1364" s="14"/>
    </row>
    <row r="1365" spans="1:6" ht="30.75" customHeight="1" thickBot="1" x14ac:dyDescent="0.25">
      <c r="A1365" s="10"/>
      <c r="E1365" s="9"/>
      <c r="F1365" s="14"/>
    </row>
    <row r="1366" spans="1:6" ht="30.75" customHeight="1" thickBot="1" x14ac:dyDescent="0.25">
      <c r="A1366" s="10"/>
      <c r="E1366" s="9"/>
      <c r="F1366" s="14"/>
    </row>
    <row r="1367" spans="1:6" ht="30.75" customHeight="1" thickBot="1" x14ac:dyDescent="0.25">
      <c r="A1367" s="10"/>
      <c r="E1367" s="9"/>
      <c r="F1367" s="14"/>
    </row>
    <row r="1368" spans="1:6" ht="30.75" customHeight="1" thickBot="1" x14ac:dyDescent="0.25">
      <c r="A1368" s="10"/>
      <c r="E1368" s="9"/>
      <c r="F1368" s="14"/>
    </row>
    <row r="1369" spans="1:6" ht="30.75" customHeight="1" thickBot="1" x14ac:dyDescent="0.25">
      <c r="A1369" s="10"/>
      <c r="E1369" s="9"/>
      <c r="F1369" s="14"/>
    </row>
    <row r="1370" spans="1:6" ht="30.75" customHeight="1" thickBot="1" x14ac:dyDescent="0.25">
      <c r="A1370" s="10"/>
      <c r="E1370" s="9"/>
      <c r="F1370" s="14"/>
    </row>
    <row r="1371" spans="1:6" ht="30.75" customHeight="1" thickBot="1" x14ac:dyDescent="0.25">
      <c r="A1371" s="10"/>
      <c r="E1371" s="9"/>
      <c r="F1371" s="14"/>
    </row>
    <row r="1372" spans="1:6" ht="30.75" customHeight="1" thickBot="1" x14ac:dyDescent="0.25">
      <c r="A1372" s="10"/>
      <c r="E1372" s="9"/>
      <c r="F1372" s="14"/>
    </row>
    <row r="1373" spans="1:6" ht="30.75" customHeight="1" thickBot="1" x14ac:dyDescent="0.25">
      <c r="A1373" s="10"/>
      <c r="E1373" s="9"/>
      <c r="F1373" s="14"/>
    </row>
    <row r="1374" spans="1:6" ht="30.75" customHeight="1" thickBot="1" x14ac:dyDescent="0.25">
      <c r="A1374" s="10"/>
      <c r="E1374" s="9"/>
      <c r="F1374" s="14"/>
    </row>
    <row r="1375" spans="1:6" ht="30.75" customHeight="1" thickBot="1" x14ac:dyDescent="0.25">
      <c r="A1375" s="10"/>
      <c r="E1375" s="9"/>
      <c r="F1375" s="14"/>
    </row>
    <row r="1376" spans="1:6" ht="30.75" customHeight="1" thickBot="1" x14ac:dyDescent="0.25">
      <c r="A1376" s="10"/>
      <c r="E1376" s="9"/>
      <c r="F1376" s="14"/>
    </row>
    <row r="1377" spans="1:6" ht="30.75" customHeight="1" thickBot="1" x14ac:dyDescent="0.25">
      <c r="A1377" s="10"/>
      <c r="E1377" s="9"/>
      <c r="F1377" s="14"/>
    </row>
    <row r="1378" spans="1:6" ht="30.75" customHeight="1" thickBot="1" x14ac:dyDescent="0.25">
      <c r="A1378" s="10"/>
      <c r="E1378" s="9"/>
      <c r="F1378" s="14"/>
    </row>
    <row r="1379" spans="1:6" ht="30.75" customHeight="1" thickBot="1" x14ac:dyDescent="0.25">
      <c r="A1379" s="10"/>
      <c r="E1379" s="9"/>
      <c r="F1379" s="14"/>
    </row>
    <row r="1380" spans="1:6" ht="30.75" customHeight="1" thickBot="1" x14ac:dyDescent="0.25">
      <c r="A1380" s="10"/>
      <c r="E1380" s="9"/>
      <c r="F1380" s="14"/>
    </row>
    <row r="1381" spans="1:6" ht="30.75" customHeight="1" thickBot="1" x14ac:dyDescent="0.25">
      <c r="A1381" s="10"/>
      <c r="E1381" s="9"/>
      <c r="F1381" s="14"/>
    </row>
    <row r="1382" spans="1:6" ht="30.75" customHeight="1" thickBot="1" x14ac:dyDescent="0.25">
      <c r="A1382" s="10"/>
      <c r="E1382" s="9"/>
      <c r="F1382" s="14"/>
    </row>
    <row r="1383" spans="1:6" ht="30.75" customHeight="1" thickBot="1" x14ac:dyDescent="0.25">
      <c r="A1383" s="10"/>
      <c r="E1383" s="9"/>
      <c r="F1383" s="14"/>
    </row>
    <row r="1384" spans="1:6" ht="30.75" customHeight="1" thickBot="1" x14ac:dyDescent="0.25">
      <c r="A1384" s="10"/>
      <c r="E1384" s="9"/>
      <c r="F1384" s="14"/>
    </row>
    <row r="1385" spans="1:6" ht="30.75" customHeight="1" thickBot="1" x14ac:dyDescent="0.25">
      <c r="A1385" s="10"/>
      <c r="E1385" s="9"/>
      <c r="F1385" s="14"/>
    </row>
    <row r="1386" spans="1:6" ht="30.75" customHeight="1" thickBot="1" x14ac:dyDescent="0.25">
      <c r="A1386" s="10"/>
      <c r="E1386" s="9"/>
      <c r="F1386" s="14"/>
    </row>
    <row r="1387" spans="1:6" ht="30.75" customHeight="1" thickBot="1" x14ac:dyDescent="0.25">
      <c r="A1387" s="10"/>
      <c r="E1387" s="9"/>
      <c r="F1387" s="14"/>
    </row>
    <row r="1388" spans="1:6" ht="30.75" customHeight="1" thickBot="1" x14ac:dyDescent="0.25">
      <c r="A1388" s="10"/>
      <c r="E1388" s="9"/>
      <c r="F1388" s="14"/>
    </row>
    <row r="1389" spans="1:6" ht="30.75" customHeight="1" thickBot="1" x14ac:dyDescent="0.25">
      <c r="A1389" s="10"/>
      <c r="E1389" s="9"/>
      <c r="F1389" s="14"/>
    </row>
    <row r="1390" spans="1:6" ht="30.75" customHeight="1" thickBot="1" x14ac:dyDescent="0.25">
      <c r="A1390" s="10"/>
      <c r="E1390" s="9"/>
      <c r="F1390" s="14"/>
    </row>
    <row r="1391" spans="1:6" ht="30.75" customHeight="1" thickBot="1" x14ac:dyDescent="0.25">
      <c r="A1391" s="10"/>
      <c r="E1391" s="9"/>
      <c r="F1391" s="14"/>
    </row>
    <row r="1392" spans="1:6" ht="30.75" customHeight="1" thickBot="1" x14ac:dyDescent="0.25">
      <c r="A1392" s="10"/>
      <c r="E1392" s="9"/>
      <c r="F1392" s="14"/>
    </row>
    <row r="1393" spans="1:6" ht="30.75" customHeight="1" thickBot="1" x14ac:dyDescent="0.25">
      <c r="A1393" s="10"/>
      <c r="E1393" s="9"/>
      <c r="F1393" s="14"/>
    </row>
    <row r="1394" spans="1:6" ht="30.75" customHeight="1" thickBot="1" x14ac:dyDescent="0.25">
      <c r="A1394" s="10"/>
      <c r="E1394" s="9"/>
      <c r="F1394" s="14"/>
    </row>
    <row r="1395" spans="1:6" ht="30.75" customHeight="1" thickBot="1" x14ac:dyDescent="0.25">
      <c r="A1395" s="10"/>
      <c r="E1395" s="9"/>
      <c r="F1395" s="14"/>
    </row>
    <row r="1396" spans="1:6" ht="30.75" customHeight="1" thickBot="1" x14ac:dyDescent="0.25">
      <c r="A1396" s="10"/>
      <c r="E1396" s="9"/>
      <c r="F1396" s="14"/>
    </row>
    <row r="1397" spans="1:6" ht="30.75" customHeight="1" thickBot="1" x14ac:dyDescent="0.25">
      <c r="A1397" s="10"/>
      <c r="E1397" s="9"/>
      <c r="F1397" s="14"/>
    </row>
    <row r="1398" spans="1:6" ht="30.75" customHeight="1" thickBot="1" x14ac:dyDescent="0.25">
      <c r="A1398" s="10"/>
      <c r="E1398" s="9"/>
      <c r="F1398" s="14"/>
    </row>
    <row r="1399" spans="1:6" ht="30.75" customHeight="1" thickBot="1" x14ac:dyDescent="0.25">
      <c r="A1399" s="10"/>
      <c r="E1399" s="9"/>
      <c r="F1399" s="14"/>
    </row>
    <row r="1400" spans="1:6" ht="30.75" customHeight="1" thickBot="1" x14ac:dyDescent="0.25">
      <c r="A1400" s="10"/>
      <c r="E1400" s="9"/>
      <c r="F1400" s="14"/>
    </row>
    <row r="1401" spans="1:6" ht="30.75" customHeight="1" thickBot="1" x14ac:dyDescent="0.25">
      <c r="A1401" s="10"/>
      <c r="E1401" s="9"/>
      <c r="F1401" s="14"/>
    </row>
    <row r="1402" spans="1:6" ht="30.75" customHeight="1" thickBot="1" x14ac:dyDescent="0.25">
      <c r="A1402" s="10"/>
      <c r="E1402" s="9"/>
      <c r="F1402" s="14"/>
    </row>
    <row r="1403" spans="1:6" ht="30.75" customHeight="1" thickBot="1" x14ac:dyDescent="0.25">
      <c r="A1403" s="10"/>
      <c r="E1403" s="9"/>
      <c r="F1403" s="14"/>
    </row>
    <row r="1404" spans="1:6" ht="30.75" customHeight="1" thickBot="1" x14ac:dyDescent="0.25">
      <c r="A1404" s="10"/>
      <c r="E1404" s="9"/>
      <c r="F1404" s="14"/>
    </row>
    <row r="1405" spans="1:6" ht="30.75" customHeight="1" thickBot="1" x14ac:dyDescent="0.25">
      <c r="A1405" s="10"/>
      <c r="E1405" s="9"/>
      <c r="F1405" s="14"/>
    </row>
    <row r="1406" spans="1:6" ht="30.75" customHeight="1" thickBot="1" x14ac:dyDescent="0.25">
      <c r="A1406" s="10"/>
      <c r="E1406" s="9"/>
      <c r="F1406" s="14"/>
    </row>
    <row r="1407" spans="1:6" ht="30.75" customHeight="1" thickBot="1" x14ac:dyDescent="0.25">
      <c r="A1407" s="10"/>
      <c r="E1407" s="9"/>
      <c r="F1407" s="14"/>
    </row>
    <row r="1408" spans="1:6" ht="30.75" customHeight="1" thickBot="1" x14ac:dyDescent="0.25">
      <c r="A1408" s="10"/>
      <c r="E1408" s="9"/>
      <c r="F1408" s="14"/>
    </row>
    <row r="1409" spans="1:6" ht="30.75" customHeight="1" thickBot="1" x14ac:dyDescent="0.25">
      <c r="A1409" s="10"/>
      <c r="E1409" s="9"/>
      <c r="F1409" s="14"/>
    </row>
    <row r="1410" spans="1:6" ht="30.75" customHeight="1" thickBot="1" x14ac:dyDescent="0.25">
      <c r="A1410" s="10"/>
      <c r="E1410" s="9"/>
      <c r="F1410" s="14"/>
    </row>
    <row r="1411" spans="1:6" ht="30.75" customHeight="1" thickBot="1" x14ac:dyDescent="0.25">
      <c r="A1411" s="10"/>
      <c r="E1411" s="9"/>
      <c r="F1411" s="14"/>
    </row>
    <row r="1412" spans="1:6" ht="30.75" customHeight="1" thickBot="1" x14ac:dyDescent="0.25">
      <c r="A1412" s="10"/>
      <c r="E1412" s="9"/>
      <c r="F1412" s="14"/>
    </row>
    <row r="1413" spans="1:6" ht="30.75" customHeight="1" thickBot="1" x14ac:dyDescent="0.25">
      <c r="A1413" s="10"/>
      <c r="E1413" s="9"/>
      <c r="F1413" s="14"/>
    </row>
    <row r="1414" spans="1:6" ht="30.75" customHeight="1" thickBot="1" x14ac:dyDescent="0.25">
      <c r="A1414" s="10"/>
      <c r="E1414" s="9"/>
      <c r="F1414" s="14"/>
    </row>
    <row r="1415" spans="1:6" ht="30.75" customHeight="1" thickBot="1" x14ac:dyDescent="0.25">
      <c r="A1415" s="10"/>
      <c r="E1415" s="9"/>
      <c r="F1415" s="14"/>
    </row>
    <row r="1416" spans="1:6" ht="30.75" customHeight="1" thickBot="1" x14ac:dyDescent="0.25">
      <c r="A1416" s="10"/>
      <c r="E1416" s="9"/>
      <c r="F1416" s="14"/>
    </row>
    <row r="1417" spans="1:6" ht="30.75" customHeight="1" thickBot="1" x14ac:dyDescent="0.25">
      <c r="A1417" s="10"/>
      <c r="E1417" s="9"/>
      <c r="F1417" s="14"/>
    </row>
    <row r="1418" spans="1:6" ht="30.75" customHeight="1" thickBot="1" x14ac:dyDescent="0.25">
      <c r="A1418" s="10"/>
      <c r="E1418" s="9"/>
      <c r="F1418" s="14"/>
    </row>
    <row r="1419" spans="1:6" ht="30.75" customHeight="1" thickBot="1" x14ac:dyDescent="0.25">
      <c r="A1419" s="10"/>
      <c r="E1419" s="9"/>
      <c r="F1419" s="14"/>
    </row>
    <row r="1420" spans="1:6" ht="30.75" customHeight="1" thickBot="1" x14ac:dyDescent="0.25">
      <c r="A1420" s="10"/>
      <c r="E1420" s="9"/>
      <c r="F1420" s="14"/>
    </row>
    <row r="1421" spans="1:6" ht="30.75" customHeight="1" thickBot="1" x14ac:dyDescent="0.25">
      <c r="A1421" s="10"/>
      <c r="E1421" s="9"/>
      <c r="F1421" s="14"/>
    </row>
    <row r="1422" spans="1:6" ht="30.75" customHeight="1" thickBot="1" x14ac:dyDescent="0.25">
      <c r="A1422" s="10"/>
      <c r="E1422" s="9"/>
      <c r="F1422" s="14"/>
    </row>
    <row r="1423" spans="1:6" ht="30.75" customHeight="1" thickBot="1" x14ac:dyDescent="0.25">
      <c r="A1423" s="10"/>
      <c r="E1423" s="9"/>
      <c r="F1423" s="14"/>
    </row>
    <row r="1424" spans="1:6" ht="30.75" customHeight="1" thickBot="1" x14ac:dyDescent="0.25">
      <c r="A1424" s="10"/>
      <c r="E1424" s="9"/>
      <c r="F1424" s="14"/>
    </row>
    <row r="1425" spans="1:6" ht="30.75" customHeight="1" thickBot="1" x14ac:dyDescent="0.25">
      <c r="A1425" s="10"/>
      <c r="E1425" s="9"/>
      <c r="F1425" s="14"/>
    </row>
    <row r="1426" spans="1:6" ht="30.75" customHeight="1" thickBot="1" x14ac:dyDescent="0.25">
      <c r="A1426" s="10"/>
      <c r="E1426" s="9"/>
      <c r="F1426" s="14"/>
    </row>
    <row r="1427" spans="1:6" ht="30.75" customHeight="1" thickBot="1" x14ac:dyDescent="0.25">
      <c r="A1427" s="10"/>
      <c r="E1427" s="9"/>
      <c r="F1427" s="14"/>
    </row>
    <row r="1428" spans="1:6" ht="30.75" customHeight="1" thickBot="1" x14ac:dyDescent="0.25">
      <c r="A1428" s="10"/>
      <c r="E1428" s="9"/>
      <c r="F1428" s="14"/>
    </row>
    <row r="1429" spans="1:6" ht="30.75" customHeight="1" thickBot="1" x14ac:dyDescent="0.25">
      <c r="A1429" s="10"/>
      <c r="E1429" s="9"/>
      <c r="F1429" s="14"/>
    </row>
    <row r="1430" spans="1:6" ht="30.75" customHeight="1" thickBot="1" x14ac:dyDescent="0.25">
      <c r="A1430" s="10"/>
      <c r="E1430" s="9"/>
      <c r="F1430" s="14"/>
    </row>
    <row r="1431" spans="1:6" ht="30.75" customHeight="1" thickBot="1" x14ac:dyDescent="0.25">
      <c r="A1431" s="10"/>
      <c r="E1431" s="9"/>
      <c r="F1431" s="14"/>
    </row>
    <row r="1432" spans="1:6" ht="30.75" customHeight="1" thickBot="1" x14ac:dyDescent="0.25">
      <c r="A1432" s="10"/>
      <c r="E1432" s="9"/>
      <c r="F1432" s="14"/>
    </row>
    <row r="1433" spans="1:6" ht="30.75" customHeight="1" thickBot="1" x14ac:dyDescent="0.25">
      <c r="A1433" s="10"/>
      <c r="E1433" s="9"/>
      <c r="F1433" s="14"/>
    </row>
    <row r="1434" spans="1:6" ht="30.75" customHeight="1" thickBot="1" x14ac:dyDescent="0.25">
      <c r="A1434" s="10"/>
      <c r="E1434" s="9"/>
      <c r="F1434" s="14"/>
    </row>
    <row r="1435" spans="1:6" ht="30.75" customHeight="1" thickBot="1" x14ac:dyDescent="0.25">
      <c r="A1435" s="10"/>
      <c r="E1435" s="9"/>
      <c r="F1435" s="14"/>
    </row>
    <row r="1436" spans="1:6" ht="30.75" customHeight="1" thickBot="1" x14ac:dyDescent="0.25">
      <c r="A1436" s="10"/>
      <c r="E1436" s="9"/>
      <c r="F1436" s="14"/>
    </row>
    <row r="1437" spans="1:6" ht="30.75" customHeight="1" thickBot="1" x14ac:dyDescent="0.25">
      <c r="A1437" s="10"/>
      <c r="E1437" s="9"/>
      <c r="F1437" s="14"/>
    </row>
    <row r="1438" spans="1:6" ht="30.75" customHeight="1" thickBot="1" x14ac:dyDescent="0.25">
      <c r="A1438" s="10"/>
      <c r="E1438" s="9"/>
      <c r="F1438" s="14"/>
    </row>
    <row r="1439" spans="1:6" ht="30.75" customHeight="1" thickBot="1" x14ac:dyDescent="0.25">
      <c r="A1439" s="10"/>
      <c r="E1439" s="9"/>
      <c r="F1439" s="14"/>
    </row>
    <row r="1440" spans="1:6" ht="30.75" customHeight="1" thickBot="1" x14ac:dyDescent="0.25">
      <c r="A1440" s="10"/>
      <c r="E1440" s="9"/>
      <c r="F1440" s="14"/>
    </row>
    <row r="1441" spans="1:6" ht="30.75" customHeight="1" thickBot="1" x14ac:dyDescent="0.25">
      <c r="A1441" s="10"/>
      <c r="E1441" s="9"/>
      <c r="F1441" s="14"/>
    </row>
    <row r="1442" spans="1:6" ht="30.75" customHeight="1" thickBot="1" x14ac:dyDescent="0.25">
      <c r="A1442" s="10"/>
      <c r="E1442" s="9"/>
      <c r="F1442" s="14"/>
    </row>
    <row r="1443" spans="1:6" ht="30.75" customHeight="1" thickBot="1" x14ac:dyDescent="0.25">
      <c r="A1443" s="10"/>
      <c r="E1443" s="9"/>
      <c r="F1443" s="14"/>
    </row>
    <row r="1444" spans="1:6" ht="30.75" customHeight="1" thickBot="1" x14ac:dyDescent="0.25">
      <c r="A1444" s="10"/>
      <c r="E1444" s="9"/>
      <c r="F1444" s="14"/>
    </row>
    <row r="1445" spans="1:6" ht="30.75" customHeight="1" thickBot="1" x14ac:dyDescent="0.25">
      <c r="A1445" s="10"/>
      <c r="E1445" s="9"/>
      <c r="F1445" s="14"/>
    </row>
    <row r="1446" spans="1:6" ht="30.75" customHeight="1" thickBot="1" x14ac:dyDescent="0.25">
      <c r="A1446" s="10"/>
      <c r="E1446" s="9"/>
      <c r="F1446" s="14"/>
    </row>
    <row r="1447" spans="1:6" ht="30.75" customHeight="1" thickBot="1" x14ac:dyDescent="0.25">
      <c r="A1447" s="10"/>
      <c r="E1447" s="9"/>
      <c r="F1447" s="14"/>
    </row>
    <row r="1448" spans="1:6" ht="30.75" customHeight="1" thickBot="1" x14ac:dyDescent="0.25">
      <c r="A1448" s="10"/>
      <c r="E1448" s="9"/>
      <c r="F1448" s="14"/>
    </row>
    <row r="1449" spans="1:6" ht="30.75" customHeight="1" thickBot="1" x14ac:dyDescent="0.25">
      <c r="A1449" s="10"/>
      <c r="E1449" s="9"/>
      <c r="F1449" s="14"/>
    </row>
    <row r="1450" spans="1:6" ht="30.75" customHeight="1" thickBot="1" x14ac:dyDescent="0.25">
      <c r="A1450" s="10"/>
      <c r="E1450" s="9"/>
      <c r="F1450" s="14"/>
    </row>
    <row r="1451" spans="1:6" ht="30.75" customHeight="1" thickBot="1" x14ac:dyDescent="0.25">
      <c r="A1451" s="10"/>
      <c r="E1451" s="9"/>
      <c r="F1451" s="14"/>
    </row>
    <row r="1452" spans="1:6" ht="30.75" customHeight="1" thickBot="1" x14ac:dyDescent="0.25">
      <c r="A1452" s="10"/>
      <c r="E1452" s="9"/>
      <c r="F1452" s="14"/>
    </row>
    <row r="1453" spans="1:6" ht="30.75" customHeight="1" thickBot="1" x14ac:dyDescent="0.25">
      <c r="A1453" s="10"/>
      <c r="E1453" s="9"/>
      <c r="F1453" s="14"/>
    </row>
    <row r="1454" spans="1:6" ht="30.75" customHeight="1" thickBot="1" x14ac:dyDescent="0.25">
      <c r="A1454" s="10"/>
      <c r="E1454" s="9"/>
      <c r="F1454" s="14"/>
    </row>
    <row r="1455" spans="1:6" ht="30.75" customHeight="1" thickBot="1" x14ac:dyDescent="0.25">
      <c r="A1455" s="10"/>
      <c r="E1455" s="9"/>
      <c r="F1455" s="14"/>
    </row>
    <row r="1456" spans="1:6" ht="30.75" customHeight="1" thickBot="1" x14ac:dyDescent="0.25">
      <c r="A1456" s="10"/>
      <c r="E1456" s="9"/>
      <c r="F1456" s="14"/>
    </row>
    <row r="1457" spans="1:6" ht="30.75" customHeight="1" thickBot="1" x14ac:dyDescent="0.25">
      <c r="A1457" s="10"/>
      <c r="E1457" s="9"/>
      <c r="F1457" s="14"/>
    </row>
    <row r="1458" spans="1:6" ht="30.75" customHeight="1" thickBot="1" x14ac:dyDescent="0.25">
      <c r="A1458" s="10"/>
      <c r="E1458" s="9"/>
      <c r="F1458" s="14"/>
    </row>
    <row r="1459" spans="1:6" ht="30.75" customHeight="1" thickBot="1" x14ac:dyDescent="0.25">
      <c r="A1459" s="10"/>
      <c r="E1459" s="9"/>
      <c r="F1459" s="14"/>
    </row>
    <row r="1460" spans="1:6" ht="30.75" customHeight="1" thickBot="1" x14ac:dyDescent="0.25">
      <c r="A1460" s="10"/>
      <c r="E1460" s="9"/>
      <c r="F1460" s="14"/>
    </row>
    <row r="1461" spans="1:6" ht="30.75" customHeight="1" thickBot="1" x14ac:dyDescent="0.25">
      <c r="A1461" s="10"/>
      <c r="E1461" s="9"/>
      <c r="F1461" s="14"/>
    </row>
    <row r="1462" spans="1:6" ht="30.75" customHeight="1" thickBot="1" x14ac:dyDescent="0.25">
      <c r="A1462" s="10"/>
      <c r="E1462" s="9"/>
      <c r="F1462" s="14"/>
    </row>
    <row r="1463" spans="1:6" ht="30.75" customHeight="1" thickBot="1" x14ac:dyDescent="0.25">
      <c r="A1463" s="10"/>
      <c r="E1463" s="9"/>
      <c r="F1463" s="14"/>
    </row>
    <row r="1464" spans="1:6" ht="30.75" customHeight="1" thickBot="1" x14ac:dyDescent="0.25">
      <c r="A1464" s="10"/>
      <c r="E1464" s="9"/>
      <c r="F1464" s="14"/>
    </row>
    <row r="1465" spans="1:6" ht="30.75" customHeight="1" thickBot="1" x14ac:dyDescent="0.25">
      <c r="A1465" s="10"/>
      <c r="E1465" s="9"/>
      <c r="F1465" s="14"/>
    </row>
    <row r="1466" spans="1:6" ht="30.75" customHeight="1" thickBot="1" x14ac:dyDescent="0.25">
      <c r="A1466" s="10"/>
      <c r="E1466" s="9"/>
      <c r="F1466" s="14"/>
    </row>
    <row r="1467" spans="1:6" ht="30.75" customHeight="1" thickBot="1" x14ac:dyDescent="0.25">
      <c r="A1467" s="10"/>
      <c r="E1467" s="9"/>
      <c r="F1467" s="14"/>
    </row>
    <row r="1468" spans="1:6" ht="30.75" customHeight="1" thickBot="1" x14ac:dyDescent="0.25">
      <c r="A1468" s="10"/>
      <c r="E1468" s="9"/>
      <c r="F1468" s="14"/>
    </row>
    <row r="1469" spans="1:6" ht="30.75" customHeight="1" thickBot="1" x14ac:dyDescent="0.25">
      <c r="A1469" s="10"/>
      <c r="E1469" s="9"/>
      <c r="F1469" s="14"/>
    </row>
    <row r="1470" spans="1:6" ht="30.75" customHeight="1" thickBot="1" x14ac:dyDescent="0.25">
      <c r="A1470" s="10"/>
      <c r="E1470" s="9"/>
      <c r="F1470" s="14"/>
    </row>
    <row r="1471" spans="1:6" ht="30.75" customHeight="1" thickBot="1" x14ac:dyDescent="0.25">
      <c r="A1471" s="10"/>
      <c r="E1471" s="9"/>
      <c r="F1471" s="14"/>
    </row>
    <row r="1472" spans="1:6" ht="30.75" customHeight="1" thickBot="1" x14ac:dyDescent="0.25">
      <c r="A1472" s="10"/>
      <c r="E1472" s="9"/>
      <c r="F1472" s="14"/>
    </row>
    <row r="1473" spans="1:6" ht="30.75" customHeight="1" thickBot="1" x14ac:dyDescent="0.25">
      <c r="A1473" s="10"/>
      <c r="E1473" s="9"/>
      <c r="F1473" s="14"/>
    </row>
    <row r="1474" spans="1:6" ht="30.75" customHeight="1" thickBot="1" x14ac:dyDescent="0.25">
      <c r="A1474" s="10"/>
      <c r="E1474" s="9"/>
      <c r="F1474" s="14"/>
    </row>
    <row r="1475" spans="1:6" ht="30.75" customHeight="1" thickBot="1" x14ac:dyDescent="0.25">
      <c r="A1475" s="10"/>
      <c r="E1475" s="9"/>
      <c r="F1475" s="14"/>
    </row>
    <row r="1476" spans="1:6" ht="30.75" customHeight="1" thickBot="1" x14ac:dyDescent="0.25">
      <c r="A1476" s="10"/>
      <c r="E1476" s="9"/>
      <c r="F1476" s="14"/>
    </row>
    <row r="1477" spans="1:6" ht="30.75" customHeight="1" thickBot="1" x14ac:dyDescent="0.25">
      <c r="A1477" s="10"/>
      <c r="E1477" s="9"/>
      <c r="F1477" s="14"/>
    </row>
    <row r="1478" spans="1:6" ht="30.75" customHeight="1" thickBot="1" x14ac:dyDescent="0.25">
      <c r="A1478" s="10"/>
      <c r="E1478" s="9"/>
      <c r="F1478" s="14"/>
    </row>
    <row r="1479" spans="1:6" ht="30.75" customHeight="1" thickBot="1" x14ac:dyDescent="0.25">
      <c r="A1479" s="10"/>
      <c r="E1479" s="9"/>
      <c r="F1479" s="14"/>
    </row>
    <row r="1480" spans="1:6" ht="30.75" customHeight="1" thickBot="1" x14ac:dyDescent="0.25">
      <c r="A1480" s="10"/>
      <c r="E1480" s="9"/>
      <c r="F1480" s="14"/>
    </row>
    <row r="1481" spans="1:6" ht="30.75" customHeight="1" thickBot="1" x14ac:dyDescent="0.25">
      <c r="A1481" s="10"/>
      <c r="E1481" s="9"/>
      <c r="F1481" s="14"/>
    </row>
    <row r="1482" spans="1:6" ht="30.75" customHeight="1" thickBot="1" x14ac:dyDescent="0.25">
      <c r="A1482" s="10"/>
      <c r="E1482" s="9"/>
      <c r="F1482" s="14"/>
    </row>
    <row r="1483" spans="1:6" ht="30.75" customHeight="1" thickBot="1" x14ac:dyDescent="0.25">
      <c r="A1483" s="10"/>
      <c r="E1483" s="9"/>
      <c r="F1483" s="14"/>
    </row>
    <row r="1484" spans="1:6" ht="30.75" customHeight="1" thickBot="1" x14ac:dyDescent="0.25">
      <c r="A1484" s="10"/>
      <c r="E1484" s="9"/>
      <c r="F1484" s="14"/>
    </row>
    <row r="1485" spans="1:6" ht="30.75" customHeight="1" thickBot="1" x14ac:dyDescent="0.25">
      <c r="A1485" s="10"/>
      <c r="E1485" s="9"/>
      <c r="F1485" s="14"/>
    </row>
    <row r="1486" spans="1:6" ht="30.75" customHeight="1" thickBot="1" x14ac:dyDescent="0.25">
      <c r="A1486" s="10"/>
      <c r="E1486" s="9"/>
      <c r="F1486" s="14"/>
    </row>
    <row r="1487" spans="1:6" ht="30.75" customHeight="1" thickBot="1" x14ac:dyDescent="0.25">
      <c r="A1487" s="10"/>
      <c r="E1487" s="9"/>
      <c r="F1487" s="14"/>
    </row>
    <row r="1488" spans="1:6" ht="30.75" customHeight="1" thickBot="1" x14ac:dyDescent="0.25">
      <c r="A1488" s="10"/>
      <c r="E1488" s="9"/>
      <c r="F1488" s="14"/>
    </row>
    <row r="1489" spans="1:6" ht="30.75" customHeight="1" thickBot="1" x14ac:dyDescent="0.25">
      <c r="A1489" s="10"/>
      <c r="E1489" s="9"/>
      <c r="F1489" s="14"/>
    </row>
    <row r="1490" spans="1:6" ht="30.75" customHeight="1" thickBot="1" x14ac:dyDescent="0.25">
      <c r="A1490" s="10"/>
      <c r="E1490" s="9"/>
      <c r="F1490" s="14"/>
    </row>
    <row r="1491" spans="1:6" ht="30.75" customHeight="1" thickBot="1" x14ac:dyDescent="0.25">
      <c r="A1491" s="10"/>
      <c r="E1491" s="9"/>
      <c r="F1491" s="14"/>
    </row>
    <row r="1492" spans="1:6" ht="30.75" customHeight="1" thickBot="1" x14ac:dyDescent="0.25">
      <c r="A1492" s="10"/>
      <c r="E1492" s="9"/>
      <c r="F1492" s="14"/>
    </row>
    <row r="1493" spans="1:6" ht="30.75" customHeight="1" thickBot="1" x14ac:dyDescent="0.25">
      <c r="A1493" s="10"/>
      <c r="E1493" s="9"/>
      <c r="F1493" s="14"/>
    </row>
    <row r="1494" spans="1:6" ht="30.75" customHeight="1" thickBot="1" x14ac:dyDescent="0.25">
      <c r="A1494" s="10"/>
      <c r="E1494" s="9"/>
      <c r="F1494" s="14"/>
    </row>
    <row r="1495" spans="1:6" ht="30.75" customHeight="1" thickBot="1" x14ac:dyDescent="0.25">
      <c r="A1495" s="10"/>
      <c r="E1495" s="9"/>
      <c r="F1495" s="14"/>
    </row>
    <row r="1496" spans="1:6" ht="30.75" customHeight="1" thickBot="1" x14ac:dyDescent="0.25">
      <c r="A1496" s="10"/>
      <c r="E1496" s="9"/>
      <c r="F1496" s="14"/>
    </row>
    <row r="1497" spans="1:6" ht="30.75" customHeight="1" thickBot="1" x14ac:dyDescent="0.25">
      <c r="A1497" s="10"/>
      <c r="E1497" s="9"/>
      <c r="F1497" s="14"/>
    </row>
    <row r="1498" spans="1:6" ht="30.75" customHeight="1" thickBot="1" x14ac:dyDescent="0.25">
      <c r="A1498" s="10"/>
      <c r="E1498" s="9"/>
      <c r="F1498" s="14"/>
    </row>
    <row r="1499" spans="1:6" ht="30.75" customHeight="1" thickBot="1" x14ac:dyDescent="0.25">
      <c r="A1499" s="10"/>
      <c r="E1499" s="9"/>
      <c r="F1499" s="14"/>
    </row>
    <row r="1500" spans="1:6" ht="30.75" customHeight="1" thickBot="1" x14ac:dyDescent="0.25">
      <c r="A1500" s="10"/>
      <c r="E1500" s="9"/>
      <c r="F1500" s="14"/>
    </row>
    <row r="1501" spans="1:6" ht="30.75" customHeight="1" thickBot="1" x14ac:dyDescent="0.25">
      <c r="A1501" s="10"/>
      <c r="E1501" s="9"/>
      <c r="F1501" s="14"/>
    </row>
    <row r="1502" spans="1:6" ht="30.75" customHeight="1" thickBot="1" x14ac:dyDescent="0.25">
      <c r="A1502" s="10"/>
      <c r="E1502" s="9"/>
      <c r="F1502" s="14"/>
    </row>
    <row r="1503" spans="1:6" ht="30.75" customHeight="1" thickBot="1" x14ac:dyDescent="0.25">
      <c r="A1503" s="10"/>
      <c r="E1503" s="9"/>
      <c r="F1503" s="14"/>
    </row>
    <row r="1504" spans="1:6" ht="30.75" customHeight="1" thickBot="1" x14ac:dyDescent="0.25">
      <c r="A1504" s="10"/>
      <c r="E1504" s="9"/>
      <c r="F1504" s="14"/>
    </row>
    <row r="1505" spans="1:6" ht="30.75" customHeight="1" thickBot="1" x14ac:dyDescent="0.25">
      <c r="A1505" s="10"/>
      <c r="E1505" s="9"/>
      <c r="F1505" s="14"/>
    </row>
    <row r="1506" spans="1:6" ht="30.75" customHeight="1" thickBot="1" x14ac:dyDescent="0.25">
      <c r="A1506" s="10"/>
      <c r="E1506" s="9"/>
      <c r="F1506" s="14"/>
    </row>
    <row r="1507" spans="1:6" ht="30.75" customHeight="1" thickBot="1" x14ac:dyDescent="0.25">
      <c r="A1507" s="10"/>
      <c r="E1507" s="9"/>
      <c r="F1507" s="14"/>
    </row>
    <row r="1508" spans="1:6" ht="30.75" customHeight="1" thickBot="1" x14ac:dyDescent="0.25">
      <c r="A1508" s="10"/>
      <c r="E1508" s="9"/>
      <c r="F1508" s="14"/>
    </row>
    <row r="1509" spans="1:6" ht="30.75" customHeight="1" thickBot="1" x14ac:dyDescent="0.25">
      <c r="A1509" s="10"/>
      <c r="E1509" s="9"/>
      <c r="F1509" s="14"/>
    </row>
    <row r="1510" spans="1:6" ht="30.75" customHeight="1" thickBot="1" x14ac:dyDescent="0.25">
      <c r="A1510" s="10"/>
      <c r="E1510" s="9"/>
      <c r="F1510" s="14"/>
    </row>
    <row r="1511" spans="1:6" ht="30.75" customHeight="1" thickBot="1" x14ac:dyDescent="0.25">
      <c r="A1511" s="10"/>
      <c r="E1511" s="9"/>
      <c r="F1511" s="14"/>
    </row>
    <row r="1512" spans="1:6" ht="30.75" customHeight="1" thickBot="1" x14ac:dyDescent="0.25">
      <c r="A1512" s="10"/>
      <c r="E1512" s="9"/>
      <c r="F1512" s="14"/>
    </row>
    <row r="1513" spans="1:6" ht="30.75" customHeight="1" thickBot="1" x14ac:dyDescent="0.25">
      <c r="A1513" s="10"/>
      <c r="E1513" s="9"/>
      <c r="F1513" s="14"/>
    </row>
    <row r="1514" spans="1:6" ht="30.75" customHeight="1" thickBot="1" x14ac:dyDescent="0.25">
      <c r="A1514" s="10"/>
      <c r="E1514" s="9"/>
      <c r="F1514" s="14"/>
    </row>
    <row r="1515" spans="1:6" ht="30.75" customHeight="1" thickBot="1" x14ac:dyDescent="0.25">
      <c r="A1515" s="10"/>
      <c r="E1515" s="9"/>
      <c r="F1515" s="14"/>
    </row>
    <row r="1516" spans="1:6" ht="30.75" customHeight="1" thickBot="1" x14ac:dyDescent="0.25">
      <c r="A1516" s="10"/>
      <c r="E1516" s="9"/>
      <c r="F1516" s="14"/>
    </row>
    <row r="1517" spans="1:6" ht="30.75" customHeight="1" thickBot="1" x14ac:dyDescent="0.25">
      <c r="A1517" s="10"/>
      <c r="E1517" s="9"/>
      <c r="F1517" s="14"/>
    </row>
    <row r="1518" spans="1:6" ht="30.75" customHeight="1" thickBot="1" x14ac:dyDescent="0.25">
      <c r="A1518" s="10"/>
      <c r="E1518" s="9"/>
      <c r="F1518" s="14"/>
    </row>
    <row r="1519" spans="1:6" ht="30.75" customHeight="1" thickBot="1" x14ac:dyDescent="0.25">
      <c r="A1519" s="10"/>
      <c r="E1519" s="9"/>
      <c r="F1519" s="14"/>
    </row>
    <row r="1520" spans="1:6" ht="30.75" customHeight="1" thickBot="1" x14ac:dyDescent="0.25">
      <c r="A1520" s="10"/>
      <c r="E1520" s="9"/>
      <c r="F1520" s="14"/>
    </row>
    <row r="1521" spans="1:6" ht="30.75" customHeight="1" thickBot="1" x14ac:dyDescent="0.25">
      <c r="A1521" s="10"/>
      <c r="E1521" s="9"/>
      <c r="F1521" s="14"/>
    </row>
    <row r="1522" spans="1:6" ht="30.75" customHeight="1" thickBot="1" x14ac:dyDescent="0.25">
      <c r="A1522" s="10"/>
      <c r="E1522" s="9"/>
      <c r="F1522" s="14"/>
    </row>
    <row r="1523" spans="1:6" ht="30.75" customHeight="1" thickBot="1" x14ac:dyDescent="0.25">
      <c r="A1523" s="10"/>
      <c r="E1523" s="9"/>
      <c r="F1523" s="14"/>
    </row>
    <row r="1524" spans="1:6" ht="30.75" customHeight="1" thickBot="1" x14ac:dyDescent="0.25">
      <c r="A1524" s="10"/>
      <c r="E1524" s="9"/>
      <c r="F1524" s="14"/>
    </row>
    <row r="1525" spans="1:6" ht="30.75" customHeight="1" thickBot="1" x14ac:dyDescent="0.25">
      <c r="A1525" s="10"/>
      <c r="E1525" s="9"/>
      <c r="F1525" s="14"/>
    </row>
    <row r="1526" spans="1:6" ht="30.75" customHeight="1" thickBot="1" x14ac:dyDescent="0.25">
      <c r="A1526" s="10"/>
      <c r="E1526" s="9"/>
      <c r="F1526" s="14"/>
    </row>
    <row r="1527" spans="1:6" ht="30.75" customHeight="1" thickBot="1" x14ac:dyDescent="0.25">
      <c r="A1527" s="10"/>
      <c r="E1527" s="9"/>
      <c r="F1527" s="14"/>
    </row>
    <row r="1528" spans="1:6" ht="30.75" customHeight="1" thickBot="1" x14ac:dyDescent="0.25">
      <c r="A1528" s="10"/>
      <c r="E1528" s="9"/>
      <c r="F1528" s="14"/>
    </row>
    <row r="1529" spans="1:6" ht="30.75" customHeight="1" thickBot="1" x14ac:dyDescent="0.25">
      <c r="A1529" s="10"/>
      <c r="E1529" s="9"/>
      <c r="F1529" s="14"/>
    </row>
    <row r="1530" spans="1:6" ht="30.75" customHeight="1" thickBot="1" x14ac:dyDescent="0.25">
      <c r="A1530" s="10"/>
      <c r="E1530" s="9"/>
      <c r="F1530" s="14"/>
    </row>
    <row r="1531" spans="1:6" ht="30.75" customHeight="1" thickBot="1" x14ac:dyDescent="0.25">
      <c r="A1531" s="10"/>
      <c r="E1531" s="9"/>
      <c r="F1531" s="14"/>
    </row>
    <row r="1532" spans="1:6" ht="30.75" customHeight="1" thickBot="1" x14ac:dyDescent="0.25">
      <c r="A1532" s="10"/>
      <c r="E1532" s="9"/>
      <c r="F1532" s="14"/>
    </row>
    <row r="1533" spans="1:6" ht="30.75" customHeight="1" thickBot="1" x14ac:dyDescent="0.25">
      <c r="A1533" s="10"/>
      <c r="E1533" s="9"/>
      <c r="F1533" s="14"/>
    </row>
    <row r="1534" spans="1:6" ht="30.75" customHeight="1" thickBot="1" x14ac:dyDescent="0.25">
      <c r="A1534" s="10"/>
      <c r="E1534" s="9"/>
      <c r="F1534" s="14"/>
    </row>
    <row r="1535" spans="1:6" ht="30.75" customHeight="1" thickBot="1" x14ac:dyDescent="0.25">
      <c r="A1535" s="10"/>
      <c r="E1535" s="9"/>
      <c r="F1535" s="14"/>
    </row>
    <row r="1536" spans="1:6" ht="30.75" customHeight="1" thickBot="1" x14ac:dyDescent="0.25">
      <c r="A1536" s="10"/>
      <c r="E1536" s="9"/>
      <c r="F1536" s="14"/>
    </row>
    <row r="1537" spans="1:6" ht="30.75" customHeight="1" thickBot="1" x14ac:dyDescent="0.25">
      <c r="A1537" s="10"/>
      <c r="E1537" s="9"/>
      <c r="F1537" s="14"/>
    </row>
    <row r="1538" spans="1:6" ht="30.75" customHeight="1" thickBot="1" x14ac:dyDescent="0.25">
      <c r="A1538" s="10"/>
      <c r="E1538" s="9"/>
      <c r="F1538" s="14"/>
    </row>
    <row r="1539" spans="1:6" ht="30.75" customHeight="1" thickBot="1" x14ac:dyDescent="0.25">
      <c r="A1539" s="10"/>
      <c r="E1539" s="9"/>
      <c r="F1539" s="14"/>
    </row>
    <row r="1540" spans="1:6" ht="30.75" customHeight="1" thickBot="1" x14ac:dyDescent="0.25">
      <c r="A1540" s="10"/>
      <c r="E1540" s="9"/>
      <c r="F1540" s="14"/>
    </row>
    <row r="1541" spans="1:6" ht="30.75" customHeight="1" thickBot="1" x14ac:dyDescent="0.25">
      <c r="A1541" s="10"/>
      <c r="E1541" s="9"/>
      <c r="F1541" s="14"/>
    </row>
    <row r="1542" spans="1:6" ht="30.75" customHeight="1" thickBot="1" x14ac:dyDescent="0.25">
      <c r="A1542" s="10"/>
      <c r="E1542" s="9"/>
      <c r="F1542" s="14"/>
    </row>
    <row r="1543" spans="1:6" ht="30.75" customHeight="1" thickBot="1" x14ac:dyDescent="0.25">
      <c r="A1543" s="10"/>
      <c r="E1543" s="9"/>
      <c r="F1543" s="14"/>
    </row>
    <row r="1544" spans="1:6" ht="30.75" customHeight="1" thickBot="1" x14ac:dyDescent="0.25">
      <c r="A1544" s="10"/>
      <c r="E1544" s="9"/>
      <c r="F1544" s="14"/>
    </row>
    <row r="1545" spans="1:6" ht="30.75" customHeight="1" thickBot="1" x14ac:dyDescent="0.25">
      <c r="A1545" s="10"/>
      <c r="E1545" s="9"/>
      <c r="F1545" s="14"/>
    </row>
    <row r="1546" spans="1:6" ht="30.75" customHeight="1" thickBot="1" x14ac:dyDescent="0.25">
      <c r="A1546" s="10"/>
      <c r="E1546" s="9"/>
      <c r="F1546" s="14"/>
    </row>
    <row r="1547" spans="1:6" ht="30.75" customHeight="1" thickBot="1" x14ac:dyDescent="0.25">
      <c r="A1547" s="10"/>
      <c r="E1547" s="9"/>
      <c r="F1547" s="14"/>
    </row>
    <row r="1548" spans="1:6" ht="30.75" customHeight="1" thickBot="1" x14ac:dyDescent="0.25">
      <c r="A1548" s="10"/>
      <c r="E1548" s="9"/>
      <c r="F1548" s="14"/>
    </row>
    <row r="1549" spans="1:6" ht="30.75" customHeight="1" thickBot="1" x14ac:dyDescent="0.25">
      <c r="A1549" s="10"/>
      <c r="E1549" s="9"/>
      <c r="F1549" s="14"/>
    </row>
    <row r="1550" spans="1:6" ht="30.75" customHeight="1" thickBot="1" x14ac:dyDescent="0.25">
      <c r="A1550" s="10"/>
      <c r="E1550" s="9"/>
      <c r="F1550" s="14"/>
    </row>
    <row r="1551" spans="1:6" ht="30.75" customHeight="1" thickBot="1" x14ac:dyDescent="0.25">
      <c r="A1551" s="10"/>
      <c r="E1551" s="9"/>
      <c r="F1551" s="14"/>
    </row>
    <row r="1552" spans="1:6" ht="30.75" customHeight="1" thickBot="1" x14ac:dyDescent="0.25">
      <c r="A1552" s="10"/>
      <c r="E1552" s="9"/>
      <c r="F1552" s="14"/>
    </row>
    <row r="1553" spans="1:6" ht="30.75" customHeight="1" thickBot="1" x14ac:dyDescent="0.25">
      <c r="A1553" s="10"/>
      <c r="E1553" s="9"/>
      <c r="F1553" s="14"/>
    </row>
    <row r="1554" spans="1:6" ht="30.75" customHeight="1" thickBot="1" x14ac:dyDescent="0.25">
      <c r="A1554" s="10"/>
      <c r="E1554" s="9"/>
      <c r="F1554" s="14"/>
    </row>
    <row r="1555" spans="1:6" ht="30.75" customHeight="1" thickBot="1" x14ac:dyDescent="0.25">
      <c r="A1555" s="10"/>
      <c r="E1555" s="9"/>
      <c r="F1555" s="14"/>
    </row>
    <row r="1556" spans="1:6" ht="30.75" customHeight="1" thickBot="1" x14ac:dyDescent="0.25">
      <c r="A1556" s="10"/>
      <c r="E1556" s="9"/>
      <c r="F1556" s="14"/>
    </row>
    <row r="1557" spans="1:6" ht="30.75" customHeight="1" thickBot="1" x14ac:dyDescent="0.25">
      <c r="A1557" s="10"/>
      <c r="E1557" s="9"/>
      <c r="F1557" s="14"/>
    </row>
    <row r="1558" spans="1:6" ht="30.75" customHeight="1" thickBot="1" x14ac:dyDescent="0.25">
      <c r="A1558" s="10"/>
      <c r="E1558" s="9"/>
      <c r="F1558" s="14"/>
    </row>
    <row r="1559" spans="1:6" ht="30.75" customHeight="1" thickBot="1" x14ac:dyDescent="0.25">
      <c r="A1559" s="10"/>
      <c r="E1559" s="9"/>
      <c r="F1559" s="14"/>
    </row>
    <row r="1560" spans="1:6" ht="30.75" customHeight="1" thickBot="1" x14ac:dyDescent="0.25">
      <c r="A1560" s="10"/>
      <c r="E1560" s="9"/>
      <c r="F1560" s="14"/>
    </row>
    <row r="1561" spans="1:6" ht="30.75" customHeight="1" thickBot="1" x14ac:dyDescent="0.25">
      <c r="A1561" s="10"/>
      <c r="E1561" s="9"/>
      <c r="F1561" s="14"/>
    </row>
    <row r="1562" spans="1:6" ht="30.75" customHeight="1" thickBot="1" x14ac:dyDescent="0.25">
      <c r="A1562" s="10"/>
      <c r="E1562" s="9"/>
      <c r="F1562" s="14"/>
    </row>
    <row r="1563" spans="1:6" ht="30.75" customHeight="1" thickBot="1" x14ac:dyDescent="0.25">
      <c r="A1563" s="10"/>
      <c r="E1563" s="9"/>
      <c r="F1563" s="14"/>
    </row>
    <row r="1564" spans="1:6" ht="30.75" customHeight="1" thickBot="1" x14ac:dyDescent="0.25">
      <c r="A1564" s="10"/>
      <c r="E1564" s="9"/>
      <c r="F1564" s="14"/>
    </row>
    <row r="1565" spans="1:6" ht="30.75" customHeight="1" thickBot="1" x14ac:dyDescent="0.25">
      <c r="A1565" s="10"/>
      <c r="E1565" s="9"/>
      <c r="F1565" s="14"/>
    </row>
    <row r="1566" spans="1:6" ht="30.75" customHeight="1" thickBot="1" x14ac:dyDescent="0.25">
      <c r="A1566" s="10"/>
      <c r="E1566" s="9"/>
      <c r="F1566" s="14"/>
    </row>
    <row r="1567" spans="1:6" ht="30.75" customHeight="1" thickBot="1" x14ac:dyDescent="0.25">
      <c r="A1567" s="10"/>
      <c r="E1567" s="9"/>
      <c r="F1567" s="14"/>
    </row>
    <row r="1568" spans="1:6" ht="30.75" customHeight="1" thickBot="1" x14ac:dyDescent="0.25">
      <c r="A1568" s="10"/>
      <c r="E1568" s="9"/>
      <c r="F1568" s="14"/>
    </row>
    <row r="1569" spans="1:6" ht="30.75" customHeight="1" thickBot="1" x14ac:dyDescent="0.25">
      <c r="A1569" s="10"/>
      <c r="E1569" s="9"/>
      <c r="F1569" s="14"/>
    </row>
    <row r="1570" spans="1:6" ht="30.75" customHeight="1" thickBot="1" x14ac:dyDescent="0.25">
      <c r="A1570" s="10"/>
      <c r="E1570" s="9"/>
      <c r="F1570" s="14"/>
    </row>
    <row r="1571" spans="1:6" ht="30.75" customHeight="1" thickBot="1" x14ac:dyDescent="0.25">
      <c r="A1571" s="10"/>
      <c r="E1571" s="9"/>
      <c r="F1571" s="14"/>
    </row>
    <row r="1572" spans="1:6" ht="30.75" customHeight="1" thickBot="1" x14ac:dyDescent="0.25">
      <c r="A1572" s="10"/>
      <c r="E1572" s="9"/>
      <c r="F1572" s="14"/>
    </row>
    <row r="1573" spans="1:6" ht="30.75" customHeight="1" thickBot="1" x14ac:dyDescent="0.25">
      <c r="A1573" s="10"/>
      <c r="E1573" s="9"/>
      <c r="F1573" s="14"/>
    </row>
    <row r="1574" spans="1:6" ht="30.75" customHeight="1" thickBot="1" x14ac:dyDescent="0.25">
      <c r="A1574" s="10"/>
      <c r="E1574" s="9"/>
      <c r="F1574" s="14"/>
    </row>
    <row r="1575" spans="1:6" ht="30.75" customHeight="1" thickBot="1" x14ac:dyDescent="0.25">
      <c r="A1575" s="10"/>
      <c r="E1575" s="9"/>
      <c r="F1575" s="14"/>
    </row>
    <row r="1576" spans="1:6" ht="30.75" customHeight="1" thickBot="1" x14ac:dyDescent="0.25">
      <c r="A1576" s="10"/>
      <c r="E1576" s="9"/>
      <c r="F1576" s="14"/>
    </row>
    <row r="1577" spans="1:6" ht="30.75" customHeight="1" thickBot="1" x14ac:dyDescent="0.25">
      <c r="A1577" s="10"/>
      <c r="E1577" s="9"/>
      <c r="F1577" s="14"/>
    </row>
    <row r="1578" spans="1:6" ht="30.75" customHeight="1" thickBot="1" x14ac:dyDescent="0.25">
      <c r="A1578" s="10"/>
      <c r="E1578" s="9"/>
      <c r="F1578" s="14"/>
    </row>
    <row r="1579" spans="1:6" ht="30.75" customHeight="1" thickBot="1" x14ac:dyDescent="0.25">
      <c r="A1579" s="10"/>
      <c r="E1579" s="9"/>
      <c r="F1579" s="14"/>
    </row>
    <row r="1580" spans="1:6" ht="30.75" customHeight="1" thickBot="1" x14ac:dyDescent="0.25">
      <c r="A1580" s="10"/>
      <c r="E1580" s="9"/>
      <c r="F1580" s="14"/>
    </row>
    <row r="1581" spans="1:6" ht="30.75" customHeight="1" thickBot="1" x14ac:dyDescent="0.25">
      <c r="A1581" s="10"/>
      <c r="E1581" s="9"/>
      <c r="F1581" s="14"/>
    </row>
    <row r="1582" spans="1:6" ht="30.75" customHeight="1" thickBot="1" x14ac:dyDescent="0.25">
      <c r="A1582" s="10"/>
      <c r="E1582" s="9"/>
      <c r="F1582" s="14"/>
    </row>
    <row r="1583" spans="1:6" ht="30.75" customHeight="1" thickBot="1" x14ac:dyDescent="0.25">
      <c r="A1583" s="10"/>
      <c r="E1583" s="9"/>
      <c r="F1583" s="14"/>
    </row>
    <row r="1584" spans="1:6" ht="30.75" customHeight="1" thickBot="1" x14ac:dyDescent="0.25">
      <c r="A1584" s="10"/>
      <c r="E1584" s="9"/>
      <c r="F1584" s="14"/>
    </row>
    <row r="1585" spans="1:6" ht="30.75" customHeight="1" thickBot="1" x14ac:dyDescent="0.25">
      <c r="A1585" s="10"/>
      <c r="E1585" s="9"/>
      <c r="F1585" s="14"/>
    </row>
    <row r="1586" spans="1:6" ht="30.75" customHeight="1" thickBot="1" x14ac:dyDescent="0.25">
      <c r="A1586" s="10"/>
      <c r="E1586" s="9"/>
      <c r="F1586" s="14"/>
    </row>
    <row r="1587" spans="1:6" ht="30.75" customHeight="1" thickBot="1" x14ac:dyDescent="0.25">
      <c r="A1587" s="10"/>
      <c r="E1587" s="9"/>
      <c r="F1587" s="14"/>
    </row>
    <row r="1588" spans="1:6" ht="30.75" customHeight="1" thickBot="1" x14ac:dyDescent="0.25">
      <c r="A1588" s="10"/>
      <c r="E1588" s="9"/>
      <c r="F1588" s="14"/>
    </row>
    <row r="1589" spans="1:6" ht="30.75" customHeight="1" thickBot="1" x14ac:dyDescent="0.25">
      <c r="A1589" s="10"/>
      <c r="E1589" s="9"/>
      <c r="F1589" s="14"/>
    </row>
    <row r="1590" spans="1:6" ht="30.75" customHeight="1" thickBot="1" x14ac:dyDescent="0.25">
      <c r="A1590" s="10"/>
      <c r="E1590" s="9"/>
      <c r="F1590" s="14"/>
    </row>
    <row r="1591" spans="1:6" ht="30.75" customHeight="1" thickBot="1" x14ac:dyDescent="0.25">
      <c r="A1591" s="10"/>
      <c r="E1591" s="9"/>
      <c r="F1591" s="14"/>
    </row>
    <row r="1592" spans="1:6" ht="30.75" customHeight="1" thickBot="1" x14ac:dyDescent="0.25">
      <c r="A1592" s="10"/>
      <c r="E1592" s="9"/>
      <c r="F1592" s="14"/>
    </row>
    <row r="1593" spans="1:6" ht="30.75" customHeight="1" thickBot="1" x14ac:dyDescent="0.25">
      <c r="A1593" s="10"/>
      <c r="E1593" s="9"/>
      <c r="F1593" s="14"/>
    </row>
    <row r="1594" spans="1:6" ht="30.75" customHeight="1" thickBot="1" x14ac:dyDescent="0.25">
      <c r="A1594" s="10"/>
      <c r="E1594" s="9"/>
      <c r="F1594" s="14"/>
    </row>
    <row r="1595" spans="1:6" ht="30.75" customHeight="1" thickBot="1" x14ac:dyDescent="0.25">
      <c r="A1595" s="10"/>
      <c r="E1595" s="9"/>
      <c r="F1595" s="14"/>
    </row>
    <row r="1596" spans="1:6" ht="30.75" customHeight="1" thickBot="1" x14ac:dyDescent="0.25">
      <c r="A1596" s="10"/>
      <c r="E1596" s="9"/>
      <c r="F1596" s="14"/>
    </row>
    <row r="1597" spans="1:6" ht="30.75" customHeight="1" thickBot="1" x14ac:dyDescent="0.25">
      <c r="A1597" s="10"/>
      <c r="E1597" s="9"/>
      <c r="F1597" s="14"/>
    </row>
    <row r="1598" spans="1:6" ht="30.75" customHeight="1" thickBot="1" x14ac:dyDescent="0.25">
      <c r="A1598" s="10"/>
      <c r="E1598" s="9"/>
      <c r="F1598" s="14"/>
    </row>
    <row r="1599" spans="1:6" ht="30.75" customHeight="1" thickBot="1" x14ac:dyDescent="0.25">
      <c r="A1599" s="10"/>
      <c r="E1599" s="9"/>
      <c r="F1599" s="14"/>
    </row>
    <row r="1600" spans="1:6" ht="30.75" customHeight="1" thickBot="1" x14ac:dyDescent="0.25">
      <c r="A1600" s="10"/>
      <c r="E1600" s="9"/>
      <c r="F1600" s="14"/>
    </row>
    <row r="1601" spans="1:6" ht="30.75" customHeight="1" thickBot="1" x14ac:dyDescent="0.25">
      <c r="A1601" s="10"/>
      <c r="E1601" s="9"/>
      <c r="F1601" s="14"/>
    </row>
    <row r="1602" spans="1:6" ht="30.75" customHeight="1" thickBot="1" x14ac:dyDescent="0.25">
      <c r="A1602" s="10"/>
      <c r="E1602" s="9"/>
      <c r="F1602" s="14"/>
    </row>
    <row r="1603" spans="1:6" ht="30.75" customHeight="1" thickBot="1" x14ac:dyDescent="0.25">
      <c r="A1603" s="10"/>
      <c r="E1603" s="9"/>
      <c r="F1603" s="14"/>
    </row>
    <row r="1604" spans="1:6" ht="30.75" customHeight="1" thickBot="1" x14ac:dyDescent="0.25">
      <c r="A1604" s="10"/>
      <c r="E1604" s="9"/>
      <c r="F1604" s="14"/>
    </row>
    <row r="1605" spans="1:6" ht="30.75" customHeight="1" thickBot="1" x14ac:dyDescent="0.25">
      <c r="A1605" s="10"/>
      <c r="E1605" s="9"/>
      <c r="F1605" s="14"/>
    </row>
    <row r="1606" spans="1:6" ht="30.75" customHeight="1" thickBot="1" x14ac:dyDescent="0.25">
      <c r="A1606" s="10"/>
      <c r="E1606" s="9"/>
      <c r="F1606" s="14"/>
    </row>
    <row r="1607" spans="1:6" ht="30.75" customHeight="1" thickBot="1" x14ac:dyDescent="0.25">
      <c r="A1607" s="10"/>
      <c r="E1607" s="9"/>
      <c r="F1607" s="14"/>
    </row>
    <row r="1608" spans="1:6" ht="30.75" customHeight="1" thickBot="1" x14ac:dyDescent="0.25">
      <c r="A1608" s="10"/>
      <c r="E1608" s="9"/>
      <c r="F1608" s="14"/>
    </row>
    <row r="1609" spans="1:6" ht="30.75" customHeight="1" thickBot="1" x14ac:dyDescent="0.25">
      <c r="A1609" s="10"/>
      <c r="E1609" s="9"/>
      <c r="F1609" s="14"/>
    </row>
    <row r="1610" spans="1:6" ht="30.75" customHeight="1" thickBot="1" x14ac:dyDescent="0.25">
      <c r="A1610" s="10"/>
      <c r="E1610" s="9"/>
      <c r="F1610" s="14"/>
    </row>
    <row r="1611" spans="1:6" ht="30.75" customHeight="1" thickBot="1" x14ac:dyDescent="0.25">
      <c r="A1611" s="10"/>
      <c r="E1611" s="9"/>
      <c r="F1611" s="14"/>
    </row>
    <row r="1612" spans="1:6" ht="30.75" customHeight="1" thickBot="1" x14ac:dyDescent="0.25">
      <c r="A1612" s="10"/>
      <c r="E1612" s="9"/>
      <c r="F1612" s="14"/>
    </row>
    <row r="1613" spans="1:6" ht="30.75" customHeight="1" thickBot="1" x14ac:dyDescent="0.25">
      <c r="A1613" s="10"/>
      <c r="E1613" s="9"/>
      <c r="F1613" s="14"/>
    </row>
    <row r="1614" spans="1:6" ht="30.75" customHeight="1" thickBot="1" x14ac:dyDescent="0.25">
      <c r="A1614" s="10"/>
      <c r="E1614" s="9"/>
      <c r="F1614" s="14"/>
    </row>
    <row r="1615" spans="1:6" ht="30.75" customHeight="1" thickBot="1" x14ac:dyDescent="0.25">
      <c r="A1615" s="10"/>
      <c r="E1615" s="9"/>
      <c r="F1615" s="14"/>
    </row>
    <row r="1616" spans="1:6" ht="30.75" customHeight="1" thickBot="1" x14ac:dyDescent="0.25">
      <c r="A1616" s="10"/>
      <c r="E1616" s="9"/>
      <c r="F1616" s="14"/>
    </row>
    <row r="1617" spans="1:6" ht="30.75" customHeight="1" thickBot="1" x14ac:dyDescent="0.25">
      <c r="A1617" s="10"/>
      <c r="E1617" s="9"/>
      <c r="F1617" s="14"/>
    </row>
    <row r="1618" spans="1:6" ht="30.75" customHeight="1" thickBot="1" x14ac:dyDescent="0.25">
      <c r="A1618" s="10"/>
      <c r="E1618" s="9"/>
      <c r="F1618" s="14"/>
    </row>
    <row r="1619" spans="1:6" ht="30.75" customHeight="1" thickBot="1" x14ac:dyDescent="0.25">
      <c r="A1619" s="10"/>
      <c r="E1619" s="9"/>
      <c r="F1619" s="14"/>
    </row>
    <row r="1620" spans="1:6" ht="30.75" customHeight="1" thickBot="1" x14ac:dyDescent="0.25">
      <c r="A1620" s="10"/>
      <c r="E1620" s="9"/>
      <c r="F1620" s="14"/>
    </row>
    <row r="1621" spans="1:6" ht="30.75" customHeight="1" thickBot="1" x14ac:dyDescent="0.25">
      <c r="A1621" s="10"/>
      <c r="E1621" s="9"/>
      <c r="F1621" s="14"/>
    </row>
    <row r="1622" spans="1:6" ht="30.75" customHeight="1" thickBot="1" x14ac:dyDescent="0.25">
      <c r="A1622" s="10"/>
      <c r="E1622" s="9"/>
      <c r="F1622" s="14"/>
    </row>
    <row r="1623" spans="1:6" ht="30.75" customHeight="1" thickBot="1" x14ac:dyDescent="0.25">
      <c r="A1623" s="10"/>
      <c r="E1623" s="9"/>
      <c r="F1623" s="14"/>
    </row>
    <row r="1624" spans="1:6" ht="30.75" customHeight="1" thickBot="1" x14ac:dyDescent="0.25">
      <c r="A1624" s="10"/>
      <c r="E1624" s="9"/>
      <c r="F1624" s="14"/>
    </row>
    <row r="1625" spans="1:6" ht="30.75" customHeight="1" thickBot="1" x14ac:dyDescent="0.25">
      <c r="A1625" s="10"/>
      <c r="E1625" s="9"/>
      <c r="F1625" s="14"/>
    </row>
    <row r="1626" spans="1:6" ht="30.75" customHeight="1" thickBot="1" x14ac:dyDescent="0.25">
      <c r="A1626" s="10"/>
      <c r="E1626" s="9"/>
      <c r="F1626" s="14"/>
    </row>
    <row r="1627" spans="1:6" ht="30.75" customHeight="1" thickBot="1" x14ac:dyDescent="0.25">
      <c r="A1627" s="10"/>
      <c r="E1627" s="9"/>
      <c r="F1627" s="14"/>
    </row>
    <row r="1628" spans="1:6" ht="30.75" customHeight="1" thickBot="1" x14ac:dyDescent="0.25">
      <c r="A1628" s="10"/>
      <c r="E1628" s="9"/>
      <c r="F1628" s="14"/>
    </row>
    <row r="1629" spans="1:6" ht="30.75" customHeight="1" thickBot="1" x14ac:dyDescent="0.25">
      <c r="A1629" s="10"/>
      <c r="E1629" s="9"/>
      <c r="F1629" s="14"/>
    </row>
    <row r="1630" spans="1:6" ht="30.75" customHeight="1" thickBot="1" x14ac:dyDescent="0.25">
      <c r="A1630" s="10"/>
      <c r="E1630" s="9"/>
      <c r="F1630" s="14"/>
    </row>
    <row r="1631" spans="1:6" ht="30.75" customHeight="1" thickBot="1" x14ac:dyDescent="0.25">
      <c r="A1631" s="10"/>
      <c r="E1631" s="9"/>
      <c r="F1631" s="14"/>
    </row>
    <row r="1632" spans="1:6" ht="30.75" customHeight="1" thickBot="1" x14ac:dyDescent="0.25">
      <c r="A1632" s="10"/>
      <c r="E1632" s="9"/>
      <c r="F1632" s="14"/>
    </row>
    <row r="1633" spans="1:6" ht="30.75" customHeight="1" thickBot="1" x14ac:dyDescent="0.25">
      <c r="A1633" s="10"/>
      <c r="E1633" s="9"/>
      <c r="F1633" s="14"/>
    </row>
    <row r="1634" spans="1:6" ht="30.75" customHeight="1" thickBot="1" x14ac:dyDescent="0.25">
      <c r="A1634" s="10"/>
      <c r="E1634" s="9"/>
      <c r="F1634" s="14"/>
    </row>
    <row r="1635" spans="1:6" ht="30.75" customHeight="1" thickBot="1" x14ac:dyDescent="0.25">
      <c r="A1635" s="10"/>
      <c r="E1635" s="9"/>
      <c r="F1635" s="14"/>
    </row>
    <row r="1636" spans="1:6" ht="30.75" customHeight="1" thickBot="1" x14ac:dyDescent="0.25">
      <c r="A1636" s="10"/>
      <c r="E1636" s="9"/>
      <c r="F1636" s="14"/>
    </row>
    <row r="1637" spans="1:6" ht="30.75" customHeight="1" thickBot="1" x14ac:dyDescent="0.25">
      <c r="A1637" s="10"/>
      <c r="E1637" s="9"/>
      <c r="F1637" s="14"/>
    </row>
    <row r="1638" spans="1:6" ht="30.75" customHeight="1" thickBot="1" x14ac:dyDescent="0.25">
      <c r="A1638" s="10"/>
      <c r="E1638" s="9"/>
      <c r="F1638" s="14"/>
    </row>
    <row r="1639" spans="1:6" ht="30.75" customHeight="1" thickBot="1" x14ac:dyDescent="0.25">
      <c r="A1639" s="10"/>
      <c r="E1639" s="9"/>
      <c r="F1639" s="14"/>
    </row>
    <row r="1640" spans="1:6" ht="30.75" customHeight="1" thickBot="1" x14ac:dyDescent="0.25">
      <c r="A1640" s="10"/>
      <c r="E1640" s="9"/>
      <c r="F1640" s="14"/>
    </row>
    <row r="1641" spans="1:6" ht="30.75" customHeight="1" thickBot="1" x14ac:dyDescent="0.25">
      <c r="A1641" s="10"/>
      <c r="E1641" s="9"/>
      <c r="F1641" s="14"/>
    </row>
    <row r="1642" spans="1:6" ht="30.75" customHeight="1" thickBot="1" x14ac:dyDescent="0.25">
      <c r="A1642" s="10"/>
      <c r="E1642" s="9"/>
      <c r="F1642" s="14"/>
    </row>
    <row r="1643" spans="1:6" ht="30.75" customHeight="1" thickBot="1" x14ac:dyDescent="0.25">
      <c r="A1643" s="10"/>
      <c r="E1643" s="9"/>
      <c r="F1643" s="14"/>
    </row>
    <row r="1644" spans="1:6" ht="30.75" customHeight="1" thickBot="1" x14ac:dyDescent="0.25">
      <c r="A1644" s="10"/>
      <c r="E1644" s="9"/>
      <c r="F1644" s="14"/>
    </row>
    <row r="1645" spans="1:6" ht="30.75" customHeight="1" thickBot="1" x14ac:dyDescent="0.25">
      <c r="A1645" s="10"/>
      <c r="E1645" s="9"/>
      <c r="F1645" s="14"/>
    </row>
    <row r="1646" spans="1:6" ht="30.75" customHeight="1" thickBot="1" x14ac:dyDescent="0.25"/>
    <row r="1647" spans="1:6" ht="30.75" customHeight="1" thickBot="1" x14ac:dyDescent="0.25"/>
    <row r="1648" spans="1:6" ht="30.75" customHeight="1" thickBot="1" x14ac:dyDescent="0.25"/>
    <row r="1649" ht="30.75" customHeight="1" thickBot="1" x14ac:dyDescent="0.25"/>
    <row r="1650" ht="30.75" customHeight="1" thickBot="1" x14ac:dyDescent="0.25"/>
    <row r="1651" ht="30.75" customHeight="1" thickBot="1" x14ac:dyDescent="0.25"/>
    <row r="1652" ht="30.75" customHeight="1" thickBot="1" x14ac:dyDescent="0.25"/>
    <row r="1653" ht="30.75" customHeight="1" thickBot="1" x14ac:dyDescent="0.25"/>
    <row r="1654" ht="30.75" customHeight="1" thickBot="1" x14ac:dyDescent="0.25"/>
    <row r="1655" ht="30.75" customHeight="1" thickBot="1" x14ac:dyDescent="0.25"/>
    <row r="1656" ht="30.75" customHeight="1" thickBot="1" x14ac:dyDescent="0.25"/>
    <row r="1657" ht="30.75" customHeight="1" thickBot="1" x14ac:dyDescent="0.25"/>
    <row r="1658" ht="30.75" customHeight="1" thickBot="1" x14ac:dyDescent="0.25"/>
    <row r="1659" ht="30.75" customHeight="1" thickBot="1" x14ac:dyDescent="0.25"/>
    <row r="1660" ht="30.75" customHeight="1" thickBot="1" x14ac:dyDescent="0.25"/>
    <row r="1661" ht="30.75" customHeight="1" thickBot="1" x14ac:dyDescent="0.25"/>
    <row r="1662" ht="30.75" customHeight="1" thickBot="1" x14ac:dyDescent="0.25"/>
    <row r="1663" ht="30.75" customHeight="1" thickBot="1" x14ac:dyDescent="0.25"/>
    <row r="1664" ht="30.75" customHeight="1" thickBot="1" x14ac:dyDescent="0.25"/>
    <row r="1665" ht="30.75" customHeight="1" thickBot="1" x14ac:dyDescent="0.25"/>
    <row r="1666" ht="30.75" customHeight="1" thickBot="1" x14ac:dyDescent="0.25"/>
    <row r="1667" ht="30.75" customHeight="1" thickBot="1" x14ac:dyDescent="0.25"/>
    <row r="1668" ht="30.75" customHeight="1" thickBot="1" x14ac:dyDescent="0.25"/>
    <row r="1669" ht="30.75" customHeight="1" thickBot="1" x14ac:dyDescent="0.25"/>
    <row r="1670" ht="30.75" customHeight="1" thickBot="1" x14ac:dyDescent="0.25"/>
    <row r="1671" ht="30.75" customHeight="1" thickBot="1" x14ac:dyDescent="0.25"/>
    <row r="1672" ht="30.75" customHeight="1" thickBot="1" x14ac:dyDescent="0.25"/>
    <row r="1673" ht="30.75" customHeight="1" thickBot="1" x14ac:dyDescent="0.25"/>
    <row r="1674" ht="30.75" customHeight="1" thickBot="1" x14ac:dyDescent="0.25"/>
    <row r="1675" ht="30.75" customHeight="1" thickBot="1" x14ac:dyDescent="0.25"/>
    <row r="1676" ht="30.75" customHeight="1" thickBot="1" x14ac:dyDescent="0.25"/>
    <row r="1677" ht="30.75" customHeight="1" thickBot="1" x14ac:dyDescent="0.25"/>
    <row r="1678" ht="30.75" customHeight="1" thickBot="1" x14ac:dyDescent="0.25"/>
    <row r="1679" ht="30.75" customHeight="1" thickBot="1" x14ac:dyDescent="0.25"/>
    <row r="1680" ht="30.75" customHeight="1" thickBot="1" x14ac:dyDescent="0.25"/>
    <row r="1681" ht="30.75" customHeight="1" thickBot="1" x14ac:dyDescent="0.25"/>
    <row r="1682" ht="30.75" customHeight="1" thickBot="1" x14ac:dyDescent="0.25"/>
    <row r="1683" ht="30.75" customHeight="1" thickBot="1" x14ac:dyDescent="0.25"/>
    <row r="1684" ht="30.75" customHeight="1" thickBot="1" x14ac:dyDescent="0.25"/>
    <row r="1685" ht="30.75" customHeight="1" thickBot="1" x14ac:dyDescent="0.25"/>
    <row r="1686" ht="30.75" customHeight="1" thickBot="1" x14ac:dyDescent="0.25"/>
    <row r="1687" ht="30.75" customHeight="1" thickBot="1" x14ac:dyDescent="0.25"/>
    <row r="1688" ht="30.75" customHeight="1" thickBot="1" x14ac:dyDescent="0.25"/>
    <row r="1689" ht="30.75" customHeight="1" thickBot="1" x14ac:dyDescent="0.25"/>
    <row r="1690" ht="30.75" customHeight="1" thickBot="1" x14ac:dyDescent="0.25"/>
    <row r="1691" ht="30.75" customHeight="1" thickBot="1" x14ac:dyDescent="0.25"/>
    <row r="1692" ht="30.75" customHeight="1" thickBot="1" x14ac:dyDescent="0.25"/>
    <row r="1693" ht="30.75" customHeight="1" thickBot="1" x14ac:dyDescent="0.25"/>
    <row r="1694" ht="30.75" customHeight="1" thickBot="1" x14ac:dyDescent="0.25"/>
    <row r="1695" ht="30.75" customHeight="1" thickBot="1" x14ac:dyDescent="0.25"/>
    <row r="1696" ht="30.75" customHeight="1" thickBot="1" x14ac:dyDescent="0.25"/>
    <row r="1697" ht="30.75" customHeight="1" thickBot="1" x14ac:dyDescent="0.25"/>
    <row r="1698" ht="30.75" customHeight="1" thickBot="1" x14ac:dyDescent="0.25"/>
    <row r="1699" ht="30.75" customHeight="1" thickBot="1" x14ac:dyDescent="0.25"/>
    <row r="1700" ht="30.75" customHeight="1" thickBot="1" x14ac:dyDescent="0.25"/>
    <row r="1701" ht="30.75" customHeight="1" thickBot="1" x14ac:dyDescent="0.25"/>
    <row r="1702" ht="30.75" customHeight="1" thickBot="1" x14ac:dyDescent="0.25"/>
    <row r="1703" ht="30.75" customHeight="1" thickBot="1" x14ac:dyDescent="0.25"/>
    <row r="1704" ht="30.75" customHeight="1" thickBot="1" x14ac:dyDescent="0.25"/>
    <row r="1705" ht="30.75" customHeight="1" thickBot="1" x14ac:dyDescent="0.25"/>
    <row r="1706" ht="30.75" customHeight="1" thickBot="1" x14ac:dyDescent="0.25"/>
    <row r="1707" ht="30.75" customHeight="1" thickBot="1" x14ac:dyDescent="0.25"/>
    <row r="1708" ht="30.75" customHeight="1" thickBot="1" x14ac:dyDescent="0.25"/>
    <row r="1709" ht="30.75" customHeight="1" thickBot="1" x14ac:dyDescent="0.25"/>
    <row r="1710" ht="30.75" customHeight="1" thickBot="1" x14ac:dyDescent="0.25"/>
    <row r="1711" ht="30.75" customHeight="1" thickBot="1" x14ac:dyDescent="0.25"/>
    <row r="1712" ht="30.75" customHeight="1" thickBot="1" x14ac:dyDescent="0.25"/>
    <row r="1713" ht="30.75" customHeight="1" thickBot="1" x14ac:dyDescent="0.25"/>
    <row r="1714" ht="30.75" customHeight="1" thickBot="1" x14ac:dyDescent="0.25"/>
    <row r="1715" ht="30.75" customHeight="1" thickBot="1" x14ac:dyDescent="0.25"/>
    <row r="1716" ht="30.75" customHeight="1" thickBot="1" x14ac:dyDescent="0.25"/>
    <row r="1717" ht="30.75" customHeight="1" thickBot="1" x14ac:dyDescent="0.25"/>
    <row r="1718" ht="30.75" customHeight="1" thickBot="1" x14ac:dyDescent="0.25"/>
    <row r="1719" ht="30.75" customHeight="1" thickBot="1" x14ac:dyDescent="0.25"/>
    <row r="1720" ht="30.75" customHeight="1" thickBot="1" x14ac:dyDescent="0.25"/>
    <row r="1721" ht="30.75" customHeight="1" thickBot="1" x14ac:dyDescent="0.25"/>
    <row r="1722" ht="30.75" customHeight="1" thickBot="1" x14ac:dyDescent="0.25"/>
    <row r="1723" ht="30.75" customHeight="1" thickBot="1" x14ac:dyDescent="0.25"/>
    <row r="1724" ht="30.75" customHeight="1" thickBot="1" x14ac:dyDescent="0.25"/>
    <row r="1725" ht="30.75" customHeight="1" thickBot="1" x14ac:dyDescent="0.25"/>
    <row r="1726" ht="30.75" customHeight="1" thickBot="1" x14ac:dyDescent="0.25"/>
    <row r="1727" ht="30.75" customHeight="1" thickBot="1" x14ac:dyDescent="0.25"/>
    <row r="1728" ht="30.75" customHeight="1" thickBot="1" x14ac:dyDescent="0.25"/>
    <row r="1729" ht="30.75" customHeight="1" thickBot="1" x14ac:dyDescent="0.25"/>
    <row r="1730" ht="30.75" customHeight="1" thickBot="1" x14ac:dyDescent="0.25"/>
    <row r="1731" ht="30.75" customHeight="1" thickBot="1" x14ac:dyDescent="0.25"/>
    <row r="1732" ht="30.75" customHeight="1" thickBot="1" x14ac:dyDescent="0.25"/>
    <row r="1733" ht="30.75" customHeight="1" thickBot="1" x14ac:dyDescent="0.25"/>
    <row r="1734" ht="30.75" customHeight="1" thickBot="1" x14ac:dyDescent="0.25"/>
    <row r="1735" ht="30.75" customHeight="1" thickBot="1" x14ac:dyDescent="0.25"/>
    <row r="1736" ht="30.75" customHeight="1" thickBot="1" x14ac:dyDescent="0.25"/>
    <row r="1737" ht="30.75" customHeight="1" thickBot="1" x14ac:dyDescent="0.25"/>
    <row r="1738" ht="30.75" customHeight="1" thickBot="1" x14ac:dyDescent="0.25"/>
    <row r="1739" ht="30.75" customHeight="1" thickBot="1" x14ac:dyDescent="0.25"/>
    <row r="1740" ht="30.75" customHeight="1" thickBot="1" x14ac:dyDescent="0.25"/>
    <row r="1741" ht="30.75" customHeight="1" thickBot="1" x14ac:dyDescent="0.25"/>
    <row r="1742" ht="30.75" customHeight="1" thickBot="1" x14ac:dyDescent="0.25"/>
    <row r="1743" ht="30.75" customHeight="1" thickBot="1" x14ac:dyDescent="0.25"/>
    <row r="1744" ht="30.75" customHeight="1" thickBot="1" x14ac:dyDescent="0.25"/>
    <row r="1745" ht="30.75" customHeight="1" thickBot="1" x14ac:dyDescent="0.25"/>
    <row r="1746" ht="30.75" customHeight="1" thickBot="1" x14ac:dyDescent="0.25"/>
    <row r="1747" ht="30.75" customHeight="1" thickBot="1" x14ac:dyDescent="0.25"/>
    <row r="1748" ht="30.75" customHeight="1" thickBot="1" x14ac:dyDescent="0.25"/>
    <row r="1749" ht="30.75" customHeight="1" thickBot="1" x14ac:dyDescent="0.25"/>
    <row r="1750" ht="30.75" customHeight="1" thickBot="1" x14ac:dyDescent="0.25"/>
    <row r="1751" ht="30.75" customHeight="1" thickBot="1" x14ac:dyDescent="0.25"/>
    <row r="1752" ht="30.75" customHeight="1" thickBot="1" x14ac:dyDescent="0.25"/>
    <row r="1753" ht="30.75" customHeight="1" thickBot="1" x14ac:dyDescent="0.25"/>
    <row r="1754" ht="30.75" customHeight="1" thickBot="1" x14ac:dyDescent="0.25"/>
    <row r="1755" ht="30.75" customHeight="1" thickBot="1" x14ac:dyDescent="0.25"/>
    <row r="1756" ht="30.75" customHeight="1" thickBot="1" x14ac:dyDescent="0.25"/>
    <row r="1757" ht="30.75" customHeight="1" thickBot="1" x14ac:dyDescent="0.25"/>
    <row r="1758" ht="30.75" customHeight="1" thickBot="1" x14ac:dyDescent="0.25"/>
    <row r="1759" ht="30.75" customHeight="1" thickBot="1" x14ac:dyDescent="0.25"/>
    <row r="1760" ht="30.75" customHeight="1" thickBot="1" x14ac:dyDescent="0.25"/>
    <row r="1761" ht="30.75" customHeight="1" thickBot="1" x14ac:dyDescent="0.25"/>
    <row r="1762" ht="30.75" customHeight="1" thickBot="1" x14ac:dyDescent="0.25"/>
    <row r="1763" ht="30.75" customHeight="1" thickBot="1" x14ac:dyDescent="0.25"/>
    <row r="1764" ht="30.75" customHeight="1" thickBot="1" x14ac:dyDescent="0.25"/>
    <row r="1765" ht="30.75" customHeight="1" thickBot="1" x14ac:dyDescent="0.25"/>
    <row r="1766" ht="30.75" customHeight="1" thickBot="1" x14ac:dyDescent="0.25"/>
    <row r="1767" ht="30.75" customHeight="1" thickBot="1" x14ac:dyDescent="0.25"/>
    <row r="1768" ht="30.75" customHeight="1" thickBot="1" x14ac:dyDescent="0.25"/>
    <row r="1769" ht="30.75" customHeight="1" thickBot="1" x14ac:dyDescent="0.25"/>
    <row r="1770" ht="30.75" customHeight="1" thickBot="1" x14ac:dyDescent="0.25"/>
    <row r="1771" ht="30.75" customHeight="1" thickBot="1" x14ac:dyDescent="0.25"/>
    <row r="1772" ht="30.75" customHeight="1" thickBot="1" x14ac:dyDescent="0.25"/>
    <row r="1773" ht="30.75" customHeight="1" thickBot="1" x14ac:dyDescent="0.25"/>
    <row r="1774" ht="30.75" customHeight="1" thickBot="1" x14ac:dyDescent="0.25"/>
    <row r="1775" ht="30.75" customHeight="1" thickBot="1" x14ac:dyDescent="0.25"/>
    <row r="1776" ht="30.75" customHeight="1" thickBot="1" x14ac:dyDescent="0.25"/>
    <row r="1777" ht="30.75" customHeight="1" thickBot="1" x14ac:dyDescent="0.25"/>
    <row r="1778" ht="30.75" customHeight="1" thickBot="1" x14ac:dyDescent="0.25"/>
    <row r="1779" ht="30.75" customHeight="1" thickBot="1" x14ac:dyDescent="0.25"/>
    <row r="1780" ht="30.75" customHeight="1" thickBot="1" x14ac:dyDescent="0.25"/>
    <row r="1781" ht="30.75" customHeight="1" thickBot="1" x14ac:dyDescent="0.25"/>
    <row r="1782" ht="30.75" customHeight="1" thickBot="1" x14ac:dyDescent="0.25"/>
    <row r="1783" ht="30.75" customHeight="1" thickBot="1" x14ac:dyDescent="0.25"/>
    <row r="1784" ht="30.75" customHeight="1" thickBot="1" x14ac:dyDescent="0.25"/>
    <row r="1785" ht="30.75" customHeight="1" thickBot="1" x14ac:dyDescent="0.25"/>
    <row r="1786" ht="30.75" customHeight="1" thickBot="1" x14ac:dyDescent="0.25"/>
    <row r="1787" ht="30.75" customHeight="1" thickBot="1" x14ac:dyDescent="0.25"/>
    <row r="1788" ht="30.75" customHeight="1" thickBot="1" x14ac:dyDescent="0.25"/>
    <row r="1789" ht="30.75" customHeight="1" thickBot="1" x14ac:dyDescent="0.25"/>
    <row r="1790" ht="30.75" customHeight="1" thickBot="1" x14ac:dyDescent="0.25"/>
    <row r="1791" ht="30.75" customHeight="1" thickBot="1" x14ac:dyDescent="0.25"/>
    <row r="1792" ht="30.75" customHeight="1" thickBot="1" x14ac:dyDescent="0.25"/>
    <row r="1793" ht="30.75" customHeight="1" thickBot="1" x14ac:dyDescent="0.25"/>
    <row r="1794" ht="30.75" customHeight="1" thickBot="1" x14ac:dyDescent="0.25"/>
    <row r="1795" ht="30.75" customHeight="1" thickBot="1" x14ac:dyDescent="0.25"/>
    <row r="1796" ht="30.75" customHeight="1" thickBot="1" x14ac:dyDescent="0.25"/>
    <row r="1797" ht="30.75" customHeight="1" thickBot="1" x14ac:dyDescent="0.25"/>
    <row r="1798" ht="30.75" customHeight="1" thickBot="1" x14ac:dyDescent="0.25"/>
    <row r="1799" ht="30.75" customHeight="1" thickBot="1" x14ac:dyDescent="0.25"/>
    <row r="1800" ht="30.75" customHeight="1" thickBot="1" x14ac:dyDescent="0.25"/>
    <row r="1801" ht="30.75" customHeight="1" thickBot="1" x14ac:dyDescent="0.25"/>
    <row r="1802" ht="30.75" customHeight="1" thickBot="1" x14ac:dyDescent="0.25"/>
    <row r="1803" ht="30.75" customHeight="1" thickBot="1" x14ac:dyDescent="0.25"/>
    <row r="1804" ht="30.75" customHeight="1" thickBot="1" x14ac:dyDescent="0.25"/>
    <row r="1805" ht="30.75" customHeight="1" thickBot="1" x14ac:dyDescent="0.25"/>
    <row r="1806" ht="30.75" customHeight="1" thickBot="1" x14ac:dyDescent="0.25"/>
    <row r="1807" ht="30.75" customHeight="1" thickBot="1" x14ac:dyDescent="0.25"/>
    <row r="1808" ht="30.75" customHeight="1" thickBot="1" x14ac:dyDescent="0.25"/>
    <row r="1809" ht="30.75" customHeight="1" thickBot="1" x14ac:dyDescent="0.25"/>
    <row r="1810" ht="30.75" customHeight="1" thickBot="1" x14ac:dyDescent="0.25"/>
    <row r="1811" ht="30.75" customHeight="1" thickBot="1" x14ac:dyDescent="0.25"/>
    <row r="1812" ht="30.75" customHeight="1" thickBot="1" x14ac:dyDescent="0.25"/>
    <row r="1813" ht="30.75" customHeight="1" thickBot="1" x14ac:dyDescent="0.25"/>
    <row r="1814" ht="30.75" customHeight="1" thickBot="1" x14ac:dyDescent="0.25"/>
    <row r="1815" ht="30.75" customHeight="1" thickBot="1" x14ac:dyDescent="0.25"/>
    <row r="1816" ht="30.75" customHeight="1" thickBot="1" x14ac:dyDescent="0.25"/>
    <row r="1817" ht="30.75" customHeight="1" thickBot="1" x14ac:dyDescent="0.25"/>
    <row r="1818" ht="30.75" customHeight="1" thickBot="1" x14ac:dyDescent="0.25"/>
    <row r="1819" ht="30.75" customHeight="1" thickBot="1" x14ac:dyDescent="0.25"/>
    <row r="1820" ht="30.75" customHeight="1" thickBot="1" x14ac:dyDescent="0.25"/>
    <row r="1821" ht="30.75" customHeight="1" thickBot="1" x14ac:dyDescent="0.25"/>
    <row r="1822" ht="30.75" customHeight="1" thickBot="1" x14ac:dyDescent="0.25"/>
    <row r="1823" ht="30.75" customHeight="1" thickBot="1" x14ac:dyDescent="0.25"/>
    <row r="1824" ht="30.75" customHeight="1" thickBot="1" x14ac:dyDescent="0.25"/>
    <row r="1825" ht="30.75" customHeight="1" thickBot="1" x14ac:dyDescent="0.25"/>
    <row r="1826" ht="30.75" customHeight="1" thickBot="1" x14ac:dyDescent="0.25"/>
    <row r="1827" ht="30.75" customHeight="1" thickBot="1" x14ac:dyDescent="0.25"/>
    <row r="1828" ht="30.75" customHeight="1" thickBot="1" x14ac:dyDescent="0.25"/>
    <row r="1829" ht="30.75" customHeight="1" thickBot="1" x14ac:dyDescent="0.25"/>
    <row r="1830" ht="30.75" customHeight="1" thickBot="1" x14ac:dyDescent="0.25"/>
    <row r="1831" ht="30.75" customHeight="1" thickBot="1" x14ac:dyDescent="0.25"/>
    <row r="1832" ht="30.75" customHeight="1" thickBot="1" x14ac:dyDescent="0.25"/>
    <row r="1833" ht="30.75" customHeight="1" thickBot="1" x14ac:dyDescent="0.25"/>
    <row r="1834" ht="30.75" customHeight="1" thickBot="1" x14ac:dyDescent="0.25"/>
    <row r="1835" ht="30.75" customHeight="1" thickBot="1" x14ac:dyDescent="0.25"/>
    <row r="1836" ht="30.75" customHeight="1" thickBot="1" x14ac:dyDescent="0.25"/>
    <row r="1837" ht="30.75" customHeight="1" thickBot="1" x14ac:dyDescent="0.25"/>
    <row r="1838" ht="30.75" customHeight="1" thickBot="1" x14ac:dyDescent="0.25"/>
    <row r="1839" ht="30.75" customHeight="1" thickBot="1" x14ac:dyDescent="0.25"/>
    <row r="1840" ht="30.75" customHeight="1" thickBot="1" x14ac:dyDescent="0.25"/>
    <row r="1841" ht="30.75" customHeight="1" thickBot="1" x14ac:dyDescent="0.25"/>
    <row r="1842" ht="30.75" customHeight="1" thickBot="1" x14ac:dyDescent="0.25"/>
    <row r="1843" ht="30.75" customHeight="1" thickBot="1" x14ac:dyDescent="0.25"/>
    <row r="1844" ht="30.75" customHeight="1" thickBot="1" x14ac:dyDescent="0.25"/>
    <row r="1845" ht="30.75" customHeight="1" thickBot="1" x14ac:dyDescent="0.25"/>
    <row r="1846" ht="30.75" customHeight="1" thickBot="1" x14ac:dyDescent="0.25"/>
    <row r="1847" ht="30.75" customHeight="1" thickBot="1" x14ac:dyDescent="0.25"/>
    <row r="1848" ht="30.75" customHeight="1" thickBot="1" x14ac:dyDescent="0.25"/>
    <row r="1849" ht="30.75" customHeight="1" thickBot="1" x14ac:dyDescent="0.25"/>
    <row r="1850" ht="30.75" customHeight="1" thickBot="1" x14ac:dyDescent="0.25"/>
    <row r="1851" ht="30.75" customHeight="1" thickBot="1" x14ac:dyDescent="0.25"/>
    <row r="1852" ht="30.75" customHeight="1" thickBot="1" x14ac:dyDescent="0.25"/>
    <row r="1853" ht="30.75" customHeight="1" thickBot="1" x14ac:dyDescent="0.25"/>
    <row r="1854" ht="30.75" customHeight="1" thickBot="1" x14ac:dyDescent="0.25"/>
    <row r="1855" ht="30.75" customHeight="1" thickBot="1" x14ac:dyDescent="0.25"/>
    <row r="1856" ht="30.75" customHeight="1" thickBot="1" x14ac:dyDescent="0.25"/>
    <row r="1857" ht="30.75" customHeight="1" thickBot="1" x14ac:dyDescent="0.25"/>
    <row r="1858" ht="30.75" customHeight="1" thickBot="1" x14ac:dyDescent="0.25"/>
    <row r="1859" ht="30.75" customHeight="1" thickBot="1" x14ac:dyDescent="0.25"/>
    <row r="1860" ht="30.75" customHeight="1" thickBot="1" x14ac:dyDescent="0.25"/>
    <row r="1861" ht="30.75" customHeight="1" thickBot="1" x14ac:dyDescent="0.25"/>
    <row r="1862" ht="30.75" customHeight="1" thickBot="1" x14ac:dyDescent="0.25"/>
    <row r="1863" ht="30.75" customHeight="1" thickBot="1" x14ac:dyDescent="0.25"/>
    <row r="1864" ht="30.75" customHeight="1" thickBot="1" x14ac:dyDescent="0.25"/>
    <row r="1865" ht="30.75" customHeight="1" thickBot="1" x14ac:dyDescent="0.25"/>
    <row r="1866" ht="30.75" customHeight="1" thickBot="1" x14ac:dyDescent="0.25"/>
    <row r="1867" ht="30.75" customHeight="1" thickBot="1" x14ac:dyDescent="0.25"/>
    <row r="1868" ht="30.75" customHeight="1" thickBot="1" x14ac:dyDescent="0.25"/>
    <row r="1869" ht="30.75" customHeight="1" thickBot="1" x14ac:dyDescent="0.25"/>
    <row r="1870" ht="30.75" customHeight="1" thickBot="1" x14ac:dyDescent="0.25"/>
    <row r="1871" ht="30.75" customHeight="1" thickBot="1" x14ac:dyDescent="0.25"/>
    <row r="1872" ht="30.75" customHeight="1" thickBot="1" x14ac:dyDescent="0.25"/>
    <row r="1873" ht="30.75" customHeight="1" thickBot="1" x14ac:dyDescent="0.25"/>
    <row r="1874" ht="30.75" customHeight="1" thickBot="1" x14ac:dyDescent="0.25"/>
    <row r="1875" ht="30.75" customHeight="1" thickBot="1" x14ac:dyDescent="0.25"/>
    <row r="1876" ht="30.75" customHeight="1" thickBot="1" x14ac:dyDescent="0.25"/>
    <row r="1877" ht="30.75" customHeight="1" thickBot="1" x14ac:dyDescent="0.25"/>
    <row r="1878" ht="30.75" customHeight="1" thickBot="1" x14ac:dyDescent="0.25"/>
    <row r="1879" ht="30.75" customHeight="1" thickBot="1" x14ac:dyDescent="0.25"/>
    <row r="1880" ht="30.75" customHeight="1" thickBot="1" x14ac:dyDescent="0.25"/>
    <row r="1881" ht="30.75" customHeight="1" thickBot="1" x14ac:dyDescent="0.25"/>
    <row r="1882" ht="30.75" customHeight="1" thickBot="1" x14ac:dyDescent="0.25"/>
    <row r="1883" ht="30.75" customHeight="1" thickBot="1" x14ac:dyDescent="0.25"/>
    <row r="1884" ht="30.75" customHeight="1" thickBot="1" x14ac:dyDescent="0.25"/>
    <row r="1885" ht="30.75" customHeight="1" thickBot="1" x14ac:dyDescent="0.25"/>
    <row r="1886" ht="30.75" customHeight="1" thickBot="1" x14ac:dyDescent="0.25"/>
    <row r="1887" ht="30.75" customHeight="1" thickBot="1" x14ac:dyDescent="0.25"/>
    <row r="1888" ht="30.75" customHeight="1" thickBot="1" x14ac:dyDescent="0.25"/>
    <row r="1889" ht="30.75" customHeight="1" thickBot="1" x14ac:dyDescent="0.25"/>
    <row r="1890" ht="30.75" customHeight="1" thickBot="1" x14ac:dyDescent="0.25"/>
    <row r="1891" ht="30.75" customHeight="1" thickBot="1" x14ac:dyDescent="0.25"/>
    <row r="1892" ht="30.75" customHeight="1" thickBot="1" x14ac:dyDescent="0.25"/>
    <row r="1893" ht="30.75" customHeight="1" thickBot="1" x14ac:dyDescent="0.25"/>
    <row r="1894" ht="30.75" customHeight="1" thickBot="1" x14ac:dyDescent="0.25"/>
    <row r="1895" ht="30.75" customHeight="1" thickBot="1" x14ac:dyDescent="0.25"/>
    <row r="1896" ht="30.75" customHeight="1" thickBot="1" x14ac:dyDescent="0.25"/>
    <row r="1897" ht="30.75" customHeight="1" thickBot="1" x14ac:dyDescent="0.25"/>
    <row r="1898" ht="30.75" customHeight="1" thickBot="1" x14ac:dyDescent="0.25"/>
    <row r="1899" ht="30.75" customHeight="1" thickBot="1" x14ac:dyDescent="0.25"/>
    <row r="1900" ht="30.75" customHeight="1" thickBot="1" x14ac:dyDescent="0.25"/>
    <row r="1901" ht="30.75" customHeight="1" thickBot="1" x14ac:dyDescent="0.25"/>
    <row r="1902" ht="30.75" customHeight="1" thickBot="1" x14ac:dyDescent="0.25"/>
    <row r="1903" ht="30.75" customHeight="1" thickBot="1" x14ac:dyDescent="0.25"/>
    <row r="1904" ht="30.75" customHeight="1" thickBot="1" x14ac:dyDescent="0.25"/>
    <row r="1905" ht="30.75" customHeight="1" thickBot="1" x14ac:dyDescent="0.25"/>
    <row r="1906" ht="30.75" customHeight="1" thickBot="1" x14ac:dyDescent="0.25"/>
    <row r="1907" ht="30.75" customHeight="1" thickBot="1" x14ac:dyDescent="0.25"/>
    <row r="1908" ht="30.75" customHeight="1" thickBot="1" x14ac:dyDescent="0.25"/>
    <row r="1909" ht="30.75" customHeight="1" thickBot="1" x14ac:dyDescent="0.25"/>
    <row r="1910" ht="30.75" customHeight="1" thickBot="1" x14ac:dyDescent="0.25"/>
    <row r="1911" ht="30.75" customHeight="1" thickBot="1" x14ac:dyDescent="0.25"/>
    <row r="1912" ht="30.75" customHeight="1" thickBot="1" x14ac:dyDescent="0.25"/>
    <row r="1913" ht="30.75" customHeight="1" thickBot="1" x14ac:dyDescent="0.25"/>
    <row r="1914" ht="30.75" customHeight="1" thickBot="1" x14ac:dyDescent="0.25"/>
    <row r="1915" ht="30.75" customHeight="1" thickBot="1" x14ac:dyDescent="0.25"/>
    <row r="1916" ht="30.75" customHeight="1" thickBot="1" x14ac:dyDescent="0.25"/>
    <row r="1917" ht="30.75" customHeight="1" thickBot="1" x14ac:dyDescent="0.25"/>
    <row r="1918" ht="30.75" customHeight="1" thickBot="1" x14ac:dyDescent="0.25"/>
    <row r="1919" ht="30.75" customHeight="1" thickBot="1" x14ac:dyDescent="0.25"/>
    <row r="1920" ht="30.75" customHeight="1" thickBot="1" x14ac:dyDescent="0.25"/>
    <row r="1921" ht="30.75" customHeight="1" thickBot="1" x14ac:dyDescent="0.25"/>
    <row r="1922" ht="30.75" customHeight="1" thickBot="1" x14ac:dyDescent="0.25"/>
    <row r="1923" ht="30.75" customHeight="1" thickBot="1" x14ac:dyDescent="0.25"/>
    <row r="1924" ht="30.75" customHeight="1" thickBot="1" x14ac:dyDescent="0.25"/>
    <row r="1925" ht="30.75" customHeight="1" thickBot="1" x14ac:dyDescent="0.25"/>
    <row r="1926" ht="30.75" customHeight="1" thickBot="1" x14ac:dyDescent="0.25"/>
    <row r="1927" ht="30.75" customHeight="1" thickBot="1" x14ac:dyDescent="0.25"/>
    <row r="1928" ht="30.75" customHeight="1" thickBot="1" x14ac:dyDescent="0.25"/>
    <row r="1929" ht="30.75" customHeight="1" thickBot="1" x14ac:dyDescent="0.25"/>
    <row r="1930" ht="30.75" customHeight="1" thickBot="1" x14ac:dyDescent="0.25"/>
    <row r="1931" ht="30.75" customHeight="1" thickBot="1" x14ac:dyDescent="0.25"/>
    <row r="1932" ht="30.75" customHeight="1" thickBot="1" x14ac:dyDescent="0.25"/>
    <row r="1933" ht="30.75" customHeight="1" thickBot="1" x14ac:dyDescent="0.25"/>
    <row r="1934" ht="30.75" customHeight="1" thickBot="1" x14ac:dyDescent="0.25"/>
    <row r="1935" ht="30.75" customHeight="1" thickBot="1" x14ac:dyDescent="0.25"/>
    <row r="1936" ht="30.75" customHeight="1" thickBot="1" x14ac:dyDescent="0.25"/>
    <row r="1937" ht="30.75" customHeight="1" thickBot="1" x14ac:dyDescent="0.25"/>
    <row r="1938" ht="30.75" customHeight="1" thickBot="1" x14ac:dyDescent="0.25"/>
    <row r="1939" ht="30.75" customHeight="1" thickBot="1" x14ac:dyDescent="0.25"/>
    <row r="1940" ht="30.75" customHeight="1" thickBot="1" x14ac:dyDescent="0.25"/>
    <row r="1941" ht="30.75" customHeight="1" thickBot="1" x14ac:dyDescent="0.25"/>
    <row r="1942" ht="30.75" customHeight="1" thickBot="1" x14ac:dyDescent="0.25"/>
    <row r="1943" ht="30.75" customHeight="1" thickBot="1" x14ac:dyDescent="0.25"/>
    <row r="1944" ht="30.75" customHeight="1" thickBot="1" x14ac:dyDescent="0.25"/>
    <row r="1945" ht="30.75" customHeight="1" thickBot="1" x14ac:dyDescent="0.25"/>
    <row r="1946" ht="30.75" customHeight="1" thickBot="1" x14ac:dyDescent="0.25"/>
    <row r="1947" ht="30.75" customHeight="1" thickBot="1" x14ac:dyDescent="0.25"/>
    <row r="1948" ht="30.75" customHeight="1" thickBot="1" x14ac:dyDescent="0.25"/>
    <row r="1949" ht="30.75" customHeight="1" thickBot="1" x14ac:dyDescent="0.25"/>
    <row r="1950" ht="30.75" customHeight="1" thickBot="1" x14ac:dyDescent="0.25"/>
    <row r="1951" ht="30.75" customHeight="1" thickBot="1" x14ac:dyDescent="0.25"/>
    <row r="1952" ht="30.75" customHeight="1" thickBot="1" x14ac:dyDescent="0.25"/>
    <row r="1953" ht="30.75" customHeight="1" thickBot="1" x14ac:dyDescent="0.25"/>
    <row r="1954" ht="30.75" customHeight="1" thickBot="1" x14ac:dyDescent="0.25"/>
    <row r="1955" ht="30.75" customHeight="1" thickBot="1" x14ac:dyDescent="0.25"/>
    <row r="1956" ht="30.75" customHeight="1" thickBot="1" x14ac:dyDescent="0.25"/>
    <row r="1957" ht="30.75" customHeight="1" thickBot="1" x14ac:dyDescent="0.25"/>
    <row r="1958" ht="30.75" customHeight="1" thickBot="1" x14ac:dyDescent="0.25"/>
    <row r="1959" ht="30.75" customHeight="1" thickBot="1" x14ac:dyDescent="0.25"/>
    <row r="1960" ht="30.75" customHeight="1" thickBot="1" x14ac:dyDescent="0.25"/>
    <row r="1961" ht="30.75" customHeight="1" thickBot="1" x14ac:dyDescent="0.25"/>
    <row r="1962" ht="30.75" customHeight="1" thickBot="1" x14ac:dyDescent="0.25"/>
    <row r="1963" ht="30.75" customHeight="1" thickBot="1" x14ac:dyDescent="0.25"/>
    <row r="1964" ht="30.75" customHeight="1" thickBot="1" x14ac:dyDescent="0.25"/>
    <row r="1965" ht="30.75" customHeight="1" thickBot="1" x14ac:dyDescent="0.25"/>
    <row r="1966" ht="30.75" customHeight="1" thickBot="1" x14ac:dyDescent="0.25"/>
    <row r="1967" ht="30.75" customHeight="1" thickBot="1" x14ac:dyDescent="0.25"/>
    <row r="1968" ht="30.75" customHeight="1" thickBot="1" x14ac:dyDescent="0.25"/>
    <row r="1969" ht="30.75" customHeight="1" thickBot="1" x14ac:dyDescent="0.25"/>
    <row r="1970" ht="30.75" customHeight="1" thickBot="1" x14ac:dyDescent="0.25"/>
    <row r="1971" ht="30.75" customHeight="1" thickBot="1" x14ac:dyDescent="0.25"/>
    <row r="1972" ht="30.75" customHeight="1" thickBot="1" x14ac:dyDescent="0.25"/>
    <row r="1973" ht="30.75" customHeight="1" thickBot="1" x14ac:dyDescent="0.25"/>
    <row r="1974" ht="30.75" customHeight="1" thickBot="1" x14ac:dyDescent="0.25"/>
    <row r="1975" ht="30.75" customHeight="1" thickBot="1" x14ac:dyDescent="0.25"/>
    <row r="1976" ht="30.75" customHeight="1" thickBot="1" x14ac:dyDescent="0.25"/>
    <row r="1977" ht="30.75" customHeight="1" thickBot="1" x14ac:dyDescent="0.25"/>
    <row r="1978" ht="30.75" customHeight="1" thickBot="1" x14ac:dyDescent="0.25"/>
    <row r="1979" ht="30.75" customHeight="1" thickBot="1" x14ac:dyDescent="0.25"/>
    <row r="1980" ht="30.75" customHeight="1" thickBot="1" x14ac:dyDescent="0.25"/>
    <row r="1981" ht="30.75" customHeight="1" thickBot="1" x14ac:dyDescent="0.25"/>
    <row r="1982" ht="30.75" customHeight="1" thickBot="1" x14ac:dyDescent="0.25"/>
    <row r="1983" ht="30.75" customHeight="1" thickBot="1" x14ac:dyDescent="0.25"/>
    <row r="1984" ht="30.75" customHeight="1" thickBot="1" x14ac:dyDescent="0.25"/>
    <row r="1985" ht="30.75" customHeight="1" thickBot="1" x14ac:dyDescent="0.25"/>
    <row r="1986" ht="30.75" customHeight="1" thickBot="1" x14ac:dyDescent="0.25"/>
    <row r="1987" ht="30.75" customHeight="1" thickBot="1" x14ac:dyDescent="0.25"/>
    <row r="1988" ht="30.75" customHeight="1" thickBot="1" x14ac:dyDescent="0.25"/>
    <row r="1989" ht="30.75" customHeight="1" thickBot="1" x14ac:dyDescent="0.25"/>
    <row r="1990" ht="30.75" customHeight="1" thickBot="1" x14ac:dyDescent="0.25"/>
    <row r="1991" ht="30.75" customHeight="1" thickBot="1" x14ac:dyDescent="0.25"/>
    <row r="1992" ht="30.75" customHeight="1" thickBot="1" x14ac:dyDescent="0.25"/>
    <row r="1993" ht="30.75" customHeight="1" thickBot="1" x14ac:dyDescent="0.25"/>
    <row r="1994" ht="30.75" customHeight="1" thickBot="1" x14ac:dyDescent="0.25"/>
    <row r="1995" ht="30.75" customHeight="1" thickBot="1" x14ac:dyDescent="0.25"/>
    <row r="1996" ht="30.75" customHeight="1" thickBot="1" x14ac:dyDescent="0.25"/>
    <row r="1997" ht="30.75" customHeight="1" thickBot="1" x14ac:dyDescent="0.25"/>
    <row r="1998" ht="30.75" customHeight="1" thickBot="1" x14ac:dyDescent="0.25"/>
    <row r="1999" ht="30.75" customHeight="1" thickBot="1" x14ac:dyDescent="0.25"/>
    <row r="2000" ht="30.75" customHeight="1" thickBot="1" x14ac:dyDescent="0.25"/>
    <row r="2001" ht="30.75" customHeight="1" thickBot="1" x14ac:dyDescent="0.25"/>
    <row r="2002" ht="30.75" customHeight="1" thickBot="1" x14ac:dyDescent="0.25"/>
    <row r="2003" ht="30.75" customHeight="1" thickBot="1" x14ac:dyDescent="0.25"/>
    <row r="2004" ht="30.75" customHeight="1" thickBot="1" x14ac:dyDescent="0.25"/>
    <row r="2005" ht="30.75" customHeight="1" thickBot="1" x14ac:dyDescent="0.25"/>
    <row r="2006" ht="30.75" customHeight="1" thickBot="1" x14ac:dyDescent="0.25"/>
    <row r="2007" ht="30.75" customHeight="1" thickBot="1" x14ac:dyDescent="0.25"/>
    <row r="2008" ht="30.75" customHeight="1" thickBot="1" x14ac:dyDescent="0.25"/>
    <row r="2009" ht="30.75" customHeight="1" thickBot="1" x14ac:dyDescent="0.25"/>
    <row r="2010" ht="30.75" customHeight="1" thickBot="1" x14ac:dyDescent="0.25"/>
    <row r="2011" ht="30.75" customHeight="1" thickBot="1" x14ac:dyDescent="0.25"/>
    <row r="2012" ht="30.75" customHeight="1" thickBot="1" x14ac:dyDescent="0.25"/>
    <row r="2013" ht="30.75" customHeight="1" thickBot="1" x14ac:dyDescent="0.25"/>
    <row r="2014" ht="30.75" customHeight="1" thickBot="1" x14ac:dyDescent="0.25"/>
    <row r="2015" ht="30.75" customHeight="1" thickBot="1" x14ac:dyDescent="0.25"/>
    <row r="2016" ht="30.75" customHeight="1" thickBot="1" x14ac:dyDescent="0.25"/>
    <row r="2017" ht="30.75" customHeight="1" thickBot="1" x14ac:dyDescent="0.25"/>
    <row r="2018" ht="30.75" customHeight="1" thickBot="1" x14ac:dyDescent="0.25"/>
    <row r="2019" ht="30.75" customHeight="1" thickBot="1" x14ac:dyDescent="0.25"/>
    <row r="2020" ht="30.75" customHeight="1" thickBot="1" x14ac:dyDescent="0.25"/>
    <row r="2021" ht="30.75" customHeight="1" thickBot="1" x14ac:dyDescent="0.25"/>
    <row r="2022" ht="30.75" customHeight="1" thickBot="1" x14ac:dyDescent="0.25"/>
    <row r="2023" ht="30.75" customHeight="1" thickBot="1" x14ac:dyDescent="0.25"/>
    <row r="2024" ht="30.75" customHeight="1" thickBot="1" x14ac:dyDescent="0.25"/>
    <row r="2025" ht="30.75" customHeight="1" thickBot="1" x14ac:dyDescent="0.25"/>
    <row r="2026" ht="30.75" customHeight="1" thickBot="1" x14ac:dyDescent="0.25"/>
    <row r="2027" ht="30.75" customHeight="1" thickBot="1" x14ac:dyDescent="0.25"/>
    <row r="2028" ht="30.75" customHeight="1" thickBot="1" x14ac:dyDescent="0.25"/>
    <row r="2029" ht="30.75" customHeight="1" thickBot="1" x14ac:dyDescent="0.25"/>
    <row r="2030" ht="30.75" customHeight="1" thickBot="1" x14ac:dyDescent="0.25"/>
    <row r="2031" ht="30.75" customHeight="1" thickBot="1" x14ac:dyDescent="0.25"/>
    <row r="2032" ht="30.75" customHeight="1" thickBot="1" x14ac:dyDescent="0.25"/>
    <row r="2033" ht="30.75" customHeight="1" thickBot="1" x14ac:dyDescent="0.25"/>
    <row r="2034" ht="30.75" customHeight="1" thickBot="1" x14ac:dyDescent="0.25"/>
    <row r="2035" ht="30.75" customHeight="1" thickBot="1" x14ac:dyDescent="0.25"/>
    <row r="2036" ht="30.75" customHeight="1" thickBot="1" x14ac:dyDescent="0.25"/>
    <row r="2037" ht="30.75" customHeight="1" thickBot="1" x14ac:dyDescent="0.25"/>
    <row r="2038" ht="30.75" customHeight="1" thickBot="1" x14ac:dyDescent="0.25"/>
    <row r="2039" ht="30.75" customHeight="1" thickBot="1" x14ac:dyDescent="0.25"/>
    <row r="2040" ht="30.75" customHeight="1" thickBot="1" x14ac:dyDescent="0.25"/>
    <row r="2041" ht="30.75" customHeight="1" thickBot="1" x14ac:dyDescent="0.25"/>
    <row r="2042" ht="30.75" customHeight="1" thickBot="1" x14ac:dyDescent="0.25"/>
    <row r="2043" ht="30.75" customHeight="1" thickBot="1" x14ac:dyDescent="0.25"/>
    <row r="2044" ht="30.75" customHeight="1" thickBot="1" x14ac:dyDescent="0.25"/>
    <row r="2045" ht="30.75" customHeight="1" thickBot="1" x14ac:dyDescent="0.25"/>
    <row r="2046" ht="30.75" customHeight="1" thickBot="1" x14ac:dyDescent="0.25"/>
    <row r="2047" ht="30.75" customHeight="1" thickBot="1" x14ac:dyDescent="0.25"/>
    <row r="2048" ht="30.75" customHeight="1" thickBot="1" x14ac:dyDescent="0.25"/>
    <row r="2049" ht="30.75" customHeight="1" thickBot="1" x14ac:dyDescent="0.25"/>
    <row r="2050" ht="30.75" customHeight="1" thickBot="1" x14ac:dyDescent="0.25"/>
    <row r="2051" ht="30.75" customHeight="1" thickBot="1" x14ac:dyDescent="0.25"/>
    <row r="2052" ht="30.75" customHeight="1" thickBot="1" x14ac:dyDescent="0.25"/>
    <row r="2053" ht="30.75" customHeight="1" thickBot="1" x14ac:dyDescent="0.25"/>
    <row r="2054" ht="30.75" customHeight="1" thickBot="1" x14ac:dyDescent="0.25"/>
    <row r="2055" ht="30.75" customHeight="1" thickBot="1" x14ac:dyDescent="0.25"/>
    <row r="2056" ht="30.75" customHeight="1" thickBot="1" x14ac:dyDescent="0.25"/>
    <row r="2057" ht="30.75" customHeight="1" thickBot="1" x14ac:dyDescent="0.25"/>
    <row r="2058" ht="30.75" customHeight="1" thickBot="1" x14ac:dyDescent="0.25"/>
    <row r="2059" ht="30.75" customHeight="1" thickBot="1" x14ac:dyDescent="0.25"/>
    <row r="2060" ht="30.75" customHeight="1" thickBot="1" x14ac:dyDescent="0.25"/>
    <row r="2061" ht="30.75" customHeight="1" thickBot="1" x14ac:dyDescent="0.25"/>
    <row r="2062" ht="30.75" customHeight="1" thickBot="1" x14ac:dyDescent="0.25"/>
    <row r="2063" ht="30.75" customHeight="1" thickBot="1" x14ac:dyDescent="0.25"/>
    <row r="2064" ht="30.75" customHeight="1" thickBot="1" x14ac:dyDescent="0.25"/>
    <row r="2065" ht="30.75" customHeight="1" thickBot="1" x14ac:dyDescent="0.25"/>
    <row r="2066" ht="30.75" customHeight="1" thickBot="1" x14ac:dyDescent="0.25"/>
    <row r="2067" ht="30.75" customHeight="1" thickBot="1" x14ac:dyDescent="0.25"/>
    <row r="2068" ht="30.75" customHeight="1" thickBot="1" x14ac:dyDescent="0.25"/>
    <row r="2069" ht="30.75" customHeight="1" thickBot="1" x14ac:dyDescent="0.25"/>
    <row r="2070" ht="30.75" customHeight="1" thickBot="1" x14ac:dyDescent="0.25"/>
    <row r="2071" ht="30.75" customHeight="1" thickBot="1" x14ac:dyDescent="0.25"/>
    <row r="2072" ht="30.75" customHeight="1" thickBot="1" x14ac:dyDescent="0.25"/>
    <row r="2073" ht="30.75" customHeight="1" thickBot="1" x14ac:dyDescent="0.25"/>
    <row r="2074" ht="30.75" customHeight="1" thickBot="1" x14ac:dyDescent="0.25"/>
    <row r="2075" ht="30.75" customHeight="1" thickBot="1" x14ac:dyDescent="0.25"/>
    <row r="2076" ht="30.75" customHeight="1" thickBot="1" x14ac:dyDescent="0.25"/>
    <row r="2077" ht="30.75" customHeight="1" thickBot="1" x14ac:dyDescent="0.25"/>
    <row r="2078" ht="30.75" customHeight="1" thickBot="1" x14ac:dyDescent="0.25"/>
    <row r="2079" ht="30.75" customHeight="1" thickBot="1" x14ac:dyDescent="0.25"/>
    <row r="2080" ht="30.75" customHeight="1" thickBot="1" x14ac:dyDescent="0.25"/>
    <row r="2081" ht="30.75" customHeight="1" thickBot="1" x14ac:dyDescent="0.25"/>
    <row r="2082" ht="30.75" customHeight="1" thickBot="1" x14ac:dyDescent="0.25"/>
    <row r="2083" ht="30.75" customHeight="1" thickBot="1" x14ac:dyDescent="0.25"/>
    <row r="2084" ht="30.75" customHeight="1" thickBot="1" x14ac:dyDescent="0.25"/>
    <row r="2085" ht="30.75" customHeight="1" thickBot="1" x14ac:dyDescent="0.25"/>
    <row r="2086" ht="30.75" customHeight="1" thickBot="1" x14ac:dyDescent="0.25"/>
    <row r="2087" ht="30.75" customHeight="1" thickBot="1" x14ac:dyDescent="0.25"/>
    <row r="2088" ht="30.75" customHeight="1" thickBot="1" x14ac:dyDescent="0.25"/>
    <row r="2089" ht="30.75" customHeight="1" thickBot="1" x14ac:dyDescent="0.25"/>
    <row r="2090" ht="30.75" customHeight="1" thickBot="1" x14ac:dyDescent="0.25"/>
    <row r="2091" ht="30.75" customHeight="1" thickBot="1" x14ac:dyDescent="0.25"/>
    <row r="2092" ht="30.75" customHeight="1" thickBot="1" x14ac:dyDescent="0.25"/>
    <row r="2093" ht="30.75" customHeight="1" thickBot="1" x14ac:dyDescent="0.25"/>
    <row r="2094" ht="30.75" customHeight="1" thickBot="1" x14ac:dyDescent="0.25"/>
    <row r="2095" ht="30.75" customHeight="1" thickBot="1" x14ac:dyDescent="0.25"/>
    <row r="2096" ht="30.75" customHeight="1" thickBot="1" x14ac:dyDescent="0.25"/>
    <row r="2097" ht="30.75" customHeight="1" thickBot="1" x14ac:dyDescent="0.25"/>
    <row r="2098" ht="30.75" customHeight="1" thickBot="1" x14ac:dyDescent="0.25"/>
    <row r="2099" ht="30.75" customHeight="1" thickBot="1" x14ac:dyDescent="0.25"/>
    <row r="2100" ht="30.75" customHeight="1" thickBot="1" x14ac:dyDescent="0.25"/>
    <row r="2101" ht="30.75" customHeight="1" thickBot="1" x14ac:dyDescent="0.25"/>
    <row r="2102" ht="30.75" customHeight="1" thickBot="1" x14ac:dyDescent="0.25"/>
    <row r="2103" ht="30.75" customHeight="1" thickBot="1" x14ac:dyDescent="0.25"/>
    <row r="2104" ht="30.75" customHeight="1" thickBot="1" x14ac:dyDescent="0.25"/>
    <row r="2105" ht="30.75" customHeight="1" thickBot="1" x14ac:dyDescent="0.25"/>
    <row r="2106" ht="30.75" customHeight="1" thickBot="1" x14ac:dyDescent="0.25"/>
    <row r="2107" ht="30.75" customHeight="1" thickBot="1" x14ac:dyDescent="0.25"/>
    <row r="2108" ht="30.75" customHeight="1" thickBot="1" x14ac:dyDescent="0.25"/>
    <row r="2109" ht="30.75" customHeight="1" thickBot="1" x14ac:dyDescent="0.25"/>
    <row r="2110" ht="30.75" customHeight="1" thickBot="1" x14ac:dyDescent="0.25"/>
    <row r="2111" ht="30.75" customHeight="1" thickBot="1" x14ac:dyDescent="0.25"/>
    <row r="2112" ht="30.75" customHeight="1" thickBot="1" x14ac:dyDescent="0.25"/>
    <row r="2113" ht="30.75" customHeight="1" thickBot="1" x14ac:dyDescent="0.25"/>
    <row r="2114" ht="30.75" customHeight="1" thickBot="1" x14ac:dyDescent="0.25"/>
    <row r="2115" ht="30.75" customHeight="1" thickBot="1" x14ac:dyDescent="0.25"/>
    <row r="2116" ht="30.75" customHeight="1" thickBot="1" x14ac:dyDescent="0.25"/>
    <row r="2117" ht="30.75" customHeight="1" thickBot="1" x14ac:dyDescent="0.25"/>
    <row r="2118" ht="30.75" customHeight="1" thickBot="1" x14ac:dyDescent="0.25"/>
    <row r="2119" ht="30.75" customHeight="1" thickBot="1" x14ac:dyDescent="0.25"/>
    <row r="2120" ht="30.75" customHeight="1" thickBot="1" x14ac:dyDescent="0.25"/>
    <row r="2121" ht="30.75" customHeight="1" thickBot="1" x14ac:dyDescent="0.25"/>
    <row r="2122" ht="30.75" customHeight="1" thickBot="1" x14ac:dyDescent="0.25"/>
    <row r="2123" ht="30.75" customHeight="1" thickBot="1" x14ac:dyDescent="0.25"/>
    <row r="2124" ht="30.75" customHeight="1" thickBot="1" x14ac:dyDescent="0.25"/>
    <row r="2125" ht="30.75" customHeight="1" thickBot="1" x14ac:dyDescent="0.25"/>
    <row r="2126" ht="30.75" customHeight="1" thickBot="1" x14ac:dyDescent="0.25"/>
    <row r="2127" ht="30.75" customHeight="1" thickBot="1" x14ac:dyDescent="0.25"/>
    <row r="2128" ht="30.75" customHeight="1" thickBot="1" x14ac:dyDescent="0.25"/>
    <row r="2129" ht="30.75" customHeight="1" thickBot="1" x14ac:dyDescent="0.25"/>
    <row r="2130" ht="30.75" customHeight="1" thickBot="1" x14ac:dyDescent="0.25"/>
    <row r="2131" ht="30.75" customHeight="1" thickBot="1" x14ac:dyDescent="0.25"/>
    <row r="2132" ht="30.75" customHeight="1" thickBot="1" x14ac:dyDescent="0.25"/>
    <row r="2133" ht="30.75" customHeight="1" thickBot="1" x14ac:dyDescent="0.25"/>
    <row r="2134" ht="30.75" customHeight="1" thickBot="1" x14ac:dyDescent="0.25"/>
    <row r="2135" ht="30.75" customHeight="1" thickBot="1" x14ac:dyDescent="0.25"/>
    <row r="2136" ht="30.75" customHeight="1" thickBot="1" x14ac:dyDescent="0.25"/>
    <row r="2137" ht="30.75" customHeight="1" thickBot="1" x14ac:dyDescent="0.25"/>
    <row r="2138" ht="30.75" customHeight="1" thickBot="1" x14ac:dyDescent="0.25"/>
    <row r="2139" ht="30.75" customHeight="1" thickBot="1" x14ac:dyDescent="0.25"/>
    <row r="2140" ht="30.75" customHeight="1" thickBot="1" x14ac:dyDescent="0.25"/>
    <row r="2141" ht="30.75" customHeight="1" thickBot="1" x14ac:dyDescent="0.25"/>
    <row r="2142" ht="30.75" customHeight="1" thickBot="1" x14ac:dyDescent="0.25"/>
    <row r="2143" ht="30.75" customHeight="1" thickBot="1" x14ac:dyDescent="0.25"/>
    <row r="2144" ht="30.75" customHeight="1" thickBot="1" x14ac:dyDescent="0.25"/>
    <row r="2145" ht="30.75" customHeight="1" thickBot="1" x14ac:dyDescent="0.25"/>
    <row r="2146" ht="30.75" customHeight="1" thickBot="1" x14ac:dyDescent="0.25"/>
    <row r="2147" ht="30.75" customHeight="1" thickBot="1" x14ac:dyDescent="0.25"/>
    <row r="2148" ht="30.75" customHeight="1" thickBot="1" x14ac:dyDescent="0.25"/>
    <row r="2149" ht="30.75" customHeight="1" thickBot="1" x14ac:dyDescent="0.25"/>
    <row r="2150" ht="30.75" customHeight="1" thickBot="1" x14ac:dyDescent="0.25"/>
    <row r="2151" ht="30.75" customHeight="1" thickBot="1" x14ac:dyDescent="0.25"/>
    <row r="2152" ht="30.75" customHeight="1" thickBot="1" x14ac:dyDescent="0.25"/>
    <row r="2153" ht="30.75" customHeight="1" thickBot="1" x14ac:dyDescent="0.25"/>
    <row r="2154" ht="30.75" customHeight="1" thickBot="1" x14ac:dyDescent="0.25"/>
    <row r="2155" ht="30.75" customHeight="1" thickBot="1" x14ac:dyDescent="0.25"/>
    <row r="2156" ht="30.75" customHeight="1" thickBot="1" x14ac:dyDescent="0.25"/>
    <row r="2157" ht="30.75" customHeight="1" thickBot="1" x14ac:dyDescent="0.25"/>
    <row r="2158" ht="30.75" customHeight="1" thickBot="1" x14ac:dyDescent="0.25"/>
    <row r="2159" ht="30.75" customHeight="1" thickBot="1" x14ac:dyDescent="0.25"/>
    <row r="2160" ht="30.75" customHeight="1" thickBot="1" x14ac:dyDescent="0.25"/>
    <row r="2161" ht="30.75" customHeight="1" thickBot="1" x14ac:dyDescent="0.25"/>
    <row r="2162" ht="30.75" customHeight="1" thickBot="1" x14ac:dyDescent="0.25"/>
    <row r="2163" ht="30.75" customHeight="1" thickBot="1" x14ac:dyDescent="0.25"/>
    <row r="2164" ht="30.75" customHeight="1" thickBot="1" x14ac:dyDescent="0.25"/>
    <row r="2165" ht="30.75" customHeight="1" thickBot="1" x14ac:dyDescent="0.25"/>
    <row r="2166" ht="30.75" customHeight="1" thickBot="1" x14ac:dyDescent="0.25"/>
    <row r="2167" ht="30.75" customHeight="1" thickBot="1" x14ac:dyDescent="0.25"/>
    <row r="2168" ht="30.75" customHeight="1" thickBot="1" x14ac:dyDescent="0.25"/>
    <row r="2169" ht="30.75" customHeight="1" thickBot="1" x14ac:dyDescent="0.25"/>
    <row r="2170" ht="30.75" customHeight="1" thickBot="1" x14ac:dyDescent="0.25"/>
    <row r="2171" ht="30.75" customHeight="1" thickBot="1" x14ac:dyDescent="0.25"/>
    <row r="2172" ht="30.75" customHeight="1" thickBot="1" x14ac:dyDescent="0.25"/>
    <row r="2173" ht="30.75" customHeight="1" thickBot="1" x14ac:dyDescent="0.25"/>
    <row r="2174" ht="30.75" customHeight="1" thickBot="1" x14ac:dyDescent="0.25"/>
    <row r="2175" ht="30.75" customHeight="1" thickBot="1" x14ac:dyDescent="0.25"/>
    <row r="2176" ht="30.75" customHeight="1" thickBot="1" x14ac:dyDescent="0.25"/>
    <row r="2177" ht="30.75" customHeight="1" thickBot="1" x14ac:dyDescent="0.25"/>
    <row r="2178" ht="30.75" customHeight="1" thickBot="1" x14ac:dyDescent="0.25"/>
    <row r="2179" ht="30.75" customHeight="1" thickBot="1" x14ac:dyDescent="0.25"/>
    <row r="2180" ht="30.75" customHeight="1" thickBot="1" x14ac:dyDescent="0.25"/>
    <row r="2181" ht="30.75" customHeight="1" thickBot="1" x14ac:dyDescent="0.25"/>
    <row r="2182" ht="30.75" customHeight="1" thickBot="1" x14ac:dyDescent="0.25"/>
    <row r="2183" ht="30.75" customHeight="1" thickBot="1" x14ac:dyDescent="0.25"/>
    <row r="2184" ht="30.75" customHeight="1" thickBot="1" x14ac:dyDescent="0.25"/>
    <row r="2185" ht="30.75" customHeight="1" thickBot="1" x14ac:dyDescent="0.25"/>
    <row r="2186" ht="30.75" customHeight="1" thickBot="1" x14ac:dyDescent="0.25"/>
    <row r="2187" ht="30.75" customHeight="1" thickBot="1" x14ac:dyDescent="0.25"/>
    <row r="2188" ht="30.75" customHeight="1" thickBot="1" x14ac:dyDescent="0.25"/>
    <row r="2189" ht="30.75" customHeight="1" thickBot="1" x14ac:dyDescent="0.25"/>
    <row r="2190" ht="30.75" customHeight="1" thickBot="1" x14ac:dyDescent="0.25"/>
    <row r="2191" ht="30.75" customHeight="1" thickBot="1" x14ac:dyDescent="0.25"/>
    <row r="2192" ht="30.75" customHeight="1" thickBot="1" x14ac:dyDescent="0.25"/>
    <row r="2193" ht="30.75" customHeight="1" thickBot="1" x14ac:dyDescent="0.25"/>
    <row r="2194" ht="30.75" customHeight="1" thickBot="1" x14ac:dyDescent="0.25"/>
    <row r="2195" ht="30.75" customHeight="1" thickBot="1" x14ac:dyDescent="0.25"/>
    <row r="2196" ht="30.75" customHeight="1" thickBot="1" x14ac:dyDescent="0.25"/>
    <row r="2197" ht="30.75" customHeight="1" thickBot="1" x14ac:dyDescent="0.25"/>
    <row r="2198" ht="30.75" customHeight="1" thickBot="1" x14ac:dyDescent="0.25"/>
    <row r="2199" ht="30.75" customHeight="1" thickBot="1" x14ac:dyDescent="0.25"/>
    <row r="2200" ht="30.75" customHeight="1" thickBot="1" x14ac:dyDescent="0.25"/>
    <row r="2201" ht="30.75" customHeight="1" thickBot="1" x14ac:dyDescent="0.25"/>
    <row r="2202" ht="30.75" customHeight="1" thickBot="1" x14ac:dyDescent="0.25"/>
    <row r="2203" ht="30.75" customHeight="1" thickBot="1" x14ac:dyDescent="0.25"/>
    <row r="2204" ht="30.75" customHeight="1" thickBot="1" x14ac:dyDescent="0.25"/>
    <row r="2205" ht="30.75" customHeight="1" thickBot="1" x14ac:dyDescent="0.25"/>
    <row r="2206" ht="30.75" customHeight="1" thickBot="1" x14ac:dyDescent="0.25"/>
    <row r="2207" ht="30.75" customHeight="1" thickBot="1" x14ac:dyDescent="0.25"/>
    <row r="2208" ht="30.75" customHeight="1" thickBot="1" x14ac:dyDescent="0.25"/>
    <row r="2209" ht="30.75" customHeight="1" thickBot="1" x14ac:dyDescent="0.25"/>
    <row r="2210" ht="30.75" customHeight="1" thickBot="1" x14ac:dyDescent="0.25"/>
    <row r="2211" ht="30.75" customHeight="1" thickBot="1" x14ac:dyDescent="0.25"/>
    <row r="2212" ht="30.75" customHeight="1" thickBot="1" x14ac:dyDescent="0.25"/>
    <row r="2213" ht="30.75" customHeight="1" thickBot="1" x14ac:dyDescent="0.25"/>
    <row r="2214" ht="30.75" customHeight="1" thickBot="1" x14ac:dyDescent="0.25"/>
    <row r="2215" ht="30.75" customHeight="1" thickBot="1" x14ac:dyDescent="0.25"/>
    <row r="2216" ht="30.75" customHeight="1" thickBot="1" x14ac:dyDescent="0.25"/>
    <row r="2217" ht="30.75" customHeight="1" thickBot="1" x14ac:dyDescent="0.25"/>
    <row r="2218" ht="30.75" customHeight="1" thickBot="1" x14ac:dyDescent="0.25"/>
    <row r="2219" ht="30.75" customHeight="1" thickBot="1" x14ac:dyDescent="0.25"/>
    <row r="2220" ht="30.75" customHeight="1" thickBot="1" x14ac:dyDescent="0.25"/>
    <row r="2221" ht="30.75" customHeight="1" thickBot="1" x14ac:dyDescent="0.25"/>
    <row r="2222" ht="30.75" customHeight="1" thickBot="1" x14ac:dyDescent="0.25"/>
    <row r="2223" ht="30.75" customHeight="1" thickBot="1" x14ac:dyDescent="0.25"/>
    <row r="2224" ht="30.75" customHeight="1" thickBot="1" x14ac:dyDescent="0.25"/>
    <row r="2225" ht="30.75" customHeight="1" thickBot="1" x14ac:dyDescent="0.25"/>
    <row r="2226" ht="30.75" customHeight="1" thickBot="1" x14ac:dyDescent="0.25"/>
    <row r="2227" ht="30.75" customHeight="1" thickBot="1" x14ac:dyDescent="0.25"/>
    <row r="2228" ht="30.75" customHeight="1" thickBot="1" x14ac:dyDescent="0.25"/>
    <row r="2229" ht="30.75" customHeight="1" thickBot="1" x14ac:dyDescent="0.25"/>
    <row r="2230" ht="30.75" customHeight="1" thickBot="1" x14ac:dyDescent="0.25"/>
    <row r="2231" ht="30.75" customHeight="1" thickBot="1" x14ac:dyDescent="0.25"/>
    <row r="2232" ht="30.75" customHeight="1" thickBot="1" x14ac:dyDescent="0.25"/>
    <row r="2233" ht="30.75" customHeight="1" thickBot="1" x14ac:dyDescent="0.25"/>
    <row r="2234" ht="30.75" customHeight="1" thickBot="1" x14ac:dyDescent="0.25"/>
    <row r="2235" ht="30.75" customHeight="1" thickBot="1" x14ac:dyDescent="0.25"/>
    <row r="2236" ht="30.75" customHeight="1" thickBot="1" x14ac:dyDescent="0.25"/>
    <row r="2237" ht="30.75" customHeight="1" thickBot="1" x14ac:dyDescent="0.25"/>
    <row r="2238" ht="30.75" customHeight="1" thickBot="1" x14ac:dyDescent="0.25"/>
    <row r="2239" ht="30.75" customHeight="1" thickBot="1" x14ac:dyDescent="0.25"/>
    <row r="2240" ht="30.75" customHeight="1" thickBot="1" x14ac:dyDescent="0.25"/>
    <row r="2241" ht="30.75" customHeight="1" thickBot="1" x14ac:dyDescent="0.25"/>
    <row r="2242" ht="30.75" customHeight="1" thickBot="1" x14ac:dyDescent="0.25"/>
    <row r="2243" ht="30.75" customHeight="1" thickBot="1" x14ac:dyDescent="0.25"/>
    <row r="2244" ht="30.75" customHeight="1" thickBot="1" x14ac:dyDescent="0.25"/>
    <row r="2245" ht="30.75" customHeight="1" thickBot="1" x14ac:dyDescent="0.25"/>
    <row r="2246" ht="30.75" customHeight="1" thickBot="1" x14ac:dyDescent="0.25"/>
    <row r="2247" ht="30.75" customHeight="1" thickBot="1" x14ac:dyDescent="0.25"/>
    <row r="2248" ht="30.75" customHeight="1" thickBot="1" x14ac:dyDescent="0.25"/>
    <row r="2249" ht="30.75" customHeight="1" thickBot="1" x14ac:dyDescent="0.25"/>
    <row r="2250" ht="30.75" customHeight="1" thickBot="1" x14ac:dyDescent="0.25"/>
    <row r="2251" ht="30.75" customHeight="1" thickBot="1" x14ac:dyDescent="0.25"/>
    <row r="2252" ht="30.75" customHeight="1" thickBot="1" x14ac:dyDescent="0.25"/>
    <row r="2253" ht="30.75" customHeight="1" thickBot="1" x14ac:dyDescent="0.25"/>
    <row r="2254" ht="30.75" customHeight="1" thickBot="1" x14ac:dyDescent="0.25"/>
    <row r="2255" ht="30.75" customHeight="1" thickBot="1" x14ac:dyDescent="0.25"/>
    <row r="2256" ht="30.75" customHeight="1" thickBot="1" x14ac:dyDescent="0.25"/>
    <row r="2257" ht="30.75" customHeight="1" thickBot="1" x14ac:dyDescent="0.25"/>
    <row r="2258" ht="30.75" customHeight="1" thickBot="1" x14ac:dyDescent="0.25"/>
    <row r="2259" ht="30.75" customHeight="1" thickBot="1" x14ac:dyDescent="0.25"/>
    <row r="2260" ht="30.75" customHeight="1" thickBot="1" x14ac:dyDescent="0.25"/>
    <row r="2261" ht="30.75" customHeight="1" thickBot="1" x14ac:dyDescent="0.25"/>
    <row r="2262" ht="30.75" customHeight="1" thickBot="1" x14ac:dyDescent="0.25"/>
    <row r="2263" ht="30.75" customHeight="1" thickBot="1" x14ac:dyDescent="0.25"/>
    <row r="2264" ht="30.75" customHeight="1" thickBot="1" x14ac:dyDescent="0.25"/>
    <row r="2265" ht="30.75" customHeight="1" thickBot="1" x14ac:dyDescent="0.25"/>
    <row r="2266" ht="30.75" customHeight="1" thickBot="1" x14ac:dyDescent="0.25"/>
    <row r="2267" ht="30.75" customHeight="1" thickBot="1" x14ac:dyDescent="0.25"/>
    <row r="2268" ht="30.75" customHeight="1" thickBot="1" x14ac:dyDescent="0.25"/>
    <row r="2269" ht="30.75" customHeight="1" thickBot="1" x14ac:dyDescent="0.25"/>
    <row r="2270" ht="30.75" customHeight="1" thickBot="1" x14ac:dyDescent="0.25"/>
    <row r="2271" ht="30.75" customHeight="1" thickBot="1" x14ac:dyDescent="0.25"/>
    <row r="2272" ht="30.75" customHeight="1" thickBot="1" x14ac:dyDescent="0.25"/>
    <row r="2273" ht="30.75" customHeight="1" thickBot="1" x14ac:dyDescent="0.25"/>
    <row r="2274" ht="30.75" customHeight="1" thickBot="1" x14ac:dyDescent="0.25"/>
    <row r="2275" ht="30.75" customHeight="1" thickBot="1" x14ac:dyDescent="0.25"/>
    <row r="2276" ht="30.75" customHeight="1" thickBot="1" x14ac:dyDescent="0.25"/>
    <row r="2277" ht="30.75" customHeight="1" thickBot="1" x14ac:dyDescent="0.25"/>
    <row r="2278" ht="30.75" customHeight="1" thickBot="1" x14ac:dyDescent="0.25"/>
    <row r="2279" ht="30.75" customHeight="1" thickBot="1" x14ac:dyDescent="0.25"/>
    <row r="2280" ht="30.75" customHeight="1" thickBot="1" x14ac:dyDescent="0.25"/>
    <row r="2281" ht="30.75" customHeight="1" thickBot="1" x14ac:dyDescent="0.25"/>
    <row r="2282" ht="30.75" customHeight="1" thickBot="1" x14ac:dyDescent="0.25"/>
    <row r="2283" ht="30.75" customHeight="1" thickBot="1" x14ac:dyDescent="0.25"/>
    <row r="2284" ht="30.75" customHeight="1" thickBot="1" x14ac:dyDescent="0.25"/>
    <row r="2285" ht="30.75" customHeight="1" thickBot="1" x14ac:dyDescent="0.25"/>
    <row r="2286" ht="30.75" customHeight="1" thickBot="1" x14ac:dyDescent="0.25"/>
    <row r="2287" ht="30.75" customHeight="1" thickBot="1" x14ac:dyDescent="0.25"/>
    <row r="2288" ht="30.75" customHeight="1" thickBot="1" x14ac:dyDescent="0.25"/>
    <row r="2289" ht="30.75" customHeight="1" thickBot="1" x14ac:dyDescent="0.25"/>
    <row r="2290" ht="30.75" customHeight="1" thickBot="1" x14ac:dyDescent="0.25"/>
    <row r="2291" ht="30.75" customHeight="1" thickBot="1" x14ac:dyDescent="0.25"/>
    <row r="2292" ht="30.75" customHeight="1" thickBot="1" x14ac:dyDescent="0.25"/>
    <row r="2293" ht="30.75" customHeight="1" thickBot="1" x14ac:dyDescent="0.25"/>
    <row r="2294" ht="30.75" customHeight="1" thickBot="1" x14ac:dyDescent="0.25"/>
    <row r="2295" ht="30.75" customHeight="1" thickBot="1" x14ac:dyDescent="0.25"/>
    <row r="2296" ht="30.75" customHeight="1" thickBot="1" x14ac:dyDescent="0.25"/>
    <row r="2297" ht="30.75" customHeight="1" thickBot="1" x14ac:dyDescent="0.25"/>
    <row r="2298" ht="30.75" customHeight="1" thickBot="1" x14ac:dyDescent="0.25"/>
    <row r="2299" ht="30.75" customHeight="1" thickBot="1" x14ac:dyDescent="0.25"/>
    <row r="2300" ht="30.75" customHeight="1" thickBot="1" x14ac:dyDescent="0.25"/>
    <row r="2301" ht="30.75" customHeight="1" thickBot="1" x14ac:dyDescent="0.25"/>
    <row r="2302" ht="30.75" customHeight="1" thickBot="1" x14ac:dyDescent="0.25"/>
    <row r="2303" ht="30.75" customHeight="1" thickBot="1" x14ac:dyDescent="0.25"/>
    <row r="2304" ht="30.75" customHeight="1" thickBot="1" x14ac:dyDescent="0.25"/>
    <row r="2305" ht="30.75" customHeight="1" thickBot="1" x14ac:dyDescent="0.25"/>
    <row r="2306" ht="30.75" customHeight="1" thickBot="1" x14ac:dyDescent="0.25"/>
    <row r="2307" ht="30.75" customHeight="1" thickBot="1" x14ac:dyDescent="0.25"/>
    <row r="2308" ht="30.75" customHeight="1" thickBot="1" x14ac:dyDescent="0.25"/>
    <row r="2309" ht="30.75" customHeight="1" thickBot="1" x14ac:dyDescent="0.25"/>
    <row r="2310" ht="30.75" customHeight="1" thickBot="1" x14ac:dyDescent="0.25"/>
    <row r="2311" ht="30.75" customHeight="1" thickBot="1" x14ac:dyDescent="0.25"/>
    <row r="2312" ht="30.75" customHeight="1" thickBot="1" x14ac:dyDescent="0.25"/>
    <row r="2313" ht="30.75" customHeight="1" thickBot="1" x14ac:dyDescent="0.25"/>
    <row r="2314" ht="30.75" customHeight="1" thickBot="1" x14ac:dyDescent="0.25"/>
    <row r="2315" ht="30.75" customHeight="1" thickBot="1" x14ac:dyDescent="0.25"/>
    <row r="2316" ht="30.75" customHeight="1" thickBot="1" x14ac:dyDescent="0.25"/>
    <row r="2317" ht="30.75" customHeight="1" thickBot="1" x14ac:dyDescent="0.25"/>
    <row r="2318" ht="30.75" customHeight="1" thickBot="1" x14ac:dyDescent="0.25"/>
    <row r="2319" ht="30.75" customHeight="1" thickBot="1" x14ac:dyDescent="0.25"/>
    <row r="2320" ht="30.75" customHeight="1" thickBot="1" x14ac:dyDescent="0.25"/>
    <row r="2321" ht="30.75" customHeight="1" thickBot="1" x14ac:dyDescent="0.25"/>
    <row r="2322" ht="30.75" customHeight="1" thickBot="1" x14ac:dyDescent="0.25"/>
    <row r="2323" ht="30.75" customHeight="1" thickBot="1" x14ac:dyDescent="0.25"/>
    <row r="2324" ht="30.75" customHeight="1" thickBot="1" x14ac:dyDescent="0.25"/>
    <row r="2325" ht="30.75" customHeight="1" thickBot="1" x14ac:dyDescent="0.25"/>
    <row r="2326" ht="30.75" customHeight="1" thickBot="1" x14ac:dyDescent="0.25"/>
    <row r="2327" ht="30.75" customHeight="1" thickBot="1" x14ac:dyDescent="0.25"/>
    <row r="2328" ht="30.75" customHeight="1" thickBot="1" x14ac:dyDescent="0.25"/>
    <row r="2329" ht="30.75" customHeight="1" thickBot="1" x14ac:dyDescent="0.25"/>
    <row r="2330" ht="30.75" customHeight="1" thickBot="1" x14ac:dyDescent="0.25"/>
    <row r="2331" ht="30.75" customHeight="1" thickBot="1" x14ac:dyDescent="0.25"/>
    <row r="2332" ht="30.75" customHeight="1" thickBot="1" x14ac:dyDescent="0.25"/>
    <row r="2333" ht="30.75" customHeight="1" thickBot="1" x14ac:dyDescent="0.25"/>
    <row r="2334" ht="30.75" customHeight="1" thickBot="1" x14ac:dyDescent="0.25"/>
    <row r="2335" ht="30.75" customHeight="1" thickBot="1" x14ac:dyDescent="0.25"/>
    <row r="2336" ht="30.75" customHeight="1" thickBot="1" x14ac:dyDescent="0.25"/>
    <row r="2337" ht="30.75" customHeight="1" thickBot="1" x14ac:dyDescent="0.25"/>
    <row r="2338" ht="30.75" customHeight="1" thickBot="1" x14ac:dyDescent="0.25"/>
    <row r="2339" ht="30.75" customHeight="1" thickBot="1" x14ac:dyDescent="0.25"/>
    <row r="2340" ht="30.75" customHeight="1" thickBot="1" x14ac:dyDescent="0.25"/>
    <row r="2341" ht="30.75" customHeight="1" thickBot="1" x14ac:dyDescent="0.25"/>
    <row r="2342" ht="30.75" customHeight="1" thickBot="1" x14ac:dyDescent="0.25"/>
    <row r="2343" ht="30.75" customHeight="1" thickBot="1" x14ac:dyDescent="0.25"/>
    <row r="2344" ht="30.75" customHeight="1" thickBot="1" x14ac:dyDescent="0.25"/>
    <row r="2345" ht="30.75" customHeight="1" thickBot="1" x14ac:dyDescent="0.25"/>
    <row r="2346" ht="30.75" customHeight="1" thickBot="1" x14ac:dyDescent="0.25"/>
    <row r="2347" ht="30.75" customHeight="1" thickBot="1" x14ac:dyDescent="0.25"/>
    <row r="2348" ht="30.75" customHeight="1" thickBot="1" x14ac:dyDescent="0.25"/>
    <row r="2349" ht="30.75" customHeight="1" thickBot="1" x14ac:dyDescent="0.25"/>
    <row r="2350" ht="30.75" customHeight="1" thickBot="1" x14ac:dyDescent="0.25"/>
    <row r="2351" ht="30.75" customHeight="1" thickBot="1" x14ac:dyDescent="0.25"/>
    <row r="2352" ht="30.75" customHeight="1" thickBot="1" x14ac:dyDescent="0.25"/>
    <row r="2353" ht="30.75" customHeight="1" thickBot="1" x14ac:dyDescent="0.25"/>
    <row r="2354" ht="30.75" customHeight="1" thickBot="1" x14ac:dyDescent="0.25"/>
    <row r="2355" ht="30.75" customHeight="1" thickBot="1" x14ac:dyDescent="0.25"/>
    <row r="2356" ht="30.75" customHeight="1" thickBot="1" x14ac:dyDescent="0.25"/>
    <row r="2357" ht="30.75" customHeight="1" thickBot="1" x14ac:dyDescent="0.25"/>
    <row r="2358" ht="30.75" customHeight="1" thickBot="1" x14ac:dyDescent="0.25"/>
    <row r="2359" ht="30.75" customHeight="1" thickBot="1" x14ac:dyDescent="0.25"/>
    <row r="2360" ht="30.75" customHeight="1" thickBot="1" x14ac:dyDescent="0.25"/>
    <row r="2361" ht="30.75" customHeight="1" thickBot="1" x14ac:dyDescent="0.25"/>
    <row r="2362" ht="30.75" customHeight="1" thickBot="1" x14ac:dyDescent="0.25"/>
    <row r="2363" ht="30.75" customHeight="1" thickBot="1" x14ac:dyDescent="0.25"/>
    <row r="2364" ht="30.75" customHeight="1" thickBot="1" x14ac:dyDescent="0.25"/>
    <row r="2365" ht="30.75" customHeight="1" thickBot="1" x14ac:dyDescent="0.25"/>
    <row r="2366" ht="30.75" customHeight="1" thickBot="1" x14ac:dyDescent="0.25"/>
    <row r="2367" ht="30.75" customHeight="1" thickBot="1" x14ac:dyDescent="0.25"/>
    <row r="2368" ht="30.75" customHeight="1" thickBot="1" x14ac:dyDescent="0.25"/>
    <row r="2369" ht="30.75" customHeight="1" thickBot="1" x14ac:dyDescent="0.25"/>
    <row r="2370" ht="30.75" customHeight="1" thickBot="1" x14ac:dyDescent="0.25"/>
    <row r="2371" ht="30.75" customHeight="1" thickBot="1" x14ac:dyDescent="0.25"/>
    <row r="2372" ht="30.75" customHeight="1" thickBot="1" x14ac:dyDescent="0.25"/>
    <row r="2373" ht="30.75" customHeight="1" thickBot="1" x14ac:dyDescent="0.25"/>
    <row r="2374" ht="30.75" customHeight="1" thickBot="1" x14ac:dyDescent="0.25"/>
    <row r="2375" ht="30.75" customHeight="1" thickBot="1" x14ac:dyDescent="0.25"/>
    <row r="2376" ht="30.75" customHeight="1" thickBot="1" x14ac:dyDescent="0.25"/>
    <row r="2377" ht="30.75" customHeight="1" thickBot="1" x14ac:dyDescent="0.25"/>
    <row r="2378" ht="30.75" customHeight="1" thickBot="1" x14ac:dyDescent="0.25"/>
    <row r="2379" ht="30.75" customHeight="1" thickBot="1" x14ac:dyDescent="0.25"/>
    <row r="2380" ht="30.75" customHeight="1" thickBot="1" x14ac:dyDescent="0.25"/>
    <row r="2381" ht="30.75" customHeight="1" thickBot="1" x14ac:dyDescent="0.25"/>
    <row r="2382" ht="30.75" customHeight="1" thickBot="1" x14ac:dyDescent="0.25"/>
    <row r="2383" ht="30.75" customHeight="1" thickBot="1" x14ac:dyDescent="0.25"/>
    <row r="2384" ht="30.75" customHeight="1" thickBot="1" x14ac:dyDescent="0.25"/>
    <row r="2385" ht="30.75" customHeight="1" thickBot="1" x14ac:dyDescent="0.25"/>
    <row r="2386" ht="30.75" customHeight="1" thickBot="1" x14ac:dyDescent="0.25"/>
    <row r="2387" ht="30.75" customHeight="1" thickBot="1" x14ac:dyDescent="0.25"/>
    <row r="2388" ht="30.75" customHeight="1" thickBot="1" x14ac:dyDescent="0.25"/>
    <row r="2389" ht="30.75" customHeight="1" thickBot="1" x14ac:dyDescent="0.25"/>
    <row r="2390" ht="30.75" customHeight="1" thickBot="1" x14ac:dyDescent="0.25"/>
    <row r="2391" ht="30.75" customHeight="1" thickBot="1" x14ac:dyDescent="0.25"/>
    <row r="2392" ht="30.75" customHeight="1" thickBot="1" x14ac:dyDescent="0.25"/>
    <row r="2393" ht="30.75" customHeight="1" thickBot="1" x14ac:dyDescent="0.25"/>
    <row r="2394" ht="30.75" customHeight="1" thickBot="1" x14ac:dyDescent="0.25"/>
    <row r="2395" ht="30.75" customHeight="1" thickBot="1" x14ac:dyDescent="0.25"/>
    <row r="2396" ht="30.75" customHeight="1" thickBot="1" x14ac:dyDescent="0.25"/>
    <row r="2397" ht="30.75" customHeight="1" thickBot="1" x14ac:dyDescent="0.25"/>
    <row r="2398" ht="30.75" customHeight="1" thickBot="1" x14ac:dyDescent="0.25"/>
    <row r="2399" ht="30.75" customHeight="1" thickBot="1" x14ac:dyDescent="0.25"/>
    <row r="2400" ht="30.75" customHeight="1" thickBot="1" x14ac:dyDescent="0.25"/>
    <row r="2401" ht="30.75" customHeight="1" thickBot="1" x14ac:dyDescent="0.25"/>
    <row r="2402" ht="30.75" customHeight="1" thickBot="1" x14ac:dyDescent="0.25"/>
    <row r="2403" ht="30.75" customHeight="1" thickBot="1" x14ac:dyDescent="0.25"/>
    <row r="2404" ht="30.75" customHeight="1" thickBot="1" x14ac:dyDescent="0.25"/>
    <row r="2405" ht="30.75" customHeight="1" thickBot="1" x14ac:dyDescent="0.25"/>
    <row r="2406" ht="30.75" customHeight="1" thickBot="1" x14ac:dyDescent="0.25"/>
    <row r="2407" ht="30.75" customHeight="1" thickBot="1" x14ac:dyDescent="0.25"/>
    <row r="2408" ht="30.75" customHeight="1" thickBot="1" x14ac:dyDescent="0.25"/>
    <row r="2409" ht="30.75" customHeight="1" thickBot="1" x14ac:dyDescent="0.25"/>
    <row r="2410" ht="30.75" customHeight="1" thickBot="1" x14ac:dyDescent="0.25"/>
    <row r="2411" ht="30.75" customHeight="1" thickBot="1" x14ac:dyDescent="0.25"/>
    <row r="2412" ht="30.75" customHeight="1" thickBot="1" x14ac:dyDescent="0.25"/>
    <row r="2413" ht="30.75" customHeight="1" thickBot="1" x14ac:dyDescent="0.25"/>
    <row r="2414" ht="30.75" customHeight="1" thickBot="1" x14ac:dyDescent="0.25"/>
    <row r="2415" ht="30.75" customHeight="1" thickBot="1" x14ac:dyDescent="0.25"/>
    <row r="2416" ht="30.75" customHeight="1" thickBot="1" x14ac:dyDescent="0.25"/>
    <row r="2417" ht="30.75" customHeight="1" thickBot="1" x14ac:dyDescent="0.25"/>
    <row r="2418" ht="30.75" customHeight="1" thickBot="1" x14ac:dyDescent="0.25"/>
    <row r="2419" ht="30.75" customHeight="1" thickBot="1" x14ac:dyDescent="0.25"/>
    <row r="2420" ht="30.75" customHeight="1" thickBot="1" x14ac:dyDescent="0.25"/>
    <row r="2421" ht="30.75" customHeight="1" thickBot="1" x14ac:dyDescent="0.25"/>
    <row r="2422" ht="30.75" customHeight="1" thickBot="1" x14ac:dyDescent="0.25"/>
    <row r="2423" ht="30.75" customHeight="1" thickBot="1" x14ac:dyDescent="0.25"/>
    <row r="2424" ht="30.75" customHeight="1" thickBot="1" x14ac:dyDescent="0.25"/>
    <row r="2425" ht="30.75" customHeight="1" thickBot="1" x14ac:dyDescent="0.25"/>
    <row r="2426" ht="30.75" customHeight="1" thickBot="1" x14ac:dyDescent="0.25"/>
    <row r="2427" ht="30.75" customHeight="1" thickBot="1" x14ac:dyDescent="0.25"/>
    <row r="2428" ht="30.75" customHeight="1" thickBot="1" x14ac:dyDescent="0.25"/>
    <row r="2429" ht="30.75" customHeight="1" thickBot="1" x14ac:dyDescent="0.25"/>
    <row r="2430" ht="30.75" customHeight="1" thickBot="1" x14ac:dyDescent="0.25"/>
    <row r="2431" ht="30.75" customHeight="1" thickBot="1" x14ac:dyDescent="0.25"/>
    <row r="2432" ht="30.75" customHeight="1" thickBot="1" x14ac:dyDescent="0.25"/>
    <row r="2433" ht="30.75" customHeight="1" thickBot="1" x14ac:dyDescent="0.25"/>
    <row r="2434" ht="30.75" customHeight="1" thickBot="1" x14ac:dyDescent="0.25"/>
    <row r="2435" ht="30.75" customHeight="1" thickBot="1" x14ac:dyDescent="0.25"/>
    <row r="2436" ht="30.75" customHeight="1" thickBot="1" x14ac:dyDescent="0.25"/>
    <row r="2437" ht="30.75" customHeight="1" thickBot="1" x14ac:dyDescent="0.25"/>
    <row r="2438" ht="30.75" customHeight="1" thickBot="1" x14ac:dyDescent="0.25"/>
    <row r="2439" ht="30.75" customHeight="1" thickBot="1" x14ac:dyDescent="0.25"/>
    <row r="2440" ht="30.75" customHeight="1" thickBot="1" x14ac:dyDescent="0.25"/>
    <row r="2441" ht="30.75" customHeight="1" thickBot="1" x14ac:dyDescent="0.25"/>
    <row r="2442" ht="30.75" customHeight="1" thickBot="1" x14ac:dyDescent="0.25"/>
    <row r="2443" ht="30.75" customHeight="1" thickBot="1" x14ac:dyDescent="0.25"/>
    <row r="2444" ht="30.75" customHeight="1" thickBot="1" x14ac:dyDescent="0.25"/>
    <row r="2445" ht="30.75" customHeight="1" thickBot="1" x14ac:dyDescent="0.25"/>
    <row r="2446" ht="30.75" customHeight="1" thickBot="1" x14ac:dyDescent="0.25"/>
    <row r="2447" ht="30.75" customHeight="1" thickBot="1" x14ac:dyDescent="0.25"/>
    <row r="2448" ht="30.75" customHeight="1" thickBot="1" x14ac:dyDescent="0.25"/>
    <row r="2449" ht="30.75" customHeight="1" thickBot="1" x14ac:dyDescent="0.25"/>
    <row r="2450" ht="30.75" customHeight="1" thickBot="1" x14ac:dyDescent="0.25"/>
    <row r="2451" ht="30.75" customHeight="1" thickBot="1" x14ac:dyDescent="0.25"/>
    <row r="2452" ht="30.75" customHeight="1" thickBot="1" x14ac:dyDescent="0.25"/>
    <row r="2453" ht="30.75" customHeight="1" thickBot="1" x14ac:dyDescent="0.25"/>
    <row r="2454" ht="30.75" customHeight="1" thickBot="1" x14ac:dyDescent="0.25"/>
    <row r="2455" ht="30.75" customHeight="1" thickBot="1" x14ac:dyDescent="0.25"/>
    <row r="2456" ht="30.75" customHeight="1" thickBot="1" x14ac:dyDescent="0.25"/>
    <row r="2457" ht="30.75" customHeight="1" thickBot="1" x14ac:dyDescent="0.25"/>
    <row r="2458" ht="30.75" customHeight="1" thickBot="1" x14ac:dyDescent="0.25"/>
    <row r="2459" ht="30.75" customHeight="1" thickBot="1" x14ac:dyDescent="0.25"/>
    <row r="2460" ht="30.75" customHeight="1" thickBot="1" x14ac:dyDescent="0.25"/>
    <row r="2461" ht="30.75" customHeight="1" thickBot="1" x14ac:dyDescent="0.25"/>
    <row r="2462" ht="30.75" customHeight="1" thickBot="1" x14ac:dyDescent="0.25"/>
    <row r="2463" ht="30.75" customHeight="1" thickBot="1" x14ac:dyDescent="0.25"/>
    <row r="2464" ht="30.75" customHeight="1" thickBot="1" x14ac:dyDescent="0.25"/>
    <row r="2465" ht="30.75" customHeight="1" thickBot="1" x14ac:dyDescent="0.25"/>
    <row r="2466" ht="30.75" customHeight="1" thickBot="1" x14ac:dyDescent="0.25"/>
    <row r="2467" ht="30.75" customHeight="1" thickBot="1" x14ac:dyDescent="0.25"/>
    <row r="2468" ht="30.75" customHeight="1" thickBot="1" x14ac:dyDescent="0.25"/>
    <row r="2469" ht="30.75" customHeight="1" thickBot="1" x14ac:dyDescent="0.25"/>
    <row r="2470" ht="30.75" customHeight="1" thickBot="1" x14ac:dyDescent="0.25"/>
    <row r="2471" ht="30.75" customHeight="1" thickBot="1" x14ac:dyDescent="0.25"/>
    <row r="2472" ht="30.75" customHeight="1" thickBot="1" x14ac:dyDescent="0.25"/>
    <row r="2473" ht="30.75" customHeight="1" thickBot="1" x14ac:dyDescent="0.25"/>
    <row r="2474" ht="30.75" customHeight="1" thickBot="1" x14ac:dyDescent="0.25"/>
    <row r="2475" ht="30.75" customHeight="1" thickBot="1" x14ac:dyDescent="0.25"/>
    <row r="2476" ht="30.75" customHeight="1" thickBot="1" x14ac:dyDescent="0.25"/>
    <row r="2477" ht="30.75" customHeight="1" thickBot="1" x14ac:dyDescent="0.25"/>
    <row r="2478" ht="30.75" customHeight="1" thickBot="1" x14ac:dyDescent="0.25"/>
    <row r="2479" ht="30.75" customHeight="1" thickBot="1" x14ac:dyDescent="0.25"/>
    <row r="2480" ht="30.75" customHeight="1" thickBot="1" x14ac:dyDescent="0.25"/>
    <row r="2481" ht="30.75" customHeight="1" thickBot="1" x14ac:dyDescent="0.25"/>
    <row r="2482" ht="30.75" customHeight="1" thickBot="1" x14ac:dyDescent="0.25"/>
    <row r="2483" ht="30.75" customHeight="1" thickBot="1" x14ac:dyDescent="0.25"/>
    <row r="2484" ht="30.75" customHeight="1" thickBot="1" x14ac:dyDescent="0.25"/>
    <row r="2485" ht="30.75" customHeight="1" thickBot="1" x14ac:dyDescent="0.25"/>
    <row r="2486" ht="30.75" customHeight="1" thickBot="1" x14ac:dyDescent="0.25"/>
    <row r="2487" ht="30.75" customHeight="1" thickBot="1" x14ac:dyDescent="0.25"/>
    <row r="2488" ht="30.75" customHeight="1" thickBot="1" x14ac:dyDescent="0.25"/>
    <row r="2489" ht="30.75" customHeight="1" thickBot="1" x14ac:dyDescent="0.25"/>
    <row r="2490" ht="30.75" customHeight="1" thickBot="1" x14ac:dyDescent="0.25"/>
    <row r="2491" ht="30.75" customHeight="1" thickBot="1" x14ac:dyDescent="0.25"/>
    <row r="2492" ht="30.75" customHeight="1" thickBot="1" x14ac:dyDescent="0.25"/>
    <row r="2493" ht="30.75" customHeight="1" thickBot="1" x14ac:dyDescent="0.25"/>
    <row r="2494" ht="30.75" customHeight="1" thickBot="1" x14ac:dyDescent="0.25"/>
    <row r="2495" ht="30.75" customHeight="1" thickBot="1" x14ac:dyDescent="0.25"/>
    <row r="2496" ht="30.75" customHeight="1" thickBot="1" x14ac:dyDescent="0.25"/>
    <row r="2497" ht="30.75" customHeight="1" thickBot="1" x14ac:dyDescent="0.25"/>
    <row r="2498" ht="30.75" customHeight="1" thickBot="1" x14ac:dyDescent="0.25"/>
    <row r="2499" ht="30.75" customHeight="1" thickBot="1" x14ac:dyDescent="0.25"/>
    <row r="2500" ht="30.75" customHeight="1" thickBot="1" x14ac:dyDescent="0.25"/>
    <row r="2501" ht="30.75" customHeight="1" thickBot="1" x14ac:dyDescent="0.25"/>
    <row r="2502" ht="30.75" customHeight="1" thickBot="1" x14ac:dyDescent="0.25"/>
    <row r="2503" ht="30.75" customHeight="1" thickBot="1" x14ac:dyDescent="0.25"/>
    <row r="2504" ht="30.75" customHeight="1" thickBot="1" x14ac:dyDescent="0.25"/>
    <row r="2505" ht="30.75" customHeight="1" thickBot="1" x14ac:dyDescent="0.25"/>
    <row r="2506" ht="30.75" customHeight="1" thickBot="1" x14ac:dyDescent="0.25"/>
    <row r="2507" ht="30.75" customHeight="1" thickBot="1" x14ac:dyDescent="0.25"/>
    <row r="2508" ht="30.75" customHeight="1" thickBot="1" x14ac:dyDescent="0.25"/>
    <row r="2509" ht="30.75" customHeight="1" thickBot="1" x14ac:dyDescent="0.25"/>
    <row r="2510" ht="30.75" customHeight="1" thickBot="1" x14ac:dyDescent="0.25"/>
    <row r="2511" ht="30.75" customHeight="1" thickBot="1" x14ac:dyDescent="0.25"/>
    <row r="2512" ht="30.75" customHeight="1" thickBot="1" x14ac:dyDescent="0.25"/>
    <row r="2513" ht="30.75" customHeight="1" thickBot="1" x14ac:dyDescent="0.25"/>
    <row r="2514" ht="30.75" customHeight="1" thickBot="1" x14ac:dyDescent="0.25"/>
    <row r="2515" ht="30.75" customHeight="1" thickBot="1" x14ac:dyDescent="0.25"/>
    <row r="2516" ht="30.75" customHeight="1" thickBot="1" x14ac:dyDescent="0.25"/>
    <row r="2517" ht="30.75" customHeight="1" thickBot="1" x14ac:dyDescent="0.25"/>
    <row r="2518" ht="30.75" customHeight="1" thickBot="1" x14ac:dyDescent="0.25"/>
    <row r="2519" ht="30.75" customHeight="1" thickBot="1" x14ac:dyDescent="0.25"/>
    <row r="2520" ht="30.75" customHeight="1" thickBot="1" x14ac:dyDescent="0.25"/>
    <row r="2521" ht="30.75" customHeight="1" thickBot="1" x14ac:dyDescent="0.25"/>
    <row r="2522" ht="30.75" customHeight="1" thickBot="1" x14ac:dyDescent="0.25"/>
    <row r="2523" ht="30.75" customHeight="1" thickBot="1" x14ac:dyDescent="0.25"/>
    <row r="2524" ht="30.75" customHeight="1" thickBot="1" x14ac:dyDescent="0.25"/>
    <row r="2525" ht="30.75" customHeight="1" thickBot="1" x14ac:dyDescent="0.25"/>
    <row r="2526" ht="30.75" customHeight="1" thickBot="1" x14ac:dyDescent="0.25"/>
    <row r="2527" ht="30.75" customHeight="1" thickBot="1" x14ac:dyDescent="0.25"/>
    <row r="2528" ht="30.75" customHeight="1" thickBot="1" x14ac:dyDescent="0.25"/>
    <row r="2529" ht="30.75" customHeight="1" thickBot="1" x14ac:dyDescent="0.25"/>
    <row r="2530" ht="30.75" customHeight="1" thickBot="1" x14ac:dyDescent="0.25"/>
    <row r="2531" ht="30.75" customHeight="1" thickBot="1" x14ac:dyDescent="0.25"/>
    <row r="2532" ht="30.75" customHeight="1" thickBot="1" x14ac:dyDescent="0.25"/>
    <row r="2533" ht="30.75" customHeight="1" thickBot="1" x14ac:dyDescent="0.25"/>
    <row r="2534" ht="30.75" customHeight="1" thickBot="1" x14ac:dyDescent="0.25"/>
    <row r="2535" ht="30.75" customHeight="1" thickBot="1" x14ac:dyDescent="0.25"/>
    <row r="2536" ht="30.75" customHeight="1" thickBot="1" x14ac:dyDescent="0.25"/>
    <row r="2537" ht="30.75" customHeight="1" thickBot="1" x14ac:dyDescent="0.25"/>
    <row r="2538" ht="30.75" customHeight="1" thickBot="1" x14ac:dyDescent="0.25"/>
    <row r="2539" ht="30.75" customHeight="1" thickBot="1" x14ac:dyDescent="0.25"/>
    <row r="2540" ht="30.75" customHeight="1" thickBot="1" x14ac:dyDescent="0.25"/>
    <row r="2541" ht="30.75" customHeight="1" thickBot="1" x14ac:dyDescent="0.25"/>
    <row r="2542" ht="30.75" customHeight="1" thickBot="1" x14ac:dyDescent="0.25"/>
    <row r="2543" ht="30.75" customHeight="1" thickBot="1" x14ac:dyDescent="0.25"/>
    <row r="2544" ht="30.75" customHeight="1" thickBot="1" x14ac:dyDescent="0.25"/>
    <row r="2545" ht="30.75" customHeight="1" thickBot="1" x14ac:dyDescent="0.25"/>
    <row r="2546" ht="30.75" customHeight="1" thickBot="1" x14ac:dyDescent="0.25"/>
    <row r="2547" ht="30.75" customHeight="1" thickBot="1" x14ac:dyDescent="0.25"/>
    <row r="2548" ht="30.75" customHeight="1" thickBot="1" x14ac:dyDescent="0.25"/>
    <row r="2549" ht="30.75" customHeight="1" thickBot="1" x14ac:dyDescent="0.25"/>
    <row r="2550" ht="30.75" customHeight="1" thickBot="1" x14ac:dyDescent="0.25"/>
    <row r="2551" ht="30.75" customHeight="1" thickBot="1" x14ac:dyDescent="0.25"/>
    <row r="2552" ht="30.75" customHeight="1" thickBot="1" x14ac:dyDescent="0.25"/>
    <row r="2553" ht="30.75" customHeight="1" thickBot="1" x14ac:dyDescent="0.25"/>
    <row r="2554" ht="30.75" customHeight="1" thickBot="1" x14ac:dyDescent="0.25"/>
    <row r="2555" ht="30.75" customHeight="1" thickBot="1" x14ac:dyDescent="0.25"/>
    <row r="2556" ht="30.75" customHeight="1" thickBot="1" x14ac:dyDescent="0.25"/>
    <row r="2557" ht="30.75" customHeight="1" thickBot="1" x14ac:dyDescent="0.25"/>
    <row r="2558" ht="30.75" customHeight="1" thickBot="1" x14ac:dyDescent="0.25"/>
    <row r="2559" ht="30.75" customHeight="1" thickBot="1" x14ac:dyDescent="0.25"/>
    <row r="2560" ht="30.75" customHeight="1" thickBot="1" x14ac:dyDescent="0.25"/>
    <row r="2561" ht="30.75" customHeight="1" thickBot="1" x14ac:dyDescent="0.25"/>
    <row r="2562" ht="30.75" customHeight="1" thickBot="1" x14ac:dyDescent="0.25"/>
    <row r="2563" ht="30.75" customHeight="1" thickBot="1" x14ac:dyDescent="0.25"/>
    <row r="2564" ht="30.75" customHeight="1" thickBot="1" x14ac:dyDescent="0.25"/>
    <row r="2565" ht="30.75" customHeight="1" thickBot="1" x14ac:dyDescent="0.25"/>
    <row r="2566" ht="30.75" customHeight="1" thickBot="1" x14ac:dyDescent="0.25"/>
    <row r="2567" ht="30.75" customHeight="1" thickBot="1" x14ac:dyDescent="0.25"/>
    <row r="2568" ht="30.75" customHeight="1" thickBot="1" x14ac:dyDescent="0.25"/>
    <row r="2569" ht="30.75" customHeight="1" thickBot="1" x14ac:dyDescent="0.25"/>
    <row r="2570" ht="30.75" customHeight="1" thickBot="1" x14ac:dyDescent="0.25"/>
    <row r="2571" ht="30.75" customHeight="1" thickBot="1" x14ac:dyDescent="0.25"/>
    <row r="2572" ht="30.75" customHeight="1" thickBot="1" x14ac:dyDescent="0.25"/>
    <row r="2573" ht="30.75" customHeight="1" thickBot="1" x14ac:dyDescent="0.25"/>
    <row r="2574" ht="30.75" customHeight="1" thickBot="1" x14ac:dyDescent="0.25"/>
    <row r="2575" ht="30.75" customHeight="1" thickBot="1" x14ac:dyDescent="0.25"/>
    <row r="2576" ht="30.75" customHeight="1" thickBot="1" x14ac:dyDescent="0.25"/>
    <row r="2577" ht="30.75" customHeight="1" thickBot="1" x14ac:dyDescent="0.25"/>
    <row r="2578" ht="30.75" customHeight="1" thickBot="1" x14ac:dyDescent="0.25"/>
    <row r="2579" ht="30.75" customHeight="1" thickBot="1" x14ac:dyDescent="0.25"/>
    <row r="2580" ht="30.75" customHeight="1" thickBot="1" x14ac:dyDescent="0.25"/>
    <row r="2581" ht="30.75" customHeight="1" thickBot="1" x14ac:dyDescent="0.25"/>
    <row r="2582" ht="30.75" customHeight="1" thickBot="1" x14ac:dyDescent="0.25"/>
    <row r="2583" ht="30.75" customHeight="1" thickBot="1" x14ac:dyDescent="0.25"/>
    <row r="2584" ht="30.75" customHeight="1" thickBot="1" x14ac:dyDescent="0.25"/>
    <row r="2585" ht="30.75" customHeight="1" thickBot="1" x14ac:dyDescent="0.25"/>
    <row r="2586" ht="30.75" customHeight="1" thickBot="1" x14ac:dyDescent="0.25"/>
    <row r="2587" ht="30.75" customHeight="1" thickBot="1" x14ac:dyDescent="0.25"/>
    <row r="2588" ht="30.75" customHeight="1" thickBot="1" x14ac:dyDescent="0.25"/>
    <row r="2589" ht="30.75" customHeight="1" thickBot="1" x14ac:dyDescent="0.25"/>
    <row r="2590" ht="30.75" customHeight="1" thickBot="1" x14ac:dyDescent="0.25"/>
    <row r="2591" ht="30.75" customHeight="1" thickBot="1" x14ac:dyDescent="0.25"/>
    <row r="2592" ht="30.75" customHeight="1" thickBot="1" x14ac:dyDescent="0.25"/>
    <row r="2593" ht="30.75" customHeight="1" thickBot="1" x14ac:dyDescent="0.25"/>
    <row r="2594" ht="30.75" customHeight="1" thickBot="1" x14ac:dyDescent="0.25"/>
    <row r="2595" ht="30.75" customHeight="1" thickBot="1" x14ac:dyDescent="0.25"/>
    <row r="2596" ht="30.75" customHeight="1" thickBot="1" x14ac:dyDescent="0.25"/>
    <row r="2597" ht="30.75" customHeight="1" thickBot="1" x14ac:dyDescent="0.25"/>
    <row r="2598" ht="30.75" customHeight="1" thickBot="1" x14ac:dyDescent="0.25"/>
    <row r="2599" ht="30.75" customHeight="1" thickBot="1" x14ac:dyDescent="0.25"/>
    <row r="2600" ht="30.75" customHeight="1" thickBot="1" x14ac:dyDescent="0.25"/>
    <row r="2601" ht="30.75" customHeight="1" thickBot="1" x14ac:dyDescent="0.25"/>
    <row r="2602" ht="30.75" customHeight="1" thickBot="1" x14ac:dyDescent="0.25"/>
    <row r="2603" ht="30.75" customHeight="1" thickBot="1" x14ac:dyDescent="0.25"/>
    <row r="2604" ht="30.75" customHeight="1" thickBot="1" x14ac:dyDescent="0.25"/>
    <row r="2605" ht="30.75" customHeight="1" thickBot="1" x14ac:dyDescent="0.25"/>
    <row r="2606" ht="30.75" customHeight="1" thickBot="1" x14ac:dyDescent="0.25"/>
    <row r="2607" ht="30.75" customHeight="1" thickBot="1" x14ac:dyDescent="0.25"/>
    <row r="2608" ht="30.75" customHeight="1" thickBot="1" x14ac:dyDescent="0.25"/>
    <row r="2609" ht="30.75" customHeight="1" thickBot="1" x14ac:dyDescent="0.25"/>
    <row r="2610" ht="30.75" customHeight="1" thickBot="1" x14ac:dyDescent="0.25"/>
    <row r="2611" ht="30.75" customHeight="1" thickBot="1" x14ac:dyDescent="0.25"/>
    <row r="2612" ht="30.75" customHeight="1" thickBot="1" x14ac:dyDescent="0.25"/>
    <row r="2613" ht="30.75" customHeight="1" thickBot="1" x14ac:dyDescent="0.25"/>
    <row r="2614" ht="30.75" customHeight="1" thickBot="1" x14ac:dyDescent="0.25"/>
    <row r="2615" ht="30.75" customHeight="1" thickBot="1" x14ac:dyDescent="0.25"/>
    <row r="2616" ht="30.75" customHeight="1" thickBot="1" x14ac:dyDescent="0.25"/>
    <row r="2617" ht="30.75" customHeight="1" thickBot="1" x14ac:dyDescent="0.25"/>
    <row r="2618" ht="30.75" customHeight="1" thickBot="1" x14ac:dyDescent="0.25"/>
    <row r="2619" ht="30.75" customHeight="1" thickBot="1" x14ac:dyDescent="0.25"/>
    <row r="2620" ht="30.75" customHeight="1" thickBot="1" x14ac:dyDescent="0.25"/>
    <row r="2621" ht="30.75" customHeight="1" thickBot="1" x14ac:dyDescent="0.25"/>
    <row r="2622" ht="30.75" customHeight="1" thickBot="1" x14ac:dyDescent="0.25"/>
    <row r="2623" ht="30.75" customHeight="1" thickBot="1" x14ac:dyDescent="0.25"/>
    <row r="2624" ht="30.75" customHeight="1" thickBot="1" x14ac:dyDescent="0.25"/>
    <row r="2625" ht="30.75" customHeight="1" thickBot="1" x14ac:dyDescent="0.25"/>
    <row r="2626" ht="30.75" customHeight="1" thickBot="1" x14ac:dyDescent="0.25"/>
    <row r="2627" ht="30.75" customHeight="1" thickBot="1" x14ac:dyDescent="0.25"/>
    <row r="2628" ht="30.75" customHeight="1" thickBot="1" x14ac:dyDescent="0.25"/>
    <row r="2629" ht="30.75" customHeight="1" thickBot="1" x14ac:dyDescent="0.25"/>
    <row r="2630" ht="30.75" customHeight="1" thickBot="1" x14ac:dyDescent="0.25"/>
    <row r="2631" ht="30.75" customHeight="1" thickBot="1" x14ac:dyDescent="0.25"/>
    <row r="2632" ht="30.75" customHeight="1" thickBot="1" x14ac:dyDescent="0.25"/>
    <row r="2633" ht="30.75" customHeight="1" thickBot="1" x14ac:dyDescent="0.25"/>
    <row r="2634" ht="30.75" customHeight="1" thickBot="1" x14ac:dyDescent="0.25"/>
    <row r="2635" ht="30.75" customHeight="1" thickBot="1" x14ac:dyDescent="0.25"/>
    <row r="2636" ht="30.75" customHeight="1" thickBot="1" x14ac:dyDescent="0.25"/>
    <row r="2637" ht="30.75" customHeight="1" thickBot="1" x14ac:dyDescent="0.25"/>
    <row r="2638" ht="30.75" customHeight="1" thickBot="1" x14ac:dyDescent="0.25"/>
    <row r="2639" ht="30.75" customHeight="1" thickBot="1" x14ac:dyDescent="0.25"/>
    <row r="2640" ht="30.75" customHeight="1" thickBot="1" x14ac:dyDescent="0.25"/>
    <row r="2641" ht="30.75" customHeight="1" thickBot="1" x14ac:dyDescent="0.25"/>
    <row r="2642" ht="30.75" customHeight="1" thickBot="1" x14ac:dyDescent="0.25"/>
    <row r="2643" ht="30.75" customHeight="1" thickBot="1" x14ac:dyDescent="0.25"/>
    <row r="2644" ht="30.75" customHeight="1" thickBot="1" x14ac:dyDescent="0.25"/>
    <row r="2645" ht="30.75" customHeight="1" thickBot="1" x14ac:dyDescent="0.25"/>
    <row r="2646" ht="30.75" customHeight="1" thickBot="1" x14ac:dyDescent="0.25"/>
    <row r="2647" ht="30.75" customHeight="1" thickBot="1" x14ac:dyDescent="0.25"/>
    <row r="2648" ht="30.75" customHeight="1" thickBot="1" x14ac:dyDescent="0.25"/>
    <row r="2649" ht="30.75" customHeight="1" thickBot="1" x14ac:dyDescent="0.25"/>
    <row r="2650" ht="30.75" customHeight="1" thickBot="1" x14ac:dyDescent="0.25"/>
    <row r="2651" ht="30.75" customHeight="1" thickBot="1" x14ac:dyDescent="0.25"/>
    <row r="2652" ht="30.75" customHeight="1" thickBot="1" x14ac:dyDescent="0.25"/>
    <row r="2653" ht="30.75" customHeight="1" thickBot="1" x14ac:dyDescent="0.25"/>
    <row r="2654" ht="30.75" customHeight="1" thickBot="1" x14ac:dyDescent="0.25"/>
    <row r="2655" ht="30.75" customHeight="1" thickBot="1" x14ac:dyDescent="0.25"/>
    <row r="2656" ht="30.75" customHeight="1" thickBot="1" x14ac:dyDescent="0.25"/>
    <row r="2657" ht="30.75" customHeight="1" thickBot="1" x14ac:dyDescent="0.25"/>
    <row r="2658" ht="30.75" customHeight="1" thickBot="1" x14ac:dyDescent="0.25"/>
    <row r="2659" ht="30.75" customHeight="1" thickBot="1" x14ac:dyDescent="0.25"/>
    <row r="2660" ht="30.75" customHeight="1" thickBot="1" x14ac:dyDescent="0.25"/>
    <row r="2661" ht="30.75" customHeight="1" thickBot="1" x14ac:dyDescent="0.25"/>
    <row r="2662" ht="30.75" customHeight="1" thickBot="1" x14ac:dyDescent="0.25"/>
    <row r="2663" ht="30.75" customHeight="1" thickBot="1" x14ac:dyDescent="0.25"/>
    <row r="2664" ht="30.75" customHeight="1" thickBot="1" x14ac:dyDescent="0.25"/>
    <row r="2665" ht="30.75" customHeight="1" thickBot="1" x14ac:dyDescent="0.25"/>
    <row r="2666" ht="30.75" customHeight="1" thickBot="1" x14ac:dyDescent="0.25"/>
    <row r="2667" ht="30.75" customHeight="1" thickBot="1" x14ac:dyDescent="0.25"/>
    <row r="2668" ht="30.75" customHeight="1" thickBot="1" x14ac:dyDescent="0.25"/>
    <row r="2669" ht="30.75" customHeight="1" thickBot="1" x14ac:dyDescent="0.25"/>
    <row r="2670" ht="30.75" customHeight="1" thickBot="1" x14ac:dyDescent="0.25"/>
    <row r="2671" ht="30.75" customHeight="1" thickBot="1" x14ac:dyDescent="0.25"/>
    <row r="2672" ht="30.75" customHeight="1" thickBot="1" x14ac:dyDescent="0.25"/>
    <row r="2673" ht="30.75" customHeight="1" thickBot="1" x14ac:dyDescent="0.25"/>
    <row r="2674" ht="30.75" customHeight="1" thickBot="1" x14ac:dyDescent="0.25"/>
    <row r="2675" ht="30.75" customHeight="1" thickBot="1" x14ac:dyDescent="0.25"/>
    <row r="2676" ht="30.75" customHeight="1" thickBot="1" x14ac:dyDescent="0.25"/>
    <row r="2677" ht="30.75" customHeight="1" thickBot="1" x14ac:dyDescent="0.25"/>
    <row r="2678" ht="30.75" customHeight="1" thickBot="1" x14ac:dyDescent="0.25"/>
    <row r="2679" ht="30.75" customHeight="1" thickBot="1" x14ac:dyDescent="0.25"/>
    <row r="2680" ht="30.75" customHeight="1" thickBot="1" x14ac:dyDescent="0.25"/>
    <row r="2681" ht="30.75" customHeight="1" thickBot="1" x14ac:dyDescent="0.25"/>
    <row r="2682" ht="30.75" customHeight="1" thickBot="1" x14ac:dyDescent="0.25"/>
    <row r="2683" ht="30.75" customHeight="1" thickBot="1" x14ac:dyDescent="0.25"/>
    <row r="2684" ht="30.75" customHeight="1" thickBot="1" x14ac:dyDescent="0.25"/>
    <row r="2685" ht="30.75" customHeight="1" thickBot="1" x14ac:dyDescent="0.25"/>
    <row r="2686" ht="30.75" customHeight="1" thickBot="1" x14ac:dyDescent="0.25"/>
    <row r="2687" ht="30.75" customHeight="1" thickBot="1" x14ac:dyDescent="0.25"/>
    <row r="2688" ht="30.75" customHeight="1" thickBot="1" x14ac:dyDescent="0.25"/>
    <row r="2689" ht="30.75" customHeight="1" thickBot="1" x14ac:dyDescent="0.25"/>
    <row r="2690" ht="30.75" customHeight="1" thickBot="1" x14ac:dyDescent="0.25"/>
    <row r="2691" ht="30.75" customHeight="1" thickBot="1" x14ac:dyDescent="0.25"/>
    <row r="2692" ht="30.75" customHeight="1" thickBot="1" x14ac:dyDescent="0.25"/>
    <row r="2693" ht="30.75" customHeight="1" thickBot="1" x14ac:dyDescent="0.25"/>
    <row r="2694" ht="30.75" customHeight="1" thickBot="1" x14ac:dyDescent="0.25"/>
    <row r="2695" ht="30.75" customHeight="1" thickBot="1" x14ac:dyDescent="0.25"/>
    <row r="2696" ht="30.75" customHeight="1" thickBot="1" x14ac:dyDescent="0.25"/>
    <row r="2697" ht="30.75" customHeight="1" thickBot="1" x14ac:dyDescent="0.25"/>
    <row r="2698" ht="30.75" customHeight="1" thickBot="1" x14ac:dyDescent="0.25"/>
    <row r="2699" ht="30.75" customHeight="1" thickBot="1" x14ac:dyDescent="0.25"/>
    <row r="2700" ht="30.75" customHeight="1" thickBot="1" x14ac:dyDescent="0.25"/>
    <row r="2701" ht="30.75" customHeight="1" thickBot="1" x14ac:dyDescent="0.25"/>
    <row r="2702" ht="30.75" customHeight="1" thickBot="1" x14ac:dyDescent="0.25"/>
    <row r="2703" ht="30.75" customHeight="1" thickBot="1" x14ac:dyDescent="0.25"/>
    <row r="2704" ht="30.75" customHeight="1" thickBot="1" x14ac:dyDescent="0.25"/>
    <row r="2705" ht="30.75" customHeight="1" thickBot="1" x14ac:dyDescent="0.25"/>
    <row r="2706" ht="30.75" customHeight="1" thickBot="1" x14ac:dyDescent="0.25"/>
    <row r="2707" ht="30.75" customHeight="1" thickBot="1" x14ac:dyDescent="0.25"/>
    <row r="2708" ht="30.75" customHeight="1" thickBot="1" x14ac:dyDescent="0.25"/>
    <row r="2709" ht="30.75" customHeight="1" thickBot="1" x14ac:dyDescent="0.25"/>
    <row r="2710" ht="30.75" customHeight="1" thickBot="1" x14ac:dyDescent="0.25"/>
    <row r="2711" ht="30.75" customHeight="1" thickBot="1" x14ac:dyDescent="0.25"/>
    <row r="2712" ht="30.75" customHeight="1" thickBot="1" x14ac:dyDescent="0.25"/>
    <row r="2713" ht="30.75" customHeight="1" thickBot="1" x14ac:dyDescent="0.25"/>
    <row r="2714" ht="30.75" customHeight="1" thickBot="1" x14ac:dyDescent="0.25"/>
    <row r="2715" ht="30.75" customHeight="1" thickBot="1" x14ac:dyDescent="0.25"/>
    <row r="2716" ht="30.75" customHeight="1" thickBot="1" x14ac:dyDescent="0.25"/>
    <row r="2717" ht="30.75" customHeight="1" thickBot="1" x14ac:dyDescent="0.25"/>
    <row r="2718" ht="30.75" customHeight="1" thickBot="1" x14ac:dyDescent="0.25"/>
    <row r="2719" ht="30.75" customHeight="1" thickBot="1" x14ac:dyDescent="0.25"/>
    <row r="2720" ht="30.75" customHeight="1" thickBot="1" x14ac:dyDescent="0.25"/>
    <row r="2721" ht="30.75" customHeight="1" thickBot="1" x14ac:dyDescent="0.25"/>
    <row r="2722" ht="30.75" customHeight="1" thickBot="1" x14ac:dyDescent="0.25"/>
    <row r="2723" ht="30.75" customHeight="1" thickBot="1" x14ac:dyDescent="0.25"/>
    <row r="2724" ht="30.75" customHeight="1" thickBot="1" x14ac:dyDescent="0.25"/>
    <row r="2725" ht="30.75" customHeight="1" thickBot="1" x14ac:dyDescent="0.25"/>
    <row r="2726" ht="30.75" customHeight="1" thickBot="1" x14ac:dyDescent="0.25"/>
    <row r="2727" ht="30.75" customHeight="1" thickBot="1" x14ac:dyDescent="0.25"/>
    <row r="2728" ht="30.75" customHeight="1" thickBot="1" x14ac:dyDescent="0.25"/>
    <row r="2729" ht="30.75" customHeight="1" thickBot="1" x14ac:dyDescent="0.25"/>
    <row r="2730" ht="30.75" customHeight="1" thickBot="1" x14ac:dyDescent="0.25"/>
    <row r="2731" ht="30.75" customHeight="1" thickBot="1" x14ac:dyDescent="0.25"/>
    <row r="2732" ht="30.75" customHeight="1" thickBot="1" x14ac:dyDescent="0.25"/>
    <row r="2733" ht="30.75" customHeight="1" thickBot="1" x14ac:dyDescent="0.25"/>
    <row r="2734" ht="30.75" customHeight="1" thickBot="1" x14ac:dyDescent="0.25"/>
    <row r="2735" ht="30.75" customHeight="1" thickBot="1" x14ac:dyDescent="0.25"/>
    <row r="2736" ht="30.75" customHeight="1" thickBot="1" x14ac:dyDescent="0.25"/>
    <row r="2737" ht="30.75" customHeight="1" thickBot="1" x14ac:dyDescent="0.25"/>
    <row r="2738" ht="30.75" customHeight="1" thickBot="1" x14ac:dyDescent="0.25"/>
    <row r="2739" ht="30.75" customHeight="1" thickBot="1" x14ac:dyDescent="0.25"/>
    <row r="2740" ht="30.75" customHeight="1" thickBot="1" x14ac:dyDescent="0.25"/>
    <row r="2741" ht="30.75" customHeight="1" thickBot="1" x14ac:dyDescent="0.25"/>
    <row r="2742" ht="30.75" customHeight="1" thickBot="1" x14ac:dyDescent="0.25"/>
    <row r="2743" ht="30.75" customHeight="1" thickBot="1" x14ac:dyDescent="0.25"/>
    <row r="2744" ht="30.75" customHeight="1" thickBot="1" x14ac:dyDescent="0.25"/>
    <row r="2745" ht="30.75" customHeight="1" thickBot="1" x14ac:dyDescent="0.25"/>
    <row r="2746" ht="30.75" customHeight="1" thickBot="1" x14ac:dyDescent="0.25"/>
    <row r="2747" ht="30.75" customHeight="1" thickBot="1" x14ac:dyDescent="0.25"/>
    <row r="2748" ht="30.75" customHeight="1" thickBot="1" x14ac:dyDescent="0.25"/>
    <row r="2749" ht="30.75" customHeight="1" thickBot="1" x14ac:dyDescent="0.25"/>
    <row r="2750" ht="30.75" customHeight="1" thickBot="1" x14ac:dyDescent="0.25"/>
    <row r="2751" ht="30.75" customHeight="1" thickBot="1" x14ac:dyDescent="0.25"/>
    <row r="2752" ht="30.75" customHeight="1" thickBot="1" x14ac:dyDescent="0.25"/>
    <row r="2753" ht="30.75" customHeight="1" thickBot="1" x14ac:dyDescent="0.25"/>
    <row r="2754" ht="30.75" customHeight="1" thickBot="1" x14ac:dyDescent="0.25"/>
    <row r="2755" ht="30.75" customHeight="1" thickBot="1" x14ac:dyDescent="0.25"/>
    <row r="2756" ht="30.75" customHeight="1" thickBot="1" x14ac:dyDescent="0.25"/>
    <row r="2757" ht="30.75" customHeight="1" thickBot="1" x14ac:dyDescent="0.25"/>
    <row r="2758" ht="30.75" customHeight="1" thickBot="1" x14ac:dyDescent="0.25"/>
    <row r="2759" ht="30.75" customHeight="1" thickBot="1" x14ac:dyDescent="0.25"/>
    <row r="2760" ht="30.75" customHeight="1" thickBot="1" x14ac:dyDescent="0.25"/>
    <row r="2761" ht="30.75" customHeight="1" thickBot="1" x14ac:dyDescent="0.25"/>
    <row r="2762" ht="30.75" customHeight="1" thickBot="1" x14ac:dyDescent="0.25"/>
    <row r="2763" ht="30.75" customHeight="1" thickBot="1" x14ac:dyDescent="0.25"/>
    <row r="2764" ht="30.75" customHeight="1" thickBot="1" x14ac:dyDescent="0.25"/>
    <row r="2765" ht="30.75" customHeight="1" thickBot="1" x14ac:dyDescent="0.25"/>
    <row r="2766" ht="30.75" customHeight="1" thickBot="1" x14ac:dyDescent="0.25"/>
    <row r="2767" ht="30.75" customHeight="1" thickBot="1" x14ac:dyDescent="0.25"/>
    <row r="2768" ht="30.75" customHeight="1" thickBot="1" x14ac:dyDescent="0.25"/>
    <row r="2769" ht="30.75" customHeight="1" thickBot="1" x14ac:dyDescent="0.25"/>
    <row r="2770" ht="30.75" customHeight="1" thickBot="1" x14ac:dyDescent="0.25"/>
    <row r="2771" ht="30.75" customHeight="1" thickBot="1" x14ac:dyDescent="0.25"/>
    <row r="2772" ht="30.75" customHeight="1" thickBot="1" x14ac:dyDescent="0.25"/>
    <row r="2773" ht="30.75" customHeight="1" thickBot="1" x14ac:dyDescent="0.25"/>
    <row r="2774" ht="30.75" customHeight="1" thickBot="1" x14ac:dyDescent="0.25"/>
    <row r="2775" ht="30.75" customHeight="1" thickBot="1" x14ac:dyDescent="0.25"/>
    <row r="2776" ht="30.75" customHeight="1" thickBot="1" x14ac:dyDescent="0.25"/>
    <row r="2777" ht="30.75" customHeight="1" thickBot="1" x14ac:dyDescent="0.25"/>
    <row r="2778" ht="30.75" customHeight="1" thickBot="1" x14ac:dyDescent="0.25"/>
    <row r="2779" ht="30.75" customHeight="1" thickBot="1" x14ac:dyDescent="0.25"/>
    <row r="2780" ht="30.75" customHeight="1" thickBot="1" x14ac:dyDescent="0.25"/>
    <row r="2781" ht="30.75" customHeight="1" thickBot="1" x14ac:dyDescent="0.25"/>
    <row r="2782" ht="30.75" customHeight="1" thickBot="1" x14ac:dyDescent="0.25"/>
    <row r="2783" ht="30.75" customHeight="1" thickBot="1" x14ac:dyDescent="0.25"/>
    <row r="2784" ht="30.75" customHeight="1" thickBot="1" x14ac:dyDescent="0.25"/>
    <row r="2785" ht="30.75" customHeight="1" thickBot="1" x14ac:dyDescent="0.25"/>
    <row r="2786" ht="30.75" customHeight="1" thickBot="1" x14ac:dyDescent="0.25"/>
    <row r="2787" ht="30.75" customHeight="1" thickBot="1" x14ac:dyDescent="0.25"/>
    <row r="2788" ht="30.75" customHeight="1" thickBot="1" x14ac:dyDescent="0.25"/>
    <row r="2789" ht="30.75" customHeight="1" thickBot="1" x14ac:dyDescent="0.25"/>
    <row r="2790" ht="30.75" customHeight="1" thickBot="1" x14ac:dyDescent="0.25"/>
    <row r="2791" ht="30.75" customHeight="1" thickBot="1" x14ac:dyDescent="0.25"/>
    <row r="2792" ht="30.75" customHeight="1" thickBot="1" x14ac:dyDescent="0.25"/>
    <row r="2793" ht="30.75" customHeight="1" thickBot="1" x14ac:dyDescent="0.25"/>
    <row r="2794" ht="30.75" customHeight="1" thickBot="1" x14ac:dyDescent="0.25"/>
    <row r="2795" ht="30.75" customHeight="1" thickBot="1" x14ac:dyDescent="0.25"/>
    <row r="2796" ht="30.75" customHeight="1" thickBot="1" x14ac:dyDescent="0.25"/>
    <row r="2797" ht="30.75" customHeight="1" thickBot="1" x14ac:dyDescent="0.25"/>
    <row r="2798" ht="30.75" customHeight="1" thickBot="1" x14ac:dyDescent="0.25"/>
    <row r="2799" ht="30.75" customHeight="1" thickBot="1" x14ac:dyDescent="0.25"/>
    <row r="2800" ht="30.75" customHeight="1" thickBot="1" x14ac:dyDescent="0.25"/>
    <row r="2801" ht="30.75" customHeight="1" thickBot="1" x14ac:dyDescent="0.25"/>
    <row r="2802" ht="30.75" customHeight="1" thickBot="1" x14ac:dyDescent="0.25"/>
    <row r="2803" ht="30.75" customHeight="1" thickBot="1" x14ac:dyDescent="0.25"/>
    <row r="2804" ht="30.75" customHeight="1" thickBot="1" x14ac:dyDescent="0.25"/>
    <row r="2805" ht="30.75" customHeight="1" thickBot="1" x14ac:dyDescent="0.25"/>
    <row r="2806" ht="30.75" customHeight="1" thickBot="1" x14ac:dyDescent="0.25"/>
    <row r="2807" ht="30.75" customHeight="1" thickBot="1" x14ac:dyDescent="0.25"/>
    <row r="2808" ht="30.75" customHeight="1" thickBot="1" x14ac:dyDescent="0.25"/>
    <row r="2809" ht="30.75" customHeight="1" thickBot="1" x14ac:dyDescent="0.25"/>
    <row r="2810" ht="30.75" customHeight="1" thickBot="1" x14ac:dyDescent="0.25"/>
    <row r="2811" ht="30.75" customHeight="1" thickBot="1" x14ac:dyDescent="0.25"/>
    <row r="2812" ht="30.75" customHeight="1" thickBot="1" x14ac:dyDescent="0.25"/>
    <row r="2813" ht="30.75" customHeight="1" thickBot="1" x14ac:dyDescent="0.25"/>
    <row r="2814" ht="30.75" customHeight="1" thickBot="1" x14ac:dyDescent="0.25"/>
    <row r="2815" ht="30.75" customHeight="1" thickBot="1" x14ac:dyDescent="0.25"/>
    <row r="2816" ht="30.75" customHeight="1" thickBot="1" x14ac:dyDescent="0.25"/>
    <row r="2817" ht="30.75" customHeight="1" thickBot="1" x14ac:dyDescent="0.25"/>
    <row r="2818" ht="30.75" customHeight="1" thickBot="1" x14ac:dyDescent="0.25"/>
    <row r="2819" ht="30.75" customHeight="1" thickBot="1" x14ac:dyDescent="0.25"/>
    <row r="2820" ht="30.75" customHeight="1" thickBot="1" x14ac:dyDescent="0.25"/>
    <row r="2821" ht="30.75" customHeight="1" thickBot="1" x14ac:dyDescent="0.25"/>
    <row r="2822" ht="30.75" customHeight="1" thickBot="1" x14ac:dyDescent="0.25"/>
    <row r="2823" ht="30.75" customHeight="1" thickBot="1" x14ac:dyDescent="0.25"/>
    <row r="2824" ht="30.75" customHeight="1" thickBot="1" x14ac:dyDescent="0.25"/>
    <row r="2825" ht="30.75" customHeight="1" thickBot="1" x14ac:dyDescent="0.25"/>
    <row r="2826" ht="30.75" customHeight="1" thickBot="1" x14ac:dyDescent="0.25"/>
    <row r="2827" ht="30.75" customHeight="1" thickBot="1" x14ac:dyDescent="0.25"/>
    <row r="2828" ht="30.75" customHeight="1" thickBot="1" x14ac:dyDescent="0.25"/>
    <row r="2829" ht="30.75" customHeight="1" thickBot="1" x14ac:dyDescent="0.25"/>
    <row r="2830" ht="30.75" customHeight="1" thickBot="1" x14ac:dyDescent="0.25"/>
    <row r="2831" ht="30.75" customHeight="1" thickBot="1" x14ac:dyDescent="0.25"/>
    <row r="2832" ht="30.75" customHeight="1" thickBot="1" x14ac:dyDescent="0.25"/>
    <row r="2833" ht="30.75" customHeight="1" thickBot="1" x14ac:dyDescent="0.25"/>
    <row r="2834" ht="30.75" customHeight="1" thickBot="1" x14ac:dyDescent="0.25"/>
    <row r="2835" ht="30.75" customHeight="1" thickBot="1" x14ac:dyDescent="0.25"/>
    <row r="2836" ht="30.75" customHeight="1" thickBot="1" x14ac:dyDescent="0.25"/>
    <row r="2837" ht="30.75" customHeight="1" thickBot="1" x14ac:dyDescent="0.25"/>
    <row r="2838" ht="30.75" customHeight="1" thickBot="1" x14ac:dyDescent="0.25"/>
    <row r="2839" ht="30.75" customHeight="1" thickBot="1" x14ac:dyDescent="0.25"/>
    <row r="2840" ht="30.75" customHeight="1" thickBot="1" x14ac:dyDescent="0.25"/>
    <row r="2841" ht="30.75" customHeight="1" thickBot="1" x14ac:dyDescent="0.25"/>
    <row r="2842" ht="30.75" customHeight="1" thickBot="1" x14ac:dyDescent="0.25"/>
    <row r="2843" ht="30.75" customHeight="1" thickBot="1" x14ac:dyDescent="0.25"/>
    <row r="2844" ht="30.75" customHeight="1" thickBot="1" x14ac:dyDescent="0.25"/>
    <row r="2845" ht="30.75" customHeight="1" thickBot="1" x14ac:dyDescent="0.25"/>
    <row r="2846" ht="30.75" customHeight="1" thickBot="1" x14ac:dyDescent="0.25"/>
    <row r="2847" ht="30.75" customHeight="1" thickBot="1" x14ac:dyDescent="0.25"/>
    <row r="2848" ht="30.75" customHeight="1" thickBot="1" x14ac:dyDescent="0.25"/>
    <row r="2849" ht="30.75" customHeight="1" thickBot="1" x14ac:dyDescent="0.25"/>
    <row r="2850" ht="30.75" customHeight="1" thickBot="1" x14ac:dyDescent="0.25"/>
    <row r="2851" ht="30.75" customHeight="1" thickBot="1" x14ac:dyDescent="0.25"/>
    <row r="2852" ht="30.75" customHeight="1" thickBot="1" x14ac:dyDescent="0.25"/>
    <row r="2853" ht="30.75" customHeight="1" thickBot="1" x14ac:dyDescent="0.25"/>
    <row r="2854" ht="30.75" customHeight="1" thickBot="1" x14ac:dyDescent="0.25"/>
    <row r="2855" ht="30.75" customHeight="1" thickBot="1" x14ac:dyDescent="0.25"/>
    <row r="2856" ht="30.75" customHeight="1" thickBot="1" x14ac:dyDescent="0.25"/>
    <row r="2857" ht="30.75" customHeight="1" thickBot="1" x14ac:dyDescent="0.25"/>
    <row r="2858" ht="30.75" customHeight="1" thickBot="1" x14ac:dyDescent="0.25"/>
    <row r="2859" ht="30.75" customHeight="1" thickBot="1" x14ac:dyDescent="0.25"/>
    <row r="2860" ht="30.75" customHeight="1" thickBot="1" x14ac:dyDescent="0.25"/>
    <row r="2861" ht="30.75" customHeight="1" thickBot="1" x14ac:dyDescent="0.25"/>
    <row r="2862" ht="30.75" customHeight="1" thickBot="1" x14ac:dyDescent="0.25"/>
    <row r="2863" ht="30.75" customHeight="1" thickBot="1" x14ac:dyDescent="0.25"/>
    <row r="2864" ht="30.75" customHeight="1" thickBot="1" x14ac:dyDescent="0.25"/>
    <row r="2865" ht="30.75" customHeight="1" thickBot="1" x14ac:dyDescent="0.25"/>
    <row r="2866" ht="30.75" customHeight="1" thickBot="1" x14ac:dyDescent="0.25"/>
    <row r="2867" ht="30.75" customHeight="1" thickBot="1" x14ac:dyDescent="0.25"/>
    <row r="2868" ht="30.75" customHeight="1" thickBot="1" x14ac:dyDescent="0.25"/>
    <row r="2869" ht="30.75" customHeight="1" thickBot="1" x14ac:dyDescent="0.25"/>
    <row r="2870" ht="30.75" customHeight="1" thickBot="1" x14ac:dyDescent="0.25"/>
    <row r="2871" ht="30.75" customHeight="1" thickBot="1" x14ac:dyDescent="0.25"/>
    <row r="2872" ht="30.75" customHeight="1" thickBot="1" x14ac:dyDescent="0.25"/>
    <row r="2873" ht="30.75" customHeight="1" thickBot="1" x14ac:dyDescent="0.25"/>
    <row r="2874" ht="30.75" customHeight="1" thickBot="1" x14ac:dyDescent="0.25"/>
    <row r="2875" ht="30.75" customHeight="1" thickBot="1" x14ac:dyDescent="0.25"/>
    <row r="2876" ht="30.75" customHeight="1" thickBot="1" x14ac:dyDescent="0.25"/>
    <row r="2877" ht="30.75" customHeight="1" thickBot="1" x14ac:dyDescent="0.25"/>
    <row r="2878" ht="30.75" customHeight="1" thickBot="1" x14ac:dyDescent="0.25"/>
    <row r="2879" ht="30.75" customHeight="1" thickBot="1" x14ac:dyDescent="0.25"/>
    <row r="2880" ht="30.75" customHeight="1" thickBot="1" x14ac:dyDescent="0.25"/>
    <row r="2881" ht="30.75" customHeight="1" thickBot="1" x14ac:dyDescent="0.25"/>
    <row r="2882" ht="30.75" customHeight="1" thickBot="1" x14ac:dyDescent="0.25"/>
    <row r="2883" ht="30.75" customHeight="1" thickBot="1" x14ac:dyDescent="0.25"/>
    <row r="2884" ht="30.75" customHeight="1" thickBot="1" x14ac:dyDescent="0.25"/>
    <row r="2885" ht="30.75" customHeight="1" thickBot="1" x14ac:dyDescent="0.25"/>
    <row r="2886" ht="30.75" customHeight="1" thickBot="1" x14ac:dyDescent="0.25"/>
    <row r="2887" ht="30.75" customHeight="1" thickBot="1" x14ac:dyDescent="0.25"/>
    <row r="2888" ht="30.75" customHeight="1" thickBot="1" x14ac:dyDescent="0.25"/>
    <row r="2889" ht="30.75" customHeight="1" thickBot="1" x14ac:dyDescent="0.25"/>
    <row r="2890" ht="30.75" customHeight="1" thickBot="1" x14ac:dyDescent="0.25"/>
    <row r="2891" ht="30.75" customHeight="1" thickBot="1" x14ac:dyDescent="0.25"/>
    <row r="2892" ht="30.75" customHeight="1" thickBot="1" x14ac:dyDescent="0.25"/>
    <row r="2893" ht="30.75" customHeight="1" thickBot="1" x14ac:dyDescent="0.25"/>
    <row r="2894" ht="30.75" customHeight="1" thickBot="1" x14ac:dyDescent="0.25"/>
    <row r="2895" ht="30.75" customHeight="1" thickBot="1" x14ac:dyDescent="0.25"/>
    <row r="2896" ht="30.75" customHeight="1" thickBot="1" x14ac:dyDescent="0.25"/>
    <row r="2897" ht="30.75" customHeight="1" thickBot="1" x14ac:dyDescent="0.25"/>
    <row r="2898" ht="30.75" customHeight="1" thickBot="1" x14ac:dyDescent="0.25"/>
    <row r="2899" ht="30.75" customHeight="1" thickBot="1" x14ac:dyDescent="0.25"/>
    <row r="2900" ht="30.75" customHeight="1" thickBot="1" x14ac:dyDescent="0.25"/>
    <row r="2901" ht="30.75" customHeight="1" thickBot="1" x14ac:dyDescent="0.25"/>
    <row r="2902" ht="30.75" customHeight="1" thickBot="1" x14ac:dyDescent="0.25"/>
    <row r="2903" ht="30.75" customHeight="1" thickBot="1" x14ac:dyDescent="0.25"/>
    <row r="2904" ht="30.75" customHeight="1" thickBot="1" x14ac:dyDescent="0.25"/>
    <row r="2905" ht="30.75" customHeight="1" thickBot="1" x14ac:dyDescent="0.25"/>
    <row r="2906" ht="30.75" customHeight="1" thickBot="1" x14ac:dyDescent="0.25"/>
    <row r="2907" ht="30.75" customHeight="1" thickBot="1" x14ac:dyDescent="0.25"/>
    <row r="2908" ht="30.75" customHeight="1" thickBot="1" x14ac:dyDescent="0.25"/>
    <row r="2909" ht="30.75" customHeight="1" thickBot="1" x14ac:dyDescent="0.25"/>
    <row r="2910" ht="30.75" customHeight="1" thickBot="1" x14ac:dyDescent="0.25"/>
    <row r="2911" ht="30.75" customHeight="1" thickBot="1" x14ac:dyDescent="0.25"/>
    <row r="2912" ht="30.75" customHeight="1" thickBot="1" x14ac:dyDescent="0.25"/>
    <row r="2913" ht="30.75" customHeight="1" thickBot="1" x14ac:dyDescent="0.25"/>
    <row r="2914" ht="30.75" customHeight="1" thickBot="1" x14ac:dyDescent="0.25"/>
    <row r="2915" ht="30.75" customHeight="1" thickBot="1" x14ac:dyDescent="0.25"/>
    <row r="2916" ht="30.75" customHeight="1" thickBot="1" x14ac:dyDescent="0.25"/>
    <row r="2917" ht="30.75" customHeight="1" thickBot="1" x14ac:dyDescent="0.25"/>
    <row r="2918" ht="30.75" customHeight="1" thickBot="1" x14ac:dyDescent="0.25"/>
    <row r="2919" ht="30.75" customHeight="1" thickBot="1" x14ac:dyDescent="0.25"/>
    <row r="2920" ht="30.75" customHeight="1" thickBot="1" x14ac:dyDescent="0.25"/>
    <row r="2921" ht="30.75" customHeight="1" thickBot="1" x14ac:dyDescent="0.25"/>
    <row r="2922" ht="30.75" customHeight="1" thickBot="1" x14ac:dyDescent="0.25"/>
    <row r="2923" ht="30.75" customHeight="1" thickBot="1" x14ac:dyDescent="0.25"/>
    <row r="2924" ht="30.75" customHeight="1" thickBot="1" x14ac:dyDescent="0.25"/>
    <row r="2925" ht="30.75" customHeight="1" thickBot="1" x14ac:dyDescent="0.25"/>
    <row r="2926" ht="30.75" customHeight="1" thickBot="1" x14ac:dyDescent="0.25"/>
    <row r="2927" ht="30.75" customHeight="1" thickBot="1" x14ac:dyDescent="0.25"/>
    <row r="2928" ht="30.75" customHeight="1" thickBot="1" x14ac:dyDescent="0.25"/>
    <row r="2929" ht="30.75" customHeight="1" thickBot="1" x14ac:dyDescent="0.25"/>
    <row r="2930" ht="30.75" customHeight="1" thickBot="1" x14ac:dyDescent="0.25"/>
    <row r="2931" ht="30.75" customHeight="1" thickBot="1" x14ac:dyDescent="0.25"/>
    <row r="2932" ht="30.75" customHeight="1" thickBot="1" x14ac:dyDescent="0.25"/>
    <row r="2933" ht="30.75" customHeight="1" thickBot="1" x14ac:dyDescent="0.25"/>
    <row r="2934" ht="30.75" customHeight="1" thickBot="1" x14ac:dyDescent="0.25"/>
    <row r="2935" ht="30.75" customHeight="1" thickBot="1" x14ac:dyDescent="0.25"/>
    <row r="2936" ht="30.75" customHeight="1" thickBot="1" x14ac:dyDescent="0.25"/>
    <row r="2937" ht="30.75" customHeight="1" thickBot="1" x14ac:dyDescent="0.25"/>
    <row r="2938" ht="30.75" customHeight="1" thickBot="1" x14ac:dyDescent="0.25"/>
    <row r="2939" ht="30.75" customHeight="1" thickBot="1" x14ac:dyDescent="0.25"/>
    <row r="2940" ht="30.75" customHeight="1" thickBot="1" x14ac:dyDescent="0.25"/>
    <row r="2941" ht="30.75" customHeight="1" thickBot="1" x14ac:dyDescent="0.25"/>
    <row r="2942" ht="30.75" customHeight="1" thickBot="1" x14ac:dyDescent="0.25"/>
    <row r="2943" ht="30.75" customHeight="1" thickBot="1" x14ac:dyDescent="0.25"/>
    <row r="2944" ht="30.75" customHeight="1" thickBot="1" x14ac:dyDescent="0.25"/>
    <row r="2945" ht="30.75" customHeight="1" thickBot="1" x14ac:dyDescent="0.25"/>
    <row r="2946" ht="30.75" customHeight="1" thickBot="1" x14ac:dyDescent="0.25"/>
    <row r="2947" ht="30.75" customHeight="1" thickBot="1" x14ac:dyDescent="0.25"/>
    <row r="2948" ht="30.75" customHeight="1" thickBot="1" x14ac:dyDescent="0.25"/>
    <row r="2949" ht="30.75" customHeight="1" thickBot="1" x14ac:dyDescent="0.25"/>
    <row r="2950" ht="30.75" customHeight="1" thickBot="1" x14ac:dyDescent="0.25"/>
    <row r="2951" ht="30.75" customHeight="1" thickBot="1" x14ac:dyDescent="0.25"/>
    <row r="2952" ht="30.75" customHeight="1" thickBot="1" x14ac:dyDescent="0.25"/>
    <row r="2953" ht="30.75" customHeight="1" thickBot="1" x14ac:dyDescent="0.25"/>
    <row r="2954" ht="30.75" customHeight="1" thickBot="1" x14ac:dyDescent="0.25"/>
    <row r="2955" ht="30.75" customHeight="1" thickBot="1" x14ac:dyDescent="0.25"/>
    <row r="2956" ht="30.75" customHeight="1" thickBot="1" x14ac:dyDescent="0.25"/>
    <row r="2957" ht="30.75" customHeight="1" thickBot="1" x14ac:dyDescent="0.25"/>
    <row r="2958" ht="30.75" customHeight="1" thickBot="1" x14ac:dyDescent="0.25"/>
    <row r="2959" ht="30.75" customHeight="1" thickBot="1" x14ac:dyDescent="0.25"/>
    <row r="2960" ht="30.75" customHeight="1" thickBot="1" x14ac:dyDescent="0.25"/>
    <row r="2961" ht="30.75" customHeight="1" thickBot="1" x14ac:dyDescent="0.25"/>
    <row r="2962" ht="30.75" customHeight="1" thickBot="1" x14ac:dyDescent="0.25"/>
    <row r="2963" ht="30.75" customHeight="1" thickBot="1" x14ac:dyDescent="0.25"/>
    <row r="2964" ht="30.75" customHeight="1" thickBot="1" x14ac:dyDescent="0.25"/>
    <row r="2965" ht="30.75" customHeight="1" thickBot="1" x14ac:dyDescent="0.25"/>
    <row r="2966" ht="30.75" customHeight="1" thickBot="1" x14ac:dyDescent="0.25"/>
    <row r="2967" ht="30.75" customHeight="1" thickBot="1" x14ac:dyDescent="0.25"/>
    <row r="2968" ht="30.75" customHeight="1" thickBot="1" x14ac:dyDescent="0.25"/>
    <row r="2969" ht="30.75" customHeight="1" thickBot="1" x14ac:dyDescent="0.25"/>
    <row r="2970" ht="30.75" customHeight="1" thickBot="1" x14ac:dyDescent="0.25"/>
    <row r="2971" ht="30.75" customHeight="1" thickBot="1" x14ac:dyDescent="0.25"/>
    <row r="2972" ht="30.75" customHeight="1" thickBot="1" x14ac:dyDescent="0.25"/>
    <row r="2973" ht="30.75" customHeight="1" thickBot="1" x14ac:dyDescent="0.25"/>
    <row r="2974" ht="30.75" customHeight="1" thickBot="1" x14ac:dyDescent="0.25"/>
    <row r="2975" ht="30.75" customHeight="1" thickBot="1" x14ac:dyDescent="0.25"/>
    <row r="2976" ht="30.75" customHeight="1" thickBot="1" x14ac:dyDescent="0.25"/>
    <row r="2977" ht="30.75" customHeight="1" thickBot="1" x14ac:dyDescent="0.25"/>
    <row r="2978" ht="30.75" customHeight="1" thickBot="1" x14ac:dyDescent="0.25"/>
    <row r="2979" ht="30.75" customHeight="1" thickBot="1" x14ac:dyDescent="0.25"/>
    <row r="2980" ht="30.75" customHeight="1" thickBot="1" x14ac:dyDescent="0.25"/>
    <row r="2981" ht="30.75" customHeight="1" thickBot="1" x14ac:dyDescent="0.25"/>
    <row r="2982" ht="30.75" customHeight="1" thickBot="1" x14ac:dyDescent="0.25"/>
    <row r="2983" ht="30.75" customHeight="1" thickBot="1" x14ac:dyDescent="0.25"/>
    <row r="2984" ht="30.75" customHeight="1" thickBot="1" x14ac:dyDescent="0.25"/>
    <row r="2985" ht="30.75" customHeight="1" thickBot="1" x14ac:dyDescent="0.25"/>
    <row r="2986" ht="30.75" customHeight="1" thickBot="1" x14ac:dyDescent="0.25"/>
    <row r="2987" ht="30.75" customHeight="1" thickBot="1" x14ac:dyDescent="0.25"/>
    <row r="2988" ht="30.75" customHeight="1" thickBot="1" x14ac:dyDescent="0.25"/>
    <row r="2989" ht="30.75" customHeight="1" thickBot="1" x14ac:dyDescent="0.25"/>
    <row r="2990" ht="30.75" customHeight="1" thickBot="1" x14ac:dyDescent="0.25"/>
    <row r="2991" ht="30.75" customHeight="1" thickBot="1" x14ac:dyDescent="0.25"/>
    <row r="2992" ht="30.75" customHeight="1" thickBot="1" x14ac:dyDescent="0.25"/>
    <row r="2993" ht="30.75" customHeight="1" thickBot="1" x14ac:dyDescent="0.25"/>
    <row r="2994" ht="30.75" customHeight="1" thickBot="1" x14ac:dyDescent="0.25"/>
    <row r="2995" ht="30.75" customHeight="1" thickBot="1" x14ac:dyDescent="0.25"/>
    <row r="2996" ht="30.75" customHeight="1" thickBot="1" x14ac:dyDescent="0.25"/>
    <row r="2997" ht="30.75" customHeight="1" thickBot="1" x14ac:dyDescent="0.25"/>
    <row r="2998" ht="30.75" customHeight="1" thickBot="1" x14ac:dyDescent="0.25"/>
    <row r="2999" ht="30.75" customHeight="1" thickBot="1" x14ac:dyDescent="0.25"/>
    <row r="3000" ht="30.75" customHeight="1" thickBot="1" x14ac:dyDescent="0.25"/>
    <row r="3001" ht="30.75" customHeight="1" thickBot="1" x14ac:dyDescent="0.25"/>
    <row r="3002" ht="30.75" customHeight="1" thickBot="1" x14ac:dyDescent="0.25"/>
    <row r="3003" ht="30.75" customHeight="1" thickBot="1" x14ac:dyDescent="0.25"/>
    <row r="3004" ht="30.75" customHeight="1" thickBot="1" x14ac:dyDescent="0.25"/>
    <row r="3005" ht="30.75" customHeight="1" thickBot="1" x14ac:dyDescent="0.25"/>
    <row r="3006" ht="30.75" customHeight="1" thickBot="1" x14ac:dyDescent="0.25"/>
    <row r="3007" ht="30.75" customHeight="1" thickBot="1" x14ac:dyDescent="0.25"/>
    <row r="3008" ht="30.75" customHeight="1" thickBot="1" x14ac:dyDescent="0.25"/>
    <row r="3009" ht="30.75" customHeight="1" thickBot="1" x14ac:dyDescent="0.25"/>
    <row r="3010" ht="30.75" customHeight="1" thickBot="1" x14ac:dyDescent="0.25"/>
    <row r="3011" ht="30.75" customHeight="1" thickBot="1" x14ac:dyDescent="0.25"/>
    <row r="3012" ht="30.75" customHeight="1" thickBot="1" x14ac:dyDescent="0.25"/>
    <row r="3013" ht="30.75" customHeight="1" thickBot="1" x14ac:dyDescent="0.25"/>
    <row r="3014" ht="30.75" customHeight="1" thickBot="1" x14ac:dyDescent="0.25"/>
    <row r="3015" ht="30.75" customHeight="1" thickBot="1" x14ac:dyDescent="0.25"/>
    <row r="3016" ht="30.75" customHeight="1" thickBot="1" x14ac:dyDescent="0.25"/>
    <row r="3017" ht="30.75" customHeight="1" thickBot="1" x14ac:dyDescent="0.25"/>
    <row r="3018" ht="30.75" customHeight="1" thickBot="1" x14ac:dyDescent="0.25"/>
    <row r="3019" ht="30.75" customHeight="1" thickBot="1" x14ac:dyDescent="0.25"/>
    <row r="3020" ht="30.75" customHeight="1" thickBot="1" x14ac:dyDescent="0.25"/>
    <row r="3021" ht="30.75" customHeight="1" thickBot="1" x14ac:dyDescent="0.25"/>
    <row r="3022" ht="30.75" customHeight="1" thickBot="1" x14ac:dyDescent="0.25"/>
    <row r="3023" ht="30.75" customHeight="1" thickBot="1" x14ac:dyDescent="0.25"/>
    <row r="3024" ht="30.75" customHeight="1" thickBot="1" x14ac:dyDescent="0.25"/>
    <row r="3025" ht="30.75" customHeight="1" thickBot="1" x14ac:dyDescent="0.25"/>
    <row r="3026" ht="30.75" customHeight="1" thickBot="1" x14ac:dyDescent="0.25"/>
    <row r="3027" ht="30.75" customHeight="1" thickBot="1" x14ac:dyDescent="0.25"/>
    <row r="3028" ht="30.75" customHeight="1" thickBot="1" x14ac:dyDescent="0.25"/>
    <row r="3029" ht="30.75" customHeight="1" thickBot="1" x14ac:dyDescent="0.25"/>
    <row r="3030" ht="30.75" customHeight="1" thickBot="1" x14ac:dyDescent="0.25"/>
    <row r="3031" ht="30.75" customHeight="1" thickBot="1" x14ac:dyDescent="0.25"/>
    <row r="3032" ht="30.75" customHeight="1" thickBot="1" x14ac:dyDescent="0.25"/>
    <row r="3033" ht="30.75" customHeight="1" thickBot="1" x14ac:dyDescent="0.25"/>
    <row r="3034" ht="30.75" customHeight="1" thickBot="1" x14ac:dyDescent="0.25"/>
    <row r="3035" ht="30.75" customHeight="1" thickBot="1" x14ac:dyDescent="0.25"/>
    <row r="3036" ht="30.75" customHeight="1" thickBot="1" x14ac:dyDescent="0.25"/>
    <row r="3037" ht="30.75" customHeight="1" thickBot="1" x14ac:dyDescent="0.25"/>
    <row r="3038" ht="30.75" customHeight="1" thickBot="1" x14ac:dyDescent="0.25"/>
    <row r="3039" ht="30.75" customHeight="1" thickBot="1" x14ac:dyDescent="0.25"/>
    <row r="3040" ht="30.75" customHeight="1" thickBot="1" x14ac:dyDescent="0.25"/>
    <row r="3041" ht="30.75" customHeight="1" thickBot="1" x14ac:dyDescent="0.25"/>
    <row r="3042" ht="30.75" customHeight="1" thickBot="1" x14ac:dyDescent="0.25"/>
    <row r="3043" ht="30.75" customHeight="1" thickBot="1" x14ac:dyDescent="0.25"/>
    <row r="3044" ht="30.75" customHeight="1" thickBot="1" x14ac:dyDescent="0.25"/>
    <row r="3045" ht="30.75" customHeight="1" thickBot="1" x14ac:dyDescent="0.25"/>
    <row r="3046" ht="30.75" customHeight="1" thickBot="1" x14ac:dyDescent="0.25"/>
    <row r="3047" ht="30.75" customHeight="1" thickBot="1" x14ac:dyDescent="0.25"/>
    <row r="3048" ht="30.75" customHeight="1" thickBot="1" x14ac:dyDescent="0.25"/>
    <row r="3049" ht="30.75" customHeight="1" thickBot="1" x14ac:dyDescent="0.25"/>
    <row r="3050" ht="30.75" customHeight="1" thickBot="1" x14ac:dyDescent="0.25"/>
    <row r="3051" ht="30.75" customHeight="1" thickBot="1" x14ac:dyDescent="0.25"/>
    <row r="3052" ht="30.75" customHeight="1" thickBot="1" x14ac:dyDescent="0.25"/>
    <row r="3053" ht="30.75" customHeight="1" thickBot="1" x14ac:dyDescent="0.25"/>
    <row r="3054" ht="30.75" customHeight="1" thickBot="1" x14ac:dyDescent="0.25"/>
    <row r="3055" ht="30.75" customHeight="1" thickBot="1" x14ac:dyDescent="0.25"/>
    <row r="3056" ht="30.75" customHeight="1" thickBot="1" x14ac:dyDescent="0.25"/>
    <row r="3057" ht="30.75" customHeight="1" thickBot="1" x14ac:dyDescent="0.25"/>
    <row r="3058" ht="30.75" customHeight="1" thickBot="1" x14ac:dyDescent="0.25"/>
    <row r="3059" ht="30.75" customHeight="1" thickBot="1" x14ac:dyDescent="0.25"/>
    <row r="3060" ht="30.75" customHeight="1" thickBot="1" x14ac:dyDescent="0.25"/>
    <row r="3061" ht="30.75" customHeight="1" thickBot="1" x14ac:dyDescent="0.25"/>
    <row r="3062" ht="30.75" customHeight="1" thickBot="1" x14ac:dyDescent="0.25"/>
    <row r="3063" ht="30.75" customHeight="1" thickBot="1" x14ac:dyDescent="0.25"/>
    <row r="3064" ht="30.75" customHeight="1" thickBot="1" x14ac:dyDescent="0.25"/>
    <row r="3065" ht="30.75" customHeight="1" thickBot="1" x14ac:dyDescent="0.25"/>
    <row r="3066" ht="30.75" customHeight="1" thickBot="1" x14ac:dyDescent="0.25"/>
    <row r="3067" ht="30.75" customHeight="1" thickBot="1" x14ac:dyDescent="0.25"/>
    <row r="3068" ht="30.75" customHeight="1" thickBot="1" x14ac:dyDescent="0.25"/>
    <row r="3069" ht="30.75" customHeight="1" thickBot="1" x14ac:dyDescent="0.25"/>
    <row r="3070" ht="30.75" customHeight="1" thickBot="1" x14ac:dyDescent="0.25"/>
    <row r="3071" ht="30.75" customHeight="1" thickBot="1" x14ac:dyDescent="0.25"/>
    <row r="3072" ht="30.75" customHeight="1" thickBot="1" x14ac:dyDescent="0.25"/>
    <row r="3073" ht="30.75" customHeight="1" thickBot="1" x14ac:dyDescent="0.25"/>
    <row r="3074" ht="30.75" customHeight="1" thickBot="1" x14ac:dyDescent="0.25"/>
    <row r="3075" ht="30.75" customHeight="1" thickBot="1" x14ac:dyDescent="0.25"/>
    <row r="3076" ht="30.75" customHeight="1" thickBot="1" x14ac:dyDescent="0.25"/>
    <row r="3077" ht="30.75" customHeight="1" thickBot="1" x14ac:dyDescent="0.25"/>
    <row r="3078" ht="30.75" customHeight="1" thickBot="1" x14ac:dyDescent="0.25"/>
    <row r="3079" ht="30.75" customHeight="1" thickBot="1" x14ac:dyDescent="0.25"/>
    <row r="3080" ht="30.75" customHeight="1" thickBot="1" x14ac:dyDescent="0.25"/>
    <row r="3081" ht="30.75" customHeight="1" thickBot="1" x14ac:dyDescent="0.25"/>
    <row r="3082" ht="30.75" customHeight="1" thickBot="1" x14ac:dyDescent="0.25"/>
    <row r="3083" ht="30.75" customHeight="1" thickBot="1" x14ac:dyDescent="0.25"/>
    <row r="3084" ht="30.75" customHeight="1" thickBot="1" x14ac:dyDescent="0.25"/>
    <row r="3085" ht="30.75" customHeight="1" thickBot="1" x14ac:dyDescent="0.25"/>
    <row r="3086" ht="30.75" customHeight="1" thickBot="1" x14ac:dyDescent="0.25"/>
    <row r="3087" ht="30.75" customHeight="1" thickBot="1" x14ac:dyDescent="0.25"/>
    <row r="3088" ht="30.75" customHeight="1" thickBot="1" x14ac:dyDescent="0.25"/>
    <row r="3089" ht="30.75" customHeight="1" thickBot="1" x14ac:dyDescent="0.25"/>
    <row r="3090" ht="30.75" customHeight="1" thickBot="1" x14ac:dyDescent="0.25"/>
    <row r="3091" ht="30.75" customHeight="1" thickBot="1" x14ac:dyDescent="0.25"/>
    <row r="3092" ht="30.75" customHeight="1" thickBot="1" x14ac:dyDescent="0.25"/>
    <row r="3093" ht="30.75" customHeight="1" thickBot="1" x14ac:dyDescent="0.25"/>
    <row r="3094" ht="30.75" customHeight="1" thickBot="1" x14ac:dyDescent="0.25"/>
    <row r="3095" ht="30.75" customHeight="1" thickBot="1" x14ac:dyDescent="0.25"/>
    <row r="3096" ht="30.75" customHeight="1" thickBot="1" x14ac:dyDescent="0.25"/>
    <row r="3097" ht="30.75" customHeight="1" thickBot="1" x14ac:dyDescent="0.25"/>
    <row r="3098" ht="30.75" customHeight="1" thickBot="1" x14ac:dyDescent="0.25"/>
    <row r="3099" ht="30.75" customHeight="1" thickBot="1" x14ac:dyDescent="0.25"/>
    <row r="3100" ht="30.75" customHeight="1" thickBot="1" x14ac:dyDescent="0.25"/>
    <row r="3101" ht="30.75" customHeight="1" thickBot="1" x14ac:dyDescent="0.25"/>
    <row r="3102" ht="30.75" customHeight="1" thickBot="1" x14ac:dyDescent="0.25"/>
    <row r="3103" ht="30.75" customHeight="1" thickBot="1" x14ac:dyDescent="0.25"/>
    <row r="3104" ht="30.75" customHeight="1" thickBot="1" x14ac:dyDescent="0.25"/>
    <row r="3105" ht="30.75" customHeight="1" thickBot="1" x14ac:dyDescent="0.25"/>
    <row r="3106" ht="30.75" customHeight="1" thickBot="1" x14ac:dyDescent="0.25"/>
    <row r="3107" ht="30.75" customHeight="1" thickBot="1" x14ac:dyDescent="0.25"/>
    <row r="3108" ht="30.75" customHeight="1" thickBot="1" x14ac:dyDescent="0.25"/>
    <row r="3109" ht="30.75" customHeight="1" thickBot="1" x14ac:dyDescent="0.25"/>
    <row r="3110" ht="30.75" customHeight="1" thickBot="1" x14ac:dyDescent="0.25"/>
    <row r="3111" ht="30.75" customHeight="1" thickBot="1" x14ac:dyDescent="0.25"/>
    <row r="3112" ht="30.75" customHeight="1" thickBot="1" x14ac:dyDescent="0.25"/>
    <row r="3113" ht="30.75" customHeight="1" thickBot="1" x14ac:dyDescent="0.25"/>
    <row r="3114" ht="30.75" customHeight="1" thickBot="1" x14ac:dyDescent="0.25"/>
    <row r="3115" ht="30.75" customHeight="1" thickBot="1" x14ac:dyDescent="0.25"/>
    <row r="3116" ht="30.75" customHeight="1" thickBot="1" x14ac:dyDescent="0.25"/>
    <row r="3117" ht="30.75" customHeight="1" thickBot="1" x14ac:dyDescent="0.25"/>
    <row r="3118" ht="30.75" customHeight="1" thickBot="1" x14ac:dyDescent="0.25"/>
    <row r="3119" ht="30.75" customHeight="1" thickBot="1" x14ac:dyDescent="0.25"/>
    <row r="3120" ht="30.75" customHeight="1" thickBot="1" x14ac:dyDescent="0.25"/>
    <row r="3121" ht="30.75" customHeight="1" thickBot="1" x14ac:dyDescent="0.25"/>
    <row r="3122" ht="30.75" customHeight="1" thickBot="1" x14ac:dyDescent="0.25"/>
    <row r="3123" ht="30.75" customHeight="1" thickBot="1" x14ac:dyDescent="0.25"/>
    <row r="3124" ht="30.75" customHeight="1" thickBot="1" x14ac:dyDescent="0.25"/>
    <row r="3125" ht="30.75" customHeight="1" thickBot="1" x14ac:dyDescent="0.25"/>
    <row r="3126" ht="30.75" customHeight="1" thickBot="1" x14ac:dyDescent="0.25"/>
    <row r="3127" ht="30.75" customHeight="1" thickBot="1" x14ac:dyDescent="0.25"/>
    <row r="3128" ht="30.75" customHeight="1" thickBot="1" x14ac:dyDescent="0.25"/>
    <row r="3129" ht="30.75" customHeight="1" thickBot="1" x14ac:dyDescent="0.25"/>
    <row r="3130" ht="30.75" customHeight="1" thickBot="1" x14ac:dyDescent="0.25"/>
    <row r="3131" ht="30.75" customHeight="1" thickBot="1" x14ac:dyDescent="0.25"/>
    <row r="3132" ht="30.75" customHeight="1" thickBot="1" x14ac:dyDescent="0.25"/>
    <row r="3133" ht="30.75" customHeight="1" thickBot="1" x14ac:dyDescent="0.25"/>
    <row r="3134" ht="30.75" customHeight="1" thickBot="1" x14ac:dyDescent="0.25"/>
    <row r="3135" ht="30.75" customHeight="1" thickBot="1" x14ac:dyDescent="0.25"/>
    <row r="3136" ht="30.75" customHeight="1" thickBot="1" x14ac:dyDescent="0.25"/>
    <row r="3137" ht="30.75" customHeight="1" thickBot="1" x14ac:dyDescent="0.25"/>
    <row r="3138" ht="30.75" customHeight="1" thickBot="1" x14ac:dyDescent="0.25"/>
    <row r="3139" ht="30.75" customHeight="1" thickBot="1" x14ac:dyDescent="0.25"/>
    <row r="3140" ht="30.75" customHeight="1" thickBot="1" x14ac:dyDescent="0.25"/>
    <row r="3141" ht="30.75" customHeight="1" thickBot="1" x14ac:dyDescent="0.25"/>
    <row r="3142" ht="30.75" customHeight="1" thickBot="1" x14ac:dyDescent="0.25"/>
    <row r="3143" ht="30.75" customHeight="1" thickBot="1" x14ac:dyDescent="0.25"/>
    <row r="3144" ht="30.75" customHeight="1" thickBot="1" x14ac:dyDescent="0.25"/>
    <row r="3145" ht="30.75" customHeight="1" thickBot="1" x14ac:dyDescent="0.25"/>
    <row r="3146" ht="30.75" customHeight="1" thickBot="1" x14ac:dyDescent="0.25"/>
    <row r="3147" ht="30.75" customHeight="1" thickBot="1" x14ac:dyDescent="0.25"/>
    <row r="3148" ht="30.75" customHeight="1" thickBot="1" x14ac:dyDescent="0.25"/>
    <row r="3149" ht="30.75" customHeight="1" thickBot="1" x14ac:dyDescent="0.25"/>
    <row r="3150" ht="30.75" customHeight="1" thickBot="1" x14ac:dyDescent="0.25"/>
    <row r="3151" ht="30.75" customHeight="1" thickBot="1" x14ac:dyDescent="0.25"/>
    <row r="3152" ht="30.75" customHeight="1" thickBot="1" x14ac:dyDescent="0.25"/>
    <row r="3153" ht="30.75" customHeight="1" thickBot="1" x14ac:dyDescent="0.25"/>
    <row r="3154" ht="30.75" customHeight="1" thickBot="1" x14ac:dyDescent="0.25"/>
    <row r="3155" ht="30.75" customHeight="1" thickBot="1" x14ac:dyDescent="0.25"/>
    <row r="3156" ht="30.75" customHeight="1" thickBot="1" x14ac:dyDescent="0.25"/>
    <row r="3157" ht="30.75" customHeight="1" thickBot="1" x14ac:dyDescent="0.25"/>
    <row r="3158" ht="30.75" customHeight="1" thickBot="1" x14ac:dyDescent="0.25"/>
    <row r="3159" ht="30.75" customHeight="1" thickBot="1" x14ac:dyDescent="0.25"/>
    <row r="3160" ht="30.75" customHeight="1" thickBot="1" x14ac:dyDescent="0.25"/>
    <row r="3161" ht="30.75" customHeight="1" thickBot="1" x14ac:dyDescent="0.25"/>
    <row r="3162" ht="30.75" customHeight="1" thickBot="1" x14ac:dyDescent="0.25"/>
    <row r="3163" ht="30.75" customHeight="1" thickBot="1" x14ac:dyDescent="0.25"/>
    <row r="3164" ht="30.75" customHeight="1" thickBot="1" x14ac:dyDescent="0.25"/>
    <row r="3165" ht="30.75" customHeight="1" thickBot="1" x14ac:dyDescent="0.25"/>
    <row r="3166" ht="30.75" customHeight="1" thickBot="1" x14ac:dyDescent="0.25"/>
    <row r="3167" ht="30.75" customHeight="1" thickBot="1" x14ac:dyDescent="0.25"/>
    <row r="3168" ht="30.75" customHeight="1" thickBot="1" x14ac:dyDescent="0.25"/>
    <row r="3169" ht="30.75" customHeight="1" thickBot="1" x14ac:dyDescent="0.25"/>
    <row r="3170" ht="30.75" customHeight="1" thickBot="1" x14ac:dyDescent="0.25"/>
    <row r="3171" ht="30.75" customHeight="1" thickBot="1" x14ac:dyDescent="0.25"/>
    <row r="3172" ht="30.75" customHeight="1" thickBot="1" x14ac:dyDescent="0.25"/>
    <row r="3173" ht="30.75" customHeight="1" thickBot="1" x14ac:dyDescent="0.25"/>
    <row r="3174" ht="30.75" customHeight="1" thickBot="1" x14ac:dyDescent="0.25"/>
    <row r="3175" ht="30.75" customHeight="1" thickBot="1" x14ac:dyDescent="0.25"/>
    <row r="3176" ht="30.75" customHeight="1" thickBot="1" x14ac:dyDescent="0.25"/>
    <row r="3177" ht="30.75" customHeight="1" thickBot="1" x14ac:dyDescent="0.25"/>
    <row r="3178" ht="30.75" customHeight="1" thickBot="1" x14ac:dyDescent="0.25"/>
    <row r="3179" ht="30.75" customHeight="1" thickBot="1" x14ac:dyDescent="0.25"/>
    <row r="3180" ht="30.75" customHeight="1" thickBot="1" x14ac:dyDescent="0.25"/>
    <row r="3181" ht="30.75" customHeight="1" thickBot="1" x14ac:dyDescent="0.25"/>
    <row r="3182" ht="30.75" customHeight="1" thickBot="1" x14ac:dyDescent="0.25"/>
    <row r="3183" ht="30.75" customHeight="1" thickBot="1" x14ac:dyDescent="0.25"/>
    <row r="3184" ht="30.75" customHeight="1" thickBot="1" x14ac:dyDescent="0.25"/>
    <row r="3185" ht="30.75" customHeight="1" thickBot="1" x14ac:dyDescent="0.25"/>
    <row r="3186" ht="30.75" customHeight="1" thickBot="1" x14ac:dyDescent="0.25"/>
    <row r="3187" ht="30.75" customHeight="1" thickBot="1" x14ac:dyDescent="0.25"/>
    <row r="3188" ht="30.75" customHeight="1" thickBot="1" x14ac:dyDescent="0.25"/>
    <row r="3189" ht="30.75" customHeight="1" thickBot="1" x14ac:dyDescent="0.25"/>
    <row r="3190" ht="30.75" customHeight="1" thickBot="1" x14ac:dyDescent="0.25"/>
    <row r="3191" ht="30.75" customHeight="1" thickBot="1" x14ac:dyDescent="0.25"/>
    <row r="3192" ht="30.75" customHeight="1" thickBot="1" x14ac:dyDescent="0.25"/>
    <row r="3193" ht="30.75" customHeight="1" thickBot="1" x14ac:dyDescent="0.25"/>
    <row r="3194" ht="30.75" customHeight="1" thickBot="1" x14ac:dyDescent="0.25"/>
    <row r="3195" ht="30.75" customHeight="1" thickBot="1" x14ac:dyDescent="0.25"/>
    <row r="3196" ht="30.75" customHeight="1" thickBot="1" x14ac:dyDescent="0.25"/>
    <row r="3197" ht="30.75" customHeight="1" thickBot="1" x14ac:dyDescent="0.25"/>
    <row r="3198" ht="30.75" customHeight="1" thickBot="1" x14ac:dyDescent="0.25"/>
    <row r="3199" ht="30.75" customHeight="1" thickBot="1" x14ac:dyDescent="0.25"/>
    <row r="3200" ht="30.75" customHeight="1" thickBot="1" x14ac:dyDescent="0.25"/>
    <row r="3201" ht="30.75" customHeight="1" thickBot="1" x14ac:dyDescent="0.25"/>
    <row r="3202" ht="30.75" customHeight="1" thickBot="1" x14ac:dyDescent="0.25"/>
    <row r="3203" ht="30.75" customHeight="1" thickBot="1" x14ac:dyDescent="0.25"/>
    <row r="3204" ht="30.75" customHeight="1" thickBot="1" x14ac:dyDescent="0.25"/>
    <row r="3205" ht="30.75" customHeight="1" thickBot="1" x14ac:dyDescent="0.25"/>
    <row r="3206" ht="30.75" customHeight="1" thickBot="1" x14ac:dyDescent="0.25"/>
    <row r="3207" ht="30.75" customHeight="1" thickBot="1" x14ac:dyDescent="0.25"/>
    <row r="3208" ht="30.75" customHeight="1" thickBot="1" x14ac:dyDescent="0.25"/>
    <row r="3209" ht="30.75" customHeight="1" thickBot="1" x14ac:dyDescent="0.25"/>
    <row r="3210" ht="30.75" customHeight="1" thickBot="1" x14ac:dyDescent="0.25"/>
    <row r="3211" ht="30.75" customHeight="1" thickBot="1" x14ac:dyDescent="0.25"/>
    <row r="3212" ht="30.75" customHeight="1" thickBot="1" x14ac:dyDescent="0.25"/>
    <row r="3213" ht="30.75" customHeight="1" thickBot="1" x14ac:dyDescent="0.25"/>
    <row r="3214" ht="30.75" customHeight="1" thickBot="1" x14ac:dyDescent="0.25"/>
    <row r="3215" ht="30.75" customHeight="1" thickBot="1" x14ac:dyDescent="0.25"/>
    <row r="3216" ht="30.75" customHeight="1" thickBot="1" x14ac:dyDescent="0.25"/>
    <row r="3217" ht="30.75" customHeight="1" thickBot="1" x14ac:dyDescent="0.25"/>
    <row r="3218" ht="30.75" customHeight="1" thickBot="1" x14ac:dyDescent="0.25"/>
    <row r="3219" ht="30.75" customHeight="1" thickBot="1" x14ac:dyDescent="0.25"/>
    <row r="3220" ht="30.75" customHeight="1" thickBot="1" x14ac:dyDescent="0.25"/>
    <row r="3221" ht="30.75" customHeight="1" thickBot="1" x14ac:dyDescent="0.25"/>
    <row r="3222" ht="30.75" customHeight="1" thickBot="1" x14ac:dyDescent="0.25"/>
    <row r="3223" ht="30.75" customHeight="1" thickBot="1" x14ac:dyDescent="0.25"/>
    <row r="3224" ht="30.75" customHeight="1" thickBot="1" x14ac:dyDescent="0.25"/>
    <row r="3225" ht="30.75" customHeight="1" thickBot="1" x14ac:dyDescent="0.25"/>
    <row r="3226" ht="30.75" customHeight="1" thickBot="1" x14ac:dyDescent="0.25"/>
    <row r="3227" ht="30.75" customHeight="1" thickBot="1" x14ac:dyDescent="0.25"/>
    <row r="3228" ht="30.75" customHeight="1" thickBot="1" x14ac:dyDescent="0.25"/>
    <row r="3229" ht="30.75" customHeight="1" thickBot="1" x14ac:dyDescent="0.25"/>
    <row r="3230" ht="30.75" customHeight="1" thickBot="1" x14ac:dyDescent="0.25"/>
    <row r="3231" ht="30.75" customHeight="1" thickBot="1" x14ac:dyDescent="0.25"/>
    <row r="3232" ht="30.75" customHeight="1" thickBot="1" x14ac:dyDescent="0.25"/>
    <row r="3233" ht="30.75" customHeight="1" thickBot="1" x14ac:dyDescent="0.25"/>
    <row r="3234" ht="30.75" customHeight="1" thickBot="1" x14ac:dyDescent="0.25"/>
    <row r="3235" ht="30.75" customHeight="1" thickBot="1" x14ac:dyDescent="0.25"/>
    <row r="3236" ht="30.75" customHeight="1" thickBot="1" x14ac:dyDescent="0.25"/>
    <row r="3237" ht="30.75" customHeight="1" thickBot="1" x14ac:dyDescent="0.25"/>
    <row r="3238" ht="30.75" customHeight="1" thickBot="1" x14ac:dyDescent="0.25"/>
    <row r="3239" ht="30.75" customHeight="1" thickBot="1" x14ac:dyDescent="0.25"/>
    <row r="3240" ht="30.75" customHeight="1" thickBot="1" x14ac:dyDescent="0.25"/>
    <row r="3241" ht="30.75" customHeight="1" thickBot="1" x14ac:dyDescent="0.25"/>
    <row r="3242" ht="30.75" customHeight="1" thickBot="1" x14ac:dyDescent="0.25"/>
    <row r="3243" ht="30.75" customHeight="1" thickBot="1" x14ac:dyDescent="0.25"/>
    <row r="3244" ht="30.75" customHeight="1" thickBot="1" x14ac:dyDescent="0.25"/>
    <row r="3245" ht="30.75" customHeight="1" thickBot="1" x14ac:dyDescent="0.25"/>
    <row r="3246" ht="30.75" customHeight="1" thickBot="1" x14ac:dyDescent="0.25"/>
    <row r="3247" ht="30.75" customHeight="1" thickBot="1" x14ac:dyDescent="0.25"/>
    <row r="3248" ht="30.75" customHeight="1" thickBot="1" x14ac:dyDescent="0.25"/>
    <row r="3249" ht="30.75" customHeight="1" thickBot="1" x14ac:dyDescent="0.25"/>
    <row r="3250" ht="30.75" customHeight="1" thickBot="1" x14ac:dyDescent="0.25"/>
    <row r="3251" ht="30.75" customHeight="1" thickBot="1" x14ac:dyDescent="0.25"/>
    <row r="3252" ht="30.75" customHeight="1" thickBot="1" x14ac:dyDescent="0.25"/>
    <row r="3253" ht="30.75" customHeight="1" thickBot="1" x14ac:dyDescent="0.25"/>
    <row r="3254" ht="30.75" customHeight="1" thickBot="1" x14ac:dyDescent="0.25"/>
    <row r="3255" ht="30.75" customHeight="1" thickBot="1" x14ac:dyDescent="0.25"/>
    <row r="3256" ht="30.75" customHeight="1" thickBot="1" x14ac:dyDescent="0.25"/>
    <row r="3257" ht="30.75" customHeight="1" thickBot="1" x14ac:dyDescent="0.25"/>
    <row r="3258" ht="30.75" customHeight="1" thickBot="1" x14ac:dyDescent="0.25"/>
    <row r="3259" ht="30.75" customHeight="1" thickBot="1" x14ac:dyDescent="0.25"/>
    <row r="3260" ht="30.75" customHeight="1" thickBot="1" x14ac:dyDescent="0.25"/>
    <row r="3261" ht="30.75" customHeight="1" thickBot="1" x14ac:dyDescent="0.25"/>
    <row r="3262" ht="30.75" customHeight="1" thickBot="1" x14ac:dyDescent="0.25"/>
    <row r="3263" ht="30.75" customHeight="1" thickBot="1" x14ac:dyDescent="0.25"/>
    <row r="3264" ht="30.75" customHeight="1" thickBot="1" x14ac:dyDescent="0.25"/>
    <row r="3265" ht="30.75" customHeight="1" thickBot="1" x14ac:dyDescent="0.25"/>
    <row r="3266" ht="30.75" customHeight="1" thickBot="1" x14ac:dyDescent="0.25"/>
    <row r="3267" ht="30.75" customHeight="1" thickBot="1" x14ac:dyDescent="0.25"/>
    <row r="3268" ht="30.75" customHeight="1" thickBot="1" x14ac:dyDescent="0.25"/>
    <row r="3269" ht="30.75" customHeight="1" thickBot="1" x14ac:dyDescent="0.25"/>
    <row r="3270" ht="30.75" customHeight="1" thickBot="1" x14ac:dyDescent="0.25"/>
    <row r="3271" ht="30.75" customHeight="1" thickBot="1" x14ac:dyDescent="0.25"/>
    <row r="3272" ht="30.75" customHeight="1" thickBot="1" x14ac:dyDescent="0.25"/>
    <row r="3273" ht="30.75" customHeight="1" thickBot="1" x14ac:dyDescent="0.25"/>
    <row r="3274" ht="30.75" customHeight="1" thickBot="1" x14ac:dyDescent="0.25"/>
    <row r="3275" ht="30.75" customHeight="1" thickBot="1" x14ac:dyDescent="0.25"/>
    <row r="3276" ht="30.75" customHeight="1" thickBot="1" x14ac:dyDescent="0.25"/>
    <row r="3277" ht="30.75" customHeight="1" thickBot="1" x14ac:dyDescent="0.25"/>
    <row r="3278" ht="30.75" customHeight="1" thickBot="1" x14ac:dyDescent="0.25"/>
    <row r="3279" ht="30.75" customHeight="1" thickBot="1" x14ac:dyDescent="0.25"/>
    <row r="3280" ht="30.75" customHeight="1" thickBot="1" x14ac:dyDescent="0.25"/>
    <row r="3281" ht="30.75" customHeight="1" thickBot="1" x14ac:dyDescent="0.25"/>
    <row r="3282" ht="30.75" customHeight="1" thickBot="1" x14ac:dyDescent="0.25"/>
    <row r="3283" ht="30.75" customHeight="1" thickBot="1" x14ac:dyDescent="0.25"/>
    <row r="3284" ht="30.75" customHeight="1" thickBot="1" x14ac:dyDescent="0.25"/>
    <row r="3285" ht="30.75" customHeight="1" thickBot="1" x14ac:dyDescent="0.25"/>
    <row r="3286" ht="30.75" customHeight="1" thickBot="1" x14ac:dyDescent="0.25"/>
    <row r="3287" ht="30.75" customHeight="1" thickBot="1" x14ac:dyDescent="0.25"/>
    <row r="3288" ht="30.75" customHeight="1" thickBot="1" x14ac:dyDescent="0.25"/>
    <row r="3289" ht="30.75" customHeight="1" thickBot="1" x14ac:dyDescent="0.25"/>
    <row r="3290" ht="30.75" customHeight="1" thickBot="1" x14ac:dyDescent="0.25"/>
    <row r="3291" ht="30.75" customHeight="1" thickBot="1" x14ac:dyDescent="0.25"/>
    <row r="3292" ht="30.75" customHeight="1" thickBot="1" x14ac:dyDescent="0.25"/>
    <row r="3293" ht="30.75" customHeight="1" thickBot="1" x14ac:dyDescent="0.25"/>
    <row r="3294" ht="30.75" customHeight="1" thickBot="1" x14ac:dyDescent="0.25"/>
    <row r="3295" ht="30.75" customHeight="1" thickBot="1" x14ac:dyDescent="0.25"/>
    <row r="3296" ht="30.75" customHeight="1" thickBot="1" x14ac:dyDescent="0.25"/>
    <row r="3297" ht="30.75" customHeight="1" thickBot="1" x14ac:dyDescent="0.25"/>
    <row r="3298" ht="30.75" customHeight="1" thickBot="1" x14ac:dyDescent="0.25"/>
    <row r="3299" ht="30.75" customHeight="1" thickBot="1" x14ac:dyDescent="0.25"/>
    <row r="3300" ht="30.75" customHeight="1" thickBot="1" x14ac:dyDescent="0.25"/>
    <row r="3301" ht="30.75" customHeight="1" thickBot="1" x14ac:dyDescent="0.25"/>
    <row r="3302" ht="30.75" customHeight="1" thickBot="1" x14ac:dyDescent="0.25"/>
    <row r="3303" ht="30.75" customHeight="1" thickBot="1" x14ac:dyDescent="0.25"/>
    <row r="3304" ht="30.75" customHeight="1" thickBot="1" x14ac:dyDescent="0.25"/>
    <row r="3305" ht="30.75" customHeight="1" thickBot="1" x14ac:dyDescent="0.25"/>
    <row r="3306" ht="30.75" customHeight="1" thickBot="1" x14ac:dyDescent="0.25"/>
    <row r="3307" ht="30.75" customHeight="1" thickBot="1" x14ac:dyDescent="0.25"/>
    <row r="3308" ht="30.75" customHeight="1" thickBot="1" x14ac:dyDescent="0.25"/>
    <row r="3309" ht="30.75" customHeight="1" thickBot="1" x14ac:dyDescent="0.25"/>
    <row r="3310" ht="30.75" customHeight="1" thickBot="1" x14ac:dyDescent="0.25"/>
    <row r="3311" ht="30.75" customHeight="1" thickBot="1" x14ac:dyDescent="0.25"/>
    <row r="3312" ht="30.75" customHeight="1" thickBot="1" x14ac:dyDescent="0.25"/>
    <row r="3313" ht="30.75" customHeight="1" thickBot="1" x14ac:dyDescent="0.25"/>
    <row r="3314" ht="30.75" customHeight="1" thickBot="1" x14ac:dyDescent="0.25"/>
    <row r="3315" ht="30.75" customHeight="1" thickBot="1" x14ac:dyDescent="0.25"/>
    <row r="3316" ht="30.75" customHeight="1" thickBot="1" x14ac:dyDescent="0.25"/>
    <row r="3317" ht="30.75" customHeight="1" thickBot="1" x14ac:dyDescent="0.25"/>
    <row r="3318" ht="30.75" customHeight="1" thickBot="1" x14ac:dyDescent="0.25"/>
    <row r="3319" ht="30.75" customHeight="1" thickBot="1" x14ac:dyDescent="0.25"/>
    <row r="3320" ht="30.75" customHeight="1" thickBot="1" x14ac:dyDescent="0.25"/>
    <row r="3321" ht="30.75" customHeight="1" thickBot="1" x14ac:dyDescent="0.25"/>
    <row r="3322" ht="30.75" customHeight="1" thickBot="1" x14ac:dyDescent="0.25"/>
    <row r="3323" ht="30.75" customHeight="1" thickBot="1" x14ac:dyDescent="0.25"/>
    <row r="3324" ht="30.75" customHeight="1" thickBot="1" x14ac:dyDescent="0.25"/>
    <row r="3325" ht="30.75" customHeight="1" thickBot="1" x14ac:dyDescent="0.25"/>
    <row r="3326" ht="30.75" customHeight="1" thickBot="1" x14ac:dyDescent="0.25"/>
    <row r="3327" ht="30.75" customHeight="1" thickBot="1" x14ac:dyDescent="0.25"/>
    <row r="3328" ht="30.75" customHeight="1" thickBot="1" x14ac:dyDescent="0.25"/>
    <row r="3329" ht="30.75" customHeight="1" thickBot="1" x14ac:dyDescent="0.25"/>
    <row r="3330" ht="30.75" customHeight="1" thickBot="1" x14ac:dyDescent="0.25"/>
    <row r="3331" ht="30.75" customHeight="1" thickBot="1" x14ac:dyDescent="0.25"/>
    <row r="3332" ht="30.75" customHeight="1" thickBot="1" x14ac:dyDescent="0.25"/>
    <row r="3333" ht="30.75" customHeight="1" thickBot="1" x14ac:dyDescent="0.25"/>
    <row r="3334" ht="30.75" customHeight="1" thickBot="1" x14ac:dyDescent="0.25"/>
    <row r="3335" ht="30.75" customHeight="1" thickBot="1" x14ac:dyDescent="0.25"/>
    <row r="3336" ht="30.75" customHeight="1" thickBot="1" x14ac:dyDescent="0.25"/>
    <row r="3337" ht="30.75" customHeight="1" thickBot="1" x14ac:dyDescent="0.25"/>
    <row r="3338" ht="30.75" customHeight="1" thickBot="1" x14ac:dyDescent="0.25"/>
    <row r="3339" ht="30.75" customHeight="1" thickBot="1" x14ac:dyDescent="0.25"/>
    <row r="3340" ht="30.75" customHeight="1" thickBot="1" x14ac:dyDescent="0.25"/>
    <row r="3341" ht="30.75" customHeight="1" thickBot="1" x14ac:dyDescent="0.25"/>
    <row r="3342" ht="30.75" customHeight="1" thickBot="1" x14ac:dyDescent="0.25"/>
    <row r="3343" ht="30.75" customHeight="1" thickBot="1" x14ac:dyDescent="0.25"/>
    <row r="3344" ht="30.75" customHeight="1" thickBot="1" x14ac:dyDescent="0.25"/>
    <row r="3345" ht="30.75" customHeight="1" thickBot="1" x14ac:dyDescent="0.25"/>
    <row r="3346" ht="30.75" customHeight="1" thickBot="1" x14ac:dyDescent="0.25"/>
    <row r="3347" ht="30.75" customHeight="1" thickBot="1" x14ac:dyDescent="0.25"/>
    <row r="3348" ht="30.75" customHeight="1" thickBot="1" x14ac:dyDescent="0.25"/>
    <row r="3349" ht="30.75" customHeight="1" thickBot="1" x14ac:dyDescent="0.25"/>
    <row r="3350" ht="30.75" customHeight="1" thickBot="1" x14ac:dyDescent="0.25"/>
    <row r="3351" ht="30.75" customHeight="1" thickBot="1" x14ac:dyDescent="0.25"/>
    <row r="3352" ht="30.75" customHeight="1" thickBot="1" x14ac:dyDescent="0.25"/>
    <row r="3353" ht="30.75" customHeight="1" thickBot="1" x14ac:dyDescent="0.25"/>
    <row r="3354" ht="30.75" customHeight="1" thickBot="1" x14ac:dyDescent="0.25"/>
    <row r="3355" ht="30.75" customHeight="1" thickBot="1" x14ac:dyDescent="0.25"/>
    <row r="3356" ht="30.75" customHeight="1" thickBot="1" x14ac:dyDescent="0.25"/>
    <row r="3357" ht="30.75" customHeight="1" thickBot="1" x14ac:dyDescent="0.25"/>
    <row r="3358" ht="30.75" customHeight="1" thickBot="1" x14ac:dyDescent="0.25"/>
    <row r="3359" ht="30.75" customHeight="1" thickBot="1" x14ac:dyDescent="0.25"/>
    <row r="3360" ht="30.75" customHeight="1" thickBot="1" x14ac:dyDescent="0.25"/>
    <row r="3361" ht="30.75" customHeight="1" thickBot="1" x14ac:dyDescent="0.25"/>
    <row r="3362" ht="30.75" customHeight="1" thickBot="1" x14ac:dyDescent="0.25"/>
    <row r="3363" ht="30.75" customHeight="1" thickBot="1" x14ac:dyDescent="0.25"/>
    <row r="3364" ht="30.75" customHeight="1" thickBot="1" x14ac:dyDescent="0.25"/>
    <row r="3365" ht="30.75" customHeight="1" thickBot="1" x14ac:dyDescent="0.25"/>
    <row r="3366" ht="30.75" customHeight="1" thickBot="1" x14ac:dyDescent="0.25"/>
    <row r="3367" ht="30.75" customHeight="1" thickBot="1" x14ac:dyDescent="0.25"/>
    <row r="3368" ht="30.75" customHeight="1" thickBot="1" x14ac:dyDescent="0.25"/>
    <row r="3369" ht="30.75" customHeight="1" thickBot="1" x14ac:dyDescent="0.25"/>
    <row r="3370" ht="30.75" customHeight="1" thickBot="1" x14ac:dyDescent="0.25"/>
    <row r="3371" ht="30.75" customHeight="1" thickBot="1" x14ac:dyDescent="0.25"/>
    <row r="3372" ht="30.75" customHeight="1" thickBot="1" x14ac:dyDescent="0.25"/>
    <row r="3373" ht="30.75" customHeight="1" thickBot="1" x14ac:dyDescent="0.25"/>
    <row r="3374" ht="30.75" customHeight="1" thickBot="1" x14ac:dyDescent="0.25"/>
    <row r="3375" ht="30.75" customHeight="1" thickBot="1" x14ac:dyDescent="0.25"/>
    <row r="3376" ht="30.75" customHeight="1" thickBot="1" x14ac:dyDescent="0.25"/>
    <row r="3377" ht="30.75" customHeight="1" thickBot="1" x14ac:dyDescent="0.25"/>
    <row r="3378" ht="30.75" customHeight="1" thickBot="1" x14ac:dyDescent="0.25"/>
    <row r="3379" ht="30.75" customHeight="1" thickBot="1" x14ac:dyDescent="0.25"/>
    <row r="3380" ht="30.75" customHeight="1" thickBot="1" x14ac:dyDescent="0.25"/>
    <row r="3381" ht="30.75" customHeight="1" thickBot="1" x14ac:dyDescent="0.25"/>
    <row r="3382" ht="30.75" customHeight="1" thickBot="1" x14ac:dyDescent="0.25"/>
    <row r="3383" ht="30.75" customHeight="1" thickBot="1" x14ac:dyDescent="0.25"/>
    <row r="3384" ht="30.75" customHeight="1" thickBot="1" x14ac:dyDescent="0.25"/>
    <row r="3385" ht="30.75" customHeight="1" thickBot="1" x14ac:dyDescent="0.25"/>
    <row r="3386" ht="30.75" customHeight="1" thickBot="1" x14ac:dyDescent="0.25"/>
    <row r="3387" ht="30.75" customHeight="1" thickBot="1" x14ac:dyDescent="0.25"/>
    <row r="3388" ht="30.75" customHeight="1" thickBot="1" x14ac:dyDescent="0.25"/>
    <row r="3389" ht="30.75" customHeight="1" thickBot="1" x14ac:dyDescent="0.25"/>
    <row r="3390" ht="30.75" customHeight="1" thickBot="1" x14ac:dyDescent="0.25"/>
    <row r="3391" ht="30.75" customHeight="1" thickBot="1" x14ac:dyDescent="0.25"/>
    <row r="3392" ht="30.75" customHeight="1" thickBot="1" x14ac:dyDescent="0.25"/>
    <row r="3393" ht="30.75" customHeight="1" thickBot="1" x14ac:dyDescent="0.25"/>
    <row r="3394" ht="30.75" customHeight="1" thickBot="1" x14ac:dyDescent="0.25"/>
    <row r="3395" ht="30.75" customHeight="1" thickBot="1" x14ac:dyDescent="0.25"/>
    <row r="3396" ht="30.75" customHeight="1" thickBot="1" x14ac:dyDescent="0.25"/>
    <row r="3397" ht="30.75" customHeight="1" thickBot="1" x14ac:dyDescent="0.25"/>
    <row r="3398" ht="30.75" customHeight="1" thickBot="1" x14ac:dyDescent="0.25"/>
    <row r="3399" ht="30.75" customHeight="1" thickBot="1" x14ac:dyDescent="0.25"/>
    <row r="3400" ht="30.75" customHeight="1" thickBot="1" x14ac:dyDescent="0.25"/>
    <row r="3401" ht="30.75" customHeight="1" thickBot="1" x14ac:dyDescent="0.25"/>
    <row r="3402" ht="30.75" customHeight="1" thickBot="1" x14ac:dyDescent="0.25"/>
    <row r="3403" ht="30.75" customHeight="1" thickBot="1" x14ac:dyDescent="0.25"/>
    <row r="3404" ht="30.75" customHeight="1" thickBot="1" x14ac:dyDescent="0.25"/>
    <row r="3405" ht="30.75" customHeight="1" thickBot="1" x14ac:dyDescent="0.25"/>
    <row r="3406" ht="30.75" customHeight="1" thickBot="1" x14ac:dyDescent="0.25"/>
    <row r="3407" ht="30.75" customHeight="1" thickBot="1" x14ac:dyDescent="0.25"/>
    <row r="3408" ht="30.75" customHeight="1" thickBot="1" x14ac:dyDescent="0.25"/>
    <row r="3409" ht="30.75" customHeight="1" thickBot="1" x14ac:dyDescent="0.25"/>
    <row r="3410" ht="30.75" customHeight="1" thickBot="1" x14ac:dyDescent="0.25"/>
    <row r="3411" ht="30.75" customHeight="1" thickBot="1" x14ac:dyDescent="0.25"/>
    <row r="3412" ht="30.75" customHeight="1" thickBot="1" x14ac:dyDescent="0.25"/>
    <row r="3413" ht="30.75" customHeight="1" thickBot="1" x14ac:dyDescent="0.25"/>
    <row r="3414" ht="30.75" customHeight="1" thickBot="1" x14ac:dyDescent="0.25"/>
    <row r="3415" ht="30.75" customHeight="1" thickBot="1" x14ac:dyDescent="0.25"/>
    <row r="3416" ht="30.75" customHeight="1" thickBot="1" x14ac:dyDescent="0.25"/>
    <row r="3417" ht="30.75" customHeight="1" thickBot="1" x14ac:dyDescent="0.25"/>
    <row r="3418" ht="30.75" customHeight="1" thickBot="1" x14ac:dyDescent="0.25"/>
    <row r="3419" ht="30.75" customHeight="1" thickBot="1" x14ac:dyDescent="0.25"/>
    <row r="3420" ht="30.75" customHeight="1" thickBot="1" x14ac:dyDescent="0.25"/>
    <row r="3421" ht="30.75" customHeight="1" thickBot="1" x14ac:dyDescent="0.25"/>
    <row r="3422" ht="30.75" customHeight="1" thickBot="1" x14ac:dyDescent="0.25"/>
    <row r="3423" ht="30.75" customHeight="1" thickBot="1" x14ac:dyDescent="0.25"/>
    <row r="3424" ht="30.75" customHeight="1" thickBot="1" x14ac:dyDescent="0.25"/>
    <row r="3425" ht="30.75" customHeight="1" thickBot="1" x14ac:dyDescent="0.25"/>
    <row r="3426" ht="30.75" customHeight="1" thickBot="1" x14ac:dyDescent="0.25"/>
    <row r="3427" ht="30.75" customHeight="1" thickBot="1" x14ac:dyDescent="0.25"/>
    <row r="3428" ht="30.75" customHeight="1" thickBot="1" x14ac:dyDescent="0.25"/>
    <row r="3429" ht="30.75" customHeight="1" thickBot="1" x14ac:dyDescent="0.25"/>
    <row r="3430" ht="30.75" customHeight="1" thickBot="1" x14ac:dyDescent="0.25"/>
    <row r="3431" ht="30.75" customHeight="1" thickBot="1" x14ac:dyDescent="0.25"/>
    <row r="3432" ht="30.75" customHeight="1" thickBot="1" x14ac:dyDescent="0.25"/>
    <row r="3433" ht="30.75" customHeight="1" thickBot="1" x14ac:dyDescent="0.25"/>
    <row r="3434" ht="30.75" customHeight="1" thickBot="1" x14ac:dyDescent="0.25"/>
    <row r="3435" ht="30.75" customHeight="1" thickBot="1" x14ac:dyDescent="0.25"/>
    <row r="3436" ht="30.75" customHeight="1" thickBot="1" x14ac:dyDescent="0.25"/>
    <row r="3437" ht="30.75" customHeight="1" thickBot="1" x14ac:dyDescent="0.25"/>
    <row r="3438" ht="30.75" customHeight="1" thickBot="1" x14ac:dyDescent="0.25"/>
    <row r="3439" ht="30.75" customHeight="1" thickBot="1" x14ac:dyDescent="0.25"/>
    <row r="3440" ht="30.75" customHeight="1" thickBot="1" x14ac:dyDescent="0.25"/>
    <row r="3441" ht="30.75" customHeight="1" thickBot="1" x14ac:dyDescent="0.25"/>
    <row r="3442" ht="30.75" customHeight="1" thickBot="1" x14ac:dyDescent="0.25"/>
    <row r="3443" ht="30.75" customHeight="1" thickBot="1" x14ac:dyDescent="0.25"/>
    <row r="3444" ht="30.75" customHeight="1" thickBot="1" x14ac:dyDescent="0.25"/>
    <row r="3445" ht="30.75" customHeight="1" thickBot="1" x14ac:dyDescent="0.25"/>
    <row r="3446" ht="30.75" customHeight="1" thickBot="1" x14ac:dyDescent="0.25"/>
    <row r="3447" ht="30.75" customHeight="1" thickBot="1" x14ac:dyDescent="0.25"/>
    <row r="3448" ht="30.75" customHeight="1" thickBot="1" x14ac:dyDescent="0.25"/>
    <row r="3449" ht="30.75" customHeight="1" thickBot="1" x14ac:dyDescent="0.25"/>
    <row r="3450" ht="30.75" customHeight="1" thickBot="1" x14ac:dyDescent="0.25"/>
    <row r="3451" ht="30.75" customHeight="1" thickBot="1" x14ac:dyDescent="0.25"/>
    <row r="3452" ht="30.75" customHeight="1" thickBot="1" x14ac:dyDescent="0.25"/>
    <row r="3453" ht="30.75" customHeight="1" thickBot="1" x14ac:dyDescent="0.25"/>
    <row r="3454" ht="30.75" customHeight="1" thickBot="1" x14ac:dyDescent="0.25"/>
    <row r="3455" ht="30.75" customHeight="1" thickBot="1" x14ac:dyDescent="0.25"/>
    <row r="3456" ht="30.75" customHeight="1" thickBot="1" x14ac:dyDescent="0.25"/>
    <row r="3457" ht="30.75" customHeight="1" thickBot="1" x14ac:dyDescent="0.25"/>
    <row r="3458" ht="30.75" customHeight="1" thickBot="1" x14ac:dyDescent="0.25"/>
    <row r="3459" ht="30.75" customHeight="1" thickBot="1" x14ac:dyDescent="0.25"/>
    <row r="3460" ht="30.75" customHeight="1" thickBot="1" x14ac:dyDescent="0.25"/>
    <row r="3461" ht="30.75" customHeight="1" thickBot="1" x14ac:dyDescent="0.25"/>
    <row r="3462" ht="30.75" customHeight="1" thickBot="1" x14ac:dyDescent="0.25"/>
    <row r="3463" ht="30.75" customHeight="1" thickBot="1" x14ac:dyDescent="0.25"/>
    <row r="3464" ht="30.75" customHeight="1" thickBot="1" x14ac:dyDescent="0.25"/>
    <row r="3465" ht="30.75" customHeight="1" thickBot="1" x14ac:dyDescent="0.25"/>
    <row r="3466" ht="30.75" customHeight="1" thickBot="1" x14ac:dyDescent="0.25"/>
    <row r="3467" ht="30.75" customHeight="1" thickBot="1" x14ac:dyDescent="0.25"/>
    <row r="3468" ht="30.75" customHeight="1" thickBot="1" x14ac:dyDescent="0.25"/>
    <row r="3469" ht="30.75" customHeight="1" thickBot="1" x14ac:dyDescent="0.25"/>
    <row r="3470" ht="30.75" customHeight="1" thickBot="1" x14ac:dyDescent="0.25"/>
    <row r="3471" ht="30.75" customHeight="1" thickBot="1" x14ac:dyDescent="0.25"/>
    <row r="3472" ht="30.75" customHeight="1" thickBot="1" x14ac:dyDescent="0.25"/>
    <row r="3473" ht="30.75" customHeight="1" thickBot="1" x14ac:dyDescent="0.25"/>
    <row r="3474" ht="30.75" customHeight="1" thickBot="1" x14ac:dyDescent="0.25"/>
    <row r="3475" ht="30.75" customHeight="1" thickBot="1" x14ac:dyDescent="0.25"/>
    <row r="3476" ht="30.75" customHeight="1" thickBot="1" x14ac:dyDescent="0.25"/>
    <row r="3477" ht="30.75" customHeight="1" thickBot="1" x14ac:dyDescent="0.25"/>
    <row r="3478" ht="30.75" customHeight="1" thickBot="1" x14ac:dyDescent="0.25"/>
    <row r="3479" ht="30.75" customHeight="1" thickBot="1" x14ac:dyDescent="0.25"/>
    <row r="3480" ht="30.75" customHeight="1" thickBot="1" x14ac:dyDescent="0.25"/>
    <row r="3481" ht="30.75" customHeight="1" thickBot="1" x14ac:dyDescent="0.25"/>
    <row r="3482" ht="30.75" customHeight="1" thickBot="1" x14ac:dyDescent="0.25"/>
    <row r="3483" ht="30.75" customHeight="1" thickBot="1" x14ac:dyDescent="0.25"/>
    <row r="3484" ht="30.75" customHeight="1" thickBot="1" x14ac:dyDescent="0.25"/>
    <row r="3485" ht="30.75" customHeight="1" thickBot="1" x14ac:dyDescent="0.25"/>
    <row r="3486" ht="30.75" customHeight="1" thickBot="1" x14ac:dyDescent="0.25"/>
    <row r="3487" ht="30.75" customHeight="1" thickBot="1" x14ac:dyDescent="0.25"/>
    <row r="3488" ht="30.75" customHeight="1" thickBot="1" x14ac:dyDescent="0.25"/>
    <row r="3489" ht="30.75" customHeight="1" thickBot="1" x14ac:dyDescent="0.25"/>
    <row r="3490" ht="30.75" customHeight="1" thickBot="1" x14ac:dyDescent="0.25"/>
    <row r="3491" ht="30.75" customHeight="1" thickBot="1" x14ac:dyDescent="0.25"/>
    <row r="3492" ht="30.75" customHeight="1" thickBot="1" x14ac:dyDescent="0.25"/>
    <row r="3493" ht="30.75" customHeight="1" thickBot="1" x14ac:dyDescent="0.25"/>
    <row r="3494" ht="30.75" customHeight="1" thickBot="1" x14ac:dyDescent="0.25"/>
    <row r="3495" ht="30.75" customHeight="1" thickBot="1" x14ac:dyDescent="0.25"/>
    <row r="3496" ht="30.75" customHeight="1" thickBot="1" x14ac:dyDescent="0.25"/>
    <row r="3497" ht="30.75" customHeight="1" thickBot="1" x14ac:dyDescent="0.25"/>
    <row r="3498" ht="30.75" customHeight="1" thickBot="1" x14ac:dyDescent="0.25"/>
    <row r="3499" ht="30.75" customHeight="1" thickBot="1" x14ac:dyDescent="0.25"/>
    <row r="3500" ht="30.75" customHeight="1" thickBot="1" x14ac:dyDescent="0.25"/>
    <row r="3501" ht="30.75" customHeight="1" thickBot="1" x14ac:dyDescent="0.25"/>
    <row r="3502" ht="30.75" customHeight="1" thickBot="1" x14ac:dyDescent="0.25"/>
    <row r="3503" ht="30.75" customHeight="1" thickBot="1" x14ac:dyDescent="0.25"/>
    <row r="3504" ht="30.75" customHeight="1" thickBot="1" x14ac:dyDescent="0.25"/>
    <row r="3505" ht="30.75" customHeight="1" thickBot="1" x14ac:dyDescent="0.25"/>
    <row r="3506" ht="30.75" customHeight="1" thickBot="1" x14ac:dyDescent="0.25"/>
    <row r="3507" ht="30.75" customHeight="1" thickBot="1" x14ac:dyDescent="0.25"/>
    <row r="3508" ht="30.75" customHeight="1" thickBot="1" x14ac:dyDescent="0.25"/>
    <row r="3509" ht="30.75" customHeight="1" thickBot="1" x14ac:dyDescent="0.25"/>
    <row r="3510" ht="30.75" customHeight="1" thickBot="1" x14ac:dyDescent="0.25"/>
    <row r="3511" ht="30.75" customHeight="1" thickBot="1" x14ac:dyDescent="0.25"/>
    <row r="3512" ht="30.75" customHeight="1" thickBot="1" x14ac:dyDescent="0.25"/>
    <row r="3513" ht="30.75" customHeight="1" thickBot="1" x14ac:dyDescent="0.25"/>
    <row r="3514" ht="30.75" customHeight="1" thickBot="1" x14ac:dyDescent="0.25"/>
    <row r="3515" ht="30.75" customHeight="1" thickBot="1" x14ac:dyDescent="0.25"/>
    <row r="3516" ht="30.75" customHeight="1" thickBot="1" x14ac:dyDescent="0.25"/>
    <row r="3517" ht="30.75" customHeight="1" thickBot="1" x14ac:dyDescent="0.25"/>
    <row r="3518" ht="30.75" customHeight="1" thickBot="1" x14ac:dyDescent="0.25"/>
    <row r="3519" ht="30.75" customHeight="1" thickBot="1" x14ac:dyDescent="0.25"/>
    <row r="3520" ht="30.75" customHeight="1" thickBot="1" x14ac:dyDescent="0.25"/>
    <row r="3521" ht="30.75" customHeight="1" thickBot="1" x14ac:dyDescent="0.25"/>
    <row r="3522" ht="30.75" customHeight="1" thickBot="1" x14ac:dyDescent="0.25"/>
    <row r="3523" ht="30.75" customHeight="1" thickBot="1" x14ac:dyDescent="0.25"/>
    <row r="3524" ht="30.75" customHeight="1" thickBot="1" x14ac:dyDescent="0.25"/>
    <row r="3525" ht="30.75" customHeight="1" thickBot="1" x14ac:dyDescent="0.25"/>
    <row r="3526" ht="30.75" customHeight="1" thickBot="1" x14ac:dyDescent="0.25"/>
    <row r="3527" ht="30.75" customHeight="1" thickBot="1" x14ac:dyDescent="0.25"/>
    <row r="3528" ht="30.75" customHeight="1" thickBot="1" x14ac:dyDescent="0.25"/>
    <row r="3529" ht="30.75" customHeight="1" thickBot="1" x14ac:dyDescent="0.25"/>
    <row r="3530" ht="30.75" customHeight="1" thickBot="1" x14ac:dyDescent="0.25"/>
    <row r="3531" ht="30.75" customHeight="1" thickBot="1" x14ac:dyDescent="0.25"/>
    <row r="3532" ht="30.75" customHeight="1" thickBot="1" x14ac:dyDescent="0.25"/>
    <row r="3533" ht="30.75" customHeight="1" thickBot="1" x14ac:dyDescent="0.25"/>
    <row r="3534" ht="30.75" customHeight="1" thickBot="1" x14ac:dyDescent="0.25"/>
    <row r="3535" ht="30.75" customHeight="1" thickBot="1" x14ac:dyDescent="0.25"/>
    <row r="3536" ht="30.75" customHeight="1" thickBot="1" x14ac:dyDescent="0.25"/>
    <row r="3537" ht="30.75" customHeight="1" thickBot="1" x14ac:dyDescent="0.25"/>
    <row r="3538" ht="30.75" customHeight="1" thickBot="1" x14ac:dyDescent="0.25"/>
    <row r="3539" ht="30.75" customHeight="1" thickBot="1" x14ac:dyDescent="0.25"/>
    <row r="3540" ht="30.75" customHeight="1" thickBot="1" x14ac:dyDescent="0.25"/>
    <row r="3541" ht="30.75" customHeight="1" thickBot="1" x14ac:dyDescent="0.25"/>
    <row r="3542" ht="30.75" customHeight="1" thickBot="1" x14ac:dyDescent="0.25"/>
    <row r="3543" ht="30.75" customHeight="1" thickBot="1" x14ac:dyDescent="0.25"/>
    <row r="3544" ht="30.75" customHeight="1" thickBot="1" x14ac:dyDescent="0.25"/>
    <row r="3545" ht="30.75" customHeight="1" thickBot="1" x14ac:dyDescent="0.25"/>
    <row r="3546" ht="30.75" customHeight="1" thickBot="1" x14ac:dyDescent="0.25"/>
    <row r="3547" ht="30.75" customHeight="1" thickBot="1" x14ac:dyDescent="0.25"/>
    <row r="3548" ht="30.75" customHeight="1" thickBot="1" x14ac:dyDescent="0.25"/>
    <row r="3549" ht="30.75" customHeight="1" thickBot="1" x14ac:dyDescent="0.25"/>
    <row r="3550" ht="30.75" customHeight="1" thickBot="1" x14ac:dyDescent="0.25"/>
    <row r="3551" ht="30.75" customHeight="1" thickBot="1" x14ac:dyDescent="0.25"/>
    <row r="3552" ht="30.75" customHeight="1" thickBot="1" x14ac:dyDescent="0.25"/>
    <row r="3553" ht="30.75" customHeight="1" thickBot="1" x14ac:dyDescent="0.25"/>
    <row r="3554" ht="30.75" customHeight="1" thickBot="1" x14ac:dyDescent="0.25"/>
    <row r="3555" ht="30.75" customHeight="1" thickBot="1" x14ac:dyDescent="0.25"/>
    <row r="3556" ht="30.75" customHeight="1" thickBot="1" x14ac:dyDescent="0.25"/>
    <row r="3557" ht="30.75" customHeight="1" thickBot="1" x14ac:dyDescent="0.25"/>
    <row r="3558" ht="30.75" customHeight="1" thickBot="1" x14ac:dyDescent="0.25"/>
    <row r="3559" ht="30.75" customHeight="1" thickBot="1" x14ac:dyDescent="0.25"/>
    <row r="3560" ht="30.75" customHeight="1" thickBot="1" x14ac:dyDescent="0.25"/>
    <row r="3561" ht="30.75" customHeight="1" thickBot="1" x14ac:dyDescent="0.25"/>
    <row r="3562" ht="30.75" customHeight="1" thickBot="1" x14ac:dyDescent="0.25"/>
    <row r="3563" ht="30.75" customHeight="1" thickBot="1" x14ac:dyDescent="0.25"/>
    <row r="3564" ht="30.75" customHeight="1" thickBot="1" x14ac:dyDescent="0.25"/>
    <row r="3565" ht="30.75" customHeight="1" thickBot="1" x14ac:dyDescent="0.25"/>
    <row r="3566" ht="30.75" customHeight="1" thickBot="1" x14ac:dyDescent="0.25"/>
    <row r="3567" ht="30.75" customHeight="1" thickBot="1" x14ac:dyDescent="0.25"/>
    <row r="3568" ht="30.75" customHeight="1" thickBot="1" x14ac:dyDescent="0.25"/>
    <row r="3569" ht="30.75" customHeight="1" thickBot="1" x14ac:dyDescent="0.25"/>
    <row r="3570" ht="30.75" customHeight="1" thickBot="1" x14ac:dyDescent="0.25"/>
    <row r="3571" ht="30.75" customHeight="1" thickBot="1" x14ac:dyDescent="0.25"/>
    <row r="3572" ht="30.75" customHeight="1" thickBot="1" x14ac:dyDescent="0.25"/>
    <row r="3573" ht="30.75" customHeight="1" thickBot="1" x14ac:dyDescent="0.25"/>
    <row r="3574" ht="30.75" customHeight="1" thickBot="1" x14ac:dyDescent="0.25"/>
    <row r="3575" ht="30.75" customHeight="1" thickBot="1" x14ac:dyDescent="0.25"/>
    <row r="3576" ht="30.75" customHeight="1" thickBot="1" x14ac:dyDescent="0.25"/>
    <row r="3577" ht="30.75" customHeight="1" thickBot="1" x14ac:dyDescent="0.25"/>
    <row r="3578" ht="30.75" customHeight="1" thickBot="1" x14ac:dyDescent="0.25"/>
    <row r="3579" ht="30.75" customHeight="1" thickBot="1" x14ac:dyDescent="0.25"/>
    <row r="3580" ht="30.75" customHeight="1" thickBot="1" x14ac:dyDescent="0.25"/>
    <row r="3581" ht="30.75" customHeight="1" thickBot="1" x14ac:dyDescent="0.25"/>
    <row r="3582" ht="30.75" customHeight="1" thickBot="1" x14ac:dyDescent="0.25"/>
    <row r="3583" ht="30.75" customHeight="1" thickBot="1" x14ac:dyDescent="0.25"/>
    <row r="3584" ht="30.75" customHeight="1" thickBot="1" x14ac:dyDescent="0.25"/>
    <row r="3585" ht="30.75" customHeight="1" thickBot="1" x14ac:dyDescent="0.25"/>
    <row r="3586" ht="30.75" customHeight="1" thickBot="1" x14ac:dyDescent="0.25"/>
    <row r="3587" ht="30.75" customHeight="1" thickBot="1" x14ac:dyDescent="0.25"/>
    <row r="3588" ht="30.75" customHeight="1" thickBot="1" x14ac:dyDescent="0.25"/>
    <row r="3589" ht="30.75" customHeight="1" thickBot="1" x14ac:dyDescent="0.25"/>
    <row r="3590" ht="30.75" customHeight="1" thickBot="1" x14ac:dyDescent="0.25"/>
    <row r="3591" ht="30.75" customHeight="1" thickBot="1" x14ac:dyDescent="0.25"/>
    <row r="3592" ht="30.75" customHeight="1" thickBot="1" x14ac:dyDescent="0.25"/>
    <row r="3593" ht="30.75" customHeight="1" thickBot="1" x14ac:dyDescent="0.25"/>
    <row r="3594" ht="30.75" customHeight="1" thickBot="1" x14ac:dyDescent="0.25"/>
    <row r="3595" ht="30.75" customHeight="1" thickBot="1" x14ac:dyDescent="0.25"/>
    <row r="3596" ht="30.75" customHeight="1" thickBot="1" x14ac:dyDescent="0.25"/>
    <row r="3597" ht="30.75" customHeight="1" thickBot="1" x14ac:dyDescent="0.25"/>
    <row r="3598" ht="30.75" customHeight="1" thickBot="1" x14ac:dyDescent="0.25"/>
    <row r="3599" ht="30.75" customHeight="1" thickBot="1" x14ac:dyDescent="0.25"/>
    <row r="3600" ht="30.75" customHeight="1" thickBot="1" x14ac:dyDescent="0.25"/>
    <row r="3601" ht="30.75" customHeight="1" thickBot="1" x14ac:dyDescent="0.25"/>
    <row r="3602" ht="30.75" customHeight="1" thickBot="1" x14ac:dyDescent="0.25"/>
    <row r="3603" ht="30.75" customHeight="1" thickBot="1" x14ac:dyDescent="0.25"/>
    <row r="3604" ht="30.75" customHeight="1" thickBot="1" x14ac:dyDescent="0.25"/>
    <row r="3605" ht="30.75" customHeight="1" thickBot="1" x14ac:dyDescent="0.25"/>
    <row r="3606" ht="30.75" customHeight="1" thickBot="1" x14ac:dyDescent="0.25"/>
    <row r="3607" ht="30.75" customHeight="1" thickBot="1" x14ac:dyDescent="0.25"/>
    <row r="3608" ht="30.75" customHeight="1" thickBot="1" x14ac:dyDescent="0.25"/>
    <row r="3609" ht="30.75" customHeight="1" thickBot="1" x14ac:dyDescent="0.25"/>
    <row r="3610" ht="30.75" customHeight="1" thickBot="1" x14ac:dyDescent="0.25"/>
    <row r="3611" ht="30.75" customHeight="1" thickBot="1" x14ac:dyDescent="0.25"/>
    <row r="3612" ht="30.75" customHeight="1" thickBot="1" x14ac:dyDescent="0.25"/>
    <row r="3613" ht="30.75" customHeight="1" thickBot="1" x14ac:dyDescent="0.25"/>
    <row r="3614" ht="30.75" customHeight="1" thickBot="1" x14ac:dyDescent="0.25"/>
    <row r="3615" ht="30.75" customHeight="1" thickBot="1" x14ac:dyDescent="0.25"/>
    <row r="3616" ht="30.75" customHeight="1" thickBot="1" x14ac:dyDescent="0.25"/>
    <row r="3617" ht="30.75" customHeight="1" thickBot="1" x14ac:dyDescent="0.25"/>
    <row r="3618" ht="30.75" customHeight="1" thickBot="1" x14ac:dyDescent="0.25"/>
    <row r="3619" ht="30.75" customHeight="1" thickBot="1" x14ac:dyDescent="0.25"/>
    <row r="3620" ht="30.75" customHeight="1" thickBot="1" x14ac:dyDescent="0.25"/>
    <row r="3621" ht="30.75" customHeight="1" thickBot="1" x14ac:dyDescent="0.25"/>
    <row r="3622" ht="30.75" customHeight="1" thickBot="1" x14ac:dyDescent="0.25"/>
    <row r="3623" ht="30.75" customHeight="1" thickBot="1" x14ac:dyDescent="0.25"/>
    <row r="3624" ht="30.75" customHeight="1" thickBot="1" x14ac:dyDescent="0.25"/>
    <row r="3625" ht="30.75" customHeight="1" thickBot="1" x14ac:dyDescent="0.25"/>
    <row r="3626" ht="30.75" customHeight="1" thickBot="1" x14ac:dyDescent="0.25"/>
    <row r="3627" ht="30.75" customHeight="1" thickBot="1" x14ac:dyDescent="0.25"/>
    <row r="3628" ht="30.75" customHeight="1" thickBot="1" x14ac:dyDescent="0.25"/>
    <row r="3629" ht="30.75" customHeight="1" thickBot="1" x14ac:dyDescent="0.25"/>
    <row r="3630" ht="30.75" customHeight="1" thickBot="1" x14ac:dyDescent="0.25"/>
    <row r="3631" ht="30.75" customHeight="1" thickBot="1" x14ac:dyDescent="0.25"/>
    <row r="3632" ht="30.75" customHeight="1" thickBot="1" x14ac:dyDescent="0.25"/>
    <row r="3633" ht="30.75" customHeight="1" thickBot="1" x14ac:dyDescent="0.25"/>
    <row r="3634" ht="30.75" customHeight="1" thickBot="1" x14ac:dyDescent="0.25"/>
    <row r="3635" ht="30.75" customHeight="1" thickBot="1" x14ac:dyDescent="0.25"/>
    <row r="3636" ht="30.75" customHeight="1" thickBot="1" x14ac:dyDescent="0.25"/>
    <row r="3637" ht="30.75" customHeight="1" thickBot="1" x14ac:dyDescent="0.25"/>
    <row r="3638" ht="30.75" customHeight="1" thickBot="1" x14ac:dyDescent="0.25"/>
    <row r="3639" ht="30.75" customHeight="1" thickBot="1" x14ac:dyDescent="0.25"/>
    <row r="3640" ht="30.75" customHeight="1" thickBot="1" x14ac:dyDescent="0.25"/>
    <row r="3641" ht="30.75" customHeight="1" thickBot="1" x14ac:dyDescent="0.25"/>
    <row r="3642" ht="30.75" customHeight="1" thickBot="1" x14ac:dyDescent="0.25"/>
    <row r="3643" ht="30.75" customHeight="1" thickBot="1" x14ac:dyDescent="0.25"/>
    <row r="3644" ht="30.75" customHeight="1" thickBot="1" x14ac:dyDescent="0.25"/>
    <row r="3645" ht="30.75" customHeight="1" thickBot="1" x14ac:dyDescent="0.25"/>
    <row r="3646" ht="30.75" customHeight="1" thickBot="1" x14ac:dyDescent="0.25"/>
    <row r="3647" ht="30.75" customHeight="1" thickBot="1" x14ac:dyDescent="0.25"/>
    <row r="3648" ht="30.75" customHeight="1" thickBot="1" x14ac:dyDescent="0.25"/>
    <row r="3649" ht="30.75" customHeight="1" thickBot="1" x14ac:dyDescent="0.25"/>
    <row r="3650" ht="30.75" customHeight="1" thickBot="1" x14ac:dyDescent="0.25"/>
    <row r="3651" ht="30.75" customHeight="1" thickBot="1" x14ac:dyDescent="0.25"/>
    <row r="3652" ht="30.75" customHeight="1" thickBot="1" x14ac:dyDescent="0.25"/>
    <row r="3653" ht="30.75" customHeight="1" thickBot="1" x14ac:dyDescent="0.25"/>
    <row r="3654" ht="30.75" customHeight="1" thickBot="1" x14ac:dyDescent="0.25"/>
    <row r="3655" ht="30.75" customHeight="1" thickBot="1" x14ac:dyDescent="0.25"/>
    <row r="3656" ht="30.75" customHeight="1" thickBot="1" x14ac:dyDescent="0.25"/>
    <row r="3657" ht="30.75" customHeight="1" thickBot="1" x14ac:dyDescent="0.25"/>
    <row r="3658" ht="30.75" customHeight="1" thickBot="1" x14ac:dyDescent="0.25"/>
    <row r="3659" ht="30.75" customHeight="1" thickBot="1" x14ac:dyDescent="0.25"/>
    <row r="3660" ht="30.75" customHeight="1" thickBot="1" x14ac:dyDescent="0.25"/>
    <row r="3661" ht="30.75" customHeight="1" thickBot="1" x14ac:dyDescent="0.25"/>
    <row r="3662" ht="30.75" customHeight="1" thickBot="1" x14ac:dyDescent="0.25"/>
    <row r="3663" ht="30.75" customHeight="1" thickBot="1" x14ac:dyDescent="0.25"/>
    <row r="3664" ht="30.75" customHeight="1" thickBot="1" x14ac:dyDescent="0.25"/>
    <row r="3665" ht="30.75" customHeight="1" thickBot="1" x14ac:dyDescent="0.25"/>
    <row r="3666" ht="30.75" customHeight="1" thickBot="1" x14ac:dyDescent="0.25"/>
    <row r="3667" ht="30.75" customHeight="1" thickBot="1" x14ac:dyDescent="0.25"/>
    <row r="3668" ht="30.75" customHeight="1" thickBot="1" x14ac:dyDescent="0.25"/>
    <row r="3669" ht="30.75" customHeight="1" thickBot="1" x14ac:dyDescent="0.25"/>
    <row r="3670" ht="30.75" customHeight="1" thickBot="1" x14ac:dyDescent="0.25"/>
    <row r="3671" ht="30.75" customHeight="1" thickBot="1" x14ac:dyDescent="0.25"/>
    <row r="3672" ht="30.75" customHeight="1" thickBot="1" x14ac:dyDescent="0.25"/>
    <row r="3673" ht="30.75" customHeight="1" thickBot="1" x14ac:dyDescent="0.25"/>
    <row r="3674" ht="30.75" customHeight="1" thickBot="1" x14ac:dyDescent="0.25"/>
    <row r="3675" ht="30.75" customHeight="1" thickBot="1" x14ac:dyDescent="0.25"/>
    <row r="3676" ht="30.75" customHeight="1" thickBot="1" x14ac:dyDescent="0.25"/>
    <row r="3677" ht="30.75" customHeight="1" thickBot="1" x14ac:dyDescent="0.25"/>
    <row r="3678" ht="30.75" customHeight="1" thickBot="1" x14ac:dyDescent="0.25"/>
    <row r="3679" ht="30.75" customHeight="1" thickBot="1" x14ac:dyDescent="0.25"/>
    <row r="3680" ht="30.75" customHeight="1" thickBot="1" x14ac:dyDescent="0.25"/>
    <row r="3681" ht="30.75" customHeight="1" thickBot="1" x14ac:dyDescent="0.25"/>
    <row r="3682" ht="30.75" customHeight="1" thickBot="1" x14ac:dyDescent="0.25"/>
    <row r="3683" ht="30.75" customHeight="1" thickBot="1" x14ac:dyDescent="0.25"/>
    <row r="3684" ht="30.75" customHeight="1" thickBot="1" x14ac:dyDescent="0.25"/>
    <row r="3685" ht="30.75" customHeight="1" thickBot="1" x14ac:dyDescent="0.25"/>
    <row r="3686" ht="30.75" customHeight="1" thickBot="1" x14ac:dyDescent="0.25"/>
    <row r="3687" ht="30.75" customHeight="1" thickBot="1" x14ac:dyDescent="0.25"/>
    <row r="3688" ht="30.75" customHeight="1" thickBot="1" x14ac:dyDescent="0.25"/>
    <row r="3689" ht="30.75" customHeight="1" thickBot="1" x14ac:dyDescent="0.25"/>
    <row r="3690" ht="30.75" customHeight="1" thickBot="1" x14ac:dyDescent="0.25"/>
    <row r="3691" ht="30.75" customHeight="1" thickBot="1" x14ac:dyDescent="0.25"/>
    <row r="3692" ht="30.75" customHeight="1" thickBot="1" x14ac:dyDescent="0.25"/>
    <row r="3693" ht="30.75" customHeight="1" thickBot="1" x14ac:dyDescent="0.25"/>
    <row r="3694" ht="30.75" customHeight="1" thickBot="1" x14ac:dyDescent="0.25"/>
    <row r="3695" ht="30.75" customHeight="1" thickBot="1" x14ac:dyDescent="0.25"/>
    <row r="3696" ht="30.75" customHeight="1" thickBot="1" x14ac:dyDescent="0.25"/>
    <row r="3697" ht="30.75" customHeight="1" thickBot="1" x14ac:dyDescent="0.25"/>
    <row r="3698" ht="30.75" customHeight="1" thickBot="1" x14ac:dyDescent="0.25"/>
    <row r="3699" ht="30.75" customHeight="1" thickBot="1" x14ac:dyDescent="0.25"/>
    <row r="3700" ht="30.75" customHeight="1" thickBot="1" x14ac:dyDescent="0.25"/>
    <row r="3701" ht="30.75" customHeight="1" thickBot="1" x14ac:dyDescent="0.25"/>
    <row r="3702" ht="30.75" customHeight="1" thickBot="1" x14ac:dyDescent="0.25"/>
    <row r="3703" ht="30.75" customHeight="1" thickBot="1" x14ac:dyDescent="0.25"/>
    <row r="3704" ht="30.75" customHeight="1" thickBot="1" x14ac:dyDescent="0.25"/>
    <row r="3705" ht="30.75" customHeight="1" thickBot="1" x14ac:dyDescent="0.25"/>
    <row r="3706" ht="30.75" customHeight="1" thickBot="1" x14ac:dyDescent="0.25"/>
    <row r="3707" ht="30.75" customHeight="1" thickBot="1" x14ac:dyDescent="0.25"/>
    <row r="3708" ht="30.75" customHeight="1" thickBot="1" x14ac:dyDescent="0.25"/>
    <row r="3709" ht="30.75" customHeight="1" thickBot="1" x14ac:dyDescent="0.25"/>
    <row r="3710" ht="30.75" customHeight="1" thickBot="1" x14ac:dyDescent="0.25"/>
    <row r="3711" ht="30.75" customHeight="1" thickBot="1" x14ac:dyDescent="0.25"/>
    <row r="3712" ht="30.75" customHeight="1" thickBot="1" x14ac:dyDescent="0.25"/>
    <row r="3713" ht="30.75" customHeight="1" thickBot="1" x14ac:dyDescent="0.25"/>
    <row r="3714" ht="30.75" customHeight="1" thickBot="1" x14ac:dyDescent="0.25"/>
    <row r="3715" ht="30.75" customHeight="1" thickBot="1" x14ac:dyDescent="0.25"/>
    <row r="3716" ht="30.75" customHeight="1" thickBot="1" x14ac:dyDescent="0.25"/>
    <row r="3717" ht="30.75" customHeight="1" thickBot="1" x14ac:dyDescent="0.25"/>
    <row r="3718" ht="30.75" customHeight="1" thickBot="1" x14ac:dyDescent="0.25"/>
    <row r="3719" ht="30.75" customHeight="1" thickBot="1" x14ac:dyDescent="0.25"/>
    <row r="3720" ht="30.75" customHeight="1" thickBot="1" x14ac:dyDescent="0.25"/>
    <row r="3721" ht="30.75" customHeight="1" thickBot="1" x14ac:dyDescent="0.25"/>
    <row r="3722" ht="30.75" customHeight="1" thickBot="1" x14ac:dyDescent="0.25"/>
    <row r="3723" ht="30.75" customHeight="1" thickBot="1" x14ac:dyDescent="0.25"/>
    <row r="3724" ht="30.75" customHeight="1" thickBot="1" x14ac:dyDescent="0.25"/>
    <row r="3725" ht="30.75" customHeight="1" thickBot="1" x14ac:dyDescent="0.25"/>
    <row r="3726" ht="30.75" customHeight="1" thickBot="1" x14ac:dyDescent="0.25"/>
    <row r="3727" ht="30.75" customHeight="1" thickBot="1" x14ac:dyDescent="0.25"/>
    <row r="3728" ht="30.75" customHeight="1" thickBot="1" x14ac:dyDescent="0.25"/>
    <row r="3729" ht="30.75" customHeight="1" thickBot="1" x14ac:dyDescent="0.25"/>
    <row r="3730" ht="30.75" customHeight="1" thickBot="1" x14ac:dyDescent="0.25"/>
    <row r="3731" ht="30.75" customHeight="1" thickBot="1" x14ac:dyDescent="0.25"/>
    <row r="3732" ht="30.75" customHeight="1" thickBot="1" x14ac:dyDescent="0.25"/>
    <row r="3733" ht="30.75" customHeight="1" thickBot="1" x14ac:dyDescent="0.25"/>
    <row r="3734" ht="30.75" customHeight="1" thickBot="1" x14ac:dyDescent="0.25"/>
    <row r="3735" ht="30.75" customHeight="1" thickBot="1" x14ac:dyDescent="0.25"/>
    <row r="3736" ht="30.75" customHeight="1" thickBot="1" x14ac:dyDescent="0.25"/>
    <row r="3737" ht="30.75" customHeight="1" thickBot="1" x14ac:dyDescent="0.25"/>
    <row r="3738" ht="30.75" customHeight="1" thickBot="1" x14ac:dyDescent="0.25"/>
    <row r="3739" ht="30.75" customHeight="1" thickBot="1" x14ac:dyDescent="0.25"/>
    <row r="3740" ht="30.75" customHeight="1" thickBot="1" x14ac:dyDescent="0.25"/>
    <row r="3741" ht="30.75" customHeight="1" thickBot="1" x14ac:dyDescent="0.25"/>
    <row r="3742" ht="30.75" customHeight="1" thickBot="1" x14ac:dyDescent="0.25"/>
    <row r="3743" ht="30.75" customHeight="1" thickBot="1" x14ac:dyDescent="0.25"/>
    <row r="3744" ht="30.75" customHeight="1" thickBot="1" x14ac:dyDescent="0.25"/>
    <row r="3745" ht="30.75" customHeight="1" thickBot="1" x14ac:dyDescent="0.25"/>
    <row r="3746" ht="30.75" customHeight="1" thickBot="1" x14ac:dyDescent="0.25"/>
    <row r="3747" ht="30.75" customHeight="1" thickBot="1" x14ac:dyDescent="0.25"/>
    <row r="3748" ht="30.75" customHeight="1" thickBot="1" x14ac:dyDescent="0.25"/>
    <row r="3749" ht="30.75" customHeight="1" thickBot="1" x14ac:dyDescent="0.25"/>
    <row r="3750" ht="30.75" customHeight="1" thickBot="1" x14ac:dyDescent="0.25"/>
    <row r="3751" ht="30.75" customHeight="1" thickBot="1" x14ac:dyDescent="0.25"/>
    <row r="3752" ht="30.75" customHeight="1" thickBot="1" x14ac:dyDescent="0.25"/>
    <row r="3753" ht="30.75" customHeight="1" thickBot="1" x14ac:dyDescent="0.25"/>
    <row r="3754" ht="30.75" customHeight="1" thickBot="1" x14ac:dyDescent="0.25"/>
    <row r="3755" ht="30.75" customHeight="1" thickBot="1" x14ac:dyDescent="0.25"/>
    <row r="3756" ht="30.75" customHeight="1" thickBot="1" x14ac:dyDescent="0.25"/>
    <row r="3757" ht="30.75" customHeight="1" thickBot="1" x14ac:dyDescent="0.25"/>
    <row r="3758" ht="30.75" customHeight="1" thickBot="1" x14ac:dyDescent="0.25"/>
    <row r="3759" ht="30.75" customHeight="1" thickBot="1" x14ac:dyDescent="0.25"/>
    <row r="3760" ht="30.75" customHeight="1" thickBot="1" x14ac:dyDescent="0.25"/>
    <row r="3761" ht="30.75" customHeight="1" thickBot="1" x14ac:dyDescent="0.25"/>
    <row r="3762" ht="30.75" customHeight="1" thickBot="1" x14ac:dyDescent="0.25"/>
    <row r="3763" ht="30.75" customHeight="1" thickBot="1" x14ac:dyDescent="0.25"/>
    <row r="3764" ht="30.75" customHeight="1" thickBot="1" x14ac:dyDescent="0.25"/>
    <row r="3765" ht="30.75" customHeight="1" thickBot="1" x14ac:dyDescent="0.25"/>
    <row r="3766" ht="30.75" customHeight="1" thickBot="1" x14ac:dyDescent="0.25"/>
    <row r="3767" ht="30.75" customHeight="1" thickBot="1" x14ac:dyDescent="0.25"/>
    <row r="3768" ht="30.75" customHeight="1" thickBot="1" x14ac:dyDescent="0.25"/>
    <row r="3769" ht="30.75" customHeight="1" thickBot="1" x14ac:dyDescent="0.25"/>
    <row r="3770" ht="30.75" customHeight="1" thickBot="1" x14ac:dyDescent="0.25"/>
    <row r="3771" ht="30.75" customHeight="1" thickBot="1" x14ac:dyDescent="0.25"/>
    <row r="3772" ht="30.75" customHeight="1" thickBot="1" x14ac:dyDescent="0.25"/>
    <row r="3773" ht="30.75" customHeight="1" thickBot="1" x14ac:dyDescent="0.25"/>
    <row r="3774" ht="30.75" customHeight="1" thickBot="1" x14ac:dyDescent="0.25"/>
    <row r="3775" ht="30.75" customHeight="1" thickBot="1" x14ac:dyDescent="0.25"/>
    <row r="3776" ht="30.75" customHeight="1" thickBot="1" x14ac:dyDescent="0.25"/>
    <row r="3777" ht="30.75" customHeight="1" thickBot="1" x14ac:dyDescent="0.25"/>
    <row r="3778" ht="30.75" customHeight="1" thickBot="1" x14ac:dyDescent="0.25"/>
    <row r="3779" ht="30.75" customHeight="1" thickBot="1" x14ac:dyDescent="0.25"/>
    <row r="3780" ht="30.75" customHeight="1" thickBot="1" x14ac:dyDescent="0.25"/>
    <row r="3781" ht="30.75" customHeight="1" thickBot="1" x14ac:dyDescent="0.25"/>
    <row r="3782" ht="30.75" customHeight="1" thickBot="1" x14ac:dyDescent="0.25"/>
    <row r="3783" ht="30.75" customHeight="1" thickBot="1" x14ac:dyDescent="0.25"/>
    <row r="3784" ht="30.75" customHeight="1" thickBot="1" x14ac:dyDescent="0.25"/>
    <row r="3785" ht="30.75" customHeight="1" thickBot="1" x14ac:dyDescent="0.25"/>
    <row r="3786" ht="30.75" customHeight="1" thickBot="1" x14ac:dyDescent="0.25"/>
    <row r="3787" ht="30.75" customHeight="1" thickBot="1" x14ac:dyDescent="0.25"/>
    <row r="3788" ht="30.75" customHeight="1" thickBot="1" x14ac:dyDescent="0.25"/>
    <row r="3789" ht="30.75" customHeight="1" thickBot="1" x14ac:dyDescent="0.25"/>
    <row r="3790" ht="30.75" customHeight="1" thickBot="1" x14ac:dyDescent="0.25"/>
    <row r="3791" ht="30.75" customHeight="1" thickBot="1" x14ac:dyDescent="0.25"/>
    <row r="3792" ht="30.75" customHeight="1" thickBot="1" x14ac:dyDescent="0.25"/>
    <row r="3793" ht="30.75" customHeight="1" thickBot="1" x14ac:dyDescent="0.25"/>
    <row r="3794" ht="30.75" customHeight="1" thickBot="1" x14ac:dyDescent="0.25"/>
    <row r="3795" ht="30.75" customHeight="1" thickBot="1" x14ac:dyDescent="0.25"/>
    <row r="3796" ht="30.75" customHeight="1" thickBot="1" x14ac:dyDescent="0.25"/>
    <row r="3797" ht="30.75" customHeight="1" thickBot="1" x14ac:dyDescent="0.25"/>
    <row r="3798" ht="30.75" customHeight="1" thickBot="1" x14ac:dyDescent="0.25"/>
    <row r="3799" ht="30.75" customHeight="1" thickBot="1" x14ac:dyDescent="0.25"/>
    <row r="3800" ht="30.75" customHeight="1" thickBot="1" x14ac:dyDescent="0.25"/>
    <row r="3801" ht="30.75" customHeight="1" thickBot="1" x14ac:dyDescent="0.25"/>
    <row r="3802" ht="30.75" customHeight="1" thickBot="1" x14ac:dyDescent="0.25"/>
    <row r="3803" ht="30.75" customHeight="1" thickBot="1" x14ac:dyDescent="0.25"/>
    <row r="3804" ht="30.75" customHeight="1" thickBot="1" x14ac:dyDescent="0.25"/>
    <row r="3805" ht="30.75" customHeight="1" thickBot="1" x14ac:dyDescent="0.25"/>
    <row r="3806" ht="30.75" customHeight="1" thickBot="1" x14ac:dyDescent="0.25"/>
    <row r="3807" ht="30.75" customHeight="1" thickBot="1" x14ac:dyDescent="0.25"/>
    <row r="3808" ht="30.75" customHeight="1" thickBot="1" x14ac:dyDescent="0.25"/>
    <row r="3809" ht="30.75" customHeight="1" thickBot="1" x14ac:dyDescent="0.25"/>
    <row r="3810" ht="30.75" customHeight="1" thickBot="1" x14ac:dyDescent="0.25"/>
    <row r="3811" ht="30.75" customHeight="1" thickBot="1" x14ac:dyDescent="0.25"/>
    <row r="3812" ht="30.75" customHeight="1" thickBot="1" x14ac:dyDescent="0.25"/>
    <row r="3813" ht="30.75" customHeight="1" thickBot="1" x14ac:dyDescent="0.25"/>
    <row r="3814" ht="30.75" customHeight="1" thickBot="1" x14ac:dyDescent="0.25"/>
    <row r="3815" ht="30.75" customHeight="1" thickBot="1" x14ac:dyDescent="0.25"/>
    <row r="3816" ht="30.75" customHeight="1" thickBot="1" x14ac:dyDescent="0.25"/>
    <row r="3817" ht="30.75" customHeight="1" thickBot="1" x14ac:dyDescent="0.25"/>
    <row r="3818" ht="30.75" customHeight="1" thickBot="1" x14ac:dyDescent="0.25"/>
    <row r="3819" ht="30.75" customHeight="1" thickBot="1" x14ac:dyDescent="0.25"/>
    <row r="3820" ht="30.75" customHeight="1" thickBot="1" x14ac:dyDescent="0.25"/>
    <row r="3821" ht="30.75" customHeight="1" thickBot="1" x14ac:dyDescent="0.25"/>
    <row r="3822" ht="30.75" customHeight="1" thickBot="1" x14ac:dyDescent="0.25"/>
    <row r="3823" ht="30.75" customHeight="1" thickBot="1" x14ac:dyDescent="0.25"/>
    <row r="3824" ht="30.75" customHeight="1" thickBot="1" x14ac:dyDescent="0.25"/>
    <row r="3825" ht="30.75" customHeight="1" thickBot="1" x14ac:dyDescent="0.25"/>
    <row r="3826" ht="30.75" customHeight="1" thickBot="1" x14ac:dyDescent="0.25"/>
    <row r="3827" ht="30.75" customHeight="1" thickBot="1" x14ac:dyDescent="0.25"/>
    <row r="3828" ht="30.75" customHeight="1" thickBot="1" x14ac:dyDescent="0.25"/>
    <row r="3829" ht="30.75" customHeight="1" thickBot="1" x14ac:dyDescent="0.25"/>
    <row r="3830" ht="30.75" customHeight="1" thickBot="1" x14ac:dyDescent="0.25"/>
    <row r="3831" ht="30.75" customHeight="1" thickBot="1" x14ac:dyDescent="0.25"/>
    <row r="3832" ht="30.75" customHeight="1" thickBot="1" x14ac:dyDescent="0.25"/>
    <row r="3833" ht="30.75" customHeight="1" thickBot="1" x14ac:dyDescent="0.25"/>
    <row r="3834" ht="30.75" customHeight="1" thickBot="1" x14ac:dyDescent="0.25"/>
    <row r="3835" ht="30.75" customHeight="1" thickBot="1" x14ac:dyDescent="0.25"/>
    <row r="3836" ht="30.75" customHeight="1" thickBot="1" x14ac:dyDescent="0.25"/>
    <row r="3837" ht="30.75" customHeight="1" thickBot="1" x14ac:dyDescent="0.25"/>
    <row r="3838" ht="30.75" customHeight="1" thickBot="1" x14ac:dyDescent="0.25"/>
    <row r="3839" ht="30.75" customHeight="1" thickBot="1" x14ac:dyDescent="0.25"/>
    <row r="3840" ht="30.75" customHeight="1" thickBot="1" x14ac:dyDescent="0.25"/>
    <row r="3841" ht="30.75" customHeight="1" thickBot="1" x14ac:dyDescent="0.25"/>
    <row r="3842" ht="30.75" customHeight="1" thickBot="1" x14ac:dyDescent="0.25"/>
    <row r="3843" ht="30.75" customHeight="1" thickBot="1" x14ac:dyDescent="0.25"/>
    <row r="3844" ht="30.75" customHeight="1" thickBot="1" x14ac:dyDescent="0.25"/>
    <row r="3845" ht="30.75" customHeight="1" thickBot="1" x14ac:dyDescent="0.25"/>
    <row r="3846" ht="30.75" customHeight="1" thickBot="1" x14ac:dyDescent="0.25"/>
    <row r="3847" ht="30.75" customHeight="1" thickBot="1" x14ac:dyDescent="0.25"/>
    <row r="3848" ht="30.75" customHeight="1" thickBot="1" x14ac:dyDescent="0.25"/>
    <row r="3849" ht="30.75" customHeight="1" thickBot="1" x14ac:dyDescent="0.25"/>
    <row r="3850" ht="30.75" customHeight="1" thickBot="1" x14ac:dyDescent="0.25"/>
    <row r="3851" ht="30.75" customHeight="1" thickBot="1" x14ac:dyDescent="0.25"/>
    <row r="3852" ht="30.75" customHeight="1" thickBot="1" x14ac:dyDescent="0.25"/>
    <row r="3853" ht="30.75" customHeight="1" thickBot="1" x14ac:dyDescent="0.25"/>
    <row r="3854" ht="30.75" customHeight="1" thickBot="1" x14ac:dyDescent="0.25"/>
    <row r="3855" ht="30.75" customHeight="1" thickBot="1" x14ac:dyDescent="0.25"/>
    <row r="3856" ht="30.75" customHeight="1" thickBot="1" x14ac:dyDescent="0.25"/>
    <row r="3857" ht="30.75" customHeight="1" thickBot="1" x14ac:dyDescent="0.25"/>
    <row r="3858" ht="30.75" customHeight="1" thickBot="1" x14ac:dyDescent="0.25"/>
    <row r="3859" ht="30.75" customHeight="1" thickBot="1" x14ac:dyDescent="0.25"/>
    <row r="3860" ht="30.75" customHeight="1" thickBot="1" x14ac:dyDescent="0.25"/>
    <row r="3861" ht="30.75" customHeight="1" thickBot="1" x14ac:dyDescent="0.25"/>
    <row r="3862" ht="30.75" customHeight="1" thickBot="1" x14ac:dyDescent="0.25"/>
    <row r="3863" ht="30.75" customHeight="1" thickBot="1" x14ac:dyDescent="0.25"/>
    <row r="3864" ht="30.75" customHeight="1" thickBot="1" x14ac:dyDescent="0.25"/>
    <row r="3865" ht="30.75" customHeight="1" thickBot="1" x14ac:dyDescent="0.25"/>
    <row r="3866" ht="30.75" customHeight="1" thickBot="1" x14ac:dyDescent="0.25"/>
    <row r="3867" ht="30.75" customHeight="1" thickBot="1" x14ac:dyDescent="0.25"/>
    <row r="3868" ht="30.75" customHeight="1" thickBot="1" x14ac:dyDescent="0.25"/>
    <row r="3869" ht="30.75" customHeight="1" thickBot="1" x14ac:dyDescent="0.25"/>
    <row r="3870" ht="30.75" customHeight="1" thickBot="1" x14ac:dyDescent="0.25"/>
    <row r="3871" ht="30.75" customHeight="1" thickBot="1" x14ac:dyDescent="0.25"/>
    <row r="3872" ht="30.75" customHeight="1" thickBot="1" x14ac:dyDescent="0.25"/>
    <row r="3873" ht="30.75" customHeight="1" thickBot="1" x14ac:dyDescent="0.25"/>
    <row r="3874" ht="30.75" customHeight="1" thickBot="1" x14ac:dyDescent="0.25"/>
    <row r="3875" ht="30.75" customHeight="1" thickBot="1" x14ac:dyDescent="0.25"/>
    <row r="3876" ht="30.75" customHeight="1" thickBot="1" x14ac:dyDescent="0.25"/>
    <row r="3877" ht="30.75" customHeight="1" thickBot="1" x14ac:dyDescent="0.25"/>
    <row r="3878" ht="30.75" customHeight="1" thickBot="1" x14ac:dyDescent="0.25"/>
    <row r="3879" ht="30.75" customHeight="1" thickBot="1" x14ac:dyDescent="0.25"/>
    <row r="3880" ht="30.75" customHeight="1" thickBot="1" x14ac:dyDescent="0.25"/>
    <row r="3881" ht="30.75" customHeight="1" thickBot="1" x14ac:dyDescent="0.25"/>
    <row r="3882" ht="30.75" customHeight="1" thickBot="1" x14ac:dyDescent="0.25"/>
    <row r="3883" ht="30.75" customHeight="1" thickBot="1" x14ac:dyDescent="0.25"/>
    <row r="3884" ht="30.75" customHeight="1" thickBot="1" x14ac:dyDescent="0.25"/>
    <row r="3885" ht="30.75" customHeight="1" thickBot="1" x14ac:dyDescent="0.25"/>
    <row r="3886" ht="30.75" customHeight="1" thickBot="1" x14ac:dyDescent="0.25"/>
    <row r="3887" ht="30.75" customHeight="1" thickBot="1" x14ac:dyDescent="0.25"/>
    <row r="3888" ht="30.75" customHeight="1" thickBot="1" x14ac:dyDescent="0.25"/>
    <row r="3889" ht="30.75" customHeight="1" thickBot="1" x14ac:dyDescent="0.25"/>
    <row r="3890" ht="30.75" customHeight="1" thickBot="1" x14ac:dyDescent="0.25"/>
    <row r="3891" ht="30.75" customHeight="1" thickBot="1" x14ac:dyDescent="0.25"/>
    <row r="3892" ht="30.75" customHeight="1" thickBot="1" x14ac:dyDescent="0.25"/>
    <row r="3893" ht="30.75" customHeight="1" thickBot="1" x14ac:dyDescent="0.25"/>
    <row r="3894" ht="30.75" customHeight="1" thickBot="1" x14ac:dyDescent="0.25"/>
    <row r="3895" ht="30.75" customHeight="1" thickBot="1" x14ac:dyDescent="0.25"/>
    <row r="3896" ht="30.75" customHeight="1" thickBot="1" x14ac:dyDescent="0.25"/>
    <row r="3897" ht="30.75" customHeight="1" thickBot="1" x14ac:dyDescent="0.25"/>
    <row r="3898" ht="30.75" customHeight="1" thickBot="1" x14ac:dyDescent="0.25"/>
    <row r="3899" ht="30.75" customHeight="1" thickBot="1" x14ac:dyDescent="0.25"/>
    <row r="3900" ht="30.75" customHeight="1" thickBot="1" x14ac:dyDescent="0.25"/>
    <row r="3901" ht="30.75" customHeight="1" thickBot="1" x14ac:dyDescent="0.25"/>
    <row r="3902" ht="30.75" customHeight="1" thickBot="1" x14ac:dyDescent="0.25"/>
    <row r="3903" ht="30.75" customHeight="1" thickBot="1" x14ac:dyDescent="0.25"/>
    <row r="3904" ht="30.75" customHeight="1" thickBot="1" x14ac:dyDescent="0.25"/>
    <row r="3905" ht="30.75" customHeight="1" thickBot="1" x14ac:dyDescent="0.25"/>
    <row r="3906" ht="30.75" customHeight="1" thickBot="1" x14ac:dyDescent="0.25"/>
    <row r="3907" ht="30.75" customHeight="1" thickBot="1" x14ac:dyDescent="0.25"/>
    <row r="3908" ht="30.75" customHeight="1" thickBot="1" x14ac:dyDescent="0.25"/>
    <row r="3909" ht="30.75" customHeight="1" thickBot="1" x14ac:dyDescent="0.25"/>
    <row r="3910" ht="30.75" customHeight="1" thickBot="1" x14ac:dyDescent="0.25"/>
    <row r="3911" ht="30.75" customHeight="1" thickBot="1" x14ac:dyDescent="0.25"/>
    <row r="3912" ht="30.75" customHeight="1" thickBot="1" x14ac:dyDescent="0.25"/>
    <row r="3913" ht="30.75" customHeight="1" thickBot="1" x14ac:dyDescent="0.25"/>
    <row r="3914" ht="30.75" customHeight="1" thickBot="1" x14ac:dyDescent="0.25"/>
    <row r="3915" ht="30.75" customHeight="1" thickBot="1" x14ac:dyDescent="0.25"/>
    <row r="3916" ht="30.75" customHeight="1" thickBot="1" x14ac:dyDescent="0.25"/>
    <row r="3917" ht="30.75" customHeight="1" thickBot="1" x14ac:dyDescent="0.25"/>
    <row r="3918" ht="30.75" customHeight="1" thickBot="1" x14ac:dyDescent="0.25"/>
    <row r="3919" ht="30.75" customHeight="1" thickBot="1" x14ac:dyDescent="0.25"/>
    <row r="3920" ht="30.75" customHeight="1" thickBot="1" x14ac:dyDescent="0.25"/>
    <row r="3921" ht="30.75" customHeight="1" thickBot="1" x14ac:dyDescent="0.25"/>
    <row r="3922" ht="30.75" customHeight="1" thickBot="1" x14ac:dyDescent="0.25"/>
    <row r="3923" ht="30.75" customHeight="1" thickBot="1" x14ac:dyDescent="0.25"/>
    <row r="3924" ht="30.75" customHeight="1" thickBot="1" x14ac:dyDescent="0.25"/>
    <row r="3925" ht="30.75" customHeight="1" thickBot="1" x14ac:dyDescent="0.25"/>
    <row r="3926" ht="30.75" customHeight="1" thickBot="1" x14ac:dyDescent="0.25"/>
    <row r="3927" ht="30.75" customHeight="1" thickBot="1" x14ac:dyDescent="0.25"/>
    <row r="3928" ht="30.75" customHeight="1" thickBot="1" x14ac:dyDescent="0.25"/>
    <row r="3929" ht="30.75" customHeight="1" thickBot="1" x14ac:dyDescent="0.25"/>
    <row r="3930" ht="30.75" customHeight="1" thickBot="1" x14ac:dyDescent="0.25"/>
    <row r="3931" ht="30.75" customHeight="1" thickBot="1" x14ac:dyDescent="0.25"/>
    <row r="3932" ht="30.75" customHeight="1" thickBot="1" x14ac:dyDescent="0.25"/>
    <row r="3933" ht="30.75" customHeight="1" thickBot="1" x14ac:dyDescent="0.25"/>
    <row r="3934" ht="30.75" customHeight="1" thickBot="1" x14ac:dyDescent="0.25"/>
    <row r="3935" ht="30.75" customHeight="1" thickBot="1" x14ac:dyDescent="0.25"/>
    <row r="3936" ht="30.75" customHeight="1" thickBot="1" x14ac:dyDescent="0.25"/>
    <row r="3937" ht="30.75" customHeight="1" thickBot="1" x14ac:dyDescent="0.25"/>
    <row r="3938" ht="30.75" customHeight="1" thickBot="1" x14ac:dyDescent="0.25"/>
    <row r="3939" ht="30.75" customHeight="1" thickBot="1" x14ac:dyDescent="0.25"/>
    <row r="3940" ht="30.75" customHeight="1" thickBot="1" x14ac:dyDescent="0.25"/>
    <row r="3941" ht="30.75" customHeight="1" thickBot="1" x14ac:dyDescent="0.25"/>
    <row r="3942" ht="30.75" customHeight="1" thickBot="1" x14ac:dyDescent="0.25"/>
    <row r="3943" ht="30.75" customHeight="1" thickBot="1" x14ac:dyDescent="0.25"/>
    <row r="3944" ht="30.75" customHeight="1" thickBot="1" x14ac:dyDescent="0.25"/>
    <row r="3945" ht="30.75" customHeight="1" thickBot="1" x14ac:dyDescent="0.25"/>
    <row r="3946" ht="30.75" customHeight="1" thickBot="1" x14ac:dyDescent="0.25"/>
    <row r="3947" ht="30.75" customHeight="1" thickBot="1" x14ac:dyDescent="0.25"/>
    <row r="3948" ht="30.75" customHeight="1" thickBot="1" x14ac:dyDescent="0.25"/>
    <row r="3949" ht="30.75" customHeight="1" thickBot="1" x14ac:dyDescent="0.25"/>
    <row r="3950" ht="30.75" customHeight="1" thickBot="1" x14ac:dyDescent="0.25"/>
    <row r="3951" ht="30.75" customHeight="1" thickBot="1" x14ac:dyDescent="0.25"/>
    <row r="3952" ht="30.75" customHeight="1" thickBot="1" x14ac:dyDescent="0.25"/>
    <row r="3953" ht="30.75" customHeight="1" thickBot="1" x14ac:dyDescent="0.25"/>
    <row r="3954" ht="30.75" customHeight="1" thickBot="1" x14ac:dyDescent="0.25"/>
    <row r="3955" ht="30.75" customHeight="1" thickBot="1" x14ac:dyDescent="0.25"/>
    <row r="3956" ht="30.75" customHeight="1" thickBot="1" x14ac:dyDescent="0.25"/>
    <row r="3957" ht="30.75" customHeight="1" thickBot="1" x14ac:dyDescent="0.25"/>
    <row r="3958" ht="30.75" customHeight="1" thickBot="1" x14ac:dyDescent="0.25"/>
    <row r="3959" ht="30.75" customHeight="1" thickBot="1" x14ac:dyDescent="0.25"/>
    <row r="3960" ht="30.75" customHeight="1" thickBot="1" x14ac:dyDescent="0.25"/>
    <row r="3961" ht="30.75" customHeight="1" thickBot="1" x14ac:dyDescent="0.25"/>
    <row r="3962" ht="30.75" customHeight="1" thickBot="1" x14ac:dyDescent="0.25"/>
    <row r="3963" ht="30.75" customHeight="1" thickBot="1" x14ac:dyDescent="0.25"/>
    <row r="3964" ht="30.75" customHeight="1" thickBot="1" x14ac:dyDescent="0.25"/>
    <row r="3965" ht="30.75" customHeight="1" thickBot="1" x14ac:dyDescent="0.25"/>
    <row r="3966" ht="30.75" customHeight="1" thickBot="1" x14ac:dyDescent="0.25"/>
    <row r="3967" ht="30.75" customHeight="1" thickBot="1" x14ac:dyDescent="0.25"/>
    <row r="3968" ht="30.75" customHeight="1" thickBot="1" x14ac:dyDescent="0.25"/>
    <row r="3969" ht="30.75" customHeight="1" thickBot="1" x14ac:dyDescent="0.25"/>
    <row r="3970" ht="30.75" customHeight="1" thickBot="1" x14ac:dyDescent="0.25"/>
    <row r="3971" ht="30.75" customHeight="1" thickBot="1" x14ac:dyDescent="0.25"/>
    <row r="3972" ht="30.75" customHeight="1" thickBot="1" x14ac:dyDescent="0.25"/>
    <row r="3973" ht="30.75" customHeight="1" thickBot="1" x14ac:dyDescent="0.25"/>
    <row r="3974" ht="30.75" customHeight="1" thickBot="1" x14ac:dyDescent="0.25"/>
    <row r="3975" ht="30.75" customHeight="1" thickBot="1" x14ac:dyDescent="0.25"/>
    <row r="3976" ht="30.75" customHeight="1" thickBot="1" x14ac:dyDescent="0.25"/>
    <row r="3977" ht="30.75" customHeight="1" thickBot="1" x14ac:dyDescent="0.25"/>
    <row r="3978" ht="30.75" customHeight="1" thickBot="1" x14ac:dyDescent="0.25"/>
    <row r="3979" ht="30.75" customHeight="1" thickBot="1" x14ac:dyDescent="0.25"/>
    <row r="3980" ht="30.75" customHeight="1" thickBot="1" x14ac:dyDescent="0.25"/>
    <row r="3981" ht="30.75" customHeight="1" thickBot="1" x14ac:dyDescent="0.25"/>
    <row r="3982" ht="30.75" customHeight="1" thickBot="1" x14ac:dyDescent="0.25"/>
    <row r="3983" ht="30.75" customHeight="1" thickBot="1" x14ac:dyDescent="0.25"/>
    <row r="3984" ht="30.75" customHeight="1" thickBot="1" x14ac:dyDescent="0.25"/>
    <row r="3985" ht="30.75" customHeight="1" thickBot="1" x14ac:dyDescent="0.25"/>
    <row r="3986" ht="30.75" customHeight="1" thickBot="1" x14ac:dyDescent="0.25"/>
    <row r="3987" ht="30.75" customHeight="1" thickBot="1" x14ac:dyDescent="0.25"/>
    <row r="3988" ht="30.75" customHeight="1" thickBot="1" x14ac:dyDescent="0.25"/>
    <row r="3989" ht="30.75" customHeight="1" thickBot="1" x14ac:dyDescent="0.25"/>
    <row r="3990" ht="30.75" customHeight="1" thickBot="1" x14ac:dyDescent="0.25"/>
    <row r="3991" ht="30.75" customHeight="1" thickBot="1" x14ac:dyDescent="0.25"/>
    <row r="3992" ht="30.75" customHeight="1" thickBot="1" x14ac:dyDescent="0.25"/>
    <row r="3993" ht="30.75" customHeight="1" thickBot="1" x14ac:dyDescent="0.25"/>
    <row r="3994" ht="30.75" customHeight="1" thickBot="1" x14ac:dyDescent="0.25"/>
    <row r="3995" ht="30.75" customHeight="1" thickBot="1" x14ac:dyDescent="0.25"/>
    <row r="3996" ht="30.75" customHeight="1" thickBot="1" x14ac:dyDescent="0.25"/>
    <row r="3997" ht="30.75" customHeight="1" thickBot="1" x14ac:dyDescent="0.25"/>
    <row r="3998" ht="30.75" customHeight="1" thickBot="1" x14ac:dyDescent="0.25"/>
    <row r="3999" ht="30.75" customHeight="1" thickBot="1" x14ac:dyDescent="0.25"/>
    <row r="4000" ht="30.75" customHeight="1" thickBot="1" x14ac:dyDescent="0.25"/>
    <row r="4001" ht="30.75" customHeight="1" thickBot="1" x14ac:dyDescent="0.25"/>
    <row r="4002" ht="30.75" customHeight="1" thickBot="1" x14ac:dyDescent="0.25"/>
    <row r="4003" ht="30.75" customHeight="1" thickBot="1" x14ac:dyDescent="0.25"/>
    <row r="4004" ht="30.75" customHeight="1" thickBot="1" x14ac:dyDescent="0.25"/>
    <row r="4005" ht="30.75" customHeight="1" thickBot="1" x14ac:dyDescent="0.25"/>
    <row r="4006" ht="30.75" customHeight="1" thickBot="1" x14ac:dyDescent="0.25"/>
    <row r="4007" ht="30.75" customHeight="1" thickBot="1" x14ac:dyDescent="0.25"/>
    <row r="4008" ht="30.75" customHeight="1" thickBot="1" x14ac:dyDescent="0.25"/>
    <row r="4009" ht="30.75" customHeight="1" thickBot="1" x14ac:dyDescent="0.25"/>
    <row r="4010" ht="30.75" customHeight="1" thickBot="1" x14ac:dyDescent="0.25"/>
    <row r="4011" ht="30.75" customHeight="1" thickBot="1" x14ac:dyDescent="0.25"/>
    <row r="4012" ht="30.75" customHeight="1" thickBot="1" x14ac:dyDescent="0.25"/>
    <row r="4013" ht="30.75" customHeight="1" thickBot="1" x14ac:dyDescent="0.25"/>
    <row r="4014" ht="30.75" customHeight="1" thickBot="1" x14ac:dyDescent="0.25"/>
    <row r="4015" ht="30.75" customHeight="1" thickBot="1" x14ac:dyDescent="0.25"/>
    <row r="4016" ht="30.75" customHeight="1" thickBot="1" x14ac:dyDescent="0.25"/>
    <row r="4017" ht="30.75" customHeight="1" thickBot="1" x14ac:dyDescent="0.25"/>
    <row r="4018" ht="30.75" customHeight="1" thickBot="1" x14ac:dyDescent="0.25"/>
    <row r="4019" ht="30.75" customHeight="1" thickBot="1" x14ac:dyDescent="0.25"/>
    <row r="4020" ht="30.75" customHeight="1" thickBot="1" x14ac:dyDescent="0.25"/>
    <row r="4021" ht="30.75" customHeight="1" thickBot="1" x14ac:dyDescent="0.25"/>
    <row r="4022" ht="30.75" customHeight="1" thickBot="1" x14ac:dyDescent="0.25"/>
    <row r="4023" ht="30.75" customHeight="1" thickBot="1" x14ac:dyDescent="0.25"/>
    <row r="4024" ht="30.75" customHeight="1" thickBot="1" x14ac:dyDescent="0.25"/>
    <row r="4025" ht="30.75" customHeight="1" thickBot="1" x14ac:dyDescent="0.25"/>
    <row r="4026" ht="30.75" customHeight="1" thickBot="1" x14ac:dyDescent="0.25"/>
    <row r="4027" ht="30.75" customHeight="1" thickBot="1" x14ac:dyDescent="0.25"/>
    <row r="4028" ht="30.75" customHeight="1" thickBot="1" x14ac:dyDescent="0.25"/>
    <row r="4029" ht="30.75" customHeight="1" thickBot="1" x14ac:dyDescent="0.25"/>
    <row r="4030" ht="30.75" customHeight="1" thickBot="1" x14ac:dyDescent="0.25"/>
    <row r="4031" ht="30.75" customHeight="1" thickBot="1" x14ac:dyDescent="0.25"/>
    <row r="4032" ht="30.75" customHeight="1" thickBot="1" x14ac:dyDescent="0.25"/>
    <row r="4033" ht="30.75" customHeight="1" thickBot="1" x14ac:dyDescent="0.25"/>
    <row r="4034" ht="30.75" customHeight="1" thickBot="1" x14ac:dyDescent="0.25"/>
    <row r="4035" ht="30.75" customHeight="1" thickBot="1" x14ac:dyDescent="0.25"/>
    <row r="4036" ht="30.75" customHeight="1" thickBot="1" x14ac:dyDescent="0.25"/>
    <row r="4037" ht="30.75" customHeight="1" thickBot="1" x14ac:dyDescent="0.25"/>
    <row r="4038" ht="30.75" customHeight="1" thickBot="1" x14ac:dyDescent="0.25"/>
    <row r="4039" ht="30.75" customHeight="1" thickBot="1" x14ac:dyDescent="0.25"/>
    <row r="4040" ht="30.75" customHeight="1" thickBot="1" x14ac:dyDescent="0.25"/>
    <row r="4041" ht="30.75" customHeight="1" thickBot="1" x14ac:dyDescent="0.25"/>
    <row r="4042" ht="30.75" customHeight="1" thickBot="1" x14ac:dyDescent="0.25"/>
    <row r="4043" ht="30.75" customHeight="1" thickBot="1" x14ac:dyDescent="0.25"/>
    <row r="4044" ht="30.75" customHeight="1" thickBot="1" x14ac:dyDescent="0.25"/>
    <row r="4045" ht="30.75" customHeight="1" thickBot="1" x14ac:dyDescent="0.25"/>
    <row r="4046" ht="30.75" customHeight="1" thickBot="1" x14ac:dyDescent="0.25"/>
    <row r="4047" ht="30.75" customHeight="1" thickBot="1" x14ac:dyDescent="0.25"/>
    <row r="4048" ht="30.75" customHeight="1" thickBot="1" x14ac:dyDescent="0.25"/>
    <row r="4049" ht="30.75" customHeight="1" thickBot="1" x14ac:dyDescent="0.25"/>
    <row r="4050" ht="30.75" customHeight="1" thickBot="1" x14ac:dyDescent="0.25"/>
    <row r="4051" ht="30.75" customHeight="1" thickBot="1" x14ac:dyDescent="0.25"/>
    <row r="4052" ht="30.75" customHeight="1" thickBot="1" x14ac:dyDescent="0.25"/>
    <row r="4053" ht="30.75" customHeight="1" thickBot="1" x14ac:dyDescent="0.25"/>
    <row r="4054" ht="30.75" customHeight="1" thickBot="1" x14ac:dyDescent="0.25"/>
    <row r="4055" ht="30.75" customHeight="1" thickBot="1" x14ac:dyDescent="0.25"/>
    <row r="4056" ht="30.75" customHeight="1" thickBot="1" x14ac:dyDescent="0.25"/>
    <row r="4057" ht="30.75" customHeight="1" thickBot="1" x14ac:dyDescent="0.25"/>
    <row r="4058" ht="30.75" customHeight="1" thickBot="1" x14ac:dyDescent="0.25"/>
    <row r="4059" ht="30.75" customHeight="1" thickBot="1" x14ac:dyDescent="0.25"/>
    <row r="4060" ht="30.75" customHeight="1" thickBot="1" x14ac:dyDescent="0.25"/>
    <row r="4061" ht="30.75" customHeight="1" thickBot="1" x14ac:dyDescent="0.25"/>
    <row r="4062" ht="30.75" customHeight="1" thickBot="1" x14ac:dyDescent="0.25"/>
    <row r="4063" ht="30.75" customHeight="1" thickBot="1" x14ac:dyDescent="0.25"/>
    <row r="4064" ht="30.75" customHeight="1" thickBot="1" x14ac:dyDescent="0.25"/>
    <row r="4065" ht="30.75" customHeight="1" thickBot="1" x14ac:dyDescent="0.25"/>
    <row r="4066" ht="30.75" customHeight="1" thickBot="1" x14ac:dyDescent="0.25"/>
    <row r="4067" ht="30.75" customHeight="1" thickBot="1" x14ac:dyDescent="0.25"/>
    <row r="4068" ht="30.75" customHeight="1" thickBot="1" x14ac:dyDescent="0.25"/>
    <row r="4069" ht="30.75" customHeight="1" thickBot="1" x14ac:dyDescent="0.25"/>
    <row r="4070" ht="30.75" customHeight="1" thickBot="1" x14ac:dyDescent="0.25"/>
    <row r="4071" ht="30.75" customHeight="1" thickBot="1" x14ac:dyDescent="0.25"/>
    <row r="4072" ht="30.75" customHeight="1" thickBot="1" x14ac:dyDescent="0.25"/>
    <row r="4073" ht="30.75" customHeight="1" thickBot="1" x14ac:dyDescent="0.25"/>
    <row r="4074" ht="30.75" customHeight="1" thickBot="1" x14ac:dyDescent="0.25"/>
    <row r="4075" ht="30.75" customHeight="1" thickBot="1" x14ac:dyDescent="0.25"/>
    <row r="4076" ht="30.75" customHeight="1" thickBot="1" x14ac:dyDescent="0.25"/>
    <row r="4077" ht="30.75" customHeight="1" thickBot="1" x14ac:dyDescent="0.25"/>
    <row r="4078" ht="30.75" customHeight="1" thickBot="1" x14ac:dyDescent="0.25"/>
    <row r="4079" ht="30.75" customHeight="1" thickBot="1" x14ac:dyDescent="0.25"/>
    <row r="4080" ht="30.75" customHeight="1" thickBot="1" x14ac:dyDescent="0.25"/>
    <row r="4081" ht="30.75" customHeight="1" thickBot="1" x14ac:dyDescent="0.25"/>
    <row r="4082" ht="30.75" customHeight="1" thickBot="1" x14ac:dyDescent="0.25"/>
    <row r="4083" ht="30.75" customHeight="1" thickBot="1" x14ac:dyDescent="0.25"/>
    <row r="4084" ht="30.75" customHeight="1" thickBot="1" x14ac:dyDescent="0.25"/>
    <row r="4085" ht="30.75" customHeight="1" thickBot="1" x14ac:dyDescent="0.25"/>
    <row r="4086" ht="30.75" customHeight="1" thickBot="1" x14ac:dyDescent="0.25"/>
    <row r="4087" ht="30.75" customHeight="1" thickBot="1" x14ac:dyDescent="0.25"/>
    <row r="4088" ht="30.75" customHeight="1" thickBot="1" x14ac:dyDescent="0.25"/>
    <row r="4089" ht="30.75" customHeight="1" thickBot="1" x14ac:dyDescent="0.25"/>
    <row r="4090" ht="30.75" customHeight="1" thickBot="1" x14ac:dyDescent="0.25"/>
    <row r="4091" ht="30.75" customHeight="1" thickBot="1" x14ac:dyDescent="0.25"/>
    <row r="4092" ht="30.75" customHeight="1" thickBot="1" x14ac:dyDescent="0.25"/>
    <row r="4093" ht="30.75" customHeight="1" thickBot="1" x14ac:dyDescent="0.25"/>
    <row r="4094" ht="30.75" customHeight="1" thickBot="1" x14ac:dyDescent="0.25"/>
    <row r="4095" ht="30.75" customHeight="1" thickBot="1" x14ac:dyDescent="0.25"/>
    <row r="4096" ht="30.75" customHeight="1" thickBot="1" x14ac:dyDescent="0.25"/>
    <row r="4097" ht="30.75" customHeight="1" thickBot="1" x14ac:dyDescent="0.25"/>
    <row r="4098" ht="30.75" customHeight="1" thickBot="1" x14ac:dyDescent="0.25"/>
    <row r="4099" ht="30.75" customHeight="1" thickBot="1" x14ac:dyDescent="0.25"/>
    <row r="4100" ht="30.75" customHeight="1" thickBot="1" x14ac:dyDescent="0.25"/>
    <row r="4101" ht="30.75" customHeight="1" thickBot="1" x14ac:dyDescent="0.25"/>
    <row r="4102" ht="30.75" customHeight="1" thickBot="1" x14ac:dyDescent="0.25"/>
    <row r="4103" ht="30.75" customHeight="1" thickBot="1" x14ac:dyDescent="0.25"/>
    <row r="4104" ht="30.75" customHeight="1" thickBot="1" x14ac:dyDescent="0.25"/>
    <row r="4105" ht="30.75" customHeight="1" thickBot="1" x14ac:dyDescent="0.25"/>
    <row r="4106" ht="30.75" customHeight="1" thickBot="1" x14ac:dyDescent="0.25"/>
    <row r="4107" ht="30.75" customHeight="1" thickBot="1" x14ac:dyDescent="0.25"/>
    <row r="4108" ht="30.75" customHeight="1" thickBot="1" x14ac:dyDescent="0.25"/>
    <row r="4109" ht="30.75" customHeight="1" thickBot="1" x14ac:dyDescent="0.25"/>
    <row r="4110" ht="30.75" customHeight="1" thickBot="1" x14ac:dyDescent="0.25"/>
    <row r="4111" ht="30.75" customHeight="1" thickBot="1" x14ac:dyDescent="0.25"/>
    <row r="4112" ht="30.75" customHeight="1" thickBot="1" x14ac:dyDescent="0.25"/>
    <row r="4113" ht="30.75" customHeight="1" thickBot="1" x14ac:dyDescent="0.25"/>
    <row r="4114" ht="30.75" customHeight="1" thickBot="1" x14ac:dyDescent="0.25"/>
    <row r="4115" ht="30.75" customHeight="1" thickBot="1" x14ac:dyDescent="0.25"/>
    <row r="4116" ht="30.75" customHeight="1" thickBot="1" x14ac:dyDescent="0.25"/>
    <row r="4117" ht="30.75" customHeight="1" thickBot="1" x14ac:dyDescent="0.25"/>
    <row r="4118" ht="30.75" customHeight="1" thickBot="1" x14ac:dyDescent="0.25"/>
    <row r="4119" ht="30.75" customHeight="1" thickBot="1" x14ac:dyDescent="0.25"/>
    <row r="4120" ht="30.75" customHeight="1" thickBot="1" x14ac:dyDescent="0.25"/>
    <row r="4121" ht="30.75" customHeight="1" thickBot="1" x14ac:dyDescent="0.25"/>
    <row r="4122" ht="30.75" customHeight="1" thickBot="1" x14ac:dyDescent="0.25"/>
    <row r="4123" ht="30.75" customHeight="1" thickBot="1" x14ac:dyDescent="0.25"/>
    <row r="4124" ht="30.75" customHeight="1" thickBot="1" x14ac:dyDescent="0.25"/>
    <row r="4125" ht="30.75" customHeight="1" thickBot="1" x14ac:dyDescent="0.25"/>
    <row r="4126" ht="30.75" customHeight="1" thickBot="1" x14ac:dyDescent="0.25"/>
    <row r="4127" ht="30.75" customHeight="1" thickBot="1" x14ac:dyDescent="0.25"/>
    <row r="4128" ht="30.75" customHeight="1" thickBot="1" x14ac:dyDescent="0.25"/>
    <row r="4129" ht="30.75" customHeight="1" thickBot="1" x14ac:dyDescent="0.25"/>
    <row r="4130" ht="30.75" customHeight="1" thickBot="1" x14ac:dyDescent="0.25"/>
    <row r="4131" ht="30.75" customHeight="1" thickBot="1" x14ac:dyDescent="0.25"/>
    <row r="4132" ht="30.75" customHeight="1" thickBot="1" x14ac:dyDescent="0.25"/>
    <row r="4133" ht="30.75" customHeight="1" thickBot="1" x14ac:dyDescent="0.25"/>
    <row r="4134" ht="30.75" customHeight="1" thickBot="1" x14ac:dyDescent="0.25"/>
    <row r="4135" ht="30.75" customHeight="1" thickBot="1" x14ac:dyDescent="0.25"/>
    <row r="4136" ht="30.75" customHeight="1" thickBot="1" x14ac:dyDescent="0.25"/>
    <row r="4137" ht="30.75" customHeight="1" thickBot="1" x14ac:dyDescent="0.25"/>
    <row r="4138" ht="30.75" customHeight="1" thickBot="1" x14ac:dyDescent="0.25"/>
    <row r="4139" ht="30.75" customHeight="1" thickBot="1" x14ac:dyDescent="0.25"/>
    <row r="4140" ht="30.75" customHeight="1" thickBot="1" x14ac:dyDescent="0.25"/>
    <row r="4141" ht="30.75" customHeight="1" thickBot="1" x14ac:dyDescent="0.25"/>
    <row r="4142" ht="30.75" customHeight="1" thickBot="1" x14ac:dyDescent="0.25"/>
    <row r="4143" ht="30.75" customHeight="1" thickBot="1" x14ac:dyDescent="0.25"/>
    <row r="4144" ht="30.75" customHeight="1" thickBot="1" x14ac:dyDescent="0.25"/>
    <row r="4145" ht="30.75" customHeight="1" thickBot="1" x14ac:dyDescent="0.25"/>
    <row r="4146" ht="30.75" customHeight="1" thickBot="1" x14ac:dyDescent="0.25"/>
    <row r="4147" ht="30.75" customHeight="1" thickBot="1" x14ac:dyDescent="0.25"/>
    <row r="4148" ht="30.75" customHeight="1" thickBot="1" x14ac:dyDescent="0.25"/>
    <row r="4149" ht="30.75" customHeight="1" thickBot="1" x14ac:dyDescent="0.25"/>
    <row r="4150" ht="30.75" customHeight="1" thickBot="1" x14ac:dyDescent="0.25"/>
    <row r="4151" ht="30.75" customHeight="1" thickBot="1" x14ac:dyDescent="0.25"/>
    <row r="4152" ht="30.75" customHeight="1" thickBot="1" x14ac:dyDescent="0.25"/>
    <row r="4153" ht="30.75" customHeight="1" thickBot="1" x14ac:dyDescent="0.25"/>
    <row r="4154" ht="30.75" customHeight="1" thickBot="1" x14ac:dyDescent="0.25"/>
    <row r="4155" ht="30.75" customHeight="1" thickBot="1" x14ac:dyDescent="0.25"/>
    <row r="4156" ht="30.75" customHeight="1" thickBot="1" x14ac:dyDescent="0.25"/>
    <row r="4157" ht="30.75" customHeight="1" thickBot="1" x14ac:dyDescent="0.25"/>
    <row r="4158" ht="30.75" customHeight="1" thickBot="1" x14ac:dyDescent="0.25"/>
    <row r="4159" ht="30.75" customHeight="1" thickBot="1" x14ac:dyDescent="0.25"/>
    <row r="4160" ht="30.75" customHeight="1" thickBot="1" x14ac:dyDescent="0.25"/>
    <row r="4161" ht="30.75" customHeight="1" thickBot="1" x14ac:dyDescent="0.25"/>
    <row r="4162" ht="30.75" customHeight="1" thickBot="1" x14ac:dyDescent="0.25"/>
    <row r="4163" ht="30.75" customHeight="1" thickBot="1" x14ac:dyDescent="0.25"/>
    <row r="4164" ht="30.75" customHeight="1" thickBot="1" x14ac:dyDescent="0.25"/>
    <row r="4165" ht="30.75" customHeight="1" thickBot="1" x14ac:dyDescent="0.25"/>
    <row r="4166" ht="30.75" customHeight="1" thickBot="1" x14ac:dyDescent="0.25"/>
    <row r="4167" ht="30.75" customHeight="1" thickBot="1" x14ac:dyDescent="0.25"/>
    <row r="4168" ht="30.75" customHeight="1" thickBot="1" x14ac:dyDescent="0.25"/>
    <row r="4169" ht="30.75" customHeight="1" thickBot="1" x14ac:dyDescent="0.25"/>
    <row r="4170" ht="30.75" customHeight="1" thickBot="1" x14ac:dyDescent="0.25"/>
    <row r="4171" ht="30.75" customHeight="1" thickBot="1" x14ac:dyDescent="0.25"/>
    <row r="4172" ht="30.75" customHeight="1" thickBot="1" x14ac:dyDescent="0.25"/>
    <row r="4173" ht="30.75" customHeight="1" thickBot="1" x14ac:dyDescent="0.25"/>
    <row r="4174" ht="30.75" customHeight="1" thickBot="1" x14ac:dyDescent="0.25"/>
    <row r="4175" ht="30.75" customHeight="1" thickBot="1" x14ac:dyDescent="0.25"/>
    <row r="4176" ht="30.75" customHeight="1" thickBot="1" x14ac:dyDescent="0.25"/>
    <row r="4177" ht="30.75" customHeight="1" thickBot="1" x14ac:dyDescent="0.25"/>
    <row r="4178" ht="30.75" customHeight="1" thickBot="1" x14ac:dyDescent="0.25"/>
    <row r="4179" ht="30.75" customHeight="1" thickBot="1" x14ac:dyDescent="0.25"/>
    <row r="4180" ht="30.75" customHeight="1" thickBot="1" x14ac:dyDescent="0.25"/>
    <row r="4181" ht="30.75" customHeight="1" thickBot="1" x14ac:dyDescent="0.25"/>
    <row r="4182" ht="30.75" customHeight="1" thickBot="1" x14ac:dyDescent="0.25"/>
    <row r="4183" ht="30.75" customHeight="1" thickBot="1" x14ac:dyDescent="0.25"/>
    <row r="4184" ht="30.75" customHeight="1" thickBot="1" x14ac:dyDescent="0.25"/>
    <row r="4185" ht="30.75" customHeight="1" thickBot="1" x14ac:dyDescent="0.25"/>
    <row r="4186" ht="30.75" customHeight="1" thickBot="1" x14ac:dyDescent="0.25"/>
    <row r="4187" ht="30.75" customHeight="1" thickBot="1" x14ac:dyDescent="0.25"/>
    <row r="4188" ht="30.75" customHeight="1" thickBot="1" x14ac:dyDescent="0.25"/>
    <row r="4189" ht="30.75" customHeight="1" thickBot="1" x14ac:dyDescent="0.25"/>
    <row r="4190" ht="30.75" customHeight="1" thickBot="1" x14ac:dyDescent="0.25"/>
    <row r="4191" ht="30.75" customHeight="1" thickBot="1" x14ac:dyDescent="0.25"/>
    <row r="4192" ht="30.75" customHeight="1" thickBot="1" x14ac:dyDescent="0.25"/>
    <row r="4193" ht="30.75" customHeight="1" thickBot="1" x14ac:dyDescent="0.25"/>
    <row r="4194" ht="30.75" customHeight="1" thickBot="1" x14ac:dyDescent="0.25"/>
    <row r="4195" ht="30.75" customHeight="1" thickBot="1" x14ac:dyDescent="0.25"/>
    <row r="4196" ht="30.75" customHeight="1" thickBot="1" x14ac:dyDescent="0.25"/>
    <row r="4197" ht="30.75" customHeight="1" thickBot="1" x14ac:dyDescent="0.25"/>
    <row r="4198" ht="30.75" customHeight="1" thickBot="1" x14ac:dyDescent="0.25"/>
    <row r="4199" ht="30.75" customHeight="1" thickBot="1" x14ac:dyDescent="0.25"/>
    <row r="4200" ht="30.75" customHeight="1" thickBot="1" x14ac:dyDescent="0.25"/>
    <row r="4201" ht="30.75" customHeight="1" thickBot="1" x14ac:dyDescent="0.25"/>
    <row r="4202" ht="30.75" customHeight="1" thickBot="1" x14ac:dyDescent="0.25"/>
    <row r="4203" ht="30.75" customHeight="1" thickBot="1" x14ac:dyDescent="0.25"/>
    <row r="4204" ht="30.75" customHeight="1" thickBot="1" x14ac:dyDescent="0.25"/>
    <row r="4205" ht="30.75" customHeight="1" thickBot="1" x14ac:dyDescent="0.25"/>
    <row r="4206" ht="30.75" customHeight="1" thickBot="1" x14ac:dyDescent="0.25"/>
    <row r="4207" ht="30.75" customHeight="1" thickBot="1" x14ac:dyDescent="0.25"/>
    <row r="4208" ht="30.75" customHeight="1" thickBot="1" x14ac:dyDescent="0.25"/>
    <row r="4209" ht="30.75" customHeight="1" thickBot="1" x14ac:dyDescent="0.25"/>
    <row r="4210" ht="30.75" customHeight="1" thickBot="1" x14ac:dyDescent="0.25"/>
    <row r="4211" ht="30.75" customHeight="1" thickBot="1" x14ac:dyDescent="0.25"/>
    <row r="4212" ht="30.75" customHeight="1" thickBot="1" x14ac:dyDescent="0.25"/>
    <row r="4213" ht="30.75" customHeight="1" thickBot="1" x14ac:dyDescent="0.25"/>
    <row r="4214" ht="30.75" customHeight="1" thickBot="1" x14ac:dyDescent="0.25"/>
    <row r="4215" ht="30.75" customHeight="1" thickBot="1" x14ac:dyDescent="0.25"/>
    <row r="4216" ht="30.75" customHeight="1" thickBot="1" x14ac:dyDescent="0.25"/>
    <row r="4217" ht="30.75" customHeight="1" thickBot="1" x14ac:dyDescent="0.25"/>
    <row r="4218" ht="30.75" customHeight="1" thickBot="1" x14ac:dyDescent="0.25"/>
    <row r="4219" ht="30.75" customHeight="1" thickBot="1" x14ac:dyDescent="0.25"/>
    <row r="4220" ht="30.75" customHeight="1" thickBot="1" x14ac:dyDescent="0.25"/>
    <row r="4221" ht="30.75" customHeight="1" thickBot="1" x14ac:dyDescent="0.25"/>
    <row r="4222" ht="30.75" customHeight="1" thickBot="1" x14ac:dyDescent="0.25"/>
    <row r="4223" ht="30.75" customHeight="1" thickBot="1" x14ac:dyDescent="0.25"/>
    <row r="4224" ht="30.75" customHeight="1" thickBot="1" x14ac:dyDescent="0.25"/>
    <row r="4225" ht="30.75" customHeight="1" thickBot="1" x14ac:dyDescent="0.25"/>
    <row r="4226" ht="30.75" customHeight="1" thickBot="1" x14ac:dyDescent="0.25"/>
    <row r="4227" ht="30.75" customHeight="1" thickBot="1" x14ac:dyDescent="0.25"/>
    <row r="4228" ht="30.75" customHeight="1" thickBot="1" x14ac:dyDescent="0.25"/>
    <row r="4229" ht="30.75" customHeight="1" thickBot="1" x14ac:dyDescent="0.25"/>
    <row r="4230" ht="30.75" customHeight="1" thickBot="1" x14ac:dyDescent="0.25"/>
    <row r="4231" ht="30.75" customHeight="1" thickBot="1" x14ac:dyDescent="0.25"/>
    <row r="4232" ht="30.75" customHeight="1" thickBot="1" x14ac:dyDescent="0.25"/>
    <row r="4233" ht="30.75" customHeight="1" thickBot="1" x14ac:dyDescent="0.25"/>
    <row r="4234" ht="30.75" customHeight="1" thickBot="1" x14ac:dyDescent="0.25"/>
    <row r="4235" ht="30.75" customHeight="1" thickBot="1" x14ac:dyDescent="0.25"/>
    <row r="4236" ht="30.75" customHeight="1" thickBot="1" x14ac:dyDescent="0.25"/>
    <row r="4237" ht="30.75" customHeight="1" thickBot="1" x14ac:dyDescent="0.25"/>
    <row r="4238" ht="30.75" customHeight="1" thickBot="1" x14ac:dyDescent="0.25"/>
    <row r="4239" ht="30.75" customHeight="1" thickBot="1" x14ac:dyDescent="0.25"/>
    <row r="4240" ht="30.75" customHeight="1" thickBot="1" x14ac:dyDescent="0.25"/>
    <row r="4241" ht="30.75" customHeight="1" thickBot="1" x14ac:dyDescent="0.25"/>
    <row r="4242" ht="30.75" customHeight="1" thickBot="1" x14ac:dyDescent="0.25"/>
    <row r="4243" ht="30.75" customHeight="1" thickBot="1" x14ac:dyDescent="0.25"/>
    <row r="4244" ht="30.75" customHeight="1" thickBot="1" x14ac:dyDescent="0.25"/>
    <row r="4245" ht="30.75" customHeight="1" thickBot="1" x14ac:dyDescent="0.25"/>
    <row r="4246" ht="30.75" customHeight="1" thickBot="1" x14ac:dyDescent="0.25"/>
    <row r="4247" ht="30.75" customHeight="1" thickBot="1" x14ac:dyDescent="0.25"/>
    <row r="4248" ht="30.75" customHeight="1" thickBot="1" x14ac:dyDescent="0.25"/>
    <row r="4249" ht="30.75" customHeight="1" thickBot="1" x14ac:dyDescent="0.25"/>
    <row r="4250" ht="30.75" customHeight="1" thickBot="1" x14ac:dyDescent="0.25"/>
    <row r="4251" ht="30.75" customHeight="1" thickBot="1" x14ac:dyDescent="0.25"/>
    <row r="4252" ht="30.75" customHeight="1" thickBot="1" x14ac:dyDescent="0.25"/>
    <row r="4253" ht="30.75" customHeight="1" thickBot="1" x14ac:dyDescent="0.25"/>
    <row r="4254" ht="30.75" customHeight="1" thickBot="1" x14ac:dyDescent="0.25"/>
    <row r="4255" ht="30.75" customHeight="1" thickBot="1" x14ac:dyDescent="0.25"/>
    <row r="4256" ht="30.75" customHeight="1" thickBot="1" x14ac:dyDescent="0.25"/>
    <row r="4257" ht="30.75" customHeight="1" thickBot="1" x14ac:dyDescent="0.25"/>
    <row r="4258" ht="30.75" customHeight="1" thickBot="1" x14ac:dyDescent="0.25"/>
    <row r="4259" ht="30.75" customHeight="1" thickBot="1" x14ac:dyDescent="0.25"/>
    <row r="4260" ht="30.75" customHeight="1" thickBot="1" x14ac:dyDescent="0.25"/>
    <row r="4261" ht="30.75" customHeight="1" thickBot="1" x14ac:dyDescent="0.25"/>
    <row r="4262" ht="30.75" customHeight="1" thickBot="1" x14ac:dyDescent="0.25"/>
    <row r="4263" ht="30.75" customHeight="1" thickBot="1" x14ac:dyDescent="0.25"/>
    <row r="4264" ht="30.75" customHeight="1" thickBot="1" x14ac:dyDescent="0.25"/>
    <row r="4265" ht="30.75" customHeight="1" thickBot="1" x14ac:dyDescent="0.25"/>
    <row r="4266" ht="30.75" customHeight="1" thickBot="1" x14ac:dyDescent="0.25"/>
    <row r="4267" ht="30.75" customHeight="1" thickBot="1" x14ac:dyDescent="0.25"/>
    <row r="4268" ht="30.75" customHeight="1" thickBot="1" x14ac:dyDescent="0.25"/>
    <row r="4269" ht="30.75" customHeight="1" thickBot="1" x14ac:dyDescent="0.25"/>
    <row r="4270" ht="30.75" customHeight="1" thickBot="1" x14ac:dyDescent="0.25"/>
    <row r="4271" ht="30.75" customHeight="1" thickBot="1" x14ac:dyDescent="0.25"/>
    <row r="4272" ht="30.75" customHeight="1" thickBot="1" x14ac:dyDescent="0.25"/>
    <row r="4273" ht="30.75" customHeight="1" thickBot="1" x14ac:dyDescent="0.25"/>
    <row r="4274" ht="30.75" customHeight="1" thickBot="1" x14ac:dyDescent="0.25"/>
    <row r="4275" ht="30.75" customHeight="1" thickBot="1" x14ac:dyDescent="0.25"/>
    <row r="4276" ht="30.75" customHeight="1" thickBot="1" x14ac:dyDescent="0.25"/>
    <row r="4277" ht="30.75" customHeight="1" thickBot="1" x14ac:dyDescent="0.25"/>
    <row r="4278" ht="30.75" customHeight="1" thickBot="1" x14ac:dyDescent="0.25"/>
    <row r="4279" ht="30.75" customHeight="1" thickBot="1" x14ac:dyDescent="0.25"/>
    <row r="4280" ht="30.75" customHeight="1" thickBot="1" x14ac:dyDescent="0.25"/>
    <row r="4281" ht="30.75" customHeight="1" thickBot="1" x14ac:dyDescent="0.25"/>
    <row r="4282" ht="30.75" customHeight="1" thickBot="1" x14ac:dyDescent="0.25"/>
    <row r="4283" ht="30.75" customHeight="1" thickBot="1" x14ac:dyDescent="0.25"/>
    <row r="4284" ht="30.75" customHeight="1" thickBot="1" x14ac:dyDescent="0.25"/>
    <row r="4285" ht="30.75" customHeight="1" thickBot="1" x14ac:dyDescent="0.25"/>
    <row r="4286" ht="30.75" customHeight="1" thickBot="1" x14ac:dyDescent="0.25"/>
    <row r="4287" ht="30.75" customHeight="1" thickBot="1" x14ac:dyDescent="0.25"/>
    <row r="4288" ht="30.75" customHeight="1" thickBot="1" x14ac:dyDescent="0.25"/>
    <row r="4289" ht="30.75" customHeight="1" thickBot="1" x14ac:dyDescent="0.25"/>
    <row r="4290" ht="30.75" customHeight="1" thickBot="1" x14ac:dyDescent="0.25"/>
    <row r="4291" ht="30.75" customHeight="1" thickBot="1" x14ac:dyDescent="0.25"/>
    <row r="4292" ht="30.75" customHeight="1" thickBot="1" x14ac:dyDescent="0.25"/>
    <row r="4293" ht="30.75" customHeight="1" thickBot="1" x14ac:dyDescent="0.25"/>
    <row r="4294" ht="30.75" customHeight="1" thickBot="1" x14ac:dyDescent="0.25"/>
    <row r="4295" ht="30.75" customHeight="1" thickBot="1" x14ac:dyDescent="0.25"/>
    <row r="4296" ht="30.75" customHeight="1" thickBot="1" x14ac:dyDescent="0.25"/>
    <row r="4297" ht="30.75" customHeight="1" thickBot="1" x14ac:dyDescent="0.25"/>
    <row r="4298" ht="30.75" customHeight="1" thickBot="1" x14ac:dyDescent="0.25"/>
    <row r="4299" ht="30.75" customHeight="1" thickBot="1" x14ac:dyDescent="0.25"/>
    <row r="4300" ht="30.75" customHeight="1" thickBot="1" x14ac:dyDescent="0.25"/>
    <row r="4301" ht="30.75" customHeight="1" thickBot="1" x14ac:dyDescent="0.25"/>
    <row r="4302" ht="30.75" customHeight="1" thickBot="1" x14ac:dyDescent="0.25"/>
    <row r="4303" ht="30.75" customHeight="1" thickBot="1" x14ac:dyDescent="0.25"/>
    <row r="4304" ht="30.75" customHeight="1" thickBot="1" x14ac:dyDescent="0.25"/>
    <row r="4305" ht="30.75" customHeight="1" thickBot="1" x14ac:dyDescent="0.25"/>
    <row r="4306" ht="30.75" customHeight="1" thickBot="1" x14ac:dyDescent="0.25"/>
    <row r="4307" ht="30.75" customHeight="1" thickBot="1" x14ac:dyDescent="0.25"/>
    <row r="4308" ht="30.75" customHeight="1" thickBot="1" x14ac:dyDescent="0.25"/>
    <row r="4309" ht="30.75" customHeight="1" thickBot="1" x14ac:dyDescent="0.25"/>
    <row r="4310" ht="30.75" customHeight="1" thickBot="1" x14ac:dyDescent="0.25"/>
    <row r="4311" ht="30.75" customHeight="1" thickBot="1" x14ac:dyDescent="0.25"/>
    <row r="4312" ht="30.75" customHeight="1" thickBot="1" x14ac:dyDescent="0.25"/>
    <row r="4313" ht="30.75" customHeight="1" thickBot="1" x14ac:dyDescent="0.25"/>
    <row r="4314" ht="30.75" customHeight="1" thickBot="1" x14ac:dyDescent="0.25"/>
    <row r="4315" ht="30.75" customHeight="1" thickBot="1" x14ac:dyDescent="0.25"/>
    <row r="4316" ht="30.75" customHeight="1" thickBot="1" x14ac:dyDescent="0.25"/>
    <row r="4317" ht="30.75" customHeight="1" thickBot="1" x14ac:dyDescent="0.25"/>
    <row r="4318" ht="30.75" customHeight="1" thickBot="1" x14ac:dyDescent="0.25"/>
    <row r="4319" ht="30.75" customHeight="1" thickBot="1" x14ac:dyDescent="0.25"/>
    <row r="4320" ht="30.75" customHeight="1" thickBot="1" x14ac:dyDescent="0.25"/>
    <row r="4321" ht="30.75" customHeight="1" thickBot="1" x14ac:dyDescent="0.25"/>
    <row r="4322" ht="30.75" customHeight="1" thickBot="1" x14ac:dyDescent="0.25"/>
    <row r="4323" ht="30.75" customHeight="1" thickBot="1" x14ac:dyDescent="0.25"/>
    <row r="4324" ht="30.75" customHeight="1" thickBot="1" x14ac:dyDescent="0.25"/>
    <row r="4325" ht="30.75" customHeight="1" thickBot="1" x14ac:dyDescent="0.25"/>
    <row r="4326" ht="30.75" customHeight="1" thickBot="1" x14ac:dyDescent="0.25"/>
    <row r="4327" ht="30.75" customHeight="1" thickBot="1" x14ac:dyDescent="0.25"/>
    <row r="4328" ht="30.75" customHeight="1" thickBot="1" x14ac:dyDescent="0.25"/>
    <row r="4329" ht="30.75" customHeight="1" thickBot="1" x14ac:dyDescent="0.25"/>
    <row r="4330" ht="30.75" customHeight="1" thickBot="1" x14ac:dyDescent="0.25"/>
    <row r="4331" ht="30.75" customHeight="1" thickBot="1" x14ac:dyDescent="0.25"/>
    <row r="4332" ht="30.75" customHeight="1" thickBot="1" x14ac:dyDescent="0.25"/>
    <row r="4333" ht="30.75" customHeight="1" thickBot="1" x14ac:dyDescent="0.25"/>
    <row r="4334" ht="30.75" customHeight="1" thickBot="1" x14ac:dyDescent="0.25"/>
    <row r="4335" ht="30.75" customHeight="1" thickBot="1" x14ac:dyDescent="0.25"/>
    <row r="4336" ht="30.75" customHeight="1" thickBot="1" x14ac:dyDescent="0.25"/>
    <row r="4337" ht="30.75" customHeight="1" thickBot="1" x14ac:dyDescent="0.25"/>
    <row r="4338" ht="30.75" customHeight="1" thickBot="1" x14ac:dyDescent="0.25"/>
    <row r="4339" ht="30.75" customHeight="1" thickBot="1" x14ac:dyDescent="0.25"/>
    <row r="4340" ht="30.75" customHeight="1" thickBot="1" x14ac:dyDescent="0.25"/>
    <row r="4341" ht="30.75" customHeight="1" thickBot="1" x14ac:dyDescent="0.25"/>
    <row r="4342" ht="30.75" customHeight="1" thickBot="1" x14ac:dyDescent="0.25"/>
    <row r="4343" ht="30.75" customHeight="1" thickBot="1" x14ac:dyDescent="0.25"/>
    <row r="4344" ht="30.75" customHeight="1" thickBot="1" x14ac:dyDescent="0.25"/>
    <row r="4345" ht="30.75" customHeight="1" thickBot="1" x14ac:dyDescent="0.25"/>
    <row r="4346" ht="30.75" customHeight="1" thickBot="1" x14ac:dyDescent="0.25"/>
    <row r="4347" ht="30.75" customHeight="1" thickBot="1" x14ac:dyDescent="0.25"/>
    <row r="4348" ht="30.75" customHeight="1" thickBot="1" x14ac:dyDescent="0.25"/>
    <row r="4349" ht="30.75" customHeight="1" thickBot="1" x14ac:dyDescent="0.25"/>
    <row r="4350" ht="30.75" customHeight="1" thickBot="1" x14ac:dyDescent="0.25"/>
    <row r="4351" ht="30.75" customHeight="1" thickBot="1" x14ac:dyDescent="0.25"/>
    <row r="4352" ht="30.75" customHeight="1" thickBot="1" x14ac:dyDescent="0.25"/>
    <row r="4353" ht="30.75" customHeight="1" thickBot="1" x14ac:dyDescent="0.25"/>
    <row r="4354" ht="30.75" customHeight="1" thickBot="1" x14ac:dyDescent="0.25"/>
    <row r="4355" ht="30.75" customHeight="1" thickBot="1" x14ac:dyDescent="0.25"/>
    <row r="4356" ht="30.75" customHeight="1" thickBot="1" x14ac:dyDescent="0.25"/>
    <row r="4357" ht="30.75" customHeight="1" thickBot="1" x14ac:dyDescent="0.25"/>
    <row r="4358" ht="30.75" customHeight="1" thickBot="1" x14ac:dyDescent="0.25"/>
    <row r="4359" ht="30.75" customHeight="1" thickBot="1" x14ac:dyDescent="0.25"/>
    <row r="4360" ht="30.75" customHeight="1" thickBot="1" x14ac:dyDescent="0.25"/>
    <row r="4361" ht="30.75" customHeight="1" thickBot="1" x14ac:dyDescent="0.25"/>
    <row r="4362" ht="30.75" customHeight="1" thickBot="1" x14ac:dyDescent="0.25"/>
    <row r="4363" ht="30.75" customHeight="1" thickBot="1" x14ac:dyDescent="0.25"/>
    <row r="4364" ht="30.75" customHeight="1" thickBot="1" x14ac:dyDescent="0.25"/>
    <row r="4365" ht="30.75" customHeight="1" thickBot="1" x14ac:dyDescent="0.25"/>
    <row r="4366" ht="30.75" customHeight="1" thickBot="1" x14ac:dyDescent="0.25"/>
    <row r="4367" ht="30.75" customHeight="1" thickBot="1" x14ac:dyDescent="0.25"/>
    <row r="4368" ht="30.75" customHeight="1" thickBot="1" x14ac:dyDescent="0.25"/>
    <row r="4369" ht="30.75" customHeight="1" thickBot="1" x14ac:dyDescent="0.25"/>
    <row r="4370" ht="30.75" customHeight="1" thickBot="1" x14ac:dyDescent="0.25"/>
    <row r="4371" ht="30.75" customHeight="1" thickBot="1" x14ac:dyDescent="0.25"/>
    <row r="4372" ht="30.75" customHeight="1" thickBot="1" x14ac:dyDescent="0.25"/>
    <row r="4373" ht="30.75" customHeight="1" thickBot="1" x14ac:dyDescent="0.25"/>
    <row r="4374" ht="30.75" customHeight="1" thickBot="1" x14ac:dyDescent="0.25"/>
    <row r="4375" ht="30.75" customHeight="1" thickBot="1" x14ac:dyDescent="0.25"/>
    <row r="4376" ht="30.75" customHeight="1" thickBot="1" x14ac:dyDescent="0.25"/>
    <row r="4377" ht="30.75" customHeight="1" thickBot="1" x14ac:dyDescent="0.25"/>
    <row r="4378" ht="30.75" customHeight="1" thickBot="1" x14ac:dyDescent="0.25"/>
    <row r="4379" ht="30.75" customHeight="1" thickBot="1" x14ac:dyDescent="0.25"/>
    <row r="4380" ht="30.75" customHeight="1" thickBot="1" x14ac:dyDescent="0.25"/>
    <row r="4381" ht="30.75" customHeight="1" thickBot="1" x14ac:dyDescent="0.25"/>
    <row r="4382" ht="30.75" customHeight="1" thickBot="1" x14ac:dyDescent="0.25"/>
    <row r="4383" ht="30.75" customHeight="1" thickBot="1" x14ac:dyDescent="0.25"/>
    <row r="4384" ht="30.75" customHeight="1" thickBot="1" x14ac:dyDescent="0.25"/>
    <row r="4385" ht="30.75" customHeight="1" thickBot="1" x14ac:dyDescent="0.25"/>
    <row r="4386" ht="30.75" customHeight="1" thickBot="1" x14ac:dyDescent="0.25"/>
    <row r="4387" ht="30.75" customHeight="1" thickBot="1" x14ac:dyDescent="0.25"/>
    <row r="4388" ht="30.75" customHeight="1" thickBot="1" x14ac:dyDescent="0.25"/>
    <row r="4389" ht="30.75" customHeight="1" thickBot="1" x14ac:dyDescent="0.25"/>
    <row r="4390" ht="30.75" customHeight="1" thickBot="1" x14ac:dyDescent="0.25"/>
    <row r="4391" ht="30.75" customHeight="1" thickBot="1" x14ac:dyDescent="0.25"/>
    <row r="4392" ht="30.75" customHeight="1" thickBot="1" x14ac:dyDescent="0.25"/>
    <row r="4393" ht="30.75" customHeight="1" thickBot="1" x14ac:dyDescent="0.25"/>
    <row r="4394" ht="30.75" customHeight="1" thickBot="1" x14ac:dyDescent="0.25"/>
    <row r="4395" ht="30.75" customHeight="1" thickBot="1" x14ac:dyDescent="0.25"/>
    <row r="4396" ht="30.75" customHeight="1" thickBot="1" x14ac:dyDescent="0.25"/>
    <row r="4397" ht="30.75" customHeight="1" thickBot="1" x14ac:dyDescent="0.25"/>
    <row r="4398" ht="30.75" customHeight="1" thickBot="1" x14ac:dyDescent="0.25"/>
    <row r="4399" ht="30.75" customHeight="1" thickBot="1" x14ac:dyDescent="0.25"/>
    <row r="4400" ht="30.75" customHeight="1" thickBot="1" x14ac:dyDescent="0.25"/>
    <row r="4401" ht="30.75" customHeight="1" thickBot="1" x14ac:dyDescent="0.25"/>
    <row r="4402" ht="30.75" customHeight="1" thickBot="1" x14ac:dyDescent="0.25"/>
    <row r="4403" ht="30.75" customHeight="1" thickBot="1" x14ac:dyDescent="0.25"/>
    <row r="4404" ht="30.75" customHeight="1" thickBot="1" x14ac:dyDescent="0.25"/>
    <row r="4405" ht="30.75" customHeight="1" thickBot="1" x14ac:dyDescent="0.25"/>
    <row r="4406" ht="30.75" customHeight="1" thickBot="1" x14ac:dyDescent="0.25"/>
    <row r="4407" ht="30.75" customHeight="1" thickBot="1" x14ac:dyDescent="0.25"/>
    <row r="4408" ht="30.75" customHeight="1" thickBot="1" x14ac:dyDescent="0.25"/>
    <row r="4409" ht="30.75" customHeight="1" thickBot="1" x14ac:dyDescent="0.25"/>
    <row r="4410" ht="30.75" customHeight="1" thickBot="1" x14ac:dyDescent="0.25"/>
    <row r="4411" ht="30.75" customHeight="1" thickBot="1" x14ac:dyDescent="0.25"/>
    <row r="4412" ht="30.75" customHeight="1" thickBot="1" x14ac:dyDescent="0.25"/>
    <row r="4413" ht="30.75" customHeight="1" thickBot="1" x14ac:dyDescent="0.25"/>
    <row r="4414" ht="30.75" customHeight="1" thickBot="1" x14ac:dyDescent="0.25"/>
    <row r="4415" ht="30.75" customHeight="1" thickBot="1" x14ac:dyDescent="0.25"/>
    <row r="4416" ht="30.75" customHeight="1" thickBot="1" x14ac:dyDescent="0.25"/>
    <row r="4417" ht="30.75" customHeight="1" thickBot="1" x14ac:dyDescent="0.25"/>
    <row r="4418" ht="30.75" customHeight="1" thickBot="1" x14ac:dyDescent="0.25"/>
    <row r="4419" ht="30.75" customHeight="1" thickBot="1" x14ac:dyDescent="0.25"/>
    <row r="4420" ht="30.75" customHeight="1" thickBot="1" x14ac:dyDescent="0.25"/>
    <row r="4421" ht="30.75" customHeight="1" thickBot="1" x14ac:dyDescent="0.25"/>
    <row r="4422" ht="30.75" customHeight="1" thickBot="1" x14ac:dyDescent="0.25"/>
    <row r="4423" ht="30.75" customHeight="1" thickBot="1" x14ac:dyDescent="0.25"/>
    <row r="4424" ht="30.75" customHeight="1" thickBot="1" x14ac:dyDescent="0.25"/>
    <row r="4425" ht="30.75" customHeight="1" thickBot="1" x14ac:dyDescent="0.25"/>
    <row r="4426" ht="30.75" customHeight="1" thickBot="1" x14ac:dyDescent="0.25"/>
    <row r="4427" ht="30.75" customHeight="1" thickBot="1" x14ac:dyDescent="0.25"/>
    <row r="4428" ht="30.75" customHeight="1" thickBot="1" x14ac:dyDescent="0.25"/>
    <row r="4429" ht="30.75" customHeight="1" thickBot="1" x14ac:dyDescent="0.25"/>
    <row r="4430" ht="30.75" customHeight="1" thickBot="1" x14ac:dyDescent="0.25"/>
    <row r="4431" ht="30.75" customHeight="1" thickBot="1" x14ac:dyDescent="0.25"/>
    <row r="4432" ht="30.75" customHeight="1" thickBot="1" x14ac:dyDescent="0.25"/>
    <row r="4433" ht="30.75" customHeight="1" thickBot="1" x14ac:dyDescent="0.25"/>
    <row r="4434" ht="30.75" customHeight="1" thickBot="1" x14ac:dyDescent="0.25"/>
    <row r="4435" ht="30.75" customHeight="1" thickBot="1" x14ac:dyDescent="0.25"/>
    <row r="4436" ht="30.75" customHeight="1" thickBot="1" x14ac:dyDescent="0.25"/>
    <row r="4437" ht="30.75" customHeight="1" thickBot="1" x14ac:dyDescent="0.25"/>
    <row r="4438" ht="30.75" customHeight="1" thickBot="1" x14ac:dyDescent="0.25"/>
    <row r="4439" ht="30.75" customHeight="1" thickBot="1" x14ac:dyDescent="0.25"/>
    <row r="4440" ht="30.75" customHeight="1" thickBot="1" x14ac:dyDescent="0.25"/>
    <row r="4441" ht="30.75" customHeight="1" thickBot="1" x14ac:dyDescent="0.25"/>
    <row r="4442" ht="30.75" customHeight="1" thickBot="1" x14ac:dyDescent="0.25"/>
    <row r="4443" ht="30.75" customHeight="1" thickBot="1" x14ac:dyDescent="0.25"/>
    <row r="4444" ht="30.75" customHeight="1" thickBot="1" x14ac:dyDescent="0.25"/>
    <row r="4445" ht="30.75" customHeight="1" thickBot="1" x14ac:dyDescent="0.25"/>
    <row r="4446" ht="30.75" customHeight="1" thickBot="1" x14ac:dyDescent="0.25"/>
    <row r="4447" ht="30.75" customHeight="1" thickBot="1" x14ac:dyDescent="0.25"/>
    <row r="4448" ht="30.75" customHeight="1" thickBot="1" x14ac:dyDescent="0.25"/>
    <row r="4449" ht="30.75" customHeight="1" thickBot="1" x14ac:dyDescent="0.25"/>
    <row r="4450" ht="30.75" customHeight="1" thickBot="1" x14ac:dyDescent="0.25"/>
    <row r="4451" ht="30.75" customHeight="1" thickBot="1" x14ac:dyDescent="0.25"/>
    <row r="4452" ht="30.75" customHeight="1" thickBot="1" x14ac:dyDescent="0.25"/>
    <row r="4453" ht="30.75" customHeight="1" thickBot="1" x14ac:dyDescent="0.25"/>
    <row r="4454" ht="30.75" customHeight="1" thickBot="1" x14ac:dyDescent="0.25"/>
    <row r="4455" ht="30.75" customHeight="1" thickBot="1" x14ac:dyDescent="0.25"/>
    <row r="4456" ht="30.75" customHeight="1" thickBot="1" x14ac:dyDescent="0.25"/>
    <row r="4457" ht="30.75" customHeight="1" thickBot="1" x14ac:dyDescent="0.25"/>
    <row r="4458" ht="30.75" customHeight="1" thickBot="1" x14ac:dyDescent="0.25"/>
    <row r="4459" ht="30.75" customHeight="1" thickBot="1" x14ac:dyDescent="0.25"/>
    <row r="4460" ht="30.75" customHeight="1" thickBot="1" x14ac:dyDescent="0.25"/>
    <row r="4461" ht="30.75" customHeight="1" thickBot="1" x14ac:dyDescent="0.25"/>
    <row r="4462" ht="30.75" customHeight="1" thickBot="1" x14ac:dyDescent="0.25"/>
    <row r="4463" ht="30.75" customHeight="1" thickBot="1" x14ac:dyDescent="0.25"/>
    <row r="4464" ht="30.75" customHeight="1" thickBot="1" x14ac:dyDescent="0.25"/>
    <row r="4465" ht="30.75" customHeight="1" thickBot="1" x14ac:dyDescent="0.25"/>
    <row r="4466" ht="30.75" customHeight="1" thickBot="1" x14ac:dyDescent="0.25"/>
    <row r="4467" ht="30.75" customHeight="1" thickBot="1" x14ac:dyDescent="0.25"/>
    <row r="4468" ht="30.75" customHeight="1" thickBot="1" x14ac:dyDescent="0.25"/>
    <row r="4469" ht="30.75" customHeight="1" thickBot="1" x14ac:dyDescent="0.25"/>
    <row r="4470" ht="30.75" customHeight="1" thickBot="1" x14ac:dyDescent="0.25"/>
    <row r="4471" ht="30.75" customHeight="1" thickBot="1" x14ac:dyDescent="0.25"/>
    <row r="4472" ht="30.75" customHeight="1" thickBot="1" x14ac:dyDescent="0.25"/>
    <row r="4473" ht="30.75" customHeight="1" thickBot="1" x14ac:dyDescent="0.25"/>
    <row r="4474" ht="30.75" customHeight="1" thickBot="1" x14ac:dyDescent="0.25"/>
    <row r="4475" ht="30.75" customHeight="1" thickBot="1" x14ac:dyDescent="0.25"/>
    <row r="4476" ht="30.75" customHeight="1" thickBot="1" x14ac:dyDescent="0.25"/>
    <row r="4477" ht="30.75" customHeight="1" thickBot="1" x14ac:dyDescent="0.25"/>
    <row r="4478" ht="30.75" customHeight="1" thickBot="1" x14ac:dyDescent="0.25"/>
    <row r="4479" ht="30.75" customHeight="1" thickBot="1" x14ac:dyDescent="0.25"/>
    <row r="4480" ht="30.75" customHeight="1" thickBot="1" x14ac:dyDescent="0.25"/>
    <row r="4481" ht="30.75" customHeight="1" thickBot="1" x14ac:dyDescent="0.25"/>
    <row r="4482" ht="30.75" customHeight="1" thickBot="1" x14ac:dyDescent="0.25"/>
    <row r="4483" ht="30.75" customHeight="1" thickBot="1" x14ac:dyDescent="0.25"/>
    <row r="4484" ht="30.75" customHeight="1" thickBot="1" x14ac:dyDescent="0.25"/>
    <row r="4485" ht="30.75" customHeight="1" thickBot="1" x14ac:dyDescent="0.25"/>
    <row r="4486" ht="30.75" customHeight="1" thickBot="1" x14ac:dyDescent="0.25"/>
    <row r="4487" ht="30.75" customHeight="1" thickBot="1" x14ac:dyDescent="0.25"/>
    <row r="4488" ht="30.75" customHeight="1" thickBot="1" x14ac:dyDescent="0.25"/>
    <row r="4489" ht="30.75" customHeight="1" thickBot="1" x14ac:dyDescent="0.25"/>
    <row r="4490" ht="30.75" customHeight="1" thickBot="1" x14ac:dyDescent="0.25"/>
    <row r="4491" ht="30.75" customHeight="1" thickBot="1" x14ac:dyDescent="0.25"/>
    <row r="4492" ht="30.75" customHeight="1" thickBot="1" x14ac:dyDescent="0.25"/>
    <row r="4493" ht="30.75" customHeight="1" thickBot="1" x14ac:dyDescent="0.25"/>
    <row r="4494" ht="30.75" customHeight="1" thickBot="1" x14ac:dyDescent="0.25"/>
    <row r="4495" ht="30.75" customHeight="1" thickBot="1" x14ac:dyDescent="0.25"/>
    <row r="4496" ht="30.75" customHeight="1" thickBot="1" x14ac:dyDescent="0.25"/>
    <row r="4497" ht="30.75" customHeight="1" thickBot="1" x14ac:dyDescent="0.25"/>
    <row r="4498" ht="30.75" customHeight="1" thickBot="1" x14ac:dyDescent="0.25"/>
    <row r="4499" ht="30.75" customHeight="1" thickBot="1" x14ac:dyDescent="0.25"/>
    <row r="4500" ht="30.75" customHeight="1" thickBot="1" x14ac:dyDescent="0.25"/>
    <row r="4501" ht="30.75" customHeight="1" thickBot="1" x14ac:dyDescent="0.25"/>
    <row r="4502" ht="30.75" customHeight="1" thickBot="1" x14ac:dyDescent="0.25"/>
    <row r="4503" ht="30.75" customHeight="1" thickBot="1" x14ac:dyDescent="0.25"/>
    <row r="4504" ht="30.75" customHeight="1" thickBot="1" x14ac:dyDescent="0.25"/>
    <row r="4505" ht="30.75" customHeight="1" thickBot="1" x14ac:dyDescent="0.25"/>
    <row r="4506" ht="30.75" customHeight="1" thickBot="1" x14ac:dyDescent="0.25"/>
    <row r="4507" ht="30.75" customHeight="1" thickBot="1" x14ac:dyDescent="0.25"/>
    <row r="4508" ht="30.75" customHeight="1" thickBot="1" x14ac:dyDescent="0.25"/>
    <row r="4509" ht="30.75" customHeight="1" thickBot="1" x14ac:dyDescent="0.25"/>
    <row r="4510" ht="30.75" customHeight="1" thickBot="1" x14ac:dyDescent="0.25"/>
    <row r="4511" ht="30.75" customHeight="1" thickBot="1" x14ac:dyDescent="0.25"/>
    <row r="4512" ht="30.75" customHeight="1" thickBot="1" x14ac:dyDescent="0.25"/>
    <row r="4513" ht="30.75" customHeight="1" thickBot="1" x14ac:dyDescent="0.25"/>
    <row r="4514" ht="30.75" customHeight="1" thickBot="1" x14ac:dyDescent="0.25"/>
    <row r="4515" ht="30.75" customHeight="1" thickBot="1" x14ac:dyDescent="0.25"/>
    <row r="4516" ht="30.75" customHeight="1" thickBot="1" x14ac:dyDescent="0.25"/>
    <row r="4517" ht="30.75" customHeight="1" thickBot="1" x14ac:dyDescent="0.25"/>
    <row r="4518" ht="30.75" customHeight="1" thickBot="1" x14ac:dyDescent="0.25"/>
    <row r="4519" ht="30.75" customHeight="1" thickBot="1" x14ac:dyDescent="0.25"/>
    <row r="4520" ht="30.75" customHeight="1" thickBot="1" x14ac:dyDescent="0.25"/>
    <row r="4521" ht="30.75" customHeight="1" thickBot="1" x14ac:dyDescent="0.25"/>
    <row r="4522" ht="30.75" customHeight="1" thickBot="1" x14ac:dyDescent="0.25"/>
    <row r="4523" ht="30.75" customHeight="1" thickBot="1" x14ac:dyDescent="0.25"/>
    <row r="4524" ht="30.75" customHeight="1" thickBot="1" x14ac:dyDescent="0.25"/>
    <row r="4525" ht="30.75" customHeight="1" thickBot="1" x14ac:dyDescent="0.25"/>
    <row r="4526" ht="30.75" customHeight="1" thickBot="1" x14ac:dyDescent="0.25"/>
    <row r="4527" ht="30.75" customHeight="1" thickBot="1" x14ac:dyDescent="0.25"/>
    <row r="4528" ht="30.75" customHeight="1" thickBot="1" x14ac:dyDescent="0.25"/>
    <row r="4529" ht="30.75" customHeight="1" thickBot="1" x14ac:dyDescent="0.25"/>
    <row r="4530" ht="30.75" customHeight="1" thickBot="1" x14ac:dyDescent="0.25"/>
    <row r="4531" ht="30.75" customHeight="1" thickBot="1" x14ac:dyDescent="0.25"/>
    <row r="4532" ht="30.75" customHeight="1" thickBot="1" x14ac:dyDescent="0.25"/>
    <row r="4533" ht="30.75" customHeight="1" thickBot="1" x14ac:dyDescent="0.25"/>
    <row r="4534" ht="30.75" customHeight="1" thickBot="1" x14ac:dyDescent="0.25"/>
    <row r="4535" ht="30.75" customHeight="1" thickBot="1" x14ac:dyDescent="0.25"/>
    <row r="4536" ht="30.75" customHeight="1" thickBot="1" x14ac:dyDescent="0.25"/>
    <row r="4537" ht="30.75" customHeight="1" thickBot="1" x14ac:dyDescent="0.25"/>
    <row r="4538" ht="30.75" customHeight="1" thickBot="1" x14ac:dyDescent="0.25"/>
    <row r="4539" ht="30.75" customHeight="1" thickBot="1" x14ac:dyDescent="0.25"/>
    <row r="4540" ht="30.75" customHeight="1" thickBot="1" x14ac:dyDescent="0.25"/>
    <row r="4541" ht="30.75" customHeight="1" thickBot="1" x14ac:dyDescent="0.25"/>
    <row r="4542" ht="30.75" customHeight="1" thickBot="1" x14ac:dyDescent="0.25"/>
    <row r="4543" ht="30.75" customHeight="1" thickBot="1" x14ac:dyDescent="0.25"/>
    <row r="4544" ht="30.75" customHeight="1" thickBot="1" x14ac:dyDescent="0.25"/>
    <row r="4545" ht="30.75" customHeight="1" thickBot="1" x14ac:dyDescent="0.25"/>
    <row r="4546" ht="30.75" customHeight="1" thickBot="1" x14ac:dyDescent="0.25"/>
    <row r="4547" ht="30.75" customHeight="1" thickBot="1" x14ac:dyDescent="0.25"/>
    <row r="4548" ht="30.75" customHeight="1" thickBot="1" x14ac:dyDescent="0.25"/>
    <row r="4549" ht="30.75" customHeight="1" thickBot="1" x14ac:dyDescent="0.25"/>
    <row r="4550" ht="30.75" customHeight="1" thickBot="1" x14ac:dyDescent="0.25"/>
    <row r="4551" ht="30.75" customHeight="1" thickBot="1" x14ac:dyDescent="0.25"/>
    <row r="4552" ht="30.75" customHeight="1" thickBot="1" x14ac:dyDescent="0.25"/>
    <row r="4553" ht="30.75" customHeight="1" thickBot="1" x14ac:dyDescent="0.25"/>
    <row r="4554" ht="30.75" customHeight="1" thickBot="1" x14ac:dyDescent="0.25"/>
    <row r="4555" ht="30.75" customHeight="1" thickBot="1" x14ac:dyDescent="0.25"/>
    <row r="4556" ht="30.75" customHeight="1" thickBot="1" x14ac:dyDescent="0.25"/>
    <row r="4557" ht="30.75" customHeight="1" thickBot="1" x14ac:dyDescent="0.25"/>
    <row r="4558" ht="30.75" customHeight="1" thickBot="1" x14ac:dyDescent="0.25"/>
    <row r="4559" ht="30.75" customHeight="1" thickBot="1" x14ac:dyDescent="0.25"/>
    <row r="4560" ht="30.75" customHeight="1" thickBot="1" x14ac:dyDescent="0.25"/>
    <row r="4561" ht="30.75" customHeight="1" thickBot="1" x14ac:dyDescent="0.25"/>
    <row r="4562" ht="30.75" customHeight="1" thickBot="1" x14ac:dyDescent="0.25"/>
    <row r="4563" ht="30.75" customHeight="1" thickBot="1" x14ac:dyDescent="0.25"/>
    <row r="4564" ht="30.75" customHeight="1" thickBot="1" x14ac:dyDescent="0.25"/>
    <row r="4565" ht="30.75" customHeight="1" thickBot="1" x14ac:dyDescent="0.25"/>
    <row r="4566" ht="30.75" customHeight="1" thickBot="1" x14ac:dyDescent="0.25"/>
    <row r="4567" ht="30.75" customHeight="1" thickBot="1" x14ac:dyDescent="0.25"/>
    <row r="4568" ht="30.75" customHeight="1" thickBot="1" x14ac:dyDescent="0.25"/>
    <row r="4569" ht="30.75" customHeight="1" thickBot="1" x14ac:dyDescent="0.25"/>
    <row r="4570" ht="30.75" customHeight="1" thickBot="1" x14ac:dyDescent="0.25"/>
    <row r="4571" ht="30.75" customHeight="1" thickBot="1" x14ac:dyDescent="0.25"/>
    <row r="4572" ht="30.75" customHeight="1" thickBot="1" x14ac:dyDescent="0.25"/>
    <row r="4573" ht="30.75" customHeight="1" thickBot="1" x14ac:dyDescent="0.25"/>
    <row r="4574" ht="30.75" customHeight="1" thickBot="1" x14ac:dyDescent="0.25"/>
    <row r="4575" ht="30.75" customHeight="1" thickBot="1" x14ac:dyDescent="0.25"/>
    <row r="4576" ht="30.75" customHeight="1" thickBot="1" x14ac:dyDescent="0.25"/>
    <row r="4577" ht="30.75" customHeight="1" thickBot="1" x14ac:dyDescent="0.25"/>
    <row r="4578" ht="30.75" customHeight="1" thickBot="1" x14ac:dyDescent="0.25"/>
    <row r="4579" ht="30.75" customHeight="1" thickBot="1" x14ac:dyDescent="0.25"/>
    <row r="4580" ht="30.75" customHeight="1" thickBot="1" x14ac:dyDescent="0.25"/>
    <row r="4581" ht="30.75" customHeight="1" thickBot="1" x14ac:dyDescent="0.25"/>
    <row r="4582" ht="30.75" customHeight="1" thickBot="1" x14ac:dyDescent="0.25"/>
    <row r="4583" ht="30.75" customHeight="1" thickBot="1" x14ac:dyDescent="0.25"/>
    <row r="4584" ht="30.75" customHeight="1" thickBot="1" x14ac:dyDescent="0.25"/>
    <row r="4585" ht="30.75" customHeight="1" thickBot="1" x14ac:dyDescent="0.25"/>
    <row r="4586" ht="30.75" customHeight="1" thickBot="1" x14ac:dyDescent="0.25"/>
    <row r="4587" ht="30.75" customHeight="1" thickBot="1" x14ac:dyDescent="0.25"/>
    <row r="4588" ht="30.75" customHeight="1" thickBot="1" x14ac:dyDescent="0.25"/>
    <row r="4589" ht="30.75" customHeight="1" thickBot="1" x14ac:dyDescent="0.25"/>
    <row r="4590" ht="30.75" customHeight="1" thickBot="1" x14ac:dyDescent="0.25"/>
    <row r="4591" ht="30.75" customHeight="1" thickBot="1" x14ac:dyDescent="0.25"/>
    <row r="4592" ht="30.75" customHeight="1" thickBot="1" x14ac:dyDescent="0.25"/>
    <row r="4593" ht="30.75" customHeight="1" thickBot="1" x14ac:dyDescent="0.25"/>
    <row r="4594" ht="30.75" customHeight="1" thickBot="1" x14ac:dyDescent="0.25"/>
    <row r="4595" ht="30.75" customHeight="1" thickBot="1" x14ac:dyDescent="0.25"/>
    <row r="4596" ht="30.75" customHeight="1" thickBot="1" x14ac:dyDescent="0.25"/>
    <row r="4597" ht="30.75" customHeight="1" thickBot="1" x14ac:dyDescent="0.25"/>
    <row r="4598" ht="30.75" customHeight="1" thickBot="1" x14ac:dyDescent="0.25"/>
    <row r="4599" ht="30.75" customHeight="1" thickBot="1" x14ac:dyDescent="0.25"/>
    <row r="4600" ht="30.75" customHeight="1" thickBot="1" x14ac:dyDescent="0.25"/>
    <row r="4601" ht="30.75" customHeight="1" thickBot="1" x14ac:dyDescent="0.25"/>
    <row r="4602" ht="30.75" customHeight="1" thickBot="1" x14ac:dyDescent="0.25"/>
    <row r="4603" ht="30.75" customHeight="1" thickBot="1" x14ac:dyDescent="0.25"/>
    <row r="4604" ht="30.75" customHeight="1" thickBot="1" x14ac:dyDescent="0.25"/>
    <row r="4605" ht="30.75" customHeight="1" thickBot="1" x14ac:dyDescent="0.25"/>
    <row r="4606" ht="30.75" customHeight="1" thickBot="1" x14ac:dyDescent="0.25"/>
    <row r="4607" ht="30.75" customHeight="1" thickBot="1" x14ac:dyDescent="0.25"/>
    <row r="4608" ht="30.75" customHeight="1" thickBot="1" x14ac:dyDescent="0.25"/>
    <row r="4609" ht="30.75" customHeight="1" thickBot="1" x14ac:dyDescent="0.25"/>
    <row r="4610" ht="30.75" customHeight="1" thickBot="1" x14ac:dyDescent="0.25"/>
    <row r="4611" ht="30.75" customHeight="1" thickBot="1" x14ac:dyDescent="0.25"/>
    <row r="4612" ht="30.75" customHeight="1" thickBot="1" x14ac:dyDescent="0.25"/>
    <row r="4613" ht="30.75" customHeight="1" thickBot="1" x14ac:dyDescent="0.25"/>
    <row r="4614" ht="30.75" customHeight="1" thickBot="1" x14ac:dyDescent="0.25"/>
    <row r="4615" ht="30.75" customHeight="1" thickBot="1" x14ac:dyDescent="0.25"/>
    <row r="4616" ht="30.75" customHeight="1" thickBot="1" x14ac:dyDescent="0.25"/>
    <row r="4617" ht="30.75" customHeight="1" thickBot="1" x14ac:dyDescent="0.25"/>
    <row r="4618" ht="30.75" customHeight="1" thickBot="1" x14ac:dyDescent="0.25"/>
    <row r="4619" ht="30.75" customHeight="1" thickBot="1" x14ac:dyDescent="0.25"/>
    <row r="4620" ht="30.75" customHeight="1" thickBot="1" x14ac:dyDescent="0.25"/>
    <row r="4621" ht="30.75" customHeight="1" thickBot="1" x14ac:dyDescent="0.25"/>
    <row r="4622" ht="30.75" customHeight="1" thickBot="1" x14ac:dyDescent="0.25"/>
    <row r="4623" ht="30.75" customHeight="1" thickBot="1" x14ac:dyDescent="0.25"/>
    <row r="4624" ht="30.75" customHeight="1" thickBot="1" x14ac:dyDescent="0.25"/>
    <row r="4625" ht="30.75" customHeight="1" thickBot="1" x14ac:dyDescent="0.25"/>
    <row r="4626" ht="30.75" customHeight="1" thickBot="1" x14ac:dyDescent="0.25"/>
    <row r="4627" ht="30.75" customHeight="1" thickBot="1" x14ac:dyDescent="0.25"/>
    <row r="4628" ht="30.75" customHeight="1" thickBot="1" x14ac:dyDescent="0.25"/>
    <row r="4629" ht="30.75" customHeight="1" thickBot="1" x14ac:dyDescent="0.25"/>
    <row r="4630" ht="30.75" customHeight="1" thickBot="1" x14ac:dyDescent="0.25"/>
    <row r="4631" ht="30.75" customHeight="1" thickBot="1" x14ac:dyDescent="0.25"/>
    <row r="4632" ht="30.75" customHeight="1" thickBot="1" x14ac:dyDescent="0.25"/>
    <row r="4633" ht="30.75" customHeight="1" thickBot="1" x14ac:dyDescent="0.25"/>
    <row r="4634" ht="30.75" customHeight="1" thickBot="1" x14ac:dyDescent="0.25"/>
    <row r="4635" ht="30.75" customHeight="1" thickBot="1" x14ac:dyDescent="0.25"/>
    <row r="4636" ht="30.75" customHeight="1" thickBot="1" x14ac:dyDescent="0.25"/>
    <row r="4637" ht="30.75" customHeight="1" thickBot="1" x14ac:dyDescent="0.25"/>
    <row r="4638" ht="30.75" customHeight="1" thickBot="1" x14ac:dyDescent="0.25"/>
    <row r="4639" ht="30.75" customHeight="1" thickBot="1" x14ac:dyDescent="0.25"/>
    <row r="4640" ht="30.75" customHeight="1" thickBot="1" x14ac:dyDescent="0.25"/>
    <row r="4641" ht="30.75" customHeight="1" thickBot="1" x14ac:dyDescent="0.25"/>
    <row r="4642" ht="30.75" customHeight="1" thickBot="1" x14ac:dyDescent="0.25"/>
    <row r="4643" ht="30.75" customHeight="1" thickBot="1" x14ac:dyDescent="0.25"/>
    <row r="4644" ht="30.75" customHeight="1" thickBot="1" x14ac:dyDescent="0.25"/>
    <row r="4645" ht="30.75" customHeight="1" thickBot="1" x14ac:dyDescent="0.25"/>
    <row r="4646" ht="30.75" customHeight="1" thickBot="1" x14ac:dyDescent="0.25"/>
    <row r="4647" ht="30.75" customHeight="1" thickBot="1" x14ac:dyDescent="0.25"/>
    <row r="4648" ht="30.75" customHeight="1" thickBot="1" x14ac:dyDescent="0.25"/>
    <row r="4649" ht="30.75" customHeight="1" thickBot="1" x14ac:dyDescent="0.25"/>
    <row r="4650" ht="30.75" customHeight="1" thickBot="1" x14ac:dyDescent="0.25"/>
    <row r="4651" ht="30.75" customHeight="1" thickBot="1" x14ac:dyDescent="0.25"/>
    <row r="4652" ht="30.75" customHeight="1" thickBot="1" x14ac:dyDescent="0.25"/>
    <row r="4653" ht="30.75" customHeight="1" thickBot="1" x14ac:dyDescent="0.25"/>
    <row r="4654" ht="30.75" customHeight="1" thickBot="1" x14ac:dyDescent="0.25"/>
    <row r="4655" ht="30.75" customHeight="1" thickBot="1" x14ac:dyDescent="0.25"/>
    <row r="4656" ht="30.75" customHeight="1" thickBot="1" x14ac:dyDescent="0.25"/>
    <row r="4657" ht="30.75" customHeight="1" thickBot="1" x14ac:dyDescent="0.25"/>
    <row r="4658" ht="30.75" customHeight="1" thickBot="1" x14ac:dyDescent="0.25"/>
    <row r="4659" ht="30.75" customHeight="1" thickBot="1" x14ac:dyDescent="0.25"/>
    <row r="4660" ht="30.75" customHeight="1" thickBot="1" x14ac:dyDescent="0.25"/>
    <row r="4661" ht="30.75" customHeight="1" thickBot="1" x14ac:dyDescent="0.25"/>
    <row r="4662" ht="30.75" customHeight="1" thickBot="1" x14ac:dyDescent="0.25"/>
    <row r="4663" ht="30.75" customHeight="1" thickBot="1" x14ac:dyDescent="0.25"/>
    <row r="4664" ht="30.75" customHeight="1" thickBot="1" x14ac:dyDescent="0.25"/>
    <row r="4665" ht="30.75" customHeight="1" thickBot="1" x14ac:dyDescent="0.25"/>
    <row r="4666" ht="30.75" customHeight="1" thickBot="1" x14ac:dyDescent="0.25"/>
    <row r="4667" ht="30.75" customHeight="1" thickBot="1" x14ac:dyDescent="0.25"/>
    <row r="4668" ht="30.75" customHeight="1" thickBot="1" x14ac:dyDescent="0.25"/>
    <row r="4669" ht="30.75" customHeight="1" thickBot="1" x14ac:dyDescent="0.25"/>
    <row r="4670" ht="30.75" customHeight="1" thickBot="1" x14ac:dyDescent="0.25"/>
    <row r="4671" ht="30.75" customHeight="1" thickBot="1" x14ac:dyDescent="0.25"/>
    <row r="4672" ht="30.75" customHeight="1" thickBot="1" x14ac:dyDescent="0.25"/>
    <row r="4673" ht="30.75" customHeight="1" thickBot="1" x14ac:dyDescent="0.25"/>
    <row r="4674" ht="30.75" customHeight="1" thickBot="1" x14ac:dyDescent="0.25"/>
    <row r="4675" ht="30.75" customHeight="1" thickBot="1" x14ac:dyDescent="0.25"/>
    <row r="4676" ht="30.75" customHeight="1" thickBot="1" x14ac:dyDescent="0.25"/>
    <row r="4677" ht="30.75" customHeight="1" thickBot="1" x14ac:dyDescent="0.25"/>
    <row r="4678" ht="30.75" customHeight="1" thickBot="1" x14ac:dyDescent="0.25"/>
    <row r="4679" ht="30.75" customHeight="1" thickBot="1" x14ac:dyDescent="0.25"/>
    <row r="4680" ht="30.75" customHeight="1" thickBot="1" x14ac:dyDescent="0.25"/>
    <row r="4681" ht="30.75" customHeight="1" thickBot="1" x14ac:dyDescent="0.25"/>
    <row r="4682" ht="30.75" customHeight="1" thickBot="1" x14ac:dyDescent="0.25"/>
    <row r="4683" ht="30.75" customHeight="1" thickBot="1" x14ac:dyDescent="0.25"/>
    <row r="4684" ht="30.75" customHeight="1" thickBot="1" x14ac:dyDescent="0.25"/>
    <row r="4685" ht="30.75" customHeight="1" thickBot="1" x14ac:dyDescent="0.25"/>
    <row r="4686" ht="30.75" customHeight="1" thickBot="1" x14ac:dyDescent="0.25"/>
    <row r="4687" ht="30.75" customHeight="1" thickBot="1" x14ac:dyDescent="0.25"/>
    <row r="4688" ht="30.75" customHeight="1" thickBot="1" x14ac:dyDescent="0.25"/>
    <row r="4689" ht="30.75" customHeight="1" thickBot="1" x14ac:dyDescent="0.25"/>
    <row r="4690" ht="30.75" customHeight="1" thickBot="1" x14ac:dyDescent="0.25"/>
    <row r="4691" ht="30.75" customHeight="1" thickBot="1" x14ac:dyDescent="0.25"/>
    <row r="4692" ht="30.75" customHeight="1" thickBot="1" x14ac:dyDescent="0.25"/>
    <row r="4693" ht="30.75" customHeight="1" thickBot="1" x14ac:dyDescent="0.25"/>
    <row r="4694" ht="30.75" customHeight="1" thickBot="1" x14ac:dyDescent="0.25"/>
    <row r="4695" ht="30.75" customHeight="1" thickBot="1" x14ac:dyDescent="0.25"/>
    <row r="4696" ht="30.75" customHeight="1" thickBot="1" x14ac:dyDescent="0.25"/>
    <row r="4697" ht="30.75" customHeight="1" thickBot="1" x14ac:dyDescent="0.25"/>
    <row r="4698" ht="30.75" customHeight="1" thickBot="1" x14ac:dyDescent="0.25"/>
    <row r="4699" ht="30.75" customHeight="1" thickBot="1" x14ac:dyDescent="0.25"/>
    <row r="4700" ht="30.75" customHeight="1" thickBot="1" x14ac:dyDescent="0.25"/>
    <row r="4701" ht="30.75" customHeight="1" thickBot="1" x14ac:dyDescent="0.25"/>
    <row r="4702" ht="30.75" customHeight="1" thickBot="1" x14ac:dyDescent="0.25"/>
    <row r="4703" ht="30.75" customHeight="1" thickBot="1" x14ac:dyDescent="0.25"/>
    <row r="4704" ht="30.75" customHeight="1" thickBot="1" x14ac:dyDescent="0.25"/>
    <row r="4705" ht="30.75" customHeight="1" thickBot="1" x14ac:dyDescent="0.25"/>
    <row r="4706" ht="30.75" customHeight="1" thickBot="1" x14ac:dyDescent="0.25"/>
    <row r="4707" ht="30.75" customHeight="1" thickBot="1" x14ac:dyDescent="0.25"/>
    <row r="4708" ht="30.75" customHeight="1" thickBot="1" x14ac:dyDescent="0.25"/>
    <row r="4709" ht="30.75" customHeight="1" thickBot="1" x14ac:dyDescent="0.25"/>
    <row r="4710" ht="30.75" customHeight="1" thickBot="1" x14ac:dyDescent="0.25"/>
    <row r="4711" ht="30.75" customHeight="1" thickBot="1" x14ac:dyDescent="0.25"/>
    <row r="4712" ht="30.75" customHeight="1" thickBot="1" x14ac:dyDescent="0.25"/>
    <row r="4713" ht="30.75" customHeight="1" thickBot="1" x14ac:dyDescent="0.25"/>
    <row r="4714" ht="30.75" customHeight="1" thickBot="1" x14ac:dyDescent="0.25"/>
    <row r="4715" ht="30.75" customHeight="1" thickBot="1" x14ac:dyDescent="0.25"/>
    <row r="4716" ht="30.75" customHeight="1" thickBot="1" x14ac:dyDescent="0.25"/>
    <row r="4717" ht="30.75" customHeight="1" thickBot="1" x14ac:dyDescent="0.25"/>
    <row r="4718" ht="30.75" customHeight="1" thickBot="1" x14ac:dyDescent="0.25"/>
    <row r="4719" ht="30.75" customHeight="1" thickBot="1" x14ac:dyDescent="0.25"/>
    <row r="4720" ht="30.75" customHeight="1" thickBot="1" x14ac:dyDescent="0.25"/>
    <row r="4721" ht="30.75" customHeight="1" thickBot="1" x14ac:dyDescent="0.25"/>
    <row r="4722" ht="30.75" customHeight="1" thickBot="1" x14ac:dyDescent="0.25"/>
    <row r="4723" ht="30.75" customHeight="1" thickBot="1" x14ac:dyDescent="0.25"/>
    <row r="4724" ht="30.75" customHeight="1" thickBot="1" x14ac:dyDescent="0.25"/>
    <row r="4725" ht="30.75" customHeight="1" thickBot="1" x14ac:dyDescent="0.25"/>
    <row r="4726" ht="30.75" customHeight="1" thickBot="1" x14ac:dyDescent="0.25"/>
    <row r="4727" ht="30.75" customHeight="1" thickBot="1" x14ac:dyDescent="0.25"/>
    <row r="4728" ht="30.75" customHeight="1" thickBot="1" x14ac:dyDescent="0.25"/>
    <row r="4729" ht="30.75" customHeight="1" thickBot="1" x14ac:dyDescent="0.25"/>
    <row r="4730" ht="30.75" customHeight="1" thickBot="1" x14ac:dyDescent="0.25"/>
    <row r="4731" ht="30.75" customHeight="1" thickBot="1" x14ac:dyDescent="0.25"/>
    <row r="4732" ht="30.75" customHeight="1" thickBot="1" x14ac:dyDescent="0.25"/>
    <row r="4733" ht="30.75" customHeight="1" thickBot="1" x14ac:dyDescent="0.25"/>
    <row r="4734" ht="30.75" customHeight="1" thickBot="1" x14ac:dyDescent="0.25"/>
    <row r="4735" ht="30.75" customHeight="1" thickBot="1" x14ac:dyDescent="0.25"/>
    <row r="4736" ht="30.75" customHeight="1" thickBot="1" x14ac:dyDescent="0.25"/>
    <row r="4737" ht="30.75" customHeight="1" thickBot="1" x14ac:dyDescent="0.25"/>
    <row r="4738" ht="30.75" customHeight="1" thickBot="1" x14ac:dyDescent="0.25"/>
    <row r="4739" ht="30.75" customHeight="1" thickBot="1" x14ac:dyDescent="0.25"/>
    <row r="4740" ht="30.75" customHeight="1" thickBot="1" x14ac:dyDescent="0.25"/>
    <row r="4741" ht="30.75" customHeight="1" thickBot="1" x14ac:dyDescent="0.25"/>
    <row r="4742" ht="30.75" customHeight="1" thickBot="1" x14ac:dyDescent="0.25"/>
    <row r="4743" ht="30.75" customHeight="1" thickBot="1" x14ac:dyDescent="0.25"/>
    <row r="4744" ht="30.75" customHeight="1" thickBot="1" x14ac:dyDescent="0.25"/>
    <row r="4745" ht="30.75" customHeight="1" thickBot="1" x14ac:dyDescent="0.25"/>
    <row r="4746" ht="30.75" customHeight="1" thickBot="1" x14ac:dyDescent="0.25"/>
    <row r="4747" ht="30.75" customHeight="1" thickBot="1" x14ac:dyDescent="0.25"/>
    <row r="4748" ht="30.75" customHeight="1" thickBot="1" x14ac:dyDescent="0.25"/>
    <row r="4749" ht="30.75" customHeight="1" thickBot="1" x14ac:dyDescent="0.25"/>
    <row r="4750" ht="30.75" customHeight="1" thickBot="1" x14ac:dyDescent="0.25"/>
    <row r="4751" ht="30.75" customHeight="1" thickBot="1" x14ac:dyDescent="0.25"/>
    <row r="4752" ht="30.75" customHeight="1" thickBot="1" x14ac:dyDescent="0.25"/>
    <row r="4753" ht="30.75" customHeight="1" thickBot="1" x14ac:dyDescent="0.25"/>
    <row r="4754" ht="30.75" customHeight="1" thickBot="1" x14ac:dyDescent="0.25"/>
    <row r="4755" ht="30.75" customHeight="1" thickBot="1" x14ac:dyDescent="0.25"/>
    <row r="4756" ht="30.75" customHeight="1" thickBot="1" x14ac:dyDescent="0.25"/>
    <row r="4757" ht="30.75" customHeight="1" thickBot="1" x14ac:dyDescent="0.25"/>
    <row r="4758" ht="30.75" customHeight="1" thickBot="1" x14ac:dyDescent="0.25"/>
    <row r="4759" ht="30.75" customHeight="1" thickBot="1" x14ac:dyDescent="0.25"/>
    <row r="4760" ht="30.75" customHeight="1" thickBot="1" x14ac:dyDescent="0.25"/>
    <row r="4761" ht="30.75" customHeight="1" thickBot="1" x14ac:dyDescent="0.25"/>
    <row r="4762" ht="30.75" customHeight="1" thickBot="1" x14ac:dyDescent="0.25"/>
    <row r="4763" ht="30.75" customHeight="1" thickBot="1" x14ac:dyDescent="0.25"/>
    <row r="4764" ht="30.75" customHeight="1" thickBot="1" x14ac:dyDescent="0.25"/>
    <row r="4765" ht="30.75" customHeight="1" thickBot="1" x14ac:dyDescent="0.25"/>
    <row r="4766" ht="30.75" customHeight="1" thickBot="1" x14ac:dyDescent="0.25"/>
    <row r="4767" ht="30.75" customHeight="1" thickBot="1" x14ac:dyDescent="0.25"/>
    <row r="4768" ht="30.75" customHeight="1" thickBot="1" x14ac:dyDescent="0.25"/>
    <row r="4769" ht="30.75" customHeight="1" thickBot="1" x14ac:dyDescent="0.25"/>
    <row r="4770" ht="30.75" customHeight="1" thickBot="1" x14ac:dyDescent="0.25"/>
    <row r="4771" ht="30.75" customHeight="1" thickBot="1" x14ac:dyDescent="0.25"/>
    <row r="4772" ht="30.75" customHeight="1" thickBot="1" x14ac:dyDescent="0.25"/>
    <row r="4773" ht="30.75" customHeight="1" thickBot="1" x14ac:dyDescent="0.25"/>
    <row r="4774" ht="30.75" customHeight="1" thickBot="1" x14ac:dyDescent="0.25"/>
    <row r="4775" ht="30.75" customHeight="1" thickBot="1" x14ac:dyDescent="0.25"/>
    <row r="4776" ht="30.75" customHeight="1" thickBot="1" x14ac:dyDescent="0.25"/>
    <row r="4777" ht="30.75" customHeight="1" thickBot="1" x14ac:dyDescent="0.25"/>
    <row r="4778" ht="30.75" customHeight="1" thickBot="1" x14ac:dyDescent="0.25"/>
    <row r="4779" ht="30.75" customHeight="1" thickBot="1" x14ac:dyDescent="0.25"/>
    <row r="4780" ht="30.75" customHeight="1" thickBot="1" x14ac:dyDescent="0.25"/>
    <row r="4781" ht="30.75" customHeight="1" thickBot="1" x14ac:dyDescent="0.25"/>
    <row r="4782" ht="30.75" customHeight="1" thickBot="1" x14ac:dyDescent="0.25"/>
    <row r="4783" ht="30.75" customHeight="1" thickBot="1" x14ac:dyDescent="0.25"/>
    <row r="4784" ht="30.75" customHeight="1" thickBot="1" x14ac:dyDescent="0.25"/>
    <row r="4785" ht="30.75" customHeight="1" thickBot="1" x14ac:dyDescent="0.25"/>
    <row r="4786" ht="30.75" customHeight="1" thickBot="1" x14ac:dyDescent="0.25"/>
    <row r="4787" ht="30.75" customHeight="1" thickBot="1" x14ac:dyDescent="0.25"/>
    <row r="4788" ht="30.75" customHeight="1" thickBot="1" x14ac:dyDescent="0.25"/>
    <row r="4789" ht="30.75" customHeight="1" thickBot="1" x14ac:dyDescent="0.25"/>
    <row r="4790" ht="30.75" customHeight="1" thickBot="1" x14ac:dyDescent="0.25"/>
    <row r="4791" ht="30.75" customHeight="1" thickBot="1" x14ac:dyDescent="0.25"/>
    <row r="4792" ht="30.75" customHeight="1" thickBot="1" x14ac:dyDescent="0.25"/>
    <row r="4793" ht="30.75" customHeight="1" thickBot="1" x14ac:dyDescent="0.25"/>
    <row r="4794" ht="30.75" customHeight="1" thickBot="1" x14ac:dyDescent="0.25"/>
    <row r="4795" ht="30.75" customHeight="1" thickBot="1" x14ac:dyDescent="0.25"/>
    <row r="4796" ht="30.75" customHeight="1" thickBot="1" x14ac:dyDescent="0.25"/>
    <row r="4797" ht="30.75" customHeight="1" thickBot="1" x14ac:dyDescent="0.25"/>
    <row r="4798" ht="30.75" customHeight="1" thickBot="1" x14ac:dyDescent="0.25"/>
    <row r="4799" ht="30.75" customHeight="1" thickBot="1" x14ac:dyDescent="0.25"/>
    <row r="4800" ht="30.75" customHeight="1" thickBot="1" x14ac:dyDescent="0.25"/>
    <row r="4801" ht="30.75" customHeight="1" thickBot="1" x14ac:dyDescent="0.25"/>
    <row r="4802" ht="30.75" customHeight="1" thickBot="1" x14ac:dyDescent="0.25"/>
    <row r="4803" ht="30.75" customHeight="1" thickBot="1" x14ac:dyDescent="0.25"/>
    <row r="4804" ht="30.75" customHeight="1" thickBot="1" x14ac:dyDescent="0.25"/>
    <row r="4805" ht="30.75" customHeight="1" thickBot="1" x14ac:dyDescent="0.25"/>
    <row r="4806" ht="30.75" customHeight="1" thickBot="1" x14ac:dyDescent="0.25"/>
    <row r="4807" ht="30.75" customHeight="1" thickBot="1" x14ac:dyDescent="0.25"/>
    <row r="4808" ht="30.75" customHeight="1" thickBot="1" x14ac:dyDescent="0.25"/>
    <row r="4809" ht="30.75" customHeight="1" thickBot="1" x14ac:dyDescent="0.25"/>
    <row r="4810" ht="30.75" customHeight="1" thickBot="1" x14ac:dyDescent="0.25"/>
    <row r="4811" ht="30.75" customHeight="1" thickBot="1" x14ac:dyDescent="0.25"/>
    <row r="4812" ht="30.75" customHeight="1" thickBot="1" x14ac:dyDescent="0.25"/>
    <row r="4813" ht="30.75" customHeight="1" thickBot="1" x14ac:dyDescent="0.25"/>
    <row r="4814" ht="30.75" customHeight="1" thickBot="1" x14ac:dyDescent="0.25"/>
    <row r="4815" ht="30.75" customHeight="1" thickBot="1" x14ac:dyDescent="0.25"/>
    <row r="4816" ht="30.75" customHeight="1" thickBot="1" x14ac:dyDescent="0.25"/>
    <row r="4817" ht="30.75" customHeight="1" thickBot="1" x14ac:dyDescent="0.25"/>
    <row r="4818" ht="30.75" customHeight="1" thickBot="1" x14ac:dyDescent="0.25"/>
    <row r="4819" ht="30.75" customHeight="1" thickBot="1" x14ac:dyDescent="0.25"/>
    <row r="4820" ht="30.75" customHeight="1" thickBot="1" x14ac:dyDescent="0.25"/>
    <row r="4821" ht="30.75" customHeight="1" thickBot="1" x14ac:dyDescent="0.25"/>
    <row r="4822" ht="30.75" customHeight="1" thickBot="1" x14ac:dyDescent="0.25"/>
    <row r="4823" ht="30.75" customHeight="1" thickBot="1" x14ac:dyDescent="0.25"/>
    <row r="4824" ht="30.75" customHeight="1" thickBot="1" x14ac:dyDescent="0.25"/>
    <row r="4825" ht="30.75" customHeight="1" thickBot="1" x14ac:dyDescent="0.25"/>
    <row r="4826" ht="30.75" customHeight="1" thickBot="1" x14ac:dyDescent="0.25"/>
    <row r="4827" ht="30.75" customHeight="1" thickBot="1" x14ac:dyDescent="0.25"/>
    <row r="4828" ht="30.75" customHeight="1" thickBot="1" x14ac:dyDescent="0.25"/>
    <row r="4829" ht="30.75" customHeight="1" thickBot="1" x14ac:dyDescent="0.25"/>
    <row r="4830" ht="30.75" customHeight="1" thickBot="1" x14ac:dyDescent="0.25"/>
    <row r="4831" ht="30.75" customHeight="1" thickBot="1" x14ac:dyDescent="0.25"/>
    <row r="4832" ht="30.75" customHeight="1" thickBot="1" x14ac:dyDescent="0.25"/>
    <row r="4833" ht="30.75" customHeight="1" thickBot="1" x14ac:dyDescent="0.25"/>
    <row r="4834" ht="30.75" customHeight="1" thickBot="1" x14ac:dyDescent="0.25"/>
    <row r="4835" ht="30.75" customHeight="1" thickBot="1" x14ac:dyDescent="0.25"/>
    <row r="4836" ht="30.75" customHeight="1" thickBot="1" x14ac:dyDescent="0.25"/>
    <row r="4837" ht="30.75" customHeight="1" thickBot="1" x14ac:dyDescent="0.25"/>
    <row r="4838" ht="30.75" customHeight="1" thickBot="1" x14ac:dyDescent="0.25"/>
    <row r="4839" ht="30.75" customHeight="1" thickBot="1" x14ac:dyDescent="0.25"/>
    <row r="4840" ht="30.75" customHeight="1" thickBot="1" x14ac:dyDescent="0.25"/>
    <row r="4841" ht="30.75" customHeight="1" thickBot="1" x14ac:dyDescent="0.25"/>
    <row r="4842" ht="30.75" customHeight="1" thickBot="1" x14ac:dyDescent="0.25"/>
    <row r="4843" ht="30.75" customHeight="1" thickBot="1" x14ac:dyDescent="0.25"/>
    <row r="4844" ht="30.75" customHeight="1" thickBot="1" x14ac:dyDescent="0.25"/>
    <row r="4845" ht="30.75" customHeight="1" thickBot="1" x14ac:dyDescent="0.25"/>
    <row r="4846" ht="30.75" customHeight="1" thickBot="1" x14ac:dyDescent="0.25"/>
    <row r="4847" ht="30.75" customHeight="1" thickBot="1" x14ac:dyDescent="0.25"/>
    <row r="4848" ht="30.75" customHeight="1" thickBot="1" x14ac:dyDescent="0.25"/>
    <row r="4849" ht="30.75" customHeight="1" thickBot="1" x14ac:dyDescent="0.25"/>
    <row r="4850" ht="30.75" customHeight="1" thickBot="1" x14ac:dyDescent="0.25"/>
    <row r="4851" ht="30.75" customHeight="1" thickBot="1" x14ac:dyDescent="0.25"/>
    <row r="4852" ht="30.75" customHeight="1" thickBot="1" x14ac:dyDescent="0.25"/>
    <row r="4853" ht="30.75" customHeight="1" thickBot="1" x14ac:dyDescent="0.25"/>
    <row r="4854" ht="30.75" customHeight="1" thickBot="1" x14ac:dyDescent="0.25"/>
    <row r="4855" ht="30.75" customHeight="1" thickBot="1" x14ac:dyDescent="0.25"/>
    <row r="4856" ht="30.75" customHeight="1" thickBot="1" x14ac:dyDescent="0.25"/>
    <row r="4857" ht="30.75" customHeight="1" thickBot="1" x14ac:dyDescent="0.25"/>
    <row r="4858" ht="30.75" customHeight="1" thickBot="1" x14ac:dyDescent="0.25"/>
    <row r="4859" ht="30.75" customHeight="1" thickBot="1" x14ac:dyDescent="0.25"/>
    <row r="4860" ht="30.75" customHeight="1" thickBot="1" x14ac:dyDescent="0.25"/>
    <row r="4861" ht="30.75" customHeight="1" thickBot="1" x14ac:dyDescent="0.25"/>
    <row r="4862" ht="30.75" customHeight="1" thickBot="1" x14ac:dyDescent="0.25"/>
    <row r="4863" ht="30.75" customHeight="1" thickBot="1" x14ac:dyDescent="0.25"/>
    <row r="4864" ht="30.75" customHeight="1" thickBot="1" x14ac:dyDescent="0.25"/>
    <row r="4865" ht="30.75" customHeight="1" thickBot="1" x14ac:dyDescent="0.25"/>
    <row r="4866" ht="30.75" customHeight="1" thickBot="1" x14ac:dyDescent="0.25"/>
    <row r="4867" ht="30.75" customHeight="1" thickBot="1" x14ac:dyDescent="0.25"/>
    <row r="4868" ht="30.75" customHeight="1" thickBot="1" x14ac:dyDescent="0.25"/>
    <row r="4869" ht="30.75" customHeight="1" thickBot="1" x14ac:dyDescent="0.25"/>
    <row r="4870" ht="30.75" customHeight="1" thickBot="1" x14ac:dyDescent="0.25"/>
    <row r="4871" ht="30.75" customHeight="1" thickBot="1" x14ac:dyDescent="0.25"/>
    <row r="4872" ht="30.75" customHeight="1" thickBot="1" x14ac:dyDescent="0.25"/>
    <row r="4873" ht="30.75" customHeight="1" thickBot="1" x14ac:dyDescent="0.25"/>
    <row r="4874" ht="30.75" customHeight="1" thickBot="1" x14ac:dyDescent="0.25"/>
    <row r="4875" ht="30.75" customHeight="1" thickBot="1" x14ac:dyDescent="0.25"/>
    <row r="4876" ht="30.75" customHeight="1" thickBot="1" x14ac:dyDescent="0.25"/>
    <row r="4877" ht="30.75" customHeight="1" thickBot="1" x14ac:dyDescent="0.25"/>
    <row r="4878" ht="30.75" customHeight="1" thickBot="1" x14ac:dyDescent="0.25"/>
    <row r="4879" ht="30.75" customHeight="1" thickBot="1" x14ac:dyDescent="0.25"/>
    <row r="4880" ht="30.75" customHeight="1" thickBot="1" x14ac:dyDescent="0.25"/>
    <row r="4881" ht="30.75" customHeight="1" thickBot="1" x14ac:dyDescent="0.25"/>
    <row r="4882" ht="30.75" customHeight="1" thickBot="1" x14ac:dyDescent="0.25"/>
    <row r="4883" ht="30.75" customHeight="1" thickBot="1" x14ac:dyDescent="0.25"/>
    <row r="4884" ht="30.75" customHeight="1" thickBot="1" x14ac:dyDescent="0.25"/>
    <row r="4885" ht="30.75" customHeight="1" thickBot="1" x14ac:dyDescent="0.25"/>
    <row r="4886" ht="30.75" customHeight="1" thickBot="1" x14ac:dyDescent="0.25"/>
    <row r="4887" ht="30.75" customHeight="1" thickBot="1" x14ac:dyDescent="0.25"/>
    <row r="4888" ht="30.75" customHeight="1" thickBot="1" x14ac:dyDescent="0.25"/>
    <row r="4889" ht="30.75" customHeight="1" thickBot="1" x14ac:dyDescent="0.25"/>
    <row r="4890" ht="30.75" customHeight="1" thickBot="1" x14ac:dyDescent="0.25"/>
    <row r="4891" ht="30.75" customHeight="1" thickBot="1" x14ac:dyDescent="0.25"/>
    <row r="4892" ht="30.75" customHeight="1" thickBot="1" x14ac:dyDescent="0.25"/>
    <row r="4893" ht="30.75" customHeight="1" thickBot="1" x14ac:dyDescent="0.25"/>
    <row r="4894" ht="30.75" customHeight="1" thickBot="1" x14ac:dyDescent="0.25"/>
    <row r="4895" ht="30.75" customHeight="1" thickBot="1" x14ac:dyDescent="0.25"/>
    <row r="4896" ht="30.75" customHeight="1" thickBot="1" x14ac:dyDescent="0.25"/>
    <row r="4897" ht="30.75" customHeight="1" thickBot="1" x14ac:dyDescent="0.25"/>
    <row r="4898" ht="30.75" customHeight="1" thickBot="1" x14ac:dyDescent="0.25"/>
    <row r="4899" ht="30.75" customHeight="1" thickBot="1" x14ac:dyDescent="0.25"/>
    <row r="4900" ht="30.75" customHeight="1" thickBot="1" x14ac:dyDescent="0.25"/>
    <row r="4901" ht="30.75" customHeight="1" thickBot="1" x14ac:dyDescent="0.25"/>
    <row r="4902" ht="30.75" customHeight="1" thickBot="1" x14ac:dyDescent="0.25"/>
    <row r="4903" ht="30.75" customHeight="1" thickBot="1" x14ac:dyDescent="0.25"/>
    <row r="4904" ht="30.75" customHeight="1" thickBot="1" x14ac:dyDescent="0.25"/>
    <row r="4905" ht="30.75" customHeight="1" thickBot="1" x14ac:dyDescent="0.25"/>
    <row r="4906" ht="30.75" customHeight="1" thickBot="1" x14ac:dyDescent="0.25"/>
    <row r="4907" ht="30.75" customHeight="1" thickBot="1" x14ac:dyDescent="0.25"/>
    <row r="4908" ht="30.75" customHeight="1" thickBot="1" x14ac:dyDescent="0.25"/>
    <row r="4909" ht="30.75" customHeight="1" thickBot="1" x14ac:dyDescent="0.25"/>
    <row r="4910" ht="30.75" customHeight="1" thickBot="1" x14ac:dyDescent="0.25"/>
    <row r="4911" ht="30.75" customHeight="1" thickBot="1" x14ac:dyDescent="0.25"/>
    <row r="4912" ht="30.75" customHeight="1" thickBot="1" x14ac:dyDescent="0.25"/>
    <row r="4913" ht="30.75" customHeight="1" thickBot="1" x14ac:dyDescent="0.25"/>
    <row r="4914" ht="30.75" customHeight="1" thickBot="1" x14ac:dyDescent="0.25"/>
    <row r="4915" ht="30.75" customHeight="1" thickBot="1" x14ac:dyDescent="0.25"/>
    <row r="4916" ht="30.75" customHeight="1" thickBot="1" x14ac:dyDescent="0.25"/>
    <row r="4917" ht="30.75" customHeight="1" thickBot="1" x14ac:dyDescent="0.25"/>
    <row r="4918" ht="30.75" customHeight="1" thickBot="1" x14ac:dyDescent="0.25"/>
    <row r="4919" ht="30.75" customHeight="1" thickBot="1" x14ac:dyDescent="0.25"/>
    <row r="4920" ht="30.75" customHeight="1" thickBot="1" x14ac:dyDescent="0.25"/>
    <row r="4921" ht="30.75" customHeight="1" thickBot="1" x14ac:dyDescent="0.25"/>
    <row r="4922" ht="30.75" customHeight="1" thickBot="1" x14ac:dyDescent="0.25"/>
    <row r="4923" ht="30.75" customHeight="1" thickBot="1" x14ac:dyDescent="0.25"/>
    <row r="4924" ht="30.75" customHeight="1" thickBot="1" x14ac:dyDescent="0.25"/>
    <row r="4925" ht="30.75" customHeight="1" thickBot="1" x14ac:dyDescent="0.25"/>
    <row r="4926" ht="30.75" customHeight="1" thickBot="1" x14ac:dyDescent="0.25"/>
    <row r="4927" ht="30.75" customHeight="1" thickBot="1" x14ac:dyDescent="0.25"/>
    <row r="4928" ht="30.75" customHeight="1" thickBot="1" x14ac:dyDescent="0.25"/>
    <row r="4929" ht="30.75" customHeight="1" thickBot="1" x14ac:dyDescent="0.25"/>
    <row r="4930" ht="30.75" customHeight="1" thickBot="1" x14ac:dyDescent="0.25"/>
    <row r="4931" ht="30.75" customHeight="1" thickBot="1" x14ac:dyDescent="0.25"/>
    <row r="4932" ht="30.75" customHeight="1" thickBot="1" x14ac:dyDescent="0.25"/>
    <row r="4933" ht="30.75" customHeight="1" thickBot="1" x14ac:dyDescent="0.25"/>
    <row r="4934" ht="30.75" customHeight="1" thickBot="1" x14ac:dyDescent="0.25"/>
    <row r="4935" ht="30.75" customHeight="1" thickBot="1" x14ac:dyDescent="0.25"/>
    <row r="4936" ht="30.75" customHeight="1" thickBot="1" x14ac:dyDescent="0.25"/>
    <row r="4937" ht="30.75" customHeight="1" thickBot="1" x14ac:dyDescent="0.25"/>
    <row r="4938" ht="30.75" customHeight="1" thickBot="1" x14ac:dyDescent="0.25"/>
    <row r="4939" ht="30.75" customHeight="1" thickBot="1" x14ac:dyDescent="0.25"/>
    <row r="4940" ht="30.75" customHeight="1" thickBot="1" x14ac:dyDescent="0.25"/>
    <row r="4941" ht="30.75" customHeight="1" thickBot="1" x14ac:dyDescent="0.25"/>
    <row r="4942" ht="30.75" customHeight="1" thickBot="1" x14ac:dyDescent="0.25"/>
    <row r="4943" ht="30.75" customHeight="1" thickBot="1" x14ac:dyDescent="0.25"/>
    <row r="4944" ht="30.75" customHeight="1" thickBot="1" x14ac:dyDescent="0.25"/>
    <row r="4945" ht="30.75" customHeight="1" thickBot="1" x14ac:dyDescent="0.25"/>
    <row r="4946" ht="30.75" customHeight="1" thickBot="1" x14ac:dyDescent="0.25"/>
    <row r="4947" ht="30.75" customHeight="1" thickBot="1" x14ac:dyDescent="0.25"/>
    <row r="4948" ht="30.75" customHeight="1" thickBot="1" x14ac:dyDescent="0.25"/>
    <row r="4949" ht="30.75" customHeight="1" thickBot="1" x14ac:dyDescent="0.25"/>
    <row r="4950" ht="30.75" customHeight="1" thickBot="1" x14ac:dyDescent="0.25"/>
    <row r="4951" ht="30.75" customHeight="1" thickBot="1" x14ac:dyDescent="0.25"/>
    <row r="4952" ht="30.75" customHeight="1" thickBot="1" x14ac:dyDescent="0.25"/>
    <row r="4953" ht="30.75" customHeight="1" thickBot="1" x14ac:dyDescent="0.25"/>
    <row r="4954" ht="30.75" customHeight="1" thickBot="1" x14ac:dyDescent="0.25"/>
    <row r="4955" ht="30.75" customHeight="1" thickBot="1" x14ac:dyDescent="0.25"/>
    <row r="4956" ht="30.75" customHeight="1" thickBot="1" x14ac:dyDescent="0.25"/>
    <row r="4957" ht="30.75" customHeight="1" thickBot="1" x14ac:dyDescent="0.25"/>
    <row r="4958" ht="30.75" customHeight="1" thickBot="1" x14ac:dyDescent="0.25"/>
    <row r="4959" ht="30.75" customHeight="1" thickBot="1" x14ac:dyDescent="0.25"/>
    <row r="4960" ht="30.75" customHeight="1" thickBot="1" x14ac:dyDescent="0.25"/>
    <row r="4961" ht="30.75" customHeight="1" thickBot="1" x14ac:dyDescent="0.25"/>
    <row r="4962" ht="30.75" customHeight="1" thickBot="1" x14ac:dyDescent="0.25"/>
    <row r="4963" ht="30.75" customHeight="1" thickBot="1" x14ac:dyDescent="0.25"/>
    <row r="4964" ht="30.75" customHeight="1" thickBot="1" x14ac:dyDescent="0.25"/>
    <row r="4965" ht="30.75" customHeight="1" thickBot="1" x14ac:dyDescent="0.25"/>
    <row r="4966" ht="30.75" customHeight="1" thickBot="1" x14ac:dyDescent="0.25"/>
    <row r="4967" ht="30.75" customHeight="1" thickBot="1" x14ac:dyDescent="0.25"/>
    <row r="4968" ht="30.75" customHeight="1" thickBot="1" x14ac:dyDescent="0.25"/>
    <row r="4969" ht="30.75" customHeight="1" thickBot="1" x14ac:dyDescent="0.25"/>
    <row r="4970" ht="30.75" customHeight="1" thickBot="1" x14ac:dyDescent="0.25"/>
    <row r="4971" ht="30.75" customHeight="1" thickBot="1" x14ac:dyDescent="0.25"/>
    <row r="4972" ht="30.75" customHeight="1" thickBot="1" x14ac:dyDescent="0.25"/>
    <row r="4973" ht="30.75" customHeight="1" thickBot="1" x14ac:dyDescent="0.25"/>
    <row r="4974" ht="30.75" customHeight="1" thickBot="1" x14ac:dyDescent="0.25"/>
    <row r="4975" ht="30.75" customHeight="1" thickBot="1" x14ac:dyDescent="0.25"/>
    <row r="4976" ht="30.75" customHeight="1" thickBot="1" x14ac:dyDescent="0.25"/>
    <row r="4977" ht="30.75" customHeight="1" thickBot="1" x14ac:dyDescent="0.25"/>
    <row r="4978" ht="30.75" customHeight="1" thickBot="1" x14ac:dyDescent="0.25"/>
    <row r="4979" ht="30.75" customHeight="1" thickBot="1" x14ac:dyDescent="0.25"/>
    <row r="4980" ht="30.75" customHeight="1" thickBot="1" x14ac:dyDescent="0.25"/>
    <row r="4981" ht="30.75" customHeight="1" thickBot="1" x14ac:dyDescent="0.25"/>
    <row r="4982" ht="30.75" customHeight="1" thickBot="1" x14ac:dyDescent="0.25"/>
    <row r="4983" ht="30.75" customHeight="1" thickBot="1" x14ac:dyDescent="0.25"/>
    <row r="4984" ht="30.75" customHeight="1" thickBot="1" x14ac:dyDescent="0.25"/>
    <row r="4985" ht="30.75" customHeight="1" thickBot="1" x14ac:dyDescent="0.25"/>
    <row r="4986" ht="30.75" customHeight="1" thickBot="1" x14ac:dyDescent="0.25"/>
    <row r="4987" ht="30.75" customHeight="1" thickBot="1" x14ac:dyDescent="0.25"/>
    <row r="4988" ht="30.75" customHeight="1" thickBot="1" x14ac:dyDescent="0.25"/>
    <row r="4989" ht="30.75" customHeight="1" thickBot="1" x14ac:dyDescent="0.25"/>
    <row r="4990" ht="30.75" customHeight="1" thickBot="1" x14ac:dyDescent="0.25"/>
    <row r="4991" ht="30.75" customHeight="1" thickBot="1" x14ac:dyDescent="0.25"/>
    <row r="4992" ht="30.75" customHeight="1" thickBot="1" x14ac:dyDescent="0.25"/>
    <row r="4993" ht="30.75" customHeight="1" thickBot="1" x14ac:dyDescent="0.25"/>
    <row r="4994" ht="30.75" customHeight="1" thickBot="1" x14ac:dyDescent="0.25"/>
    <row r="4995" ht="30.75" customHeight="1" thickBot="1" x14ac:dyDescent="0.25"/>
    <row r="4996" ht="30.75" customHeight="1" thickBot="1" x14ac:dyDescent="0.25"/>
    <row r="4997" ht="30.75" customHeight="1" thickBot="1" x14ac:dyDescent="0.25"/>
    <row r="4998" ht="30.75" customHeight="1" thickBot="1" x14ac:dyDescent="0.25"/>
    <row r="4999" ht="30.75" customHeight="1" thickBot="1" x14ac:dyDescent="0.25"/>
    <row r="5000" ht="30.75" customHeight="1" thickBot="1" x14ac:dyDescent="0.25"/>
    <row r="5001" ht="30.75" customHeight="1" thickBot="1" x14ac:dyDescent="0.25"/>
    <row r="5002" ht="30.75" customHeight="1" thickBot="1" x14ac:dyDescent="0.25"/>
    <row r="5003" ht="30.75" customHeight="1" thickBot="1" x14ac:dyDescent="0.25"/>
    <row r="5004" ht="30.75" customHeight="1" thickBot="1" x14ac:dyDescent="0.25"/>
    <row r="5005" ht="30.75" customHeight="1" thickBot="1" x14ac:dyDescent="0.25"/>
    <row r="5006" ht="30.75" customHeight="1" thickBot="1" x14ac:dyDescent="0.25"/>
    <row r="5007" ht="30.75" customHeight="1" thickBot="1" x14ac:dyDescent="0.25"/>
    <row r="5008" ht="30.75" customHeight="1" thickBot="1" x14ac:dyDescent="0.25"/>
    <row r="5009" ht="30.75" customHeight="1" thickBot="1" x14ac:dyDescent="0.25"/>
    <row r="5010" ht="30.75" customHeight="1" thickBot="1" x14ac:dyDescent="0.25"/>
    <row r="5011" ht="30.75" customHeight="1" thickBot="1" x14ac:dyDescent="0.25"/>
    <row r="5012" ht="30.75" customHeight="1" thickBot="1" x14ac:dyDescent="0.25"/>
    <row r="5013" ht="30.75" customHeight="1" thickBot="1" x14ac:dyDescent="0.25"/>
    <row r="5014" ht="30.75" customHeight="1" thickBot="1" x14ac:dyDescent="0.25"/>
    <row r="5015" ht="30.75" customHeight="1" thickBot="1" x14ac:dyDescent="0.25"/>
    <row r="5016" ht="30.75" customHeight="1" thickBot="1" x14ac:dyDescent="0.25"/>
    <row r="5017" ht="30.75" customHeight="1" thickBot="1" x14ac:dyDescent="0.25"/>
    <row r="5018" ht="30.75" customHeight="1" thickBot="1" x14ac:dyDescent="0.25"/>
    <row r="5019" ht="30.75" customHeight="1" thickBot="1" x14ac:dyDescent="0.25"/>
    <row r="5020" ht="30.75" customHeight="1" thickBot="1" x14ac:dyDescent="0.25"/>
    <row r="5021" ht="30.75" customHeight="1" thickBot="1" x14ac:dyDescent="0.25"/>
    <row r="5022" ht="30.75" customHeight="1" thickBot="1" x14ac:dyDescent="0.25"/>
    <row r="5023" ht="30.75" customHeight="1" thickBot="1" x14ac:dyDescent="0.25"/>
    <row r="5024" ht="30.75" customHeight="1" thickBot="1" x14ac:dyDescent="0.25"/>
    <row r="5025" ht="30.75" customHeight="1" thickBot="1" x14ac:dyDescent="0.25"/>
    <row r="5026" ht="30.75" customHeight="1" thickBot="1" x14ac:dyDescent="0.25"/>
    <row r="5027" ht="30.75" customHeight="1" thickBot="1" x14ac:dyDescent="0.25"/>
    <row r="5028" ht="30.75" customHeight="1" thickBot="1" x14ac:dyDescent="0.25"/>
    <row r="5029" ht="30.75" customHeight="1" thickBot="1" x14ac:dyDescent="0.25"/>
    <row r="5030" ht="30.75" customHeight="1" thickBot="1" x14ac:dyDescent="0.25"/>
    <row r="5031" ht="30.75" customHeight="1" thickBot="1" x14ac:dyDescent="0.25"/>
    <row r="5032" ht="30.75" customHeight="1" thickBot="1" x14ac:dyDescent="0.25"/>
    <row r="5033" ht="30.75" customHeight="1" thickBot="1" x14ac:dyDescent="0.25"/>
    <row r="5034" ht="30.75" customHeight="1" thickBot="1" x14ac:dyDescent="0.25"/>
    <row r="5035" ht="30.75" customHeight="1" thickBot="1" x14ac:dyDescent="0.25"/>
    <row r="5036" ht="30.75" customHeight="1" thickBot="1" x14ac:dyDescent="0.25"/>
    <row r="5037" ht="30.75" customHeight="1" thickBot="1" x14ac:dyDescent="0.25"/>
    <row r="5038" ht="30.75" customHeight="1" thickBot="1" x14ac:dyDescent="0.25"/>
    <row r="5039" ht="30.75" customHeight="1" thickBot="1" x14ac:dyDescent="0.25"/>
    <row r="5040" ht="30.75" customHeight="1" thickBot="1" x14ac:dyDescent="0.25"/>
    <row r="5041" ht="30.75" customHeight="1" thickBot="1" x14ac:dyDescent="0.25"/>
    <row r="5042" ht="30.75" customHeight="1" thickBot="1" x14ac:dyDescent="0.25"/>
    <row r="5043" ht="30.75" customHeight="1" thickBot="1" x14ac:dyDescent="0.25"/>
    <row r="5044" ht="30.75" customHeight="1" thickBot="1" x14ac:dyDescent="0.25"/>
    <row r="5045" ht="30.75" customHeight="1" thickBot="1" x14ac:dyDescent="0.25"/>
    <row r="5046" ht="30.75" customHeight="1" thickBot="1" x14ac:dyDescent="0.25"/>
    <row r="5047" ht="30.75" customHeight="1" thickBot="1" x14ac:dyDescent="0.25"/>
    <row r="5048" ht="30.75" customHeight="1" thickBot="1" x14ac:dyDescent="0.25"/>
    <row r="5049" ht="30.75" customHeight="1" thickBot="1" x14ac:dyDescent="0.25"/>
    <row r="5050" ht="30.75" customHeight="1" thickBot="1" x14ac:dyDescent="0.25"/>
    <row r="5051" ht="30.75" customHeight="1" thickBot="1" x14ac:dyDescent="0.25"/>
    <row r="5052" ht="30.75" customHeight="1" thickBot="1" x14ac:dyDescent="0.25"/>
    <row r="5053" ht="30.75" customHeight="1" thickBot="1" x14ac:dyDescent="0.25"/>
    <row r="5054" ht="30.75" customHeight="1" thickBot="1" x14ac:dyDescent="0.25"/>
    <row r="5055" ht="30.75" customHeight="1" thickBot="1" x14ac:dyDescent="0.25"/>
    <row r="5056" ht="30.75" customHeight="1" thickBot="1" x14ac:dyDescent="0.25"/>
    <row r="5057" ht="30.75" customHeight="1" thickBot="1" x14ac:dyDescent="0.25"/>
    <row r="5058" ht="30.75" customHeight="1" thickBot="1" x14ac:dyDescent="0.25"/>
    <row r="5059" ht="30.75" customHeight="1" thickBot="1" x14ac:dyDescent="0.25"/>
    <row r="5060" ht="30.75" customHeight="1" thickBot="1" x14ac:dyDescent="0.25"/>
    <row r="5061" ht="30.75" customHeight="1" thickBot="1" x14ac:dyDescent="0.25"/>
    <row r="5062" ht="30.75" customHeight="1" thickBot="1" x14ac:dyDescent="0.25"/>
    <row r="5063" ht="30.75" customHeight="1" thickBot="1" x14ac:dyDescent="0.25"/>
    <row r="5064" ht="30.75" customHeight="1" thickBot="1" x14ac:dyDescent="0.25"/>
    <row r="5065" ht="30.75" customHeight="1" thickBot="1" x14ac:dyDescent="0.25"/>
    <row r="5066" ht="30.75" customHeight="1" thickBot="1" x14ac:dyDescent="0.25"/>
    <row r="5067" ht="30.75" customHeight="1" thickBot="1" x14ac:dyDescent="0.25"/>
    <row r="5068" ht="30.75" customHeight="1" thickBot="1" x14ac:dyDescent="0.25"/>
    <row r="5069" ht="30.75" customHeight="1" thickBot="1" x14ac:dyDescent="0.25"/>
    <row r="5070" ht="30.75" customHeight="1" thickBot="1" x14ac:dyDescent="0.25"/>
    <row r="5071" ht="30.75" customHeight="1" thickBot="1" x14ac:dyDescent="0.25"/>
    <row r="5072" ht="30.75" customHeight="1" thickBot="1" x14ac:dyDescent="0.25"/>
    <row r="5073" ht="30.75" customHeight="1" thickBot="1" x14ac:dyDescent="0.25"/>
    <row r="5074" ht="30.75" customHeight="1" thickBot="1" x14ac:dyDescent="0.25"/>
    <row r="5075" ht="30.75" customHeight="1" thickBot="1" x14ac:dyDescent="0.25"/>
    <row r="5076" ht="30.75" customHeight="1" thickBot="1" x14ac:dyDescent="0.25"/>
    <row r="5077" ht="30.75" customHeight="1" thickBot="1" x14ac:dyDescent="0.25"/>
    <row r="5078" ht="30.75" customHeight="1" thickBot="1" x14ac:dyDescent="0.25"/>
    <row r="5079" ht="30.75" customHeight="1" thickBot="1" x14ac:dyDescent="0.25"/>
    <row r="5080" ht="30.75" customHeight="1" thickBot="1" x14ac:dyDescent="0.25"/>
    <row r="5081" ht="30.75" customHeight="1" thickBot="1" x14ac:dyDescent="0.25"/>
    <row r="5082" ht="30.75" customHeight="1" thickBot="1" x14ac:dyDescent="0.25"/>
    <row r="5083" ht="30.75" customHeight="1" thickBot="1" x14ac:dyDescent="0.25"/>
    <row r="5084" ht="30.75" customHeight="1" thickBot="1" x14ac:dyDescent="0.25"/>
    <row r="5085" ht="30.75" customHeight="1" thickBot="1" x14ac:dyDescent="0.25"/>
    <row r="5086" ht="30.75" customHeight="1" thickBot="1" x14ac:dyDescent="0.25"/>
    <row r="5087" ht="30.75" customHeight="1" thickBot="1" x14ac:dyDescent="0.25"/>
    <row r="5088" ht="30.75" customHeight="1" thickBot="1" x14ac:dyDescent="0.25"/>
    <row r="5089" ht="30.75" customHeight="1" thickBot="1" x14ac:dyDescent="0.25"/>
    <row r="5090" ht="30.75" customHeight="1" thickBot="1" x14ac:dyDescent="0.25"/>
    <row r="5091" ht="30.75" customHeight="1" thickBot="1" x14ac:dyDescent="0.25"/>
    <row r="5092" ht="30.75" customHeight="1" thickBot="1" x14ac:dyDescent="0.25"/>
    <row r="5093" ht="30.75" customHeight="1" thickBot="1" x14ac:dyDescent="0.25"/>
    <row r="5094" ht="30.75" customHeight="1" thickBot="1" x14ac:dyDescent="0.25"/>
    <row r="5095" ht="30.75" customHeight="1" thickBot="1" x14ac:dyDescent="0.25"/>
    <row r="5096" ht="30.75" customHeight="1" thickBot="1" x14ac:dyDescent="0.25"/>
    <row r="5097" ht="30.75" customHeight="1" thickBot="1" x14ac:dyDescent="0.25"/>
    <row r="5098" ht="30.75" customHeight="1" thickBot="1" x14ac:dyDescent="0.25"/>
    <row r="5099" ht="30.75" customHeight="1" thickBot="1" x14ac:dyDescent="0.25"/>
    <row r="5100" ht="30.75" customHeight="1" thickBot="1" x14ac:dyDescent="0.25"/>
    <row r="5101" ht="30.75" customHeight="1" thickBot="1" x14ac:dyDescent="0.25"/>
    <row r="5102" ht="30.75" customHeight="1" thickBot="1" x14ac:dyDescent="0.25"/>
    <row r="5103" ht="30.75" customHeight="1" thickBot="1" x14ac:dyDescent="0.25"/>
    <row r="5104" ht="30.75" customHeight="1" thickBot="1" x14ac:dyDescent="0.25"/>
    <row r="5105" ht="30.75" customHeight="1" thickBot="1" x14ac:dyDescent="0.25"/>
    <row r="5106" ht="30.75" customHeight="1" thickBot="1" x14ac:dyDescent="0.25"/>
    <row r="5107" ht="30.75" customHeight="1" thickBot="1" x14ac:dyDescent="0.25"/>
    <row r="5108" ht="30.75" customHeight="1" thickBot="1" x14ac:dyDescent="0.25"/>
    <row r="5109" ht="30.75" customHeight="1" thickBot="1" x14ac:dyDescent="0.25"/>
    <row r="5110" ht="30.75" customHeight="1" thickBot="1" x14ac:dyDescent="0.25"/>
    <row r="5111" ht="30.75" customHeight="1" thickBot="1" x14ac:dyDescent="0.25"/>
    <row r="5112" ht="30.75" customHeight="1" thickBot="1" x14ac:dyDescent="0.25"/>
    <row r="5113" ht="30.75" customHeight="1" thickBot="1" x14ac:dyDescent="0.25"/>
    <row r="5114" ht="30.75" customHeight="1" thickBot="1" x14ac:dyDescent="0.25"/>
    <row r="5115" ht="30.75" customHeight="1" thickBot="1" x14ac:dyDescent="0.25"/>
    <row r="5116" ht="30.75" customHeight="1" thickBot="1" x14ac:dyDescent="0.25"/>
    <row r="5117" ht="30.75" customHeight="1" thickBot="1" x14ac:dyDescent="0.25"/>
    <row r="5118" ht="30.75" customHeight="1" thickBot="1" x14ac:dyDescent="0.25"/>
    <row r="5119" ht="30.75" customHeight="1" thickBot="1" x14ac:dyDescent="0.25"/>
    <row r="5120" ht="30.75" customHeight="1" thickBot="1" x14ac:dyDescent="0.25"/>
    <row r="5121" ht="30.75" customHeight="1" thickBot="1" x14ac:dyDescent="0.25"/>
    <row r="5122" ht="30.75" customHeight="1" thickBot="1" x14ac:dyDescent="0.25"/>
    <row r="5123" ht="30.75" customHeight="1" thickBot="1" x14ac:dyDescent="0.25"/>
    <row r="5124" ht="30.75" customHeight="1" thickBot="1" x14ac:dyDescent="0.25"/>
    <row r="5125" ht="30.75" customHeight="1" thickBot="1" x14ac:dyDescent="0.25"/>
    <row r="5126" ht="30.75" customHeight="1" thickBot="1" x14ac:dyDescent="0.25"/>
    <row r="5127" ht="30.75" customHeight="1" thickBot="1" x14ac:dyDescent="0.25"/>
    <row r="5128" ht="30.75" customHeight="1" thickBot="1" x14ac:dyDescent="0.25"/>
    <row r="5129" ht="30.75" customHeight="1" thickBot="1" x14ac:dyDescent="0.25"/>
    <row r="5130" ht="30.75" customHeight="1" thickBot="1" x14ac:dyDescent="0.25"/>
    <row r="5131" ht="30.75" customHeight="1" thickBot="1" x14ac:dyDescent="0.25"/>
    <row r="5132" ht="30.75" customHeight="1" thickBot="1" x14ac:dyDescent="0.25"/>
    <row r="5133" ht="30.75" customHeight="1" thickBot="1" x14ac:dyDescent="0.25"/>
    <row r="5134" ht="30.75" customHeight="1" thickBot="1" x14ac:dyDescent="0.25"/>
    <row r="5135" ht="30.75" customHeight="1" thickBot="1" x14ac:dyDescent="0.25"/>
    <row r="5136" ht="30.75" customHeight="1" thickBot="1" x14ac:dyDescent="0.25"/>
    <row r="5137" ht="30.75" customHeight="1" thickBot="1" x14ac:dyDescent="0.25"/>
    <row r="5138" ht="30.75" customHeight="1" thickBot="1" x14ac:dyDescent="0.25"/>
    <row r="5139" ht="30.75" customHeight="1" thickBot="1" x14ac:dyDescent="0.25"/>
    <row r="5140" ht="30.75" customHeight="1" thickBot="1" x14ac:dyDescent="0.25"/>
    <row r="5141" ht="30.75" customHeight="1" thickBot="1" x14ac:dyDescent="0.25"/>
    <row r="5142" ht="30.75" customHeight="1" thickBot="1" x14ac:dyDescent="0.25"/>
    <row r="5143" ht="30.75" customHeight="1" thickBot="1" x14ac:dyDescent="0.25"/>
    <row r="5144" ht="30.75" customHeight="1" thickBot="1" x14ac:dyDescent="0.25"/>
    <row r="5145" ht="30.75" customHeight="1" thickBot="1" x14ac:dyDescent="0.25"/>
    <row r="5146" ht="30.75" customHeight="1" thickBot="1" x14ac:dyDescent="0.25"/>
    <row r="5147" ht="30.75" customHeight="1" thickBot="1" x14ac:dyDescent="0.25"/>
    <row r="5148" ht="30.75" customHeight="1" thickBot="1" x14ac:dyDescent="0.25"/>
    <row r="5149" ht="30.75" customHeight="1" thickBot="1" x14ac:dyDescent="0.25"/>
    <row r="5150" ht="30.75" customHeight="1" thickBot="1" x14ac:dyDescent="0.25"/>
    <row r="5151" ht="30.75" customHeight="1" thickBot="1" x14ac:dyDescent="0.25"/>
    <row r="5152" ht="30.75" customHeight="1" thickBot="1" x14ac:dyDescent="0.25"/>
    <row r="5153" ht="30.75" customHeight="1" thickBot="1" x14ac:dyDescent="0.25"/>
    <row r="5154" ht="30.75" customHeight="1" thickBot="1" x14ac:dyDescent="0.25"/>
    <row r="5155" ht="30.75" customHeight="1" thickBot="1" x14ac:dyDescent="0.25"/>
    <row r="5156" ht="30.75" customHeight="1" thickBot="1" x14ac:dyDescent="0.25"/>
    <row r="5157" ht="30.75" customHeight="1" thickBot="1" x14ac:dyDescent="0.25"/>
    <row r="5158" ht="30.75" customHeight="1" thickBot="1" x14ac:dyDescent="0.25"/>
    <row r="5159" ht="30.75" customHeight="1" thickBot="1" x14ac:dyDescent="0.25"/>
    <row r="5160" ht="30.75" customHeight="1" thickBot="1" x14ac:dyDescent="0.25"/>
    <row r="5161" ht="30.75" customHeight="1" thickBot="1" x14ac:dyDescent="0.25"/>
    <row r="5162" ht="30.75" customHeight="1" thickBot="1" x14ac:dyDescent="0.25"/>
    <row r="5163" ht="30.75" customHeight="1" thickBot="1" x14ac:dyDescent="0.25"/>
    <row r="5164" ht="30.75" customHeight="1" thickBot="1" x14ac:dyDescent="0.25"/>
    <row r="5165" ht="30.75" customHeight="1" thickBot="1" x14ac:dyDescent="0.25"/>
    <row r="5166" ht="30.75" customHeight="1" thickBot="1" x14ac:dyDescent="0.25"/>
    <row r="5167" ht="30.75" customHeight="1" thickBot="1" x14ac:dyDescent="0.25"/>
    <row r="5168" ht="30.75" customHeight="1" thickBot="1" x14ac:dyDescent="0.25"/>
    <row r="5169" ht="30.75" customHeight="1" thickBot="1" x14ac:dyDescent="0.25"/>
    <row r="5170" ht="30.75" customHeight="1" thickBot="1" x14ac:dyDescent="0.25"/>
    <row r="5171" ht="30.75" customHeight="1" thickBot="1" x14ac:dyDescent="0.25"/>
    <row r="5172" ht="30.75" customHeight="1" thickBot="1" x14ac:dyDescent="0.25"/>
    <row r="5173" ht="30.75" customHeight="1" thickBot="1" x14ac:dyDescent="0.25"/>
    <row r="5174" ht="30.75" customHeight="1" thickBot="1" x14ac:dyDescent="0.25"/>
    <row r="5175" ht="30.75" customHeight="1" thickBot="1" x14ac:dyDescent="0.25"/>
    <row r="5176" ht="30.75" customHeight="1" thickBot="1" x14ac:dyDescent="0.25"/>
    <row r="5177" ht="30.75" customHeight="1" thickBot="1" x14ac:dyDescent="0.25"/>
    <row r="5178" ht="30.75" customHeight="1" thickBot="1" x14ac:dyDescent="0.25"/>
    <row r="5179" ht="30.75" customHeight="1" thickBot="1" x14ac:dyDescent="0.25"/>
    <row r="5180" ht="30.75" customHeight="1" thickBot="1" x14ac:dyDescent="0.25"/>
    <row r="5181" ht="30.75" customHeight="1" thickBot="1" x14ac:dyDescent="0.25"/>
    <row r="5182" ht="30.75" customHeight="1" thickBot="1" x14ac:dyDescent="0.25"/>
    <row r="5183" ht="30.75" customHeight="1" thickBot="1" x14ac:dyDescent="0.25"/>
    <row r="5184" ht="30.75" customHeight="1" thickBot="1" x14ac:dyDescent="0.25"/>
    <row r="5185" ht="30.75" customHeight="1" thickBot="1" x14ac:dyDescent="0.25"/>
    <row r="5186" ht="30.75" customHeight="1" thickBot="1" x14ac:dyDescent="0.25"/>
    <row r="5187" ht="30.75" customHeight="1" thickBot="1" x14ac:dyDescent="0.25"/>
    <row r="5188" ht="30.75" customHeight="1" thickBot="1" x14ac:dyDescent="0.25"/>
    <row r="5189" ht="30.75" customHeight="1" thickBot="1" x14ac:dyDescent="0.25"/>
    <row r="5190" ht="30.75" customHeight="1" thickBot="1" x14ac:dyDescent="0.25"/>
    <row r="5191" ht="30.75" customHeight="1" thickBot="1" x14ac:dyDescent="0.25"/>
    <row r="5192" ht="30.75" customHeight="1" thickBot="1" x14ac:dyDescent="0.25"/>
    <row r="5193" ht="30.75" customHeight="1" thickBot="1" x14ac:dyDescent="0.25"/>
    <row r="5194" ht="30.75" customHeight="1" thickBot="1" x14ac:dyDescent="0.25"/>
    <row r="5195" ht="30.75" customHeight="1" thickBot="1" x14ac:dyDescent="0.25"/>
    <row r="5196" ht="30.75" customHeight="1" thickBot="1" x14ac:dyDescent="0.25"/>
    <row r="5197" ht="30.75" customHeight="1" thickBot="1" x14ac:dyDescent="0.25"/>
    <row r="5198" ht="30.75" customHeight="1" thickBot="1" x14ac:dyDescent="0.25"/>
    <row r="5199" ht="30.75" customHeight="1" thickBot="1" x14ac:dyDescent="0.25"/>
    <row r="5200" ht="30.75" customHeight="1" thickBot="1" x14ac:dyDescent="0.25"/>
    <row r="5201" ht="30.75" customHeight="1" thickBot="1" x14ac:dyDescent="0.25"/>
    <row r="5202" ht="30.75" customHeight="1" thickBot="1" x14ac:dyDescent="0.25"/>
    <row r="5203" ht="30.75" customHeight="1" thickBot="1" x14ac:dyDescent="0.25"/>
    <row r="5204" ht="30.75" customHeight="1" thickBot="1" x14ac:dyDescent="0.25"/>
    <row r="5205" ht="30.75" customHeight="1" thickBot="1" x14ac:dyDescent="0.25"/>
    <row r="5206" ht="30.75" customHeight="1" thickBot="1" x14ac:dyDescent="0.25"/>
    <row r="5207" ht="30.75" customHeight="1" thickBot="1" x14ac:dyDescent="0.25"/>
    <row r="5208" ht="30.75" customHeight="1" thickBot="1" x14ac:dyDescent="0.25"/>
    <row r="5209" ht="30.75" customHeight="1" thickBot="1" x14ac:dyDescent="0.25"/>
    <row r="5210" ht="30.75" customHeight="1" thickBot="1" x14ac:dyDescent="0.25"/>
    <row r="5211" ht="30.75" customHeight="1" thickBot="1" x14ac:dyDescent="0.25"/>
    <row r="5212" ht="30.75" customHeight="1" thickBot="1" x14ac:dyDescent="0.25"/>
    <row r="5213" ht="30.75" customHeight="1" thickBot="1" x14ac:dyDescent="0.25"/>
    <row r="5214" ht="30.75" customHeight="1" thickBot="1" x14ac:dyDescent="0.25"/>
    <row r="5215" ht="30.75" customHeight="1" thickBot="1" x14ac:dyDescent="0.25"/>
    <row r="5216" ht="30.75" customHeight="1" thickBot="1" x14ac:dyDescent="0.25"/>
    <row r="5217" ht="30.75" customHeight="1" thickBot="1" x14ac:dyDescent="0.25"/>
    <row r="5218" ht="30.75" customHeight="1" thickBot="1" x14ac:dyDescent="0.25"/>
    <row r="5219" ht="30.75" customHeight="1" thickBot="1" x14ac:dyDescent="0.25"/>
    <row r="5220" ht="30.75" customHeight="1" thickBot="1" x14ac:dyDescent="0.25"/>
    <row r="5221" ht="30.75" customHeight="1" thickBot="1" x14ac:dyDescent="0.25"/>
    <row r="5222" ht="30.75" customHeight="1" thickBot="1" x14ac:dyDescent="0.25"/>
    <row r="5223" ht="30.75" customHeight="1" thickBot="1" x14ac:dyDescent="0.25"/>
    <row r="5224" ht="30.75" customHeight="1" thickBot="1" x14ac:dyDescent="0.25"/>
    <row r="5225" ht="30.75" customHeight="1" thickBot="1" x14ac:dyDescent="0.25"/>
    <row r="5226" ht="30.75" customHeight="1" thickBot="1" x14ac:dyDescent="0.25"/>
    <row r="5227" ht="30.75" customHeight="1" thickBot="1" x14ac:dyDescent="0.25"/>
    <row r="5228" ht="30.75" customHeight="1" thickBot="1" x14ac:dyDescent="0.25"/>
    <row r="5229" ht="30.75" customHeight="1" thickBot="1" x14ac:dyDescent="0.25"/>
    <row r="5230" ht="30.75" customHeight="1" thickBot="1" x14ac:dyDescent="0.25"/>
    <row r="5231" ht="30.75" customHeight="1" thickBot="1" x14ac:dyDescent="0.25"/>
    <row r="5232" ht="30.75" customHeight="1" thickBot="1" x14ac:dyDescent="0.25"/>
    <row r="5233" ht="30.75" customHeight="1" thickBot="1" x14ac:dyDescent="0.25"/>
    <row r="5234" ht="30.75" customHeight="1" thickBot="1" x14ac:dyDescent="0.25"/>
    <row r="5235" ht="30.75" customHeight="1" thickBot="1" x14ac:dyDescent="0.25"/>
    <row r="5236" ht="30.75" customHeight="1" thickBot="1" x14ac:dyDescent="0.25"/>
    <row r="5237" ht="30.75" customHeight="1" thickBot="1" x14ac:dyDescent="0.25"/>
    <row r="5238" ht="30.75" customHeight="1" thickBot="1" x14ac:dyDescent="0.25"/>
    <row r="5239" ht="30.75" customHeight="1" thickBot="1" x14ac:dyDescent="0.25"/>
    <row r="5240" ht="30.75" customHeight="1" thickBot="1" x14ac:dyDescent="0.25"/>
    <row r="5241" ht="30.75" customHeight="1" thickBot="1" x14ac:dyDescent="0.25"/>
    <row r="5242" ht="30.75" customHeight="1" thickBot="1" x14ac:dyDescent="0.25"/>
    <row r="5243" ht="30.75" customHeight="1" thickBot="1" x14ac:dyDescent="0.25"/>
    <row r="5244" ht="30.75" customHeight="1" thickBot="1" x14ac:dyDescent="0.25"/>
    <row r="5245" ht="30.75" customHeight="1" thickBot="1" x14ac:dyDescent="0.25"/>
    <row r="5246" ht="30.75" customHeight="1" thickBot="1" x14ac:dyDescent="0.25"/>
    <row r="5247" ht="30.75" customHeight="1" thickBot="1" x14ac:dyDescent="0.25"/>
    <row r="5248" ht="30.75" customHeight="1" thickBot="1" x14ac:dyDescent="0.25"/>
    <row r="5249" ht="30.75" customHeight="1" thickBot="1" x14ac:dyDescent="0.25"/>
    <row r="5250" ht="30.75" customHeight="1" thickBot="1" x14ac:dyDescent="0.25"/>
    <row r="5251" ht="30.75" customHeight="1" thickBot="1" x14ac:dyDescent="0.25"/>
    <row r="5252" ht="30.75" customHeight="1" thickBot="1" x14ac:dyDescent="0.25"/>
    <row r="5253" ht="30.75" customHeight="1" thickBot="1" x14ac:dyDescent="0.25"/>
    <row r="5254" ht="30.75" customHeight="1" thickBot="1" x14ac:dyDescent="0.25"/>
    <row r="5255" ht="30.75" customHeight="1" thickBot="1" x14ac:dyDescent="0.25"/>
    <row r="5256" ht="30.75" customHeight="1" thickBot="1" x14ac:dyDescent="0.25"/>
    <row r="5257" ht="30.75" customHeight="1" thickBot="1" x14ac:dyDescent="0.25"/>
    <row r="5258" ht="30.75" customHeight="1" thickBot="1" x14ac:dyDescent="0.25"/>
    <row r="5259" ht="30.75" customHeight="1" thickBot="1" x14ac:dyDescent="0.25"/>
    <row r="5260" ht="30.75" customHeight="1" thickBot="1" x14ac:dyDescent="0.25"/>
    <row r="5261" ht="30.75" customHeight="1" thickBot="1" x14ac:dyDescent="0.25"/>
    <row r="5262" ht="30.75" customHeight="1" thickBot="1" x14ac:dyDescent="0.25"/>
    <row r="5263" ht="30.75" customHeight="1" thickBot="1" x14ac:dyDescent="0.25"/>
    <row r="5264" ht="30.75" customHeight="1" thickBot="1" x14ac:dyDescent="0.25"/>
    <row r="5265" ht="30.75" customHeight="1" thickBot="1" x14ac:dyDescent="0.25"/>
    <row r="5266" ht="30.75" customHeight="1" thickBot="1" x14ac:dyDescent="0.25"/>
    <row r="5267" ht="30.75" customHeight="1" thickBot="1" x14ac:dyDescent="0.25"/>
    <row r="5268" ht="30.75" customHeight="1" thickBot="1" x14ac:dyDescent="0.25"/>
    <row r="5269" ht="30.75" customHeight="1" thickBot="1" x14ac:dyDescent="0.25"/>
    <row r="5270" ht="30.75" customHeight="1" thickBot="1" x14ac:dyDescent="0.25"/>
    <row r="5271" ht="30.75" customHeight="1" thickBot="1" x14ac:dyDescent="0.25"/>
    <row r="5272" ht="30.75" customHeight="1" thickBot="1" x14ac:dyDescent="0.25"/>
    <row r="5273" ht="30.75" customHeight="1" thickBot="1" x14ac:dyDescent="0.25"/>
    <row r="5274" ht="30.75" customHeight="1" thickBot="1" x14ac:dyDescent="0.25"/>
    <row r="5275" ht="30.75" customHeight="1" thickBot="1" x14ac:dyDescent="0.25"/>
    <row r="5276" ht="30.75" customHeight="1" thickBot="1" x14ac:dyDescent="0.25"/>
    <row r="5277" ht="30.75" customHeight="1" thickBot="1" x14ac:dyDescent="0.25"/>
    <row r="5278" ht="30.75" customHeight="1" thickBot="1" x14ac:dyDescent="0.25"/>
    <row r="5279" ht="30.75" customHeight="1" thickBot="1" x14ac:dyDescent="0.25"/>
    <row r="5280" ht="30.75" customHeight="1" thickBot="1" x14ac:dyDescent="0.25"/>
    <row r="5281" ht="30.75" customHeight="1" thickBot="1" x14ac:dyDescent="0.25"/>
    <row r="5282" ht="30.75" customHeight="1" thickBot="1" x14ac:dyDescent="0.25"/>
    <row r="5283" ht="30.75" customHeight="1" thickBot="1" x14ac:dyDescent="0.25"/>
    <row r="5284" ht="30.75" customHeight="1" thickBot="1" x14ac:dyDescent="0.25"/>
    <row r="5285" ht="30.75" customHeight="1" thickBot="1" x14ac:dyDescent="0.25"/>
    <row r="5286" ht="30.75" customHeight="1" thickBot="1" x14ac:dyDescent="0.25"/>
    <row r="5287" ht="30.75" customHeight="1" thickBot="1" x14ac:dyDescent="0.25"/>
    <row r="5288" ht="30.75" customHeight="1" thickBot="1" x14ac:dyDescent="0.25"/>
    <row r="5289" ht="30.75" customHeight="1" thickBot="1" x14ac:dyDescent="0.25"/>
    <row r="5290" ht="30.75" customHeight="1" thickBot="1" x14ac:dyDescent="0.25"/>
    <row r="5291" ht="30.75" customHeight="1" thickBot="1" x14ac:dyDescent="0.25"/>
    <row r="5292" ht="30.75" customHeight="1" thickBot="1" x14ac:dyDescent="0.25"/>
  </sheetData>
  <autoFilter ref="A2:X2">
    <sortState ref="A3:X362">
      <sortCondition ref="L2"/>
    </sortState>
  </autoFilter>
  <mergeCells count="1">
    <mergeCell ref="A1:L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tint="0.39997558519241921"/>
  </sheetPr>
  <dimension ref="A1"/>
  <sheetViews>
    <sheetView zoomScaleNormal="100" workbookViewId="0">
      <pane ySplit="1" topLeftCell="A2" activePane="bottomLeft" state="frozen"/>
      <selection sqref="A1:XFD1048576"/>
      <selection pane="bottomLeft" activeCell="B1" sqref="A1:XFD1048576"/>
    </sheetView>
  </sheetViews>
  <sheetFormatPr defaultRowHeight="18.75" customHeight="1" x14ac:dyDescent="0.25"/>
  <cols>
    <col min="1" max="1" width="36.5703125" customWidth="1"/>
    <col min="2" max="2" width="9.140625" customWidth="1"/>
    <col min="3" max="3" width="36.5703125" customWidth="1"/>
    <col min="4" max="4" width="29" customWidth="1"/>
    <col min="5" max="5" width="12.140625" customWidth="1"/>
    <col min="6" max="6" width="13.7109375" customWidth="1"/>
    <col min="7" max="7" width="57.140625" customWidth="1"/>
    <col min="8" max="8" width="48" customWidth="1"/>
    <col min="9" max="9" width="13" customWidth="1"/>
    <col min="10" max="10" width="16.7109375" customWidth="1"/>
    <col min="11" max="11" width="9.85546875" customWidth="1"/>
    <col min="12" max="12" width="19.85546875" customWidth="1"/>
    <col min="13" max="13" width="30.42578125" customWidth="1"/>
    <col min="14" max="14" width="10.7109375" customWidth="1"/>
    <col min="15" max="15" width="8.42578125" customWidth="1"/>
    <col min="16" max="16" width="11.42578125" customWidth="1"/>
    <col min="17" max="17" width="13" customWidth="1"/>
    <col min="18" max="18" width="17.5703125" customWidth="1"/>
    <col min="19" max="19" width="28.140625" customWidth="1"/>
    <col min="20" max="22" width="17.5703125" customWidth="1"/>
    <col min="23" max="23" width="13.7109375" customWidth="1"/>
    <col min="24" max="24" width="16" customWidth="1"/>
    <col min="25" max="25" width="12.140625" customWidth="1"/>
    <col min="26" max="26" width="8.7109375" bestFit="1" customWidth="1"/>
    <col min="27" max="27" width="16" customWidth="1"/>
    <col min="28" max="28" width="16.7109375" customWidth="1"/>
    <col min="29" max="29" width="24.42578125" customWidth="1"/>
    <col min="30" max="30" width="15.28515625" customWidth="1"/>
    <col min="31" max="31" width="25.140625" customWidth="1"/>
    <col min="32" max="32" width="23.5703125" customWidth="1"/>
    <col min="33" max="33" width="13.7109375" customWidth="1"/>
    <col min="34" max="34" width="9.140625" customWidth="1"/>
    <col min="35" max="35" width="21.28515625" customWidth="1"/>
    <col min="36" max="36" width="12.140625" customWidth="1"/>
    <col min="37" max="37" width="13.7109375" customWidth="1"/>
    <col min="38" max="38" width="8.42578125" customWidth="1"/>
    <col min="39" max="39" width="38.140625" customWidth="1"/>
    <col min="40" max="40" width="19" customWidth="1"/>
    <col min="41" max="41" width="10.7109375" customWidth="1"/>
    <col min="42" max="42" width="19.85546875" customWidth="1"/>
    <col min="43" max="43" width="16.7109375" customWidth="1"/>
    <col min="44" max="44" width="24.42578125" customWidth="1"/>
    <col min="45" max="46" width="95.28515625" customWidth="1"/>
    <col min="47" max="47" width="16" customWidth="1"/>
    <col min="48" max="48" width="18.28515625" customWidth="1"/>
    <col min="49" max="50" width="12.140625" customWidth="1"/>
    <col min="51" max="51" width="15.28515625" customWidth="1"/>
    <col min="52" max="52" width="24.42578125" customWidth="1"/>
    <col min="53" max="53" width="16.85546875" customWidth="1"/>
    <col min="54" max="54" width="13.42578125" customWidth="1"/>
    <col min="55" max="55" width="15" customWidth="1"/>
  </cols>
  <sheetData/>
  <pageMargins left="0.7" right="0.7" top="0.75" bottom="0.75" header="0.3" footer="0.3"/>
  <pageSetup scale="5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8" tint="0.39997558519241921"/>
  </sheetPr>
  <dimension ref="A1"/>
  <sheetViews>
    <sheetView showGridLines="0" zoomScale="85" zoomScaleNormal="85" workbookViewId="0">
      <pane ySplit="1" topLeftCell="A4212" activePane="bottomLeft" state="frozen"/>
      <selection pane="bottomLeft" sqref="A1:XFD1048576"/>
    </sheetView>
  </sheetViews>
  <sheetFormatPr defaultRowHeight="33.75" customHeight="1" x14ac:dyDescent="0.25"/>
  <cols>
    <col min="60" max="60" width="26.42578125" customWidth="1"/>
    <col min="61" max="61" width="27.42578125" customWidth="1"/>
    <col min="62" max="62" width="24.5703125" customWidth="1"/>
    <col min="63" max="63" width="29.7109375" customWidth="1"/>
    <col min="64" max="68" width="9.7109375" bestFit="1" customWidth="1"/>
    <col min="69" max="75" width="8.7109375" customWidth="1"/>
    <col min="76" max="80" width="9.7109375" bestFit="1" customWidth="1"/>
    <col min="81" max="81" width="7.28515625" customWidth="1"/>
    <col min="82" max="82" width="24.5703125" bestFit="1" customWidth="1"/>
    <col min="83" max="89" width="9.7109375" bestFit="1" customWidth="1"/>
    <col min="90" max="96" width="8.7109375" customWidth="1"/>
    <col min="97" max="101" width="9.7109375" bestFit="1" customWidth="1"/>
    <col min="102" max="102" width="7.28515625" customWidth="1"/>
    <col min="103" max="103" width="32.42578125" bestFit="1" customWidth="1"/>
    <col min="104" max="104" width="29.710937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
  <sheetViews>
    <sheetView showGridLines="0" zoomScaleNormal="100" workbookViewId="0">
      <pane ySplit="1" topLeftCell="A2" activePane="bottomLeft" state="frozen"/>
      <selection sqref="A1:XFD1048576"/>
      <selection pane="bottomLeft" activeCell="D1" sqref="A1:XFD1048576"/>
    </sheetView>
  </sheetViews>
  <sheetFormatPr defaultRowHeight="15" x14ac:dyDescent="0.25"/>
  <cols>
    <col min="1" max="1" width="10" bestFit="1" customWidth="1"/>
    <col min="2" max="2" width="13.5703125" bestFit="1" customWidth="1"/>
    <col min="3" max="3" width="15" bestFit="1" customWidth="1"/>
    <col min="4" max="4" width="21.5703125" bestFit="1" customWidth="1"/>
    <col min="5" max="5" width="6.85546875" bestFit="1" customWidth="1"/>
    <col min="6" max="6" width="11" bestFit="1" customWidth="1"/>
    <col min="7" max="7" width="8" bestFit="1" customWidth="1"/>
    <col min="8" max="8" width="9" bestFit="1" customWidth="1"/>
    <col min="9" max="9" width="12.7109375" bestFit="1" customWidth="1"/>
    <col min="10" max="10" width="10" bestFit="1" customWidth="1"/>
    <col min="11" max="11" width="11.28515625" bestFit="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39997558519241921"/>
  </sheetPr>
  <dimension ref="A1"/>
  <sheetViews>
    <sheetView showGridLines="0" zoomScaleNormal="100" workbookViewId="0">
      <pane ySplit="1" topLeftCell="A2" activePane="bottomLeft" state="frozen"/>
      <selection sqref="A1:XFD1048576"/>
      <selection pane="bottomLeft" activeCell="F1" sqref="A1:XFD1048576"/>
    </sheetView>
  </sheetViews>
  <sheetFormatPr defaultRowHeight="15" x14ac:dyDescent="0.25"/>
  <cols>
    <col min="1" max="1" width="30.28515625" bestFit="1" customWidth="1"/>
    <col min="2" max="2" width="13.5703125" bestFit="1" customWidth="1"/>
    <col min="3" max="3" width="11" bestFit="1" customWidth="1"/>
    <col min="4" max="4" width="16.42578125" bestFit="1" customWidth="1"/>
    <col min="5" max="5" width="8.28515625" bestFit="1" customWidth="1"/>
    <col min="6" max="6" width="11.7109375" bestFit="1" customWidth="1"/>
    <col min="7" max="7" width="6.7109375" bestFit="1" customWidth="1"/>
    <col min="8" max="8" width="24.28515625" bestFit="1" customWidth="1"/>
    <col min="9" max="9" width="255.7109375" bestFit="1" customWidth="1"/>
  </cols>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cols>
    <col min="1" max="1" width="13.5703125" bestFit="1" customWidth="1"/>
    <col min="2" max="2" width="10" bestFit="1" customWidth="1"/>
    <col min="3" max="3" width="11" bestFit="1" customWidth="1"/>
    <col min="4" max="4" width="9" bestFit="1" customWidth="1"/>
    <col min="5" max="5" width="5" bestFit="1" customWidth="1"/>
    <col min="6" max="6" width="9" bestFit="1" customWidth="1"/>
    <col min="7" max="7" width="10" bestFit="1" customWidth="1"/>
    <col min="8" max="8" width="12.7109375" bestFit="1" customWidth="1"/>
    <col min="9" max="9" width="30.7109375" bestFit="1" customWidth="1"/>
    <col min="10" max="10" width="13.140625" bestFit="1" customWidth="1"/>
    <col min="11" max="11" width="29.28515625" bestFit="1" customWidth="1"/>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RowHeight="24.75" customHeight="1" x14ac:dyDescent="0.25"/>
  <cols>
    <col min="1" max="1" width="10.5703125" bestFit="1" customWidth="1"/>
    <col min="2" max="2" width="12.42578125" bestFit="1" customWidth="1"/>
    <col min="3" max="3" width="16.7109375" bestFit="1" customWidth="1"/>
    <col min="4" max="4" width="8.140625" bestFit="1" customWidth="1"/>
    <col min="5" max="5" width="12.85546875" bestFit="1" customWidth="1"/>
    <col min="6" max="6" width="12.42578125" bestFit="1" customWidth="1"/>
    <col min="7" max="7" width="13" bestFit="1" customWidth="1"/>
    <col min="8" max="8" width="7.85546875" bestFit="1" customWidth="1"/>
    <col min="9" max="9" width="6.85546875" bestFit="1" customWidth="1"/>
    <col min="10" max="10" width="11.140625" bestFit="1" customWidth="1"/>
    <col min="11" max="11" width="12.42578125" bestFit="1" customWidth="1"/>
    <col min="12" max="12" width="13" bestFit="1" customWidth="1"/>
    <col min="13" max="13" width="12.5703125" bestFit="1" customWidth="1"/>
    <col min="14" max="14" width="11" bestFit="1" customWidth="1"/>
    <col min="15" max="16" width="17" bestFit="1" customWidth="1"/>
    <col min="17" max="17" width="16.140625" bestFit="1" customWidth="1"/>
    <col min="18" max="18" width="17" bestFit="1" customWidth="1"/>
    <col min="19" max="19" width="12.85546875" bestFit="1" customWidth="1"/>
    <col min="20" max="20" width="13" bestFit="1" customWidth="1"/>
    <col min="21" max="21" width="12" bestFit="1" customWidth="1"/>
    <col min="22" max="22" width="10" bestFit="1" customWidth="1"/>
    <col min="23" max="23" width="12.42578125" bestFit="1" customWidth="1"/>
    <col min="24" max="24" width="13.42578125" bestFit="1" customWidth="1"/>
    <col min="25" max="25" width="10.5703125" bestFit="1" customWidth="1"/>
    <col min="26" max="26" width="14.5703125" bestFit="1" customWidth="1"/>
    <col min="27" max="27" width="8.85546875" bestFit="1" customWidth="1"/>
    <col min="28" max="28" width="10.28515625" bestFit="1" customWidth="1"/>
    <col min="29" max="29" width="13" bestFit="1" customWidth="1"/>
    <col min="30" max="31" width="12.5703125" bestFit="1" customWidth="1"/>
    <col min="32" max="32" width="8.7109375" bestFit="1" customWidth="1"/>
    <col min="33" max="33" width="12.85546875" bestFit="1" customWidth="1"/>
    <col min="34" max="34" width="8.28515625" bestFit="1" customWidth="1"/>
    <col min="35" max="35" width="12" bestFit="1" customWidth="1"/>
    <col min="36" max="36" width="9.28515625" bestFit="1" customWidth="1"/>
    <col min="37" max="37" width="12.85546875" bestFit="1" customWidth="1"/>
    <col min="38" max="38" width="11" bestFit="1" customWidth="1"/>
    <col min="39" max="39" width="12.140625" bestFit="1" customWidth="1"/>
    <col min="40" max="40" width="10" bestFit="1" customWidth="1"/>
    <col min="41" max="41" width="5.28515625" bestFit="1" customWidth="1"/>
    <col min="42" max="42" width="3.5703125" bestFit="1" customWidth="1"/>
    <col min="43" max="43" width="8.5703125" bestFit="1" customWidth="1"/>
    <col min="44" max="44" width="10.5703125" bestFit="1" customWidth="1"/>
    <col min="45" max="45" width="24.57031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8" tint="0.39997558519241921"/>
  </sheetPr>
  <dimension ref="A1"/>
  <sheetViews>
    <sheetView showGridLines="0" zoomScale="130" zoomScaleNormal="130" workbookViewId="0">
      <pane ySplit="1" topLeftCell="A2" activePane="bottomLeft" state="frozen"/>
      <selection sqref="A1:XFD1048576"/>
      <selection pane="bottomLeft" activeCell="O25" sqref="O25"/>
    </sheetView>
  </sheetViews>
  <sheetFormatPr defaultRowHeight="15" x14ac:dyDescent="0.25"/>
  <cols>
    <col min="1" max="1" width="12.42578125" bestFit="1"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8" tint="0.39997558519241921"/>
  </sheetPr>
  <dimension ref="A1"/>
  <sheetViews>
    <sheetView showGridLines="0" zoomScaleNormal="100" workbookViewId="0">
      <pane ySplit="1" topLeftCell="A2" activePane="bottomLeft" state="frozen"/>
      <selection sqref="A1:XFD1048576"/>
      <selection pane="bottomLeft" sqref="A1:XFD1048576"/>
    </sheetView>
  </sheetViews>
  <sheetFormatPr defaultColWidth="14.140625" defaultRowHeight="26.25" customHeight="1"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A1"/>
  <sheetViews>
    <sheetView workbookViewId="0">
      <selection sqref="A1:XFD1048576"/>
    </sheetView>
  </sheetViews>
  <sheetFormatPr defaultRowHeight="15" x14ac:dyDescent="0.25"/>
  <cols>
    <col min="1" max="1" width="16.28515625" bestFit="1" customWidth="1"/>
    <col min="2" max="2" width="19.140625" bestFit="1" customWidth="1"/>
    <col min="3" max="3" width="12.85546875" bestFit="1" customWidth="1"/>
    <col min="4" max="4" width="14.85546875" bestFit="1" customWidth="1"/>
    <col min="5" max="5" width="23.42578125" bestFit="1" customWidth="1"/>
    <col min="6" max="6" width="14.7109375" bestFit="1" customWidth="1"/>
    <col min="7" max="7" width="23.140625" bestFit="1" customWidth="1"/>
  </cols>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130"/>
  <sheetViews>
    <sheetView workbookViewId="0">
      <selection sqref="A1:A130"/>
    </sheetView>
  </sheetViews>
  <sheetFormatPr defaultRowHeight="15" x14ac:dyDescent="0.25"/>
  <cols>
    <col min="1" max="1" width="10.7109375" bestFit="1" customWidth="1"/>
  </cols>
  <sheetData>
    <row r="1" spans="1:1" x14ac:dyDescent="0.25">
      <c r="A1">
        <v>9755531</v>
      </c>
    </row>
    <row r="2" spans="1:1" x14ac:dyDescent="0.25">
      <c r="A2">
        <v>9755600</v>
      </c>
    </row>
    <row r="3" spans="1:1" x14ac:dyDescent="0.25">
      <c r="A3">
        <v>9756404</v>
      </c>
    </row>
    <row r="4" spans="1:1" x14ac:dyDescent="0.25">
      <c r="A4">
        <v>9756404</v>
      </c>
    </row>
    <row r="5" spans="1:1" x14ac:dyDescent="0.25">
      <c r="A5">
        <v>9756404</v>
      </c>
    </row>
    <row r="6" spans="1:1" x14ac:dyDescent="0.25">
      <c r="A6">
        <v>9756404</v>
      </c>
    </row>
    <row r="7" spans="1:1" x14ac:dyDescent="0.25">
      <c r="A7">
        <v>9756404</v>
      </c>
    </row>
    <row r="8" spans="1:1" x14ac:dyDescent="0.25">
      <c r="A8">
        <v>9756404</v>
      </c>
    </row>
    <row r="9" spans="1:1" x14ac:dyDescent="0.25">
      <c r="A9">
        <v>9756404</v>
      </c>
    </row>
    <row r="10" spans="1:1" x14ac:dyDescent="0.25">
      <c r="A10">
        <v>9756404</v>
      </c>
    </row>
    <row r="11" spans="1:1" x14ac:dyDescent="0.25">
      <c r="A11">
        <v>9756404</v>
      </c>
    </row>
    <row r="12" spans="1:1" x14ac:dyDescent="0.25">
      <c r="A12">
        <v>9756404</v>
      </c>
    </row>
    <row r="13" spans="1:1" x14ac:dyDescent="0.25">
      <c r="A13">
        <v>9756404</v>
      </c>
    </row>
    <row r="14" spans="1:1" x14ac:dyDescent="0.25">
      <c r="A14">
        <v>9756404</v>
      </c>
    </row>
    <row r="15" spans="1:1" x14ac:dyDescent="0.25">
      <c r="A15">
        <v>9756404</v>
      </c>
    </row>
    <row r="16" spans="1:1" x14ac:dyDescent="0.25">
      <c r="A16">
        <v>9756404</v>
      </c>
    </row>
    <row r="17" spans="1:1" x14ac:dyDescent="0.25">
      <c r="A17">
        <v>9756404</v>
      </c>
    </row>
    <row r="18" spans="1:1" x14ac:dyDescent="0.25">
      <c r="A18">
        <v>9756404</v>
      </c>
    </row>
    <row r="19" spans="1:1" x14ac:dyDescent="0.25">
      <c r="A19">
        <v>9756404</v>
      </c>
    </row>
    <row r="20" spans="1:1" x14ac:dyDescent="0.25">
      <c r="A20">
        <v>9756422</v>
      </c>
    </row>
    <row r="21" spans="1:1" x14ac:dyDescent="0.25">
      <c r="A21">
        <v>9756795</v>
      </c>
    </row>
    <row r="22" spans="1:1" x14ac:dyDescent="0.25">
      <c r="A22">
        <v>9756795</v>
      </c>
    </row>
    <row r="23" spans="1:1" x14ac:dyDescent="0.25">
      <c r="A23">
        <v>9757378</v>
      </c>
    </row>
    <row r="24" spans="1:1" x14ac:dyDescent="0.25">
      <c r="A24">
        <v>9757378</v>
      </c>
    </row>
    <row r="25" spans="1:1" x14ac:dyDescent="0.25">
      <c r="A25">
        <v>9757378</v>
      </c>
    </row>
    <row r="26" spans="1:1" x14ac:dyDescent="0.25">
      <c r="A26">
        <v>9757553</v>
      </c>
    </row>
    <row r="27" spans="1:1" x14ac:dyDescent="0.25">
      <c r="A27">
        <v>9757558</v>
      </c>
    </row>
    <row r="28" spans="1:1" x14ac:dyDescent="0.25">
      <c r="A28">
        <v>9757888</v>
      </c>
    </row>
    <row r="29" spans="1:1" x14ac:dyDescent="0.25">
      <c r="A29">
        <v>9757890</v>
      </c>
    </row>
    <row r="30" spans="1:1" x14ac:dyDescent="0.25">
      <c r="A30">
        <v>9757893</v>
      </c>
    </row>
    <row r="31" spans="1:1" x14ac:dyDescent="0.25">
      <c r="A31">
        <v>9758139</v>
      </c>
    </row>
    <row r="32" spans="1:1" x14ac:dyDescent="0.25">
      <c r="A32">
        <v>9758141</v>
      </c>
    </row>
    <row r="33" spans="1:1" x14ac:dyDescent="0.25">
      <c r="A33">
        <v>9758142</v>
      </c>
    </row>
    <row r="34" spans="1:1" x14ac:dyDescent="0.25">
      <c r="A34">
        <v>9758144</v>
      </c>
    </row>
    <row r="35" spans="1:1" x14ac:dyDescent="0.25">
      <c r="A35">
        <v>9758145</v>
      </c>
    </row>
    <row r="36" spans="1:1" x14ac:dyDescent="0.25">
      <c r="A36">
        <v>9758145</v>
      </c>
    </row>
    <row r="37" spans="1:1" x14ac:dyDescent="0.25">
      <c r="A37">
        <v>9758178</v>
      </c>
    </row>
    <row r="38" spans="1:1" x14ac:dyDescent="0.25">
      <c r="A38">
        <v>9758594</v>
      </c>
    </row>
    <row r="39" spans="1:1" x14ac:dyDescent="0.25">
      <c r="A39">
        <v>9758616</v>
      </c>
    </row>
    <row r="40" spans="1:1" x14ac:dyDescent="0.25">
      <c r="A40">
        <v>9758619</v>
      </c>
    </row>
    <row r="41" spans="1:1" x14ac:dyDescent="0.25">
      <c r="A41">
        <v>9758619</v>
      </c>
    </row>
    <row r="42" spans="1:1" x14ac:dyDescent="0.25">
      <c r="A42">
        <v>9758619</v>
      </c>
    </row>
    <row r="43" spans="1:1" x14ac:dyDescent="0.25">
      <c r="A43">
        <v>9758619</v>
      </c>
    </row>
    <row r="44" spans="1:1" x14ac:dyDescent="0.25">
      <c r="A44">
        <v>9758619</v>
      </c>
    </row>
    <row r="45" spans="1:1" x14ac:dyDescent="0.25">
      <c r="A45">
        <v>9758619</v>
      </c>
    </row>
    <row r="46" spans="1:1" x14ac:dyDescent="0.25">
      <c r="A46">
        <v>9758621</v>
      </c>
    </row>
    <row r="47" spans="1:1" x14ac:dyDescent="0.25">
      <c r="A47">
        <v>9758621</v>
      </c>
    </row>
    <row r="48" spans="1:1" x14ac:dyDescent="0.25">
      <c r="A48">
        <v>9758621</v>
      </c>
    </row>
    <row r="49" spans="1:1" x14ac:dyDescent="0.25">
      <c r="A49">
        <v>9758621</v>
      </c>
    </row>
    <row r="50" spans="1:1" x14ac:dyDescent="0.25">
      <c r="A50">
        <v>9758621</v>
      </c>
    </row>
    <row r="51" spans="1:1" x14ac:dyDescent="0.25">
      <c r="A51">
        <v>9758627</v>
      </c>
    </row>
    <row r="52" spans="1:1" x14ac:dyDescent="0.25">
      <c r="A52">
        <v>9758627</v>
      </c>
    </row>
    <row r="53" spans="1:1" x14ac:dyDescent="0.25">
      <c r="A53">
        <v>9758658</v>
      </c>
    </row>
    <row r="54" spans="1:1" x14ac:dyDescent="0.25">
      <c r="A54">
        <v>9758723</v>
      </c>
    </row>
    <row r="55" spans="1:1" x14ac:dyDescent="0.25">
      <c r="A55">
        <v>9758723</v>
      </c>
    </row>
    <row r="56" spans="1:1" x14ac:dyDescent="0.25">
      <c r="A56">
        <v>9758788</v>
      </c>
    </row>
    <row r="57" spans="1:1" x14ac:dyDescent="0.25">
      <c r="A57">
        <v>9758789</v>
      </c>
    </row>
    <row r="58" spans="1:1" x14ac:dyDescent="0.25">
      <c r="A58">
        <v>9758791</v>
      </c>
    </row>
    <row r="59" spans="1:1" x14ac:dyDescent="0.25">
      <c r="A59">
        <v>9758852</v>
      </c>
    </row>
    <row r="60" spans="1:1" x14ac:dyDescent="0.25">
      <c r="A60">
        <v>9758852</v>
      </c>
    </row>
    <row r="61" spans="1:1" x14ac:dyDescent="0.25">
      <c r="A61">
        <v>9758852</v>
      </c>
    </row>
    <row r="62" spans="1:1" x14ac:dyDescent="0.25">
      <c r="A62">
        <v>9758860</v>
      </c>
    </row>
    <row r="63" spans="1:1" x14ac:dyDescent="0.25">
      <c r="A63">
        <v>9758861</v>
      </c>
    </row>
    <row r="64" spans="1:1" x14ac:dyDescent="0.25">
      <c r="A64">
        <v>9758878</v>
      </c>
    </row>
    <row r="65" spans="1:1" x14ac:dyDescent="0.25">
      <c r="A65">
        <v>9758879</v>
      </c>
    </row>
    <row r="66" spans="1:1" x14ac:dyDescent="0.25">
      <c r="A66">
        <v>9758880</v>
      </c>
    </row>
    <row r="67" spans="1:1" x14ac:dyDescent="0.25">
      <c r="A67">
        <v>9758881</v>
      </c>
    </row>
    <row r="68" spans="1:1" x14ac:dyDescent="0.25">
      <c r="A68">
        <v>9758881</v>
      </c>
    </row>
    <row r="69" spans="1:1" x14ac:dyDescent="0.25">
      <c r="A69">
        <v>9758882</v>
      </c>
    </row>
    <row r="70" spans="1:1" x14ac:dyDescent="0.25">
      <c r="A70">
        <v>9758882</v>
      </c>
    </row>
    <row r="71" spans="1:1" x14ac:dyDescent="0.25">
      <c r="A71">
        <v>9758885</v>
      </c>
    </row>
    <row r="72" spans="1:1" x14ac:dyDescent="0.25">
      <c r="A72">
        <v>9758885</v>
      </c>
    </row>
    <row r="73" spans="1:1" x14ac:dyDescent="0.25">
      <c r="A73">
        <v>9759039</v>
      </c>
    </row>
    <row r="74" spans="1:1" x14ac:dyDescent="0.25">
      <c r="A74">
        <v>9759054</v>
      </c>
    </row>
    <row r="75" spans="1:1" x14ac:dyDescent="0.25">
      <c r="A75">
        <v>9759057</v>
      </c>
    </row>
    <row r="76" spans="1:1" x14ac:dyDescent="0.25">
      <c r="A76">
        <v>9759057</v>
      </c>
    </row>
    <row r="77" spans="1:1" x14ac:dyDescent="0.25">
      <c r="A77">
        <v>9759145</v>
      </c>
    </row>
    <row r="78" spans="1:1" x14ac:dyDescent="0.25">
      <c r="A78">
        <v>9759152</v>
      </c>
    </row>
    <row r="79" spans="1:1" x14ac:dyDescent="0.25">
      <c r="A79">
        <v>9759286</v>
      </c>
    </row>
    <row r="80" spans="1:1" x14ac:dyDescent="0.25">
      <c r="A80">
        <v>9759286</v>
      </c>
    </row>
    <row r="81" spans="1:1" x14ac:dyDescent="0.25">
      <c r="A81">
        <v>9759286</v>
      </c>
    </row>
    <row r="82" spans="1:1" x14ac:dyDescent="0.25">
      <c r="A82">
        <v>9759286</v>
      </c>
    </row>
    <row r="83" spans="1:1" x14ac:dyDescent="0.25">
      <c r="A83">
        <v>9759286</v>
      </c>
    </row>
    <row r="84" spans="1:1" x14ac:dyDescent="0.25">
      <c r="A84">
        <v>9759379</v>
      </c>
    </row>
    <row r="85" spans="1:1" x14ac:dyDescent="0.25">
      <c r="A85">
        <v>9759420</v>
      </c>
    </row>
    <row r="86" spans="1:1" x14ac:dyDescent="0.25">
      <c r="A86">
        <v>9759420</v>
      </c>
    </row>
    <row r="87" spans="1:1" x14ac:dyDescent="0.25">
      <c r="A87">
        <v>9759420</v>
      </c>
    </row>
    <row r="88" spans="1:1" x14ac:dyDescent="0.25">
      <c r="A88">
        <v>9759420</v>
      </c>
    </row>
    <row r="89" spans="1:1" x14ac:dyDescent="0.25">
      <c r="A89">
        <v>9759420</v>
      </c>
    </row>
    <row r="90" spans="1:1" x14ac:dyDescent="0.25">
      <c r="A90">
        <v>9759420</v>
      </c>
    </row>
    <row r="91" spans="1:1" x14ac:dyDescent="0.25">
      <c r="A91">
        <v>9759420</v>
      </c>
    </row>
    <row r="92" spans="1:1" x14ac:dyDescent="0.25">
      <c r="A92">
        <v>9759420</v>
      </c>
    </row>
    <row r="93" spans="1:1" x14ac:dyDescent="0.25">
      <c r="A93">
        <v>9759478</v>
      </c>
    </row>
    <row r="94" spans="1:1" x14ac:dyDescent="0.25">
      <c r="A94">
        <v>9759596</v>
      </c>
    </row>
    <row r="95" spans="1:1" x14ac:dyDescent="0.25">
      <c r="A95">
        <v>9759596</v>
      </c>
    </row>
    <row r="96" spans="1:1" x14ac:dyDescent="0.25">
      <c r="A96">
        <v>9759601</v>
      </c>
    </row>
    <row r="97" spans="1:1" x14ac:dyDescent="0.25">
      <c r="A97">
        <v>9759603</v>
      </c>
    </row>
    <row r="98" spans="1:1" x14ac:dyDescent="0.25">
      <c r="A98">
        <v>9759604</v>
      </c>
    </row>
    <row r="99" spans="1:1" x14ac:dyDescent="0.25">
      <c r="A99">
        <v>9759605</v>
      </c>
    </row>
    <row r="100" spans="1:1" x14ac:dyDescent="0.25">
      <c r="A100">
        <v>9759609</v>
      </c>
    </row>
    <row r="101" spans="1:1" x14ac:dyDescent="0.25">
      <c r="A101">
        <v>9759611</v>
      </c>
    </row>
    <row r="102" spans="1:1" x14ac:dyDescent="0.25">
      <c r="A102">
        <v>9759613</v>
      </c>
    </row>
    <row r="103" spans="1:1" x14ac:dyDescent="0.25">
      <c r="A103">
        <v>9759617</v>
      </c>
    </row>
    <row r="104" spans="1:1" x14ac:dyDescent="0.25">
      <c r="A104">
        <v>9759617</v>
      </c>
    </row>
    <row r="105" spans="1:1" x14ac:dyDescent="0.25">
      <c r="A105">
        <v>9759620</v>
      </c>
    </row>
    <row r="106" spans="1:1" x14ac:dyDescent="0.25">
      <c r="A106">
        <v>9759622</v>
      </c>
    </row>
    <row r="107" spans="1:1" x14ac:dyDescent="0.25">
      <c r="A107">
        <v>9759622</v>
      </c>
    </row>
    <row r="108" spans="1:1" x14ac:dyDescent="0.25">
      <c r="A108">
        <v>9759626</v>
      </c>
    </row>
    <row r="109" spans="1:1" x14ac:dyDescent="0.25">
      <c r="A109">
        <v>9759626</v>
      </c>
    </row>
    <row r="110" spans="1:1" x14ac:dyDescent="0.25">
      <c r="A110">
        <v>9759628</v>
      </c>
    </row>
    <row r="111" spans="1:1" x14ac:dyDescent="0.25">
      <c r="A111">
        <v>9759629</v>
      </c>
    </row>
    <row r="112" spans="1:1" x14ac:dyDescent="0.25">
      <c r="A112">
        <v>9759629</v>
      </c>
    </row>
    <row r="113" spans="1:1" x14ac:dyDescent="0.25">
      <c r="A113">
        <v>9759632</v>
      </c>
    </row>
    <row r="114" spans="1:1" x14ac:dyDescent="0.25">
      <c r="A114">
        <v>9759632</v>
      </c>
    </row>
    <row r="115" spans="1:1" x14ac:dyDescent="0.25">
      <c r="A115">
        <v>9759648</v>
      </c>
    </row>
    <row r="116" spans="1:1" x14ac:dyDescent="0.25">
      <c r="A116">
        <v>9759649</v>
      </c>
    </row>
    <row r="117" spans="1:1" x14ac:dyDescent="0.25">
      <c r="A117">
        <v>9759651</v>
      </c>
    </row>
    <row r="118" spans="1:1" x14ac:dyDescent="0.25">
      <c r="A118">
        <v>9759656</v>
      </c>
    </row>
    <row r="119" spans="1:1" x14ac:dyDescent="0.25">
      <c r="A119">
        <v>9759658</v>
      </c>
    </row>
    <row r="120" spans="1:1" x14ac:dyDescent="0.25">
      <c r="A120">
        <v>9759661</v>
      </c>
    </row>
    <row r="121" spans="1:1" x14ac:dyDescent="0.25">
      <c r="A121">
        <v>9759661</v>
      </c>
    </row>
    <row r="122" spans="1:1" x14ac:dyDescent="0.25">
      <c r="A122">
        <v>9759661</v>
      </c>
    </row>
    <row r="123" spans="1:1" x14ac:dyDescent="0.25">
      <c r="A123">
        <v>9759662</v>
      </c>
    </row>
    <row r="124" spans="1:1" x14ac:dyDescent="0.25">
      <c r="A124">
        <v>9759663</v>
      </c>
    </row>
    <row r="125" spans="1:1" x14ac:dyDescent="0.25">
      <c r="A125">
        <v>9759663</v>
      </c>
    </row>
    <row r="126" spans="1:1" x14ac:dyDescent="0.25">
      <c r="A126">
        <v>9759910</v>
      </c>
    </row>
    <row r="127" spans="1:1" x14ac:dyDescent="0.25">
      <c r="A127">
        <v>9759910</v>
      </c>
    </row>
    <row r="128" spans="1:1" x14ac:dyDescent="0.25">
      <c r="A128">
        <v>9759955</v>
      </c>
    </row>
    <row r="129" spans="1:1" x14ac:dyDescent="0.25">
      <c r="A129">
        <v>9759955</v>
      </c>
    </row>
    <row r="130" spans="1:1" x14ac:dyDescent="0.25">
      <c r="A130">
        <v>9760280</v>
      </c>
    </row>
  </sheetData>
  <sortState ref="A1:A130">
    <sortCondition ref="A1"/>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sheetPr>
  <dimension ref="A1:A11"/>
  <sheetViews>
    <sheetView workbookViewId="0">
      <selection sqref="A1:XFD1048576"/>
    </sheetView>
  </sheetViews>
  <sheetFormatPr defaultRowHeight="15" x14ac:dyDescent="0.25"/>
  <cols>
    <col min="1" max="1" width="37.28515625" bestFit="1" customWidth="1"/>
  </cols>
  <sheetData>
    <row r="1" spans="1:1" x14ac:dyDescent="0.25">
      <c r="A1" t="s">
        <v>47</v>
      </c>
    </row>
    <row r="2" spans="1:1" x14ac:dyDescent="0.25">
      <c r="A2" t="s">
        <v>96</v>
      </c>
    </row>
    <row r="3" spans="1:1" s="1" customFormat="1" x14ac:dyDescent="0.25">
      <c r="A3" s="1" t="s">
        <v>104</v>
      </c>
    </row>
    <row r="4" spans="1:1" x14ac:dyDescent="0.25">
      <c r="A4" t="s">
        <v>97</v>
      </c>
    </row>
    <row r="5" spans="1:1" x14ac:dyDescent="0.25">
      <c r="A5" t="s">
        <v>108</v>
      </c>
    </row>
    <row r="6" spans="1:1" x14ac:dyDescent="0.25">
      <c r="A6" t="s">
        <v>98</v>
      </c>
    </row>
    <row r="7" spans="1:1" x14ac:dyDescent="0.25">
      <c r="A7" s="1" t="s">
        <v>100</v>
      </c>
    </row>
    <row r="8" spans="1:1" s="1" customFormat="1" x14ac:dyDescent="0.25">
      <c r="A8" s="1" t="s">
        <v>95</v>
      </c>
    </row>
    <row r="9" spans="1:1" x14ac:dyDescent="0.25">
      <c r="A9" t="s">
        <v>54</v>
      </c>
    </row>
    <row r="10" spans="1:1" x14ac:dyDescent="0.25">
      <c r="A10" t="s">
        <v>99</v>
      </c>
    </row>
    <row r="11" spans="1:1" x14ac:dyDescent="0.25">
      <c r="A11"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497"/>
  <sheetViews>
    <sheetView workbookViewId="0">
      <selection sqref="A1:XFD1048576"/>
    </sheetView>
  </sheetViews>
  <sheetFormatPr defaultRowHeight="15" x14ac:dyDescent="0.25"/>
  <cols>
    <col min="1" max="1" width="13.140625" bestFit="1" customWidth="1"/>
    <col min="2" max="2" width="19.140625" bestFit="1" customWidth="1"/>
    <col min="3" max="3" width="22.5703125" bestFit="1" customWidth="1"/>
  </cols>
  <sheetData>
    <row r="3" spans="1:2" x14ac:dyDescent="0.25">
      <c r="A3" s="20" t="s">
        <v>33</v>
      </c>
      <c r="B3" t="s">
        <v>49</v>
      </c>
    </row>
    <row r="4" spans="1:2" x14ac:dyDescent="0.25">
      <c r="A4" s="15">
        <v>9749482</v>
      </c>
      <c r="B4" s="21">
        <v>1</v>
      </c>
    </row>
    <row r="5" spans="1:2" x14ac:dyDescent="0.25">
      <c r="A5" s="15">
        <v>9750889</v>
      </c>
      <c r="B5" s="21">
        <v>2</v>
      </c>
    </row>
    <row r="6" spans="1:2" x14ac:dyDescent="0.25">
      <c r="A6" s="15">
        <v>9751937</v>
      </c>
      <c r="B6" s="21">
        <v>1</v>
      </c>
    </row>
    <row r="7" spans="1:2" x14ac:dyDescent="0.25">
      <c r="A7" s="15">
        <v>9752653</v>
      </c>
      <c r="B7" s="21">
        <v>2</v>
      </c>
    </row>
    <row r="8" spans="1:2" x14ac:dyDescent="0.25">
      <c r="A8" s="15">
        <v>9752799</v>
      </c>
      <c r="B8" s="21">
        <v>1</v>
      </c>
    </row>
    <row r="9" spans="1:2" x14ac:dyDescent="0.25">
      <c r="A9" s="15">
        <v>9753324</v>
      </c>
      <c r="B9" s="21">
        <v>2</v>
      </c>
    </row>
    <row r="10" spans="1:2" x14ac:dyDescent="0.25">
      <c r="A10" s="15">
        <v>9753344</v>
      </c>
      <c r="B10" s="21">
        <v>9</v>
      </c>
    </row>
    <row r="11" spans="1:2" x14ac:dyDescent="0.25">
      <c r="A11" s="15">
        <v>9753496</v>
      </c>
      <c r="B11" s="21">
        <v>2</v>
      </c>
    </row>
    <row r="12" spans="1:2" x14ac:dyDescent="0.25">
      <c r="A12" s="15">
        <v>9753498</v>
      </c>
      <c r="B12" s="21">
        <v>3</v>
      </c>
    </row>
    <row r="13" spans="1:2" x14ac:dyDescent="0.25">
      <c r="A13" s="15">
        <v>9753792</v>
      </c>
      <c r="B13" s="21">
        <v>5</v>
      </c>
    </row>
    <row r="14" spans="1:2" x14ac:dyDescent="0.25">
      <c r="A14" s="15">
        <v>9753796</v>
      </c>
      <c r="B14" s="21">
        <v>1</v>
      </c>
    </row>
    <row r="15" spans="1:2" x14ac:dyDescent="0.25">
      <c r="A15" s="15">
        <v>9753814</v>
      </c>
      <c r="B15" s="21">
        <v>1</v>
      </c>
    </row>
    <row r="16" spans="1:2" x14ac:dyDescent="0.25">
      <c r="A16" s="15">
        <v>9753909</v>
      </c>
      <c r="B16" s="21">
        <v>1</v>
      </c>
    </row>
    <row r="17" spans="1:2" x14ac:dyDescent="0.25">
      <c r="A17" s="15">
        <v>9754053</v>
      </c>
      <c r="B17" s="21">
        <v>1</v>
      </c>
    </row>
    <row r="18" spans="1:2" x14ac:dyDescent="0.25">
      <c r="A18" s="15">
        <v>9754137</v>
      </c>
      <c r="B18" s="21">
        <v>2</v>
      </c>
    </row>
    <row r="19" spans="1:2" x14ac:dyDescent="0.25">
      <c r="A19" s="15">
        <v>9754401</v>
      </c>
      <c r="B19" s="21">
        <v>2</v>
      </c>
    </row>
    <row r="20" spans="1:2" x14ac:dyDescent="0.25">
      <c r="A20" s="15">
        <v>9754404</v>
      </c>
      <c r="B20" s="21">
        <v>1</v>
      </c>
    </row>
    <row r="21" spans="1:2" x14ac:dyDescent="0.25">
      <c r="A21" s="15">
        <v>9754436</v>
      </c>
      <c r="B21" s="21">
        <v>1</v>
      </c>
    </row>
    <row r="22" spans="1:2" x14ac:dyDescent="0.25">
      <c r="A22" s="15">
        <v>9754450</v>
      </c>
      <c r="B22" s="21">
        <v>4</v>
      </c>
    </row>
    <row r="23" spans="1:2" x14ac:dyDescent="0.25">
      <c r="A23" s="15">
        <v>9754480</v>
      </c>
      <c r="B23" s="21">
        <v>1</v>
      </c>
    </row>
    <row r="24" spans="1:2" x14ac:dyDescent="0.25">
      <c r="A24" s="15">
        <v>9754481</v>
      </c>
      <c r="B24" s="21">
        <v>1</v>
      </c>
    </row>
    <row r="25" spans="1:2" x14ac:dyDescent="0.25">
      <c r="A25" s="15">
        <v>9754496</v>
      </c>
      <c r="B25" s="21">
        <v>1</v>
      </c>
    </row>
    <row r="26" spans="1:2" x14ac:dyDescent="0.25">
      <c r="A26" s="15">
        <v>9754508</v>
      </c>
      <c r="B26" s="21">
        <v>12</v>
      </c>
    </row>
    <row r="27" spans="1:2" x14ac:dyDescent="0.25">
      <c r="A27" s="15">
        <v>9754556</v>
      </c>
      <c r="B27" s="21">
        <v>1</v>
      </c>
    </row>
    <row r="28" spans="1:2" x14ac:dyDescent="0.25">
      <c r="A28" s="15">
        <v>9754563</v>
      </c>
      <c r="B28" s="21">
        <v>22</v>
      </c>
    </row>
    <row r="29" spans="1:2" x14ac:dyDescent="0.25">
      <c r="A29" s="15">
        <v>9754629</v>
      </c>
      <c r="B29" s="21">
        <v>1</v>
      </c>
    </row>
    <row r="30" spans="1:2" x14ac:dyDescent="0.25">
      <c r="A30" s="15">
        <v>9754637</v>
      </c>
      <c r="B30" s="21">
        <v>1</v>
      </c>
    </row>
    <row r="31" spans="1:2" x14ac:dyDescent="0.25">
      <c r="A31" s="15">
        <v>9754877</v>
      </c>
      <c r="B31" s="21">
        <v>10</v>
      </c>
    </row>
    <row r="32" spans="1:2" x14ac:dyDescent="0.25">
      <c r="A32" s="15">
        <v>9755004</v>
      </c>
      <c r="B32" s="21">
        <v>1</v>
      </c>
    </row>
    <row r="33" spans="1:2" x14ac:dyDescent="0.25">
      <c r="A33" s="15">
        <v>9755021</v>
      </c>
      <c r="B33" s="21">
        <v>1</v>
      </c>
    </row>
    <row r="34" spans="1:2" x14ac:dyDescent="0.25">
      <c r="A34" s="15">
        <v>9755087</v>
      </c>
      <c r="B34" s="21">
        <v>2</v>
      </c>
    </row>
    <row r="35" spans="1:2" x14ac:dyDescent="0.25">
      <c r="A35" s="15">
        <v>9755271</v>
      </c>
      <c r="B35" s="21">
        <v>5</v>
      </c>
    </row>
    <row r="36" spans="1:2" x14ac:dyDescent="0.25">
      <c r="A36" s="15">
        <v>9755339</v>
      </c>
      <c r="B36" s="21">
        <v>1</v>
      </c>
    </row>
    <row r="37" spans="1:2" x14ac:dyDescent="0.25">
      <c r="A37" s="15">
        <v>9755437</v>
      </c>
      <c r="B37" s="21">
        <v>1</v>
      </c>
    </row>
    <row r="38" spans="1:2" x14ac:dyDescent="0.25">
      <c r="A38" s="15">
        <v>9755457</v>
      </c>
      <c r="B38" s="21">
        <v>1</v>
      </c>
    </row>
    <row r="39" spans="1:2" x14ac:dyDescent="0.25">
      <c r="A39" s="15">
        <v>9755489</v>
      </c>
      <c r="B39" s="21">
        <v>2</v>
      </c>
    </row>
    <row r="40" spans="1:2" x14ac:dyDescent="0.25">
      <c r="A40" s="15">
        <v>9755529</v>
      </c>
      <c r="B40" s="21">
        <v>1</v>
      </c>
    </row>
    <row r="41" spans="1:2" x14ac:dyDescent="0.25">
      <c r="A41" s="15">
        <v>9755530</v>
      </c>
      <c r="B41" s="21">
        <v>1</v>
      </c>
    </row>
    <row r="42" spans="1:2" x14ac:dyDescent="0.25">
      <c r="A42" s="15">
        <v>9755532</v>
      </c>
      <c r="B42" s="21">
        <v>1</v>
      </c>
    </row>
    <row r="43" spans="1:2" x14ac:dyDescent="0.25">
      <c r="A43" s="15">
        <v>9755652</v>
      </c>
      <c r="B43" s="21">
        <v>7</v>
      </c>
    </row>
    <row r="44" spans="1:2" x14ac:dyDescent="0.25">
      <c r="A44" s="15">
        <v>9755658</v>
      </c>
      <c r="B44" s="21">
        <v>2</v>
      </c>
    </row>
    <row r="45" spans="1:2" x14ac:dyDescent="0.25">
      <c r="A45" s="15">
        <v>9755688</v>
      </c>
      <c r="B45" s="21">
        <v>2</v>
      </c>
    </row>
    <row r="46" spans="1:2" x14ac:dyDescent="0.25">
      <c r="A46" s="15">
        <v>9755804</v>
      </c>
      <c r="B46" s="21">
        <v>7</v>
      </c>
    </row>
    <row r="47" spans="1:2" x14ac:dyDescent="0.25">
      <c r="A47" s="15">
        <v>9755805</v>
      </c>
      <c r="B47" s="21">
        <v>10</v>
      </c>
    </row>
    <row r="48" spans="1:2" x14ac:dyDescent="0.25">
      <c r="A48" s="15">
        <v>9755806</v>
      </c>
      <c r="B48" s="21">
        <v>12</v>
      </c>
    </row>
    <row r="49" spans="1:2" x14ac:dyDescent="0.25">
      <c r="A49" s="15">
        <v>9755986</v>
      </c>
      <c r="B49" s="21">
        <v>2</v>
      </c>
    </row>
    <row r="50" spans="1:2" x14ac:dyDescent="0.25">
      <c r="A50" s="15">
        <v>9756017</v>
      </c>
      <c r="B50" s="21">
        <v>2</v>
      </c>
    </row>
    <row r="51" spans="1:2" x14ac:dyDescent="0.25">
      <c r="A51" s="15">
        <v>9756039</v>
      </c>
      <c r="B51" s="21">
        <v>15</v>
      </c>
    </row>
    <row r="52" spans="1:2" x14ac:dyDescent="0.25">
      <c r="A52" s="15">
        <v>9756046</v>
      </c>
      <c r="B52" s="21">
        <v>8</v>
      </c>
    </row>
    <row r="53" spans="1:2" x14ac:dyDescent="0.25">
      <c r="A53" s="15">
        <v>9756078</v>
      </c>
      <c r="B53" s="21">
        <v>1</v>
      </c>
    </row>
    <row r="54" spans="1:2" x14ac:dyDescent="0.25">
      <c r="A54" s="15">
        <v>9756158</v>
      </c>
      <c r="B54" s="21">
        <v>1</v>
      </c>
    </row>
    <row r="55" spans="1:2" x14ac:dyDescent="0.25">
      <c r="A55" s="15">
        <v>9756256</v>
      </c>
      <c r="B55" s="21">
        <v>1</v>
      </c>
    </row>
    <row r="56" spans="1:2" x14ac:dyDescent="0.25">
      <c r="A56" s="15">
        <v>9756257</v>
      </c>
      <c r="B56" s="21">
        <v>2</v>
      </c>
    </row>
    <row r="57" spans="1:2" x14ac:dyDescent="0.25">
      <c r="A57" s="15">
        <v>9756259</v>
      </c>
      <c r="B57" s="21">
        <v>6</v>
      </c>
    </row>
    <row r="58" spans="1:2" x14ac:dyDescent="0.25">
      <c r="A58" s="15">
        <v>9756264</v>
      </c>
      <c r="B58" s="21">
        <v>2</v>
      </c>
    </row>
    <row r="59" spans="1:2" x14ac:dyDescent="0.25">
      <c r="A59" s="15">
        <v>9756394</v>
      </c>
      <c r="B59" s="21">
        <v>16</v>
      </c>
    </row>
    <row r="60" spans="1:2" x14ac:dyDescent="0.25">
      <c r="A60" s="15">
        <v>9756395</v>
      </c>
      <c r="B60" s="21">
        <v>2</v>
      </c>
    </row>
    <row r="61" spans="1:2" x14ac:dyDescent="0.25">
      <c r="A61" s="15">
        <v>9756419</v>
      </c>
      <c r="B61" s="21">
        <v>1</v>
      </c>
    </row>
    <row r="62" spans="1:2" x14ac:dyDescent="0.25">
      <c r="A62" s="15">
        <v>9756426</v>
      </c>
      <c r="B62" s="21">
        <v>1</v>
      </c>
    </row>
    <row r="63" spans="1:2" x14ac:dyDescent="0.25">
      <c r="A63" s="15">
        <v>9756430</v>
      </c>
      <c r="B63" s="21">
        <v>5</v>
      </c>
    </row>
    <row r="64" spans="1:2" x14ac:dyDescent="0.25">
      <c r="A64" s="15">
        <v>9756435</v>
      </c>
      <c r="B64" s="21">
        <v>1</v>
      </c>
    </row>
    <row r="65" spans="1:2" x14ac:dyDescent="0.25">
      <c r="A65" s="15">
        <v>9756438</v>
      </c>
      <c r="B65" s="21">
        <v>15</v>
      </c>
    </row>
    <row r="66" spans="1:2" x14ac:dyDescent="0.25">
      <c r="A66" s="15">
        <v>9756470</v>
      </c>
      <c r="B66" s="21">
        <v>1</v>
      </c>
    </row>
    <row r="67" spans="1:2" x14ac:dyDescent="0.25">
      <c r="A67" s="15">
        <v>9756794</v>
      </c>
      <c r="B67" s="21">
        <v>2</v>
      </c>
    </row>
    <row r="68" spans="1:2" x14ac:dyDescent="0.25">
      <c r="A68" s="15">
        <v>9756797</v>
      </c>
      <c r="B68" s="21">
        <v>12</v>
      </c>
    </row>
    <row r="69" spans="1:2" x14ac:dyDescent="0.25">
      <c r="A69" s="15">
        <v>9756806</v>
      </c>
      <c r="B69" s="21">
        <v>4</v>
      </c>
    </row>
    <row r="70" spans="1:2" x14ac:dyDescent="0.25">
      <c r="A70" s="15">
        <v>9756816</v>
      </c>
      <c r="B70" s="21">
        <v>4</v>
      </c>
    </row>
    <row r="71" spans="1:2" x14ac:dyDescent="0.25">
      <c r="A71" s="15">
        <v>9756855</v>
      </c>
      <c r="B71" s="21">
        <v>1</v>
      </c>
    </row>
    <row r="72" spans="1:2" x14ac:dyDescent="0.25">
      <c r="A72" s="15">
        <v>9756856</v>
      </c>
      <c r="B72" s="21">
        <v>1</v>
      </c>
    </row>
    <row r="73" spans="1:2" x14ac:dyDescent="0.25">
      <c r="A73" s="15">
        <v>9756908</v>
      </c>
      <c r="B73" s="21">
        <v>2</v>
      </c>
    </row>
    <row r="74" spans="1:2" x14ac:dyDescent="0.25">
      <c r="A74" s="15">
        <v>9756969</v>
      </c>
      <c r="B74" s="21">
        <v>1</v>
      </c>
    </row>
    <row r="75" spans="1:2" x14ac:dyDescent="0.25">
      <c r="A75" s="15">
        <v>9757114</v>
      </c>
      <c r="B75" s="21">
        <v>1</v>
      </c>
    </row>
    <row r="76" spans="1:2" x14ac:dyDescent="0.25">
      <c r="A76" s="15">
        <v>9757115</v>
      </c>
      <c r="B76" s="21">
        <v>1</v>
      </c>
    </row>
    <row r="77" spans="1:2" x14ac:dyDescent="0.25">
      <c r="A77" s="15">
        <v>9757116</v>
      </c>
      <c r="B77" s="21">
        <v>2</v>
      </c>
    </row>
    <row r="78" spans="1:2" x14ac:dyDescent="0.25">
      <c r="A78" s="15">
        <v>9757117</v>
      </c>
      <c r="B78" s="21">
        <v>1</v>
      </c>
    </row>
    <row r="79" spans="1:2" x14ac:dyDescent="0.25">
      <c r="A79" s="15">
        <v>9757140</v>
      </c>
      <c r="B79" s="21">
        <v>4</v>
      </c>
    </row>
    <row r="80" spans="1:2" x14ac:dyDescent="0.25">
      <c r="A80" s="15">
        <v>9757144</v>
      </c>
      <c r="B80" s="21">
        <v>1</v>
      </c>
    </row>
    <row r="81" spans="1:2" x14ac:dyDescent="0.25">
      <c r="A81" s="15">
        <v>9757151</v>
      </c>
      <c r="B81" s="21">
        <v>2</v>
      </c>
    </row>
    <row r="82" spans="1:2" x14ac:dyDescent="0.25">
      <c r="A82" s="15">
        <v>9757219</v>
      </c>
      <c r="B82" s="21">
        <v>3</v>
      </c>
    </row>
    <row r="83" spans="1:2" x14ac:dyDescent="0.25">
      <c r="A83" s="15">
        <v>9757233</v>
      </c>
      <c r="B83" s="21">
        <v>1</v>
      </c>
    </row>
    <row r="84" spans="1:2" x14ac:dyDescent="0.25">
      <c r="A84" s="15">
        <v>9757234</v>
      </c>
      <c r="B84" s="21">
        <v>1</v>
      </c>
    </row>
    <row r="85" spans="1:2" x14ac:dyDescent="0.25">
      <c r="A85" s="15">
        <v>9757256</v>
      </c>
      <c r="B85" s="21">
        <v>2</v>
      </c>
    </row>
    <row r="86" spans="1:2" x14ac:dyDescent="0.25">
      <c r="A86" s="15">
        <v>9757275</v>
      </c>
      <c r="B86" s="21">
        <v>1</v>
      </c>
    </row>
    <row r="87" spans="1:2" x14ac:dyDescent="0.25">
      <c r="A87" s="15">
        <v>9757292</v>
      </c>
      <c r="B87" s="21">
        <v>2</v>
      </c>
    </row>
    <row r="88" spans="1:2" x14ac:dyDescent="0.25">
      <c r="A88" s="15">
        <v>9757315</v>
      </c>
      <c r="B88" s="21">
        <v>12</v>
      </c>
    </row>
    <row r="89" spans="1:2" x14ac:dyDescent="0.25">
      <c r="A89" s="15">
        <v>9757335</v>
      </c>
      <c r="B89" s="21">
        <v>1</v>
      </c>
    </row>
    <row r="90" spans="1:2" x14ac:dyDescent="0.25">
      <c r="A90" s="15">
        <v>9757359</v>
      </c>
      <c r="B90" s="21">
        <v>1</v>
      </c>
    </row>
    <row r="91" spans="1:2" x14ac:dyDescent="0.25">
      <c r="A91" s="15">
        <v>9757426</v>
      </c>
      <c r="B91" s="21">
        <v>4</v>
      </c>
    </row>
    <row r="92" spans="1:2" x14ac:dyDescent="0.25">
      <c r="A92" s="15">
        <v>9757465</v>
      </c>
      <c r="B92" s="21">
        <v>1</v>
      </c>
    </row>
    <row r="93" spans="1:2" x14ac:dyDescent="0.25">
      <c r="A93" s="15">
        <v>9757539</v>
      </c>
      <c r="B93" s="21">
        <v>1</v>
      </c>
    </row>
    <row r="94" spans="1:2" x14ac:dyDescent="0.25">
      <c r="A94" s="15">
        <v>9757544</v>
      </c>
      <c r="B94" s="21">
        <v>3</v>
      </c>
    </row>
    <row r="95" spans="1:2" x14ac:dyDescent="0.25">
      <c r="A95" s="15">
        <v>9757670</v>
      </c>
      <c r="B95" s="21">
        <v>4</v>
      </c>
    </row>
    <row r="96" spans="1:2" x14ac:dyDescent="0.25">
      <c r="A96" s="15">
        <v>9757811</v>
      </c>
      <c r="B96" s="21">
        <v>1</v>
      </c>
    </row>
    <row r="97" spans="1:2" x14ac:dyDescent="0.25">
      <c r="A97" s="15">
        <v>9757870</v>
      </c>
      <c r="B97" s="21">
        <v>2</v>
      </c>
    </row>
    <row r="98" spans="1:2" x14ac:dyDescent="0.25">
      <c r="A98" s="15">
        <v>9757871</v>
      </c>
      <c r="B98" s="21">
        <v>19</v>
      </c>
    </row>
    <row r="99" spans="1:2" x14ac:dyDescent="0.25">
      <c r="A99" s="15">
        <v>9757872</v>
      </c>
      <c r="B99" s="21">
        <v>1</v>
      </c>
    </row>
    <row r="100" spans="1:2" x14ac:dyDescent="0.25">
      <c r="A100" s="15">
        <v>9757873</v>
      </c>
      <c r="B100" s="21">
        <v>1</v>
      </c>
    </row>
    <row r="101" spans="1:2" x14ac:dyDescent="0.25">
      <c r="A101" s="15">
        <v>9757874</v>
      </c>
      <c r="B101" s="21">
        <v>1</v>
      </c>
    </row>
    <row r="102" spans="1:2" x14ac:dyDescent="0.25">
      <c r="A102" s="15">
        <v>9757880</v>
      </c>
      <c r="B102" s="21">
        <v>2</v>
      </c>
    </row>
    <row r="103" spans="1:2" x14ac:dyDescent="0.25">
      <c r="A103" s="15">
        <v>9757882</v>
      </c>
      <c r="B103" s="21">
        <v>1</v>
      </c>
    </row>
    <row r="104" spans="1:2" x14ac:dyDescent="0.25">
      <c r="A104" s="15">
        <v>9757884</v>
      </c>
      <c r="B104" s="21">
        <v>1</v>
      </c>
    </row>
    <row r="105" spans="1:2" x14ac:dyDescent="0.25">
      <c r="A105" s="15">
        <v>9757889</v>
      </c>
      <c r="B105" s="21">
        <v>1</v>
      </c>
    </row>
    <row r="106" spans="1:2" x14ac:dyDescent="0.25">
      <c r="A106" s="15">
        <v>9757891</v>
      </c>
      <c r="B106" s="21">
        <v>3</v>
      </c>
    </row>
    <row r="107" spans="1:2" x14ac:dyDescent="0.25">
      <c r="A107" s="15">
        <v>9757894</v>
      </c>
      <c r="B107" s="21">
        <v>2</v>
      </c>
    </row>
    <row r="108" spans="1:2" x14ac:dyDescent="0.25">
      <c r="A108" s="15">
        <v>9757997</v>
      </c>
      <c r="B108" s="21">
        <v>1</v>
      </c>
    </row>
    <row r="109" spans="1:2" x14ac:dyDescent="0.25">
      <c r="A109" s="15">
        <v>9758069</v>
      </c>
      <c r="B109" s="21">
        <v>12</v>
      </c>
    </row>
    <row r="110" spans="1:2" x14ac:dyDescent="0.25">
      <c r="A110" s="15">
        <v>9758137</v>
      </c>
      <c r="B110" s="21">
        <v>1</v>
      </c>
    </row>
    <row r="111" spans="1:2" x14ac:dyDescent="0.25">
      <c r="A111" s="15">
        <v>9758143</v>
      </c>
      <c r="B111" s="21">
        <v>1</v>
      </c>
    </row>
    <row r="112" spans="1:2" x14ac:dyDescent="0.25">
      <c r="A112" s="15">
        <v>9758179</v>
      </c>
      <c r="B112" s="21">
        <v>1</v>
      </c>
    </row>
    <row r="113" spans="1:2" x14ac:dyDescent="0.25">
      <c r="A113" s="15">
        <v>9758180</v>
      </c>
      <c r="B113" s="21">
        <v>2</v>
      </c>
    </row>
    <row r="114" spans="1:2" x14ac:dyDescent="0.25">
      <c r="A114" s="15">
        <v>9758181</v>
      </c>
      <c r="B114" s="21">
        <v>1</v>
      </c>
    </row>
    <row r="115" spans="1:2" x14ac:dyDescent="0.25">
      <c r="A115" s="15">
        <v>9758184</v>
      </c>
      <c r="B115" s="21">
        <v>1</v>
      </c>
    </row>
    <row r="116" spans="1:2" x14ac:dyDescent="0.25">
      <c r="A116" s="15">
        <v>9758202</v>
      </c>
      <c r="B116" s="21">
        <v>1</v>
      </c>
    </row>
    <row r="117" spans="1:2" x14ac:dyDescent="0.25">
      <c r="A117" s="15">
        <v>9758212</v>
      </c>
      <c r="B117" s="21">
        <v>1</v>
      </c>
    </row>
    <row r="118" spans="1:2" x14ac:dyDescent="0.25">
      <c r="A118" s="15">
        <v>9758213</v>
      </c>
      <c r="B118" s="21">
        <v>13</v>
      </c>
    </row>
    <row r="119" spans="1:2" x14ac:dyDescent="0.25">
      <c r="A119" s="15">
        <v>9758319</v>
      </c>
      <c r="B119" s="21">
        <v>1</v>
      </c>
    </row>
    <row r="120" spans="1:2" x14ac:dyDescent="0.25">
      <c r="A120" s="15">
        <v>9758506</v>
      </c>
      <c r="B120" s="21">
        <v>1</v>
      </c>
    </row>
    <row r="121" spans="1:2" x14ac:dyDescent="0.25">
      <c r="A121" s="15">
        <v>9758507</v>
      </c>
      <c r="B121" s="21">
        <v>1</v>
      </c>
    </row>
    <row r="122" spans="1:2" x14ac:dyDescent="0.25">
      <c r="A122" s="15">
        <v>9758551</v>
      </c>
      <c r="B122" s="21">
        <v>7</v>
      </c>
    </row>
    <row r="123" spans="1:2" x14ac:dyDescent="0.25">
      <c r="A123" s="15">
        <v>9758559</v>
      </c>
      <c r="B123" s="21">
        <v>1</v>
      </c>
    </row>
    <row r="124" spans="1:2" x14ac:dyDescent="0.25">
      <c r="A124" s="15">
        <v>9758563</v>
      </c>
      <c r="B124" s="21">
        <v>1</v>
      </c>
    </row>
    <row r="125" spans="1:2" x14ac:dyDescent="0.25">
      <c r="A125" s="15">
        <v>9758587</v>
      </c>
      <c r="B125" s="21">
        <v>1</v>
      </c>
    </row>
    <row r="126" spans="1:2" x14ac:dyDescent="0.25">
      <c r="A126" s="15">
        <v>9758600</v>
      </c>
      <c r="B126" s="21">
        <v>3</v>
      </c>
    </row>
    <row r="127" spans="1:2" x14ac:dyDescent="0.25">
      <c r="A127" s="15">
        <v>9758613</v>
      </c>
      <c r="B127" s="21">
        <v>4</v>
      </c>
    </row>
    <row r="128" spans="1:2" x14ac:dyDescent="0.25">
      <c r="A128" s="15">
        <v>9758615</v>
      </c>
      <c r="B128" s="21">
        <v>1</v>
      </c>
    </row>
    <row r="129" spans="1:2" x14ac:dyDescent="0.25">
      <c r="A129" s="15">
        <v>9758617</v>
      </c>
      <c r="B129" s="21">
        <v>6</v>
      </c>
    </row>
    <row r="130" spans="1:2" x14ac:dyDescent="0.25">
      <c r="A130" s="15">
        <v>9758618</v>
      </c>
      <c r="B130" s="21">
        <v>1</v>
      </c>
    </row>
    <row r="131" spans="1:2" x14ac:dyDescent="0.25">
      <c r="A131" s="15">
        <v>9758620</v>
      </c>
      <c r="B131" s="21">
        <v>1</v>
      </c>
    </row>
    <row r="132" spans="1:2" x14ac:dyDescent="0.25">
      <c r="A132" s="15">
        <v>9758624</v>
      </c>
      <c r="B132" s="21">
        <v>1</v>
      </c>
    </row>
    <row r="133" spans="1:2" x14ac:dyDescent="0.25">
      <c r="A133" s="15">
        <v>9758626</v>
      </c>
      <c r="B133" s="21">
        <v>2</v>
      </c>
    </row>
    <row r="134" spans="1:2" x14ac:dyDescent="0.25">
      <c r="A134" s="15">
        <v>9758629</v>
      </c>
      <c r="B134" s="21">
        <v>1</v>
      </c>
    </row>
    <row r="135" spans="1:2" x14ac:dyDescent="0.25">
      <c r="A135" s="15">
        <v>9758634</v>
      </c>
      <c r="B135" s="21">
        <v>2</v>
      </c>
    </row>
    <row r="136" spans="1:2" x14ac:dyDescent="0.25">
      <c r="A136" s="15">
        <v>9758641</v>
      </c>
      <c r="B136" s="21">
        <v>2</v>
      </c>
    </row>
    <row r="137" spans="1:2" x14ac:dyDescent="0.25">
      <c r="A137" s="15">
        <v>9758647</v>
      </c>
      <c r="B137" s="21">
        <v>2</v>
      </c>
    </row>
    <row r="138" spans="1:2" x14ac:dyDescent="0.25">
      <c r="A138" s="15">
        <v>9758656</v>
      </c>
      <c r="B138" s="21">
        <v>1</v>
      </c>
    </row>
    <row r="139" spans="1:2" x14ac:dyDescent="0.25">
      <c r="A139" s="15">
        <v>9758690</v>
      </c>
      <c r="B139" s="21">
        <v>3</v>
      </c>
    </row>
    <row r="140" spans="1:2" x14ac:dyDescent="0.25">
      <c r="A140" s="15">
        <v>9758712</v>
      </c>
      <c r="B140" s="21">
        <v>2</v>
      </c>
    </row>
    <row r="141" spans="1:2" x14ac:dyDescent="0.25">
      <c r="A141" s="15">
        <v>9758724</v>
      </c>
      <c r="B141" s="21">
        <v>1</v>
      </c>
    </row>
    <row r="142" spans="1:2" x14ac:dyDescent="0.25">
      <c r="A142" s="15">
        <v>9758758</v>
      </c>
      <c r="B142" s="21">
        <v>11</v>
      </c>
    </row>
    <row r="143" spans="1:2" x14ac:dyDescent="0.25">
      <c r="A143" s="15">
        <v>9758759</v>
      </c>
      <c r="B143" s="21">
        <v>17</v>
      </c>
    </row>
    <row r="144" spans="1:2" x14ac:dyDescent="0.25">
      <c r="A144" s="15">
        <v>9758760</v>
      </c>
      <c r="B144" s="21">
        <v>6</v>
      </c>
    </row>
    <row r="145" spans="1:2" x14ac:dyDescent="0.25">
      <c r="A145" s="15">
        <v>9758783</v>
      </c>
      <c r="B145" s="21">
        <v>1</v>
      </c>
    </row>
    <row r="146" spans="1:2" x14ac:dyDescent="0.25">
      <c r="A146" s="15">
        <v>9758784</v>
      </c>
      <c r="B146" s="21">
        <v>1</v>
      </c>
    </row>
    <row r="147" spans="1:2" x14ac:dyDescent="0.25">
      <c r="A147" s="15">
        <v>9758785</v>
      </c>
      <c r="B147" s="21">
        <v>1</v>
      </c>
    </row>
    <row r="148" spans="1:2" x14ac:dyDescent="0.25">
      <c r="A148" s="15">
        <v>9758786</v>
      </c>
      <c r="B148" s="21">
        <v>1</v>
      </c>
    </row>
    <row r="149" spans="1:2" x14ac:dyDescent="0.25">
      <c r="A149" s="15">
        <v>9758787</v>
      </c>
      <c r="B149" s="21">
        <v>1</v>
      </c>
    </row>
    <row r="150" spans="1:2" x14ac:dyDescent="0.25">
      <c r="A150" s="15">
        <v>9758793</v>
      </c>
      <c r="B150" s="21">
        <v>1</v>
      </c>
    </row>
    <row r="151" spans="1:2" x14ac:dyDescent="0.25">
      <c r="A151" s="15">
        <v>9758795</v>
      </c>
      <c r="B151" s="21">
        <v>1</v>
      </c>
    </row>
    <row r="152" spans="1:2" x14ac:dyDescent="0.25">
      <c r="A152" s="15">
        <v>9758796</v>
      </c>
      <c r="B152" s="21">
        <v>3</v>
      </c>
    </row>
    <row r="153" spans="1:2" x14ac:dyDescent="0.25">
      <c r="A153" s="15">
        <v>9758811</v>
      </c>
      <c r="B153" s="21">
        <v>9</v>
      </c>
    </row>
    <row r="154" spans="1:2" x14ac:dyDescent="0.25">
      <c r="A154" s="15">
        <v>9758812</v>
      </c>
      <c r="B154" s="21">
        <v>1</v>
      </c>
    </row>
    <row r="155" spans="1:2" x14ac:dyDescent="0.25">
      <c r="A155" s="15">
        <v>9758863</v>
      </c>
      <c r="B155" s="21">
        <v>1</v>
      </c>
    </row>
    <row r="156" spans="1:2" x14ac:dyDescent="0.25">
      <c r="A156" s="15">
        <v>9758864</v>
      </c>
      <c r="B156" s="21">
        <v>1</v>
      </c>
    </row>
    <row r="157" spans="1:2" x14ac:dyDescent="0.25">
      <c r="A157" s="15">
        <v>9758865</v>
      </c>
      <c r="B157" s="21">
        <v>1</v>
      </c>
    </row>
    <row r="158" spans="1:2" x14ac:dyDescent="0.25">
      <c r="A158" s="15">
        <v>9758866</v>
      </c>
      <c r="B158" s="21">
        <v>1</v>
      </c>
    </row>
    <row r="159" spans="1:2" x14ac:dyDescent="0.25">
      <c r="A159" s="15">
        <v>9758867</v>
      </c>
      <c r="B159" s="21">
        <v>2</v>
      </c>
    </row>
    <row r="160" spans="1:2" x14ac:dyDescent="0.25">
      <c r="A160" s="15">
        <v>9758887</v>
      </c>
      <c r="B160" s="21">
        <v>13</v>
      </c>
    </row>
    <row r="161" spans="1:2" x14ac:dyDescent="0.25">
      <c r="A161" s="15">
        <v>9758894</v>
      </c>
      <c r="B161" s="21">
        <v>2</v>
      </c>
    </row>
    <row r="162" spans="1:2" x14ac:dyDescent="0.25">
      <c r="A162" s="15">
        <v>9758895</v>
      </c>
      <c r="B162" s="21">
        <v>2</v>
      </c>
    </row>
    <row r="163" spans="1:2" x14ac:dyDescent="0.25">
      <c r="A163" s="15">
        <v>9758896</v>
      </c>
      <c r="B163" s="21">
        <v>2</v>
      </c>
    </row>
    <row r="164" spans="1:2" x14ac:dyDescent="0.25">
      <c r="A164" s="15">
        <v>9758899</v>
      </c>
      <c r="B164" s="21">
        <v>12</v>
      </c>
    </row>
    <row r="165" spans="1:2" x14ac:dyDescent="0.25">
      <c r="A165" s="15">
        <v>9758903</v>
      </c>
      <c r="B165" s="21">
        <v>5</v>
      </c>
    </row>
    <row r="166" spans="1:2" x14ac:dyDescent="0.25">
      <c r="A166" s="15">
        <v>9758921</v>
      </c>
      <c r="B166" s="21">
        <v>16</v>
      </c>
    </row>
    <row r="167" spans="1:2" x14ac:dyDescent="0.25">
      <c r="A167" s="15">
        <v>9758941</v>
      </c>
      <c r="B167" s="21">
        <v>1</v>
      </c>
    </row>
    <row r="168" spans="1:2" x14ac:dyDescent="0.25">
      <c r="A168" s="15">
        <v>9758942</v>
      </c>
      <c r="B168" s="21">
        <v>1</v>
      </c>
    </row>
    <row r="169" spans="1:2" x14ac:dyDescent="0.25">
      <c r="A169" s="15">
        <v>9758943</v>
      </c>
      <c r="B169" s="21">
        <v>2</v>
      </c>
    </row>
    <row r="170" spans="1:2" x14ac:dyDescent="0.25">
      <c r="A170" s="15">
        <v>9758950</v>
      </c>
      <c r="B170" s="21">
        <v>1</v>
      </c>
    </row>
    <row r="171" spans="1:2" x14ac:dyDescent="0.25">
      <c r="A171" s="15">
        <v>9758951</v>
      </c>
      <c r="B171" s="21">
        <v>1</v>
      </c>
    </row>
    <row r="172" spans="1:2" x14ac:dyDescent="0.25">
      <c r="A172" s="15">
        <v>9758973</v>
      </c>
      <c r="B172" s="21">
        <v>1</v>
      </c>
    </row>
    <row r="173" spans="1:2" x14ac:dyDescent="0.25">
      <c r="A173" s="15">
        <v>9758974</v>
      </c>
      <c r="B173" s="21">
        <v>1</v>
      </c>
    </row>
    <row r="174" spans="1:2" x14ac:dyDescent="0.25">
      <c r="A174" s="15">
        <v>9758975</v>
      </c>
      <c r="B174" s="21">
        <v>1</v>
      </c>
    </row>
    <row r="175" spans="1:2" x14ac:dyDescent="0.25">
      <c r="A175" s="15">
        <v>9758976</v>
      </c>
      <c r="B175" s="21">
        <v>21</v>
      </c>
    </row>
    <row r="176" spans="1:2" x14ac:dyDescent="0.25">
      <c r="A176" s="15">
        <v>9759013</v>
      </c>
      <c r="B176" s="21">
        <v>1</v>
      </c>
    </row>
    <row r="177" spans="1:2" x14ac:dyDescent="0.25">
      <c r="A177" s="15">
        <v>9759014</v>
      </c>
      <c r="B177" s="21">
        <v>1</v>
      </c>
    </row>
    <row r="178" spans="1:2" x14ac:dyDescent="0.25">
      <c r="A178" s="15">
        <v>9759015</v>
      </c>
      <c r="B178" s="21">
        <v>1</v>
      </c>
    </row>
    <row r="179" spans="1:2" x14ac:dyDescent="0.25">
      <c r="A179" s="15">
        <v>9759016</v>
      </c>
      <c r="B179" s="21">
        <v>3</v>
      </c>
    </row>
    <row r="180" spans="1:2" x14ac:dyDescent="0.25">
      <c r="A180" s="15">
        <v>9759017</v>
      </c>
      <c r="B180" s="21">
        <v>1</v>
      </c>
    </row>
    <row r="181" spans="1:2" x14ac:dyDescent="0.25">
      <c r="A181" s="15">
        <v>9759018</v>
      </c>
      <c r="B181" s="21">
        <v>1</v>
      </c>
    </row>
    <row r="182" spans="1:2" x14ac:dyDescent="0.25">
      <c r="A182" s="15">
        <v>9759019</v>
      </c>
      <c r="B182" s="21">
        <v>1</v>
      </c>
    </row>
    <row r="183" spans="1:2" x14ac:dyDescent="0.25">
      <c r="A183" s="15">
        <v>9759020</v>
      </c>
      <c r="B183" s="21">
        <v>2</v>
      </c>
    </row>
    <row r="184" spans="1:2" x14ac:dyDescent="0.25">
      <c r="A184" s="15">
        <v>9759021</v>
      </c>
      <c r="B184" s="21">
        <v>1</v>
      </c>
    </row>
    <row r="185" spans="1:2" x14ac:dyDescent="0.25">
      <c r="A185" s="15">
        <v>9759022</v>
      </c>
      <c r="B185" s="21">
        <v>1</v>
      </c>
    </row>
    <row r="186" spans="1:2" x14ac:dyDescent="0.25">
      <c r="A186" s="15">
        <v>9759029</v>
      </c>
      <c r="B186" s="21">
        <v>1</v>
      </c>
    </row>
    <row r="187" spans="1:2" x14ac:dyDescent="0.25">
      <c r="A187" s="15">
        <v>9759031</v>
      </c>
      <c r="B187" s="21">
        <v>1</v>
      </c>
    </row>
    <row r="188" spans="1:2" x14ac:dyDescent="0.25">
      <c r="A188" s="15">
        <v>9759032</v>
      </c>
      <c r="B188" s="21">
        <v>1</v>
      </c>
    </row>
    <row r="189" spans="1:2" x14ac:dyDescent="0.25">
      <c r="A189" s="15">
        <v>9759033</v>
      </c>
      <c r="B189" s="21">
        <v>2</v>
      </c>
    </row>
    <row r="190" spans="1:2" x14ac:dyDescent="0.25">
      <c r="A190" s="15">
        <v>9759034</v>
      </c>
      <c r="B190" s="21">
        <v>1</v>
      </c>
    </row>
    <row r="191" spans="1:2" x14ac:dyDescent="0.25">
      <c r="A191" s="15">
        <v>9759035</v>
      </c>
      <c r="B191" s="21">
        <v>19</v>
      </c>
    </row>
    <row r="192" spans="1:2" x14ac:dyDescent="0.25">
      <c r="A192" s="15">
        <v>9759036</v>
      </c>
      <c r="B192" s="21">
        <v>1</v>
      </c>
    </row>
    <row r="193" spans="1:2" x14ac:dyDescent="0.25">
      <c r="A193" s="15">
        <v>9759037</v>
      </c>
      <c r="B193" s="21">
        <v>2</v>
      </c>
    </row>
    <row r="194" spans="1:2" x14ac:dyDescent="0.25">
      <c r="A194" s="15">
        <v>9759040</v>
      </c>
      <c r="B194" s="21">
        <v>1</v>
      </c>
    </row>
    <row r="195" spans="1:2" x14ac:dyDescent="0.25">
      <c r="A195" s="15">
        <v>9759041</v>
      </c>
      <c r="B195" s="21">
        <v>1</v>
      </c>
    </row>
    <row r="196" spans="1:2" x14ac:dyDescent="0.25">
      <c r="A196" s="15">
        <v>9759042</v>
      </c>
      <c r="B196" s="21">
        <v>1</v>
      </c>
    </row>
    <row r="197" spans="1:2" x14ac:dyDescent="0.25">
      <c r="A197" s="15">
        <v>9759043</v>
      </c>
      <c r="B197" s="21">
        <v>1</v>
      </c>
    </row>
    <row r="198" spans="1:2" x14ac:dyDescent="0.25">
      <c r="A198" s="15">
        <v>9759044</v>
      </c>
      <c r="B198" s="21">
        <v>3</v>
      </c>
    </row>
    <row r="199" spans="1:2" x14ac:dyDescent="0.25">
      <c r="A199" s="15">
        <v>9759045</v>
      </c>
      <c r="B199" s="21">
        <v>1</v>
      </c>
    </row>
    <row r="200" spans="1:2" x14ac:dyDescent="0.25">
      <c r="A200" s="15">
        <v>9759046</v>
      </c>
      <c r="B200" s="21">
        <v>3</v>
      </c>
    </row>
    <row r="201" spans="1:2" x14ac:dyDescent="0.25">
      <c r="A201" s="15">
        <v>9759047</v>
      </c>
      <c r="B201" s="21">
        <v>15</v>
      </c>
    </row>
    <row r="202" spans="1:2" x14ac:dyDescent="0.25">
      <c r="A202" s="15">
        <v>9759048</v>
      </c>
      <c r="B202" s="21">
        <v>1</v>
      </c>
    </row>
    <row r="203" spans="1:2" x14ac:dyDescent="0.25">
      <c r="A203" s="15">
        <v>9759049</v>
      </c>
      <c r="B203" s="21">
        <v>1</v>
      </c>
    </row>
    <row r="204" spans="1:2" x14ac:dyDescent="0.25">
      <c r="A204" s="15">
        <v>9759050</v>
      </c>
      <c r="B204" s="21">
        <v>1</v>
      </c>
    </row>
    <row r="205" spans="1:2" x14ac:dyDescent="0.25">
      <c r="A205" s="15">
        <v>9759051</v>
      </c>
      <c r="B205" s="21">
        <v>1</v>
      </c>
    </row>
    <row r="206" spans="1:2" x14ac:dyDescent="0.25">
      <c r="A206" s="15">
        <v>9759052</v>
      </c>
      <c r="B206" s="21">
        <v>1</v>
      </c>
    </row>
    <row r="207" spans="1:2" x14ac:dyDescent="0.25">
      <c r="A207" s="15">
        <v>9759053</v>
      </c>
      <c r="B207" s="21">
        <v>1</v>
      </c>
    </row>
    <row r="208" spans="1:2" x14ac:dyDescent="0.25">
      <c r="A208" s="15">
        <v>9759055</v>
      </c>
      <c r="B208" s="21">
        <v>3</v>
      </c>
    </row>
    <row r="209" spans="1:2" x14ac:dyDescent="0.25">
      <c r="A209" s="15">
        <v>9759060</v>
      </c>
      <c r="B209" s="21">
        <v>1</v>
      </c>
    </row>
    <row r="210" spans="1:2" x14ac:dyDescent="0.25">
      <c r="A210" s="15">
        <v>9759061</v>
      </c>
      <c r="B210" s="21">
        <v>4</v>
      </c>
    </row>
    <row r="211" spans="1:2" x14ac:dyDescent="0.25">
      <c r="A211" s="15">
        <v>9759062</v>
      </c>
      <c r="B211" s="21">
        <v>1</v>
      </c>
    </row>
    <row r="212" spans="1:2" x14ac:dyDescent="0.25">
      <c r="A212" s="15">
        <v>9759063</v>
      </c>
      <c r="B212" s="21">
        <v>2</v>
      </c>
    </row>
    <row r="213" spans="1:2" x14ac:dyDescent="0.25">
      <c r="A213" s="15">
        <v>9759064</v>
      </c>
      <c r="B213" s="21">
        <v>1</v>
      </c>
    </row>
    <row r="214" spans="1:2" x14ac:dyDescent="0.25">
      <c r="A214" s="15">
        <v>9759065</v>
      </c>
      <c r="B214" s="21">
        <v>23</v>
      </c>
    </row>
    <row r="215" spans="1:2" x14ac:dyDescent="0.25">
      <c r="A215" s="15">
        <v>9759066</v>
      </c>
      <c r="B215" s="21">
        <v>21</v>
      </c>
    </row>
    <row r="216" spans="1:2" x14ac:dyDescent="0.25">
      <c r="A216" s="15">
        <v>9759067</v>
      </c>
      <c r="B216" s="21">
        <v>23</v>
      </c>
    </row>
    <row r="217" spans="1:2" x14ac:dyDescent="0.25">
      <c r="A217" s="15">
        <v>9759139</v>
      </c>
      <c r="B217" s="21">
        <v>1</v>
      </c>
    </row>
    <row r="218" spans="1:2" x14ac:dyDescent="0.25">
      <c r="A218" s="15">
        <v>9759141</v>
      </c>
      <c r="B218" s="21">
        <v>1</v>
      </c>
    </row>
    <row r="219" spans="1:2" x14ac:dyDescent="0.25">
      <c r="A219" s="15">
        <v>9759142</v>
      </c>
      <c r="B219" s="21">
        <v>1</v>
      </c>
    </row>
    <row r="220" spans="1:2" x14ac:dyDescent="0.25">
      <c r="A220" s="15">
        <v>9759143</v>
      </c>
      <c r="B220" s="21">
        <v>2</v>
      </c>
    </row>
    <row r="221" spans="1:2" x14ac:dyDescent="0.25">
      <c r="A221" s="15">
        <v>9759144</v>
      </c>
      <c r="B221" s="21">
        <v>1</v>
      </c>
    </row>
    <row r="222" spans="1:2" x14ac:dyDescent="0.25">
      <c r="A222" s="15">
        <v>9759146</v>
      </c>
      <c r="B222" s="21">
        <v>1</v>
      </c>
    </row>
    <row r="223" spans="1:2" x14ac:dyDescent="0.25">
      <c r="A223" s="15">
        <v>9759154</v>
      </c>
      <c r="B223" s="21">
        <v>1</v>
      </c>
    </row>
    <row r="224" spans="1:2" x14ac:dyDescent="0.25">
      <c r="A224" s="15">
        <v>9759155</v>
      </c>
      <c r="B224" s="21">
        <v>1</v>
      </c>
    </row>
    <row r="225" spans="1:2" x14ac:dyDescent="0.25">
      <c r="A225" s="15">
        <v>9759156</v>
      </c>
      <c r="B225" s="21">
        <v>1</v>
      </c>
    </row>
    <row r="226" spans="1:2" x14ac:dyDescent="0.25">
      <c r="A226" s="15">
        <v>9759158</v>
      </c>
      <c r="B226" s="21">
        <v>1</v>
      </c>
    </row>
    <row r="227" spans="1:2" x14ac:dyDescent="0.25">
      <c r="A227" s="15">
        <v>9759163</v>
      </c>
      <c r="B227" s="21">
        <v>1</v>
      </c>
    </row>
    <row r="228" spans="1:2" x14ac:dyDescent="0.25">
      <c r="A228" s="15">
        <v>9759164</v>
      </c>
      <c r="B228" s="21">
        <v>1</v>
      </c>
    </row>
    <row r="229" spans="1:2" x14ac:dyDescent="0.25">
      <c r="A229" s="15">
        <v>9759165</v>
      </c>
      <c r="B229" s="21">
        <v>2</v>
      </c>
    </row>
    <row r="230" spans="1:2" x14ac:dyDescent="0.25">
      <c r="A230" s="15">
        <v>9759168</v>
      </c>
      <c r="B230" s="21">
        <v>2</v>
      </c>
    </row>
    <row r="231" spans="1:2" x14ac:dyDescent="0.25">
      <c r="A231" s="15">
        <v>9759173</v>
      </c>
      <c r="B231" s="21">
        <v>1</v>
      </c>
    </row>
    <row r="232" spans="1:2" x14ac:dyDescent="0.25">
      <c r="A232" s="15">
        <v>9759176</v>
      </c>
      <c r="B232" s="21">
        <v>1</v>
      </c>
    </row>
    <row r="233" spans="1:2" x14ac:dyDescent="0.25">
      <c r="A233" s="15">
        <v>9759178</v>
      </c>
      <c r="B233" s="21">
        <v>2</v>
      </c>
    </row>
    <row r="234" spans="1:2" x14ac:dyDescent="0.25">
      <c r="A234" s="15">
        <v>9759181</v>
      </c>
      <c r="B234" s="21">
        <v>2</v>
      </c>
    </row>
    <row r="235" spans="1:2" x14ac:dyDescent="0.25">
      <c r="A235" s="15">
        <v>9759185</v>
      </c>
      <c r="B235" s="21">
        <v>1</v>
      </c>
    </row>
    <row r="236" spans="1:2" x14ac:dyDescent="0.25">
      <c r="A236" s="15">
        <v>9759189</v>
      </c>
      <c r="B236" s="21">
        <v>1</v>
      </c>
    </row>
    <row r="237" spans="1:2" x14ac:dyDescent="0.25">
      <c r="A237" s="15">
        <v>9759194</v>
      </c>
      <c r="B237" s="21">
        <v>5</v>
      </c>
    </row>
    <row r="238" spans="1:2" x14ac:dyDescent="0.25">
      <c r="A238" s="15">
        <v>9759196</v>
      </c>
      <c r="B238" s="21">
        <v>3</v>
      </c>
    </row>
    <row r="239" spans="1:2" x14ac:dyDescent="0.25">
      <c r="A239" s="15">
        <v>9759198</v>
      </c>
      <c r="B239" s="21">
        <v>1</v>
      </c>
    </row>
    <row r="240" spans="1:2" x14ac:dyDescent="0.25">
      <c r="A240" s="15">
        <v>9759199</v>
      </c>
      <c r="B240" s="21">
        <v>1</v>
      </c>
    </row>
    <row r="241" spans="1:2" x14ac:dyDescent="0.25">
      <c r="A241" s="15">
        <v>9759201</v>
      </c>
      <c r="B241" s="21">
        <v>4</v>
      </c>
    </row>
    <row r="242" spans="1:2" x14ac:dyDescent="0.25">
      <c r="A242" s="15">
        <v>9759203</v>
      </c>
      <c r="B242" s="21">
        <v>3</v>
      </c>
    </row>
    <row r="243" spans="1:2" x14ac:dyDescent="0.25">
      <c r="A243" s="15">
        <v>9759204</v>
      </c>
      <c r="B243" s="21">
        <v>4</v>
      </c>
    </row>
    <row r="244" spans="1:2" x14ac:dyDescent="0.25">
      <c r="A244" s="15">
        <v>9759205</v>
      </c>
      <c r="B244" s="21">
        <v>1</v>
      </c>
    </row>
    <row r="245" spans="1:2" x14ac:dyDescent="0.25">
      <c r="A245" s="15">
        <v>9759210</v>
      </c>
      <c r="B245" s="21">
        <v>1</v>
      </c>
    </row>
    <row r="246" spans="1:2" x14ac:dyDescent="0.25">
      <c r="A246" s="15">
        <v>9759214</v>
      </c>
      <c r="B246" s="21">
        <v>2</v>
      </c>
    </row>
    <row r="247" spans="1:2" x14ac:dyDescent="0.25">
      <c r="A247" s="15">
        <v>9759216</v>
      </c>
      <c r="B247" s="21">
        <v>2</v>
      </c>
    </row>
    <row r="248" spans="1:2" x14ac:dyDescent="0.25">
      <c r="A248" s="15">
        <v>9759217</v>
      </c>
      <c r="B248" s="21">
        <v>4</v>
      </c>
    </row>
    <row r="249" spans="1:2" x14ac:dyDescent="0.25">
      <c r="A249" s="15">
        <v>9759218</v>
      </c>
      <c r="B249" s="21">
        <v>2</v>
      </c>
    </row>
    <row r="250" spans="1:2" x14ac:dyDescent="0.25">
      <c r="A250" s="15">
        <v>9759223</v>
      </c>
      <c r="B250" s="21">
        <v>1</v>
      </c>
    </row>
    <row r="251" spans="1:2" x14ac:dyDescent="0.25">
      <c r="A251" s="15">
        <v>9759224</v>
      </c>
      <c r="B251" s="21">
        <v>2</v>
      </c>
    </row>
    <row r="252" spans="1:2" x14ac:dyDescent="0.25">
      <c r="A252" s="15">
        <v>9759225</v>
      </c>
      <c r="B252" s="21">
        <v>2</v>
      </c>
    </row>
    <row r="253" spans="1:2" x14ac:dyDescent="0.25">
      <c r="A253" s="15">
        <v>9759261</v>
      </c>
      <c r="B253" s="21">
        <v>6</v>
      </c>
    </row>
    <row r="254" spans="1:2" x14ac:dyDescent="0.25">
      <c r="A254" s="15">
        <v>9759284</v>
      </c>
      <c r="B254" s="21">
        <v>3</v>
      </c>
    </row>
    <row r="255" spans="1:2" x14ac:dyDescent="0.25">
      <c r="A255" s="15">
        <v>9759285</v>
      </c>
      <c r="B255" s="21">
        <v>19</v>
      </c>
    </row>
    <row r="256" spans="1:2" x14ac:dyDescent="0.25">
      <c r="A256" s="15">
        <v>9759296</v>
      </c>
      <c r="B256" s="21">
        <v>14</v>
      </c>
    </row>
    <row r="257" spans="1:2" x14ac:dyDescent="0.25">
      <c r="A257" s="15">
        <v>9759322</v>
      </c>
      <c r="B257" s="21">
        <v>7</v>
      </c>
    </row>
    <row r="258" spans="1:2" x14ac:dyDescent="0.25">
      <c r="A258" s="15">
        <v>9759338</v>
      </c>
      <c r="B258" s="21">
        <v>2</v>
      </c>
    </row>
    <row r="259" spans="1:2" x14ac:dyDescent="0.25">
      <c r="A259" s="15">
        <v>9759340</v>
      </c>
      <c r="B259" s="21">
        <v>1</v>
      </c>
    </row>
    <row r="260" spans="1:2" x14ac:dyDescent="0.25">
      <c r="A260" s="15">
        <v>9759341</v>
      </c>
      <c r="B260" s="21">
        <v>2</v>
      </c>
    </row>
    <row r="261" spans="1:2" x14ac:dyDescent="0.25">
      <c r="A261" s="15">
        <v>9759342</v>
      </c>
      <c r="B261" s="21">
        <v>1</v>
      </c>
    </row>
    <row r="262" spans="1:2" x14ac:dyDescent="0.25">
      <c r="A262" s="15">
        <v>9759343</v>
      </c>
      <c r="B262" s="21">
        <v>1</v>
      </c>
    </row>
    <row r="263" spans="1:2" x14ac:dyDescent="0.25">
      <c r="A263" s="15">
        <v>9759344</v>
      </c>
      <c r="B263" s="21">
        <v>2</v>
      </c>
    </row>
    <row r="264" spans="1:2" x14ac:dyDescent="0.25">
      <c r="A264" s="15">
        <v>9759345</v>
      </c>
      <c r="B264" s="21">
        <v>1</v>
      </c>
    </row>
    <row r="265" spans="1:2" x14ac:dyDescent="0.25">
      <c r="A265" s="15">
        <v>9759359</v>
      </c>
      <c r="B265" s="21">
        <v>1</v>
      </c>
    </row>
    <row r="266" spans="1:2" x14ac:dyDescent="0.25">
      <c r="A266" s="15">
        <v>9759360</v>
      </c>
      <c r="B266" s="21">
        <v>1</v>
      </c>
    </row>
    <row r="267" spans="1:2" x14ac:dyDescent="0.25">
      <c r="A267" s="15">
        <v>9759362</v>
      </c>
      <c r="B267" s="21">
        <v>1</v>
      </c>
    </row>
    <row r="268" spans="1:2" x14ac:dyDescent="0.25">
      <c r="A268" s="15">
        <v>9759363</v>
      </c>
      <c r="B268" s="21">
        <v>2</v>
      </c>
    </row>
    <row r="269" spans="1:2" x14ac:dyDescent="0.25">
      <c r="A269" s="15">
        <v>9759364</v>
      </c>
      <c r="B269" s="21">
        <v>1</v>
      </c>
    </row>
    <row r="270" spans="1:2" x14ac:dyDescent="0.25">
      <c r="A270" s="15">
        <v>9759365</v>
      </c>
      <c r="B270" s="21">
        <v>4</v>
      </c>
    </row>
    <row r="271" spans="1:2" x14ac:dyDescent="0.25">
      <c r="A271" s="15">
        <v>9759380</v>
      </c>
      <c r="B271" s="21">
        <v>1</v>
      </c>
    </row>
    <row r="272" spans="1:2" x14ac:dyDescent="0.25">
      <c r="A272" s="15">
        <v>9759403</v>
      </c>
      <c r="B272" s="21">
        <v>12</v>
      </c>
    </row>
    <row r="273" spans="1:2" x14ac:dyDescent="0.25">
      <c r="A273" s="15">
        <v>9759416</v>
      </c>
      <c r="B273" s="21">
        <v>7</v>
      </c>
    </row>
    <row r="274" spans="1:2" x14ac:dyDescent="0.25">
      <c r="A274" s="15">
        <v>9759417</v>
      </c>
      <c r="B274" s="21">
        <v>15</v>
      </c>
    </row>
    <row r="275" spans="1:2" x14ac:dyDescent="0.25">
      <c r="A275" s="15">
        <v>9759418</v>
      </c>
      <c r="B275" s="21">
        <v>1</v>
      </c>
    </row>
    <row r="276" spans="1:2" x14ac:dyDescent="0.25">
      <c r="A276" s="15">
        <v>9759419</v>
      </c>
      <c r="B276" s="21">
        <v>1</v>
      </c>
    </row>
    <row r="277" spans="1:2" x14ac:dyDescent="0.25">
      <c r="A277" s="15">
        <v>9759421</v>
      </c>
      <c r="B277" s="21">
        <v>2</v>
      </c>
    </row>
    <row r="278" spans="1:2" x14ac:dyDescent="0.25">
      <c r="A278" s="15">
        <v>9759424</v>
      </c>
      <c r="B278" s="21">
        <v>1</v>
      </c>
    </row>
    <row r="279" spans="1:2" x14ac:dyDescent="0.25">
      <c r="A279" s="15">
        <v>9759425</v>
      </c>
      <c r="B279" s="21">
        <v>1</v>
      </c>
    </row>
    <row r="280" spans="1:2" x14ac:dyDescent="0.25">
      <c r="A280" s="15">
        <v>9759426</v>
      </c>
      <c r="B280" s="21">
        <v>1</v>
      </c>
    </row>
    <row r="281" spans="1:2" x14ac:dyDescent="0.25">
      <c r="A281" s="15">
        <v>9759432</v>
      </c>
      <c r="B281" s="21">
        <v>6</v>
      </c>
    </row>
    <row r="282" spans="1:2" x14ac:dyDescent="0.25">
      <c r="A282" s="15">
        <v>9759433</v>
      </c>
      <c r="B282" s="21">
        <v>2</v>
      </c>
    </row>
    <row r="283" spans="1:2" x14ac:dyDescent="0.25">
      <c r="A283" s="15">
        <v>9759434</v>
      </c>
      <c r="B283" s="21">
        <v>6</v>
      </c>
    </row>
    <row r="284" spans="1:2" x14ac:dyDescent="0.25">
      <c r="A284" s="15">
        <v>9759435</v>
      </c>
      <c r="B284" s="21">
        <v>1</v>
      </c>
    </row>
    <row r="285" spans="1:2" x14ac:dyDescent="0.25">
      <c r="A285" s="15">
        <v>9759436</v>
      </c>
      <c r="B285" s="21">
        <v>2</v>
      </c>
    </row>
    <row r="286" spans="1:2" x14ac:dyDescent="0.25">
      <c r="A286" s="15">
        <v>9759437</v>
      </c>
      <c r="B286" s="21">
        <v>1</v>
      </c>
    </row>
    <row r="287" spans="1:2" x14ac:dyDescent="0.25">
      <c r="A287" s="15">
        <v>9759449</v>
      </c>
      <c r="B287" s="21">
        <v>1</v>
      </c>
    </row>
    <row r="288" spans="1:2" x14ac:dyDescent="0.25">
      <c r="A288" s="15">
        <v>9759450</v>
      </c>
      <c r="B288" s="21">
        <v>1</v>
      </c>
    </row>
    <row r="289" spans="1:2" x14ac:dyDescent="0.25">
      <c r="A289" s="15">
        <v>9759463</v>
      </c>
      <c r="B289" s="21">
        <v>1</v>
      </c>
    </row>
    <row r="290" spans="1:2" x14ac:dyDescent="0.25">
      <c r="A290" s="15">
        <v>9759464</v>
      </c>
      <c r="B290" s="21">
        <v>1</v>
      </c>
    </row>
    <row r="291" spans="1:2" x14ac:dyDescent="0.25">
      <c r="A291" s="15">
        <v>9759465</v>
      </c>
      <c r="B291" s="21">
        <v>1</v>
      </c>
    </row>
    <row r="292" spans="1:2" x14ac:dyDescent="0.25">
      <c r="A292" s="15">
        <v>9759477</v>
      </c>
      <c r="B292" s="21">
        <v>1</v>
      </c>
    </row>
    <row r="293" spans="1:2" x14ac:dyDescent="0.25">
      <c r="A293" s="15">
        <v>9759483</v>
      </c>
      <c r="B293" s="21">
        <v>9</v>
      </c>
    </row>
    <row r="294" spans="1:2" x14ac:dyDescent="0.25">
      <c r="A294" s="15">
        <v>9759569</v>
      </c>
      <c r="B294" s="21">
        <v>2</v>
      </c>
    </row>
    <row r="295" spans="1:2" x14ac:dyDescent="0.25">
      <c r="A295" s="15">
        <v>9759570</v>
      </c>
      <c r="B295" s="21">
        <v>1</v>
      </c>
    </row>
    <row r="296" spans="1:2" x14ac:dyDescent="0.25">
      <c r="A296" s="15">
        <v>9759571</v>
      </c>
      <c r="B296" s="21">
        <v>4</v>
      </c>
    </row>
    <row r="297" spans="1:2" x14ac:dyDescent="0.25">
      <c r="A297" s="15">
        <v>9759572</v>
      </c>
      <c r="B297" s="21">
        <v>7</v>
      </c>
    </row>
    <row r="298" spans="1:2" x14ac:dyDescent="0.25">
      <c r="A298" s="15">
        <v>9759573</v>
      </c>
      <c r="B298" s="21">
        <v>1</v>
      </c>
    </row>
    <row r="299" spans="1:2" x14ac:dyDescent="0.25">
      <c r="A299" s="15">
        <v>9759574</v>
      </c>
      <c r="B299" s="21">
        <v>1</v>
      </c>
    </row>
    <row r="300" spans="1:2" x14ac:dyDescent="0.25">
      <c r="A300" s="15">
        <v>9759575</v>
      </c>
      <c r="B300" s="21">
        <v>2</v>
      </c>
    </row>
    <row r="301" spans="1:2" x14ac:dyDescent="0.25">
      <c r="A301" s="15">
        <v>9759576</v>
      </c>
      <c r="B301" s="21">
        <v>1</v>
      </c>
    </row>
    <row r="302" spans="1:2" x14ac:dyDescent="0.25">
      <c r="A302" s="15">
        <v>9759577</v>
      </c>
      <c r="B302" s="21">
        <v>1</v>
      </c>
    </row>
    <row r="303" spans="1:2" x14ac:dyDescent="0.25">
      <c r="A303" s="15">
        <v>9759578</v>
      </c>
      <c r="B303" s="21">
        <v>2</v>
      </c>
    </row>
    <row r="304" spans="1:2" x14ac:dyDescent="0.25">
      <c r="A304" s="15">
        <v>9759579</v>
      </c>
      <c r="B304" s="21">
        <v>1</v>
      </c>
    </row>
    <row r="305" spans="1:2" x14ac:dyDescent="0.25">
      <c r="A305" s="15">
        <v>9759580</v>
      </c>
      <c r="B305" s="21">
        <v>2</v>
      </c>
    </row>
    <row r="306" spans="1:2" x14ac:dyDescent="0.25">
      <c r="A306" s="15">
        <v>9759597</v>
      </c>
      <c r="B306" s="21">
        <v>2</v>
      </c>
    </row>
    <row r="307" spans="1:2" x14ac:dyDescent="0.25">
      <c r="A307" s="15">
        <v>9759606</v>
      </c>
      <c r="B307" s="21">
        <v>3</v>
      </c>
    </row>
    <row r="308" spans="1:2" x14ac:dyDescent="0.25">
      <c r="A308" s="15">
        <v>9759607</v>
      </c>
      <c r="B308" s="21">
        <v>2</v>
      </c>
    </row>
    <row r="309" spans="1:2" x14ac:dyDescent="0.25">
      <c r="A309" s="15">
        <v>9759612</v>
      </c>
      <c r="B309" s="21">
        <v>2</v>
      </c>
    </row>
    <row r="310" spans="1:2" x14ac:dyDescent="0.25">
      <c r="A310" s="15">
        <v>9759616</v>
      </c>
      <c r="B310" s="21">
        <v>1</v>
      </c>
    </row>
    <row r="311" spans="1:2" x14ac:dyDescent="0.25">
      <c r="A311" s="15">
        <v>9759618</v>
      </c>
      <c r="B311" s="21">
        <v>1</v>
      </c>
    </row>
    <row r="312" spans="1:2" x14ac:dyDescent="0.25">
      <c r="A312" s="15">
        <v>9759619</v>
      </c>
      <c r="B312" s="21">
        <v>1</v>
      </c>
    </row>
    <row r="313" spans="1:2" x14ac:dyDescent="0.25">
      <c r="A313" s="15">
        <v>9759621</v>
      </c>
      <c r="B313" s="21">
        <v>3</v>
      </c>
    </row>
    <row r="314" spans="1:2" x14ac:dyDescent="0.25">
      <c r="A314" s="15">
        <v>9759624</v>
      </c>
      <c r="B314" s="21">
        <v>2</v>
      </c>
    </row>
    <row r="315" spans="1:2" x14ac:dyDescent="0.25">
      <c r="A315" s="15">
        <v>9759625</v>
      </c>
      <c r="B315" s="21">
        <v>2</v>
      </c>
    </row>
    <row r="316" spans="1:2" x14ac:dyDescent="0.25">
      <c r="A316" s="15">
        <v>9759627</v>
      </c>
      <c r="B316" s="21">
        <v>3</v>
      </c>
    </row>
    <row r="317" spans="1:2" x14ac:dyDescent="0.25">
      <c r="A317" s="15">
        <v>9759630</v>
      </c>
      <c r="B317" s="21">
        <v>2</v>
      </c>
    </row>
    <row r="318" spans="1:2" x14ac:dyDescent="0.25">
      <c r="A318" s="15">
        <v>9759631</v>
      </c>
      <c r="B318" s="21">
        <v>1</v>
      </c>
    </row>
    <row r="319" spans="1:2" x14ac:dyDescent="0.25">
      <c r="A319" s="15">
        <v>9759633</v>
      </c>
      <c r="B319" s="21">
        <v>17</v>
      </c>
    </row>
    <row r="320" spans="1:2" x14ac:dyDescent="0.25">
      <c r="A320" s="15">
        <v>9759634</v>
      </c>
      <c r="B320" s="21">
        <v>1</v>
      </c>
    </row>
    <row r="321" spans="1:2" x14ac:dyDescent="0.25">
      <c r="A321" s="15">
        <v>9759635</v>
      </c>
      <c r="B321" s="21">
        <v>3</v>
      </c>
    </row>
    <row r="322" spans="1:2" x14ac:dyDescent="0.25">
      <c r="A322" s="15">
        <v>9759636</v>
      </c>
      <c r="B322" s="21">
        <v>1</v>
      </c>
    </row>
    <row r="323" spans="1:2" x14ac:dyDescent="0.25">
      <c r="A323" s="15">
        <v>9759637</v>
      </c>
      <c r="B323" s="21">
        <v>1</v>
      </c>
    </row>
    <row r="324" spans="1:2" x14ac:dyDescent="0.25">
      <c r="A324" s="15">
        <v>9759638</v>
      </c>
      <c r="B324" s="21">
        <v>2</v>
      </c>
    </row>
    <row r="325" spans="1:2" x14ac:dyDescent="0.25">
      <c r="A325" s="15">
        <v>9759639</v>
      </c>
      <c r="B325" s="21">
        <v>1</v>
      </c>
    </row>
    <row r="326" spans="1:2" x14ac:dyDescent="0.25">
      <c r="A326" s="15">
        <v>9759640</v>
      </c>
      <c r="B326" s="21">
        <v>8</v>
      </c>
    </row>
    <row r="327" spans="1:2" x14ac:dyDescent="0.25">
      <c r="A327" s="15">
        <v>9759641</v>
      </c>
      <c r="B327" s="21">
        <v>1</v>
      </c>
    </row>
    <row r="328" spans="1:2" x14ac:dyDescent="0.25">
      <c r="A328" s="15">
        <v>9759642</v>
      </c>
      <c r="B328" s="21">
        <v>1</v>
      </c>
    </row>
    <row r="329" spans="1:2" x14ac:dyDescent="0.25">
      <c r="A329" s="15">
        <v>9759643</v>
      </c>
      <c r="B329" s="21">
        <v>1</v>
      </c>
    </row>
    <row r="330" spans="1:2" x14ac:dyDescent="0.25">
      <c r="A330" s="15">
        <v>9759644</v>
      </c>
      <c r="B330" s="21">
        <v>1</v>
      </c>
    </row>
    <row r="331" spans="1:2" x14ac:dyDescent="0.25">
      <c r="A331" s="15">
        <v>9759645</v>
      </c>
      <c r="B331" s="21">
        <v>1</v>
      </c>
    </row>
    <row r="332" spans="1:2" x14ac:dyDescent="0.25">
      <c r="A332" s="15">
        <v>9759650</v>
      </c>
      <c r="B332" s="21">
        <v>1</v>
      </c>
    </row>
    <row r="333" spans="1:2" x14ac:dyDescent="0.25">
      <c r="A333" s="15">
        <v>9759652</v>
      </c>
      <c r="B333" s="21">
        <v>3</v>
      </c>
    </row>
    <row r="334" spans="1:2" x14ac:dyDescent="0.25">
      <c r="A334" s="15">
        <v>9759654</v>
      </c>
      <c r="B334" s="21">
        <v>1</v>
      </c>
    </row>
    <row r="335" spans="1:2" x14ac:dyDescent="0.25">
      <c r="A335" s="15">
        <v>9759657</v>
      </c>
      <c r="B335" s="21">
        <v>12</v>
      </c>
    </row>
    <row r="336" spans="1:2" x14ac:dyDescent="0.25">
      <c r="A336" s="15">
        <v>9759659</v>
      </c>
      <c r="B336" s="21">
        <v>3</v>
      </c>
    </row>
    <row r="337" spans="1:2" x14ac:dyDescent="0.25">
      <c r="A337" s="15">
        <v>9759660</v>
      </c>
      <c r="B337" s="21">
        <v>1</v>
      </c>
    </row>
    <row r="338" spans="1:2" x14ac:dyDescent="0.25">
      <c r="A338" s="15">
        <v>9759664</v>
      </c>
      <c r="B338" s="21">
        <v>1</v>
      </c>
    </row>
    <row r="339" spans="1:2" x14ac:dyDescent="0.25">
      <c r="A339" s="15">
        <v>9759665</v>
      </c>
      <c r="B339" s="21">
        <v>1</v>
      </c>
    </row>
    <row r="340" spans="1:2" x14ac:dyDescent="0.25">
      <c r="A340" s="15">
        <v>9759836</v>
      </c>
      <c r="B340" s="21">
        <v>2</v>
      </c>
    </row>
    <row r="341" spans="1:2" x14ac:dyDescent="0.25">
      <c r="A341" s="15">
        <v>9759877</v>
      </c>
      <c r="B341" s="21">
        <v>3</v>
      </c>
    </row>
    <row r="342" spans="1:2" x14ac:dyDescent="0.25">
      <c r="A342" s="15">
        <v>9759878</v>
      </c>
      <c r="B342" s="21">
        <v>2</v>
      </c>
    </row>
    <row r="343" spans="1:2" x14ac:dyDescent="0.25">
      <c r="A343" s="15">
        <v>9759879</v>
      </c>
      <c r="B343" s="21">
        <v>3</v>
      </c>
    </row>
    <row r="344" spans="1:2" x14ac:dyDescent="0.25">
      <c r="A344" s="15">
        <v>9759880</v>
      </c>
      <c r="B344" s="21">
        <v>1</v>
      </c>
    </row>
    <row r="345" spans="1:2" x14ac:dyDescent="0.25">
      <c r="A345" s="15">
        <v>9759881</v>
      </c>
      <c r="B345" s="21">
        <v>1</v>
      </c>
    </row>
    <row r="346" spans="1:2" x14ac:dyDescent="0.25">
      <c r="A346" s="15">
        <v>9759882</v>
      </c>
      <c r="B346" s="21">
        <v>11</v>
      </c>
    </row>
    <row r="347" spans="1:2" x14ac:dyDescent="0.25">
      <c r="A347" s="15">
        <v>9759883</v>
      </c>
      <c r="B347" s="21">
        <v>1</v>
      </c>
    </row>
    <row r="348" spans="1:2" x14ac:dyDescent="0.25">
      <c r="A348" s="15">
        <v>9759911</v>
      </c>
      <c r="B348" s="21">
        <v>1</v>
      </c>
    </row>
    <row r="349" spans="1:2" x14ac:dyDescent="0.25">
      <c r="A349" s="15">
        <v>9759924</v>
      </c>
      <c r="B349" s="21">
        <v>2</v>
      </c>
    </row>
    <row r="350" spans="1:2" x14ac:dyDescent="0.25">
      <c r="A350" s="15">
        <v>9759925</v>
      </c>
      <c r="B350" s="21">
        <v>1</v>
      </c>
    </row>
    <row r="351" spans="1:2" x14ac:dyDescent="0.25">
      <c r="A351" s="15">
        <v>9759958</v>
      </c>
      <c r="B351" s="21">
        <v>1</v>
      </c>
    </row>
    <row r="352" spans="1:2" x14ac:dyDescent="0.25">
      <c r="A352" s="15">
        <v>9759962</v>
      </c>
      <c r="B352" s="21">
        <v>3</v>
      </c>
    </row>
    <row r="353" spans="1:2" x14ac:dyDescent="0.25">
      <c r="A353" s="15">
        <v>9759998</v>
      </c>
      <c r="B353" s="21">
        <v>1</v>
      </c>
    </row>
    <row r="354" spans="1:2" x14ac:dyDescent="0.25">
      <c r="A354" s="15">
        <v>9759999</v>
      </c>
      <c r="B354" s="21">
        <v>1</v>
      </c>
    </row>
    <row r="355" spans="1:2" x14ac:dyDescent="0.25">
      <c r="A355" s="15">
        <v>9760000</v>
      </c>
      <c r="B355" s="21">
        <v>1</v>
      </c>
    </row>
    <row r="356" spans="1:2" x14ac:dyDescent="0.25">
      <c r="A356" s="15">
        <v>9760001</v>
      </c>
      <c r="B356" s="21">
        <v>1</v>
      </c>
    </row>
    <row r="357" spans="1:2" x14ac:dyDescent="0.25">
      <c r="A357" s="15">
        <v>9760002</v>
      </c>
      <c r="B357" s="21">
        <v>2</v>
      </c>
    </row>
    <row r="358" spans="1:2" x14ac:dyDescent="0.25">
      <c r="A358" s="15">
        <v>9760003</v>
      </c>
      <c r="B358" s="21">
        <v>1</v>
      </c>
    </row>
    <row r="359" spans="1:2" x14ac:dyDescent="0.25">
      <c r="A359" s="15">
        <v>9760004</v>
      </c>
      <c r="B359" s="21">
        <v>1</v>
      </c>
    </row>
    <row r="360" spans="1:2" x14ac:dyDescent="0.25">
      <c r="A360" s="15">
        <v>9760005</v>
      </c>
      <c r="B360" s="21">
        <v>1</v>
      </c>
    </row>
    <row r="361" spans="1:2" x14ac:dyDescent="0.25">
      <c r="A361" s="15">
        <v>9760006</v>
      </c>
      <c r="B361" s="21">
        <v>1</v>
      </c>
    </row>
    <row r="362" spans="1:2" x14ac:dyDescent="0.25">
      <c r="A362" s="15">
        <v>9760007</v>
      </c>
      <c r="B362" s="21">
        <v>1</v>
      </c>
    </row>
    <row r="363" spans="1:2" x14ac:dyDescent="0.25">
      <c r="A363" s="15">
        <v>9760008</v>
      </c>
      <c r="B363" s="21">
        <v>1</v>
      </c>
    </row>
    <row r="364" spans="1:2" x14ac:dyDescent="0.25">
      <c r="A364" s="15">
        <v>9760022</v>
      </c>
      <c r="B364" s="21">
        <v>4</v>
      </c>
    </row>
    <row r="365" spans="1:2" x14ac:dyDescent="0.25">
      <c r="A365" s="15">
        <v>9760023</v>
      </c>
      <c r="B365" s="21">
        <v>6</v>
      </c>
    </row>
    <row r="366" spans="1:2" x14ac:dyDescent="0.25">
      <c r="A366" s="15">
        <v>9760024</v>
      </c>
      <c r="B366" s="21">
        <v>2</v>
      </c>
    </row>
    <row r="367" spans="1:2" x14ac:dyDescent="0.25">
      <c r="A367" s="15">
        <v>9760025</v>
      </c>
      <c r="B367" s="21">
        <v>4</v>
      </c>
    </row>
    <row r="368" spans="1:2" x14ac:dyDescent="0.25">
      <c r="A368" s="15">
        <v>9760026</v>
      </c>
      <c r="B368" s="21">
        <v>2</v>
      </c>
    </row>
    <row r="369" spans="1:2" x14ac:dyDescent="0.25">
      <c r="A369" s="15">
        <v>9760027</v>
      </c>
      <c r="B369" s="21">
        <v>2</v>
      </c>
    </row>
    <row r="370" spans="1:2" x14ac:dyDescent="0.25">
      <c r="A370" s="15">
        <v>9760041</v>
      </c>
      <c r="B370" s="21">
        <v>2</v>
      </c>
    </row>
    <row r="371" spans="1:2" x14ac:dyDescent="0.25">
      <c r="A371" s="15">
        <v>9760042</v>
      </c>
      <c r="B371" s="21">
        <v>1</v>
      </c>
    </row>
    <row r="372" spans="1:2" x14ac:dyDescent="0.25">
      <c r="A372" s="15">
        <v>9760043</v>
      </c>
      <c r="B372" s="21">
        <v>1</v>
      </c>
    </row>
    <row r="373" spans="1:2" x14ac:dyDescent="0.25">
      <c r="A373" s="15">
        <v>9760044</v>
      </c>
      <c r="B373" s="21">
        <v>1</v>
      </c>
    </row>
    <row r="374" spans="1:2" x14ac:dyDescent="0.25">
      <c r="A374" s="15">
        <v>9760045</v>
      </c>
      <c r="B374" s="21">
        <v>2</v>
      </c>
    </row>
    <row r="375" spans="1:2" x14ac:dyDescent="0.25">
      <c r="A375" s="15">
        <v>9760055</v>
      </c>
      <c r="B375" s="21">
        <v>1</v>
      </c>
    </row>
    <row r="376" spans="1:2" x14ac:dyDescent="0.25">
      <c r="A376" s="15">
        <v>9760056</v>
      </c>
      <c r="B376" s="21">
        <v>8</v>
      </c>
    </row>
    <row r="377" spans="1:2" x14ac:dyDescent="0.25">
      <c r="A377" s="15">
        <v>9760070</v>
      </c>
      <c r="B377" s="21">
        <v>1</v>
      </c>
    </row>
    <row r="378" spans="1:2" x14ac:dyDescent="0.25">
      <c r="A378" s="15">
        <v>9760071</v>
      </c>
      <c r="B378" s="21">
        <v>4</v>
      </c>
    </row>
    <row r="379" spans="1:2" x14ac:dyDescent="0.25">
      <c r="A379" s="15">
        <v>9760072</v>
      </c>
      <c r="B379" s="21">
        <v>1</v>
      </c>
    </row>
    <row r="380" spans="1:2" x14ac:dyDescent="0.25">
      <c r="A380" s="15">
        <v>9760082</v>
      </c>
      <c r="B380" s="21">
        <v>1</v>
      </c>
    </row>
    <row r="381" spans="1:2" x14ac:dyDescent="0.25">
      <c r="A381" s="15">
        <v>9760083</v>
      </c>
      <c r="B381" s="21">
        <v>1</v>
      </c>
    </row>
    <row r="382" spans="1:2" x14ac:dyDescent="0.25">
      <c r="A382" s="15">
        <v>9760092</v>
      </c>
      <c r="B382" s="21">
        <v>1</v>
      </c>
    </row>
    <row r="383" spans="1:2" x14ac:dyDescent="0.25">
      <c r="A383" s="15">
        <v>9760093</v>
      </c>
      <c r="B383" s="21">
        <v>1</v>
      </c>
    </row>
    <row r="384" spans="1:2" x14ac:dyDescent="0.25">
      <c r="A384" s="15">
        <v>9760094</v>
      </c>
      <c r="B384" s="21">
        <v>1</v>
      </c>
    </row>
    <row r="385" spans="1:2" x14ac:dyDescent="0.25">
      <c r="A385" s="15">
        <v>9760095</v>
      </c>
      <c r="B385" s="21">
        <v>1</v>
      </c>
    </row>
    <row r="386" spans="1:2" x14ac:dyDescent="0.25">
      <c r="A386" s="15">
        <v>9760096</v>
      </c>
      <c r="B386" s="21">
        <v>1</v>
      </c>
    </row>
    <row r="387" spans="1:2" x14ac:dyDescent="0.25">
      <c r="A387" s="15">
        <v>9760109</v>
      </c>
      <c r="B387" s="21">
        <v>2</v>
      </c>
    </row>
    <row r="388" spans="1:2" x14ac:dyDescent="0.25">
      <c r="A388" s="15">
        <v>9760110</v>
      </c>
      <c r="B388" s="21">
        <v>1</v>
      </c>
    </row>
    <row r="389" spans="1:2" x14ac:dyDescent="0.25">
      <c r="A389" s="15">
        <v>9760116</v>
      </c>
      <c r="B389" s="21">
        <v>2</v>
      </c>
    </row>
    <row r="390" spans="1:2" x14ac:dyDescent="0.25">
      <c r="A390" s="15">
        <v>9760176</v>
      </c>
      <c r="B390" s="21">
        <v>1</v>
      </c>
    </row>
    <row r="391" spans="1:2" x14ac:dyDescent="0.25">
      <c r="A391" s="15">
        <v>9760177</v>
      </c>
      <c r="B391" s="21">
        <v>1</v>
      </c>
    </row>
    <row r="392" spans="1:2" x14ac:dyDescent="0.25">
      <c r="A392" s="15">
        <v>9760178</v>
      </c>
      <c r="B392" s="21">
        <v>8</v>
      </c>
    </row>
    <row r="393" spans="1:2" x14ac:dyDescent="0.25">
      <c r="A393" s="15">
        <v>9760179</v>
      </c>
      <c r="B393" s="21">
        <v>1</v>
      </c>
    </row>
    <row r="394" spans="1:2" x14ac:dyDescent="0.25">
      <c r="A394" s="15">
        <v>9760265</v>
      </c>
      <c r="B394" s="21">
        <v>1</v>
      </c>
    </row>
    <row r="395" spans="1:2" x14ac:dyDescent="0.25">
      <c r="A395" s="15">
        <v>9760266</v>
      </c>
      <c r="B395" s="21">
        <v>1</v>
      </c>
    </row>
    <row r="396" spans="1:2" x14ac:dyDescent="0.25">
      <c r="A396" s="15">
        <v>9760267</v>
      </c>
      <c r="B396" s="21">
        <v>1</v>
      </c>
    </row>
    <row r="397" spans="1:2" x14ac:dyDescent="0.25">
      <c r="A397" s="15">
        <v>9760268</v>
      </c>
      <c r="B397" s="21">
        <v>2</v>
      </c>
    </row>
    <row r="398" spans="1:2" x14ac:dyDescent="0.25">
      <c r="A398" s="15">
        <v>9760269</v>
      </c>
      <c r="B398" s="21">
        <v>1</v>
      </c>
    </row>
    <row r="399" spans="1:2" x14ac:dyDescent="0.25">
      <c r="A399" s="15">
        <v>9760270</v>
      </c>
      <c r="B399" s="21">
        <v>1</v>
      </c>
    </row>
    <row r="400" spans="1:2" x14ac:dyDescent="0.25">
      <c r="A400" s="15">
        <v>9760271</v>
      </c>
      <c r="B400" s="21">
        <v>1</v>
      </c>
    </row>
    <row r="401" spans="1:2" x14ac:dyDescent="0.25">
      <c r="A401" s="15">
        <v>9760272</v>
      </c>
      <c r="B401" s="21">
        <v>1</v>
      </c>
    </row>
    <row r="402" spans="1:2" x14ac:dyDescent="0.25">
      <c r="A402" s="15">
        <v>9760273</v>
      </c>
      <c r="B402" s="21">
        <v>1</v>
      </c>
    </row>
    <row r="403" spans="1:2" x14ac:dyDescent="0.25">
      <c r="A403" s="15">
        <v>9760274</v>
      </c>
      <c r="B403" s="21">
        <v>1</v>
      </c>
    </row>
    <row r="404" spans="1:2" x14ac:dyDescent="0.25">
      <c r="A404" s="15">
        <v>9760275</v>
      </c>
      <c r="B404" s="21">
        <v>1</v>
      </c>
    </row>
    <row r="405" spans="1:2" x14ac:dyDescent="0.25">
      <c r="A405" s="15">
        <v>9760276</v>
      </c>
      <c r="B405" s="21">
        <v>1</v>
      </c>
    </row>
    <row r="406" spans="1:2" x14ac:dyDescent="0.25">
      <c r="A406" s="15">
        <v>9760277</v>
      </c>
      <c r="B406" s="21">
        <v>1</v>
      </c>
    </row>
    <row r="407" spans="1:2" x14ac:dyDescent="0.25">
      <c r="A407" s="15">
        <v>9760278</v>
      </c>
      <c r="B407" s="21">
        <v>1</v>
      </c>
    </row>
    <row r="408" spans="1:2" x14ac:dyDescent="0.25">
      <c r="A408" s="15">
        <v>9760279</v>
      </c>
      <c r="B408" s="21">
        <v>6</v>
      </c>
    </row>
    <row r="409" spans="1:2" x14ac:dyDescent="0.25">
      <c r="A409" s="15">
        <v>9760281</v>
      </c>
      <c r="B409" s="21">
        <v>1</v>
      </c>
    </row>
    <row r="410" spans="1:2" x14ac:dyDescent="0.25">
      <c r="A410" s="15">
        <v>9760282</v>
      </c>
      <c r="B410" s="21">
        <v>2</v>
      </c>
    </row>
    <row r="411" spans="1:2" x14ac:dyDescent="0.25">
      <c r="A411" s="15">
        <v>9760283</v>
      </c>
      <c r="B411" s="21">
        <v>1</v>
      </c>
    </row>
    <row r="412" spans="1:2" x14ac:dyDescent="0.25">
      <c r="A412" s="15">
        <v>9760284</v>
      </c>
      <c r="B412" s="21">
        <v>1</v>
      </c>
    </row>
    <row r="413" spans="1:2" x14ac:dyDescent="0.25">
      <c r="A413" s="15">
        <v>9760285</v>
      </c>
      <c r="B413" s="21">
        <v>2</v>
      </c>
    </row>
    <row r="414" spans="1:2" x14ac:dyDescent="0.25">
      <c r="A414" s="15">
        <v>9760286</v>
      </c>
      <c r="B414" s="21">
        <v>2</v>
      </c>
    </row>
    <row r="415" spans="1:2" x14ac:dyDescent="0.25">
      <c r="A415" s="15">
        <v>9760287</v>
      </c>
      <c r="B415" s="21">
        <v>1</v>
      </c>
    </row>
    <row r="416" spans="1:2" x14ac:dyDescent="0.25">
      <c r="A416" s="15">
        <v>9760288</v>
      </c>
      <c r="B416" s="21">
        <v>1</v>
      </c>
    </row>
    <row r="417" spans="1:2" x14ac:dyDescent="0.25">
      <c r="A417" s="15">
        <v>9760289</v>
      </c>
      <c r="B417" s="21">
        <v>1</v>
      </c>
    </row>
    <row r="418" spans="1:2" x14ac:dyDescent="0.25">
      <c r="A418" s="15">
        <v>9760290</v>
      </c>
      <c r="B418" s="21">
        <v>2</v>
      </c>
    </row>
    <row r="419" spans="1:2" x14ac:dyDescent="0.25">
      <c r="A419" s="15">
        <v>9760291</v>
      </c>
      <c r="B419" s="21">
        <v>1</v>
      </c>
    </row>
    <row r="420" spans="1:2" x14ac:dyDescent="0.25">
      <c r="A420" s="15">
        <v>9760292</v>
      </c>
      <c r="B420" s="21">
        <v>2</v>
      </c>
    </row>
    <row r="421" spans="1:2" x14ac:dyDescent="0.25">
      <c r="A421" s="15">
        <v>9760293</v>
      </c>
      <c r="B421" s="21">
        <v>1</v>
      </c>
    </row>
    <row r="422" spans="1:2" x14ac:dyDescent="0.25">
      <c r="A422" s="15">
        <v>9760294</v>
      </c>
      <c r="B422" s="21">
        <v>7</v>
      </c>
    </row>
    <row r="423" spans="1:2" x14ac:dyDescent="0.25">
      <c r="A423" s="15">
        <v>9760295</v>
      </c>
      <c r="B423" s="21">
        <v>3</v>
      </c>
    </row>
    <row r="424" spans="1:2" x14ac:dyDescent="0.25">
      <c r="A424" s="15">
        <v>9760296</v>
      </c>
      <c r="B424" s="21">
        <v>1</v>
      </c>
    </row>
    <row r="425" spans="1:2" x14ac:dyDescent="0.25">
      <c r="A425" s="15">
        <v>9760297</v>
      </c>
      <c r="B425" s="21">
        <v>1</v>
      </c>
    </row>
    <row r="426" spans="1:2" x14ac:dyDescent="0.25">
      <c r="A426" s="15">
        <v>9760298</v>
      </c>
      <c r="B426" s="21">
        <v>1</v>
      </c>
    </row>
    <row r="427" spans="1:2" x14ac:dyDescent="0.25">
      <c r="A427" s="15">
        <v>9760299</v>
      </c>
      <c r="B427" s="21">
        <v>1</v>
      </c>
    </row>
    <row r="428" spans="1:2" x14ac:dyDescent="0.25">
      <c r="A428" s="15">
        <v>9760300</v>
      </c>
      <c r="B428" s="21">
        <v>1</v>
      </c>
    </row>
    <row r="429" spans="1:2" x14ac:dyDescent="0.25">
      <c r="A429" s="15">
        <v>9760301</v>
      </c>
      <c r="B429" s="21">
        <v>1</v>
      </c>
    </row>
    <row r="430" spans="1:2" x14ac:dyDescent="0.25">
      <c r="A430" s="15">
        <v>9760302</v>
      </c>
      <c r="B430" s="21">
        <v>1</v>
      </c>
    </row>
    <row r="431" spans="1:2" x14ac:dyDescent="0.25">
      <c r="A431" s="15">
        <v>9760303</v>
      </c>
      <c r="B431" s="21">
        <v>1</v>
      </c>
    </row>
    <row r="432" spans="1:2" x14ac:dyDescent="0.25">
      <c r="A432" s="15">
        <v>9760304</v>
      </c>
      <c r="B432" s="21">
        <v>2</v>
      </c>
    </row>
    <row r="433" spans="1:2" x14ac:dyDescent="0.25">
      <c r="A433" s="15">
        <v>9760305</v>
      </c>
      <c r="B433" s="21">
        <v>1</v>
      </c>
    </row>
    <row r="434" spans="1:2" x14ac:dyDescent="0.25">
      <c r="A434" s="15">
        <v>9760306</v>
      </c>
      <c r="B434" s="21">
        <v>1</v>
      </c>
    </row>
    <row r="435" spans="1:2" x14ac:dyDescent="0.25">
      <c r="A435" s="15">
        <v>9760307</v>
      </c>
      <c r="B435" s="21">
        <v>2</v>
      </c>
    </row>
    <row r="436" spans="1:2" x14ac:dyDescent="0.25">
      <c r="A436" s="15">
        <v>9760308</v>
      </c>
      <c r="B436" s="21">
        <v>1</v>
      </c>
    </row>
    <row r="437" spans="1:2" x14ac:dyDescent="0.25">
      <c r="A437" s="15">
        <v>9760309</v>
      </c>
      <c r="B437" s="21">
        <v>2</v>
      </c>
    </row>
    <row r="438" spans="1:2" x14ac:dyDescent="0.25">
      <c r="A438" s="15">
        <v>9760310</v>
      </c>
      <c r="B438" s="21">
        <v>1</v>
      </c>
    </row>
    <row r="439" spans="1:2" x14ac:dyDescent="0.25">
      <c r="A439" s="15">
        <v>9760311</v>
      </c>
      <c r="B439" s="21">
        <v>1</v>
      </c>
    </row>
    <row r="440" spans="1:2" x14ac:dyDescent="0.25">
      <c r="A440" s="15">
        <v>9760312</v>
      </c>
      <c r="B440" s="21">
        <v>3</v>
      </c>
    </row>
    <row r="441" spans="1:2" x14ac:dyDescent="0.25">
      <c r="A441" s="15">
        <v>9760313</v>
      </c>
      <c r="B441" s="21">
        <v>3</v>
      </c>
    </row>
    <row r="442" spans="1:2" x14ac:dyDescent="0.25">
      <c r="A442" s="15">
        <v>9760314</v>
      </c>
      <c r="B442" s="21">
        <v>1</v>
      </c>
    </row>
    <row r="443" spans="1:2" x14ac:dyDescent="0.25">
      <c r="A443" s="15">
        <v>9760315</v>
      </c>
      <c r="B443" s="21">
        <v>2</v>
      </c>
    </row>
    <row r="444" spans="1:2" x14ac:dyDescent="0.25">
      <c r="A444" s="15">
        <v>9760316</v>
      </c>
      <c r="B444" s="21">
        <v>2</v>
      </c>
    </row>
    <row r="445" spans="1:2" x14ac:dyDescent="0.25">
      <c r="A445" s="15">
        <v>9760317</v>
      </c>
      <c r="B445" s="21">
        <v>4</v>
      </c>
    </row>
    <row r="446" spans="1:2" x14ac:dyDescent="0.25">
      <c r="A446" s="15">
        <v>9760318</v>
      </c>
      <c r="B446" s="21">
        <v>1</v>
      </c>
    </row>
    <row r="447" spans="1:2" x14ac:dyDescent="0.25">
      <c r="A447" s="15">
        <v>9760319</v>
      </c>
      <c r="B447" s="21">
        <v>8</v>
      </c>
    </row>
    <row r="448" spans="1:2" x14ac:dyDescent="0.25">
      <c r="A448" s="15">
        <v>9760320</v>
      </c>
      <c r="B448" s="21">
        <v>1</v>
      </c>
    </row>
    <row r="449" spans="1:2" x14ac:dyDescent="0.25">
      <c r="A449" s="15">
        <v>9760321</v>
      </c>
      <c r="B449" s="21">
        <v>1</v>
      </c>
    </row>
    <row r="450" spans="1:2" x14ac:dyDescent="0.25">
      <c r="A450" s="15">
        <v>9760322</v>
      </c>
      <c r="B450" s="21">
        <v>4</v>
      </c>
    </row>
    <row r="451" spans="1:2" x14ac:dyDescent="0.25">
      <c r="A451" s="15">
        <v>9760323</v>
      </c>
      <c r="B451" s="21">
        <v>2</v>
      </c>
    </row>
    <row r="452" spans="1:2" x14ac:dyDescent="0.25">
      <c r="A452" s="15">
        <v>9760324</v>
      </c>
      <c r="B452" s="21">
        <v>1</v>
      </c>
    </row>
    <row r="453" spans="1:2" x14ac:dyDescent="0.25">
      <c r="A453" s="15">
        <v>9760325</v>
      </c>
      <c r="B453" s="21">
        <v>1</v>
      </c>
    </row>
    <row r="454" spans="1:2" x14ac:dyDescent="0.25">
      <c r="A454" s="15">
        <v>9760326</v>
      </c>
      <c r="B454" s="21">
        <v>2</v>
      </c>
    </row>
    <row r="455" spans="1:2" x14ac:dyDescent="0.25">
      <c r="A455" s="15">
        <v>9760327</v>
      </c>
      <c r="B455" s="21">
        <v>1</v>
      </c>
    </row>
    <row r="456" spans="1:2" x14ac:dyDescent="0.25">
      <c r="A456" s="15">
        <v>9760328</v>
      </c>
      <c r="B456" s="21">
        <v>2</v>
      </c>
    </row>
    <row r="457" spans="1:2" x14ac:dyDescent="0.25">
      <c r="A457" s="15">
        <v>9760329</v>
      </c>
      <c r="B457" s="21">
        <v>1</v>
      </c>
    </row>
    <row r="458" spans="1:2" x14ac:dyDescent="0.25">
      <c r="A458" s="15">
        <v>9760330</v>
      </c>
      <c r="B458" s="21">
        <v>1</v>
      </c>
    </row>
    <row r="459" spans="1:2" x14ac:dyDescent="0.25">
      <c r="A459" s="15">
        <v>9760331</v>
      </c>
      <c r="B459" s="21">
        <v>1</v>
      </c>
    </row>
    <row r="460" spans="1:2" x14ac:dyDescent="0.25">
      <c r="A460" s="15">
        <v>9760332</v>
      </c>
      <c r="B460" s="21">
        <v>1</v>
      </c>
    </row>
    <row r="461" spans="1:2" x14ac:dyDescent="0.25">
      <c r="A461" s="15">
        <v>9760333</v>
      </c>
      <c r="B461" s="21">
        <v>1</v>
      </c>
    </row>
    <row r="462" spans="1:2" x14ac:dyDescent="0.25">
      <c r="A462" s="15">
        <v>9760334</v>
      </c>
      <c r="B462" s="21">
        <v>1</v>
      </c>
    </row>
    <row r="463" spans="1:2" x14ac:dyDescent="0.25">
      <c r="A463" s="15">
        <v>9760335</v>
      </c>
      <c r="B463" s="21">
        <v>1</v>
      </c>
    </row>
    <row r="464" spans="1:2" x14ac:dyDescent="0.25">
      <c r="A464" s="15">
        <v>9760336</v>
      </c>
      <c r="B464" s="21">
        <v>1</v>
      </c>
    </row>
    <row r="465" spans="1:2" x14ac:dyDescent="0.25">
      <c r="A465" s="15">
        <v>9760337</v>
      </c>
      <c r="B465" s="21">
        <v>1</v>
      </c>
    </row>
    <row r="466" spans="1:2" x14ac:dyDescent="0.25">
      <c r="A466" s="15">
        <v>9760338</v>
      </c>
      <c r="B466" s="21">
        <v>1</v>
      </c>
    </row>
    <row r="467" spans="1:2" x14ac:dyDescent="0.25">
      <c r="A467" s="15">
        <v>9760339</v>
      </c>
      <c r="B467" s="21">
        <v>1</v>
      </c>
    </row>
    <row r="468" spans="1:2" x14ac:dyDescent="0.25">
      <c r="A468" s="15">
        <v>9760340</v>
      </c>
      <c r="B468" s="21">
        <v>1</v>
      </c>
    </row>
    <row r="469" spans="1:2" x14ac:dyDescent="0.25">
      <c r="A469" s="15">
        <v>9760341</v>
      </c>
      <c r="B469" s="21">
        <v>1</v>
      </c>
    </row>
    <row r="470" spans="1:2" x14ac:dyDescent="0.25">
      <c r="A470" s="15">
        <v>9760342</v>
      </c>
      <c r="B470" s="21">
        <v>1</v>
      </c>
    </row>
    <row r="471" spans="1:2" x14ac:dyDescent="0.25">
      <c r="A471" s="15">
        <v>9760343</v>
      </c>
      <c r="B471" s="21">
        <v>2</v>
      </c>
    </row>
    <row r="472" spans="1:2" x14ac:dyDescent="0.25">
      <c r="A472" s="15">
        <v>9760344</v>
      </c>
      <c r="B472" s="21">
        <v>1</v>
      </c>
    </row>
    <row r="473" spans="1:2" x14ac:dyDescent="0.25">
      <c r="A473" s="15">
        <v>9760345</v>
      </c>
      <c r="B473" s="21">
        <v>1</v>
      </c>
    </row>
    <row r="474" spans="1:2" x14ac:dyDescent="0.25">
      <c r="A474" s="15">
        <v>9760346</v>
      </c>
      <c r="B474" s="21">
        <v>1</v>
      </c>
    </row>
    <row r="475" spans="1:2" x14ac:dyDescent="0.25">
      <c r="A475" s="15">
        <v>9760347</v>
      </c>
      <c r="B475" s="21">
        <v>1</v>
      </c>
    </row>
    <row r="476" spans="1:2" x14ac:dyDescent="0.25">
      <c r="A476" s="15">
        <v>9760348</v>
      </c>
      <c r="B476" s="21">
        <v>1</v>
      </c>
    </row>
    <row r="477" spans="1:2" x14ac:dyDescent="0.25">
      <c r="A477" s="15">
        <v>9760349</v>
      </c>
      <c r="B477" s="21">
        <v>1</v>
      </c>
    </row>
    <row r="478" spans="1:2" x14ac:dyDescent="0.25">
      <c r="A478" s="15">
        <v>9760350</v>
      </c>
      <c r="B478" s="21">
        <v>1</v>
      </c>
    </row>
    <row r="479" spans="1:2" x14ac:dyDescent="0.25">
      <c r="A479" s="15">
        <v>9760351</v>
      </c>
      <c r="B479" s="21">
        <v>1</v>
      </c>
    </row>
    <row r="480" spans="1:2" x14ac:dyDescent="0.25">
      <c r="A480" s="15">
        <v>9760352</v>
      </c>
      <c r="B480" s="21">
        <v>1</v>
      </c>
    </row>
    <row r="481" spans="1:2" x14ac:dyDescent="0.25">
      <c r="A481" s="15">
        <v>9760380</v>
      </c>
      <c r="B481" s="21">
        <v>4</v>
      </c>
    </row>
    <row r="482" spans="1:2" x14ac:dyDescent="0.25">
      <c r="A482" s="15">
        <v>9760401</v>
      </c>
      <c r="B482" s="21">
        <v>36</v>
      </c>
    </row>
    <row r="483" spans="1:2" x14ac:dyDescent="0.25">
      <c r="A483" s="15">
        <v>9760409</v>
      </c>
      <c r="B483" s="21">
        <v>4</v>
      </c>
    </row>
    <row r="484" spans="1:2" x14ac:dyDescent="0.25">
      <c r="A484" s="15">
        <v>9760440</v>
      </c>
      <c r="B484" s="21">
        <v>1</v>
      </c>
    </row>
    <row r="485" spans="1:2" x14ac:dyDescent="0.25">
      <c r="A485" s="15">
        <v>9760441</v>
      </c>
      <c r="B485" s="21">
        <v>1</v>
      </c>
    </row>
    <row r="486" spans="1:2" x14ac:dyDescent="0.25">
      <c r="A486" s="15">
        <v>9760451</v>
      </c>
      <c r="B486" s="21">
        <v>3</v>
      </c>
    </row>
    <row r="487" spans="1:2" x14ac:dyDescent="0.25">
      <c r="A487" s="15">
        <v>9760471</v>
      </c>
      <c r="B487" s="21">
        <v>1</v>
      </c>
    </row>
    <row r="488" spans="1:2" x14ac:dyDescent="0.25">
      <c r="A488" s="15">
        <v>9760472</v>
      </c>
      <c r="B488" s="21">
        <v>1</v>
      </c>
    </row>
    <row r="489" spans="1:2" x14ac:dyDescent="0.25">
      <c r="A489" s="15">
        <v>9760507</v>
      </c>
      <c r="B489" s="21">
        <v>1</v>
      </c>
    </row>
    <row r="490" spans="1:2" x14ac:dyDescent="0.25">
      <c r="A490" s="15">
        <v>9760510</v>
      </c>
      <c r="B490" s="21">
        <v>1</v>
      </c>
    </row>
    <row r="491" spans="1:2" x14ac:dyDescent="0.25">
      <c r="A491" s="15">
        <v>9760511</v>
      </c>
      <c r="B491" s="21">
        <v>10</v>
      </c>
    </row>
    <row r="492" spans="1:2" x14ac:dyDescent="0.25">
      <c r="A492" s="15">
        <v>9760523</v>
      </c>
      <c r="B492" s="21">
        <v>1</v>
      </c>
    </row>
    <row r="493" spans="1:2" x14ac:dyDescent="0.25">
      <c r="A493" s="15">
        <v>9760525</v>
      </c>
      <c r="B493" s="21">
        <v>21</v>
      </c>
    </row>
    <row r="494" spans="1:2" x14ac:dyDescent="0.25">
      <c r="A494" s="15">
        <v>9760526</v>
      </c>
      <c r="B494" s="21">
        <v>1</v>
      </c>
    </row>
    <row r="495" spans="1:2" x14ac:dyDescent="0.25">
      <c r="A495" s="15">
        <v>9760527</v>
      </c>
      <c r="B495" s="21">
        <v>1</v>
      </c>
    </row>
    <row r="496" spans="1:2" x14ac:dyDescent="0.25">
      <c r="A496" s="15">
        <v>9760528</v>
      </c>
      <c r="B496" s="21">
        <v>1</v>
      </c>
    </row>
    <row r="497" spans="1:2" x14ac:dyDescent="0.25">
      <c r="A497" s="15" t="s">
        <v>48</v>
      </c>
      <c r="B497" s="2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sheetPr>
  <dimension ref="A1:H614"/>
  <sheetViews>
    <sheetView workbookViewId="0">
      <selection sqref="A1:XFD1048576"/>
    </sheetView>
  </sheetViews>
  <sheetFormatPr defaultRowHeight="15" x14ac:dyDescent="0.25"/>
  <cols>
    <col min="1" max="1" width="12.28515625" customWidth="1"/>
    <col min="2" max="2" width="26.5703125" customWidth="1"/>
    <col min="3" max="3" width="26.85546875" customWidth="1"/>
    <col min="4" max="4" width="25.28515625" customWidth="1"/>
    <col min="5" max="5" width="29.42578125" customWidth="1"/>
    <col min="6" max="6" width="30.140625" customWidth="1"/>
    <col min="7" max="7" width="29.7109375" customWidth="1"/>
    <col min="8" max="8" width="31.7109375" customWidth="1"/>
    <col min="9" max="10" width="42.7109375" customWidth="1"/>
  </cols>
  <sheetData>
    <row r="1" spans="1:8" x14ac:dyDescent="0.25">
      <c r="A1" s="1" t="s">
        <v>125</v>
      </c>
      <c r="B1" s="1" t="s">
        <v>141</v>
      </c>
      <c r="C1" s="1" t="s">
        <v>142</v>
      </c>
      <c r="D1" s="1" t="s">
        <v>126</v>
      </c>
      <c r="E1" s="1"/>
      <c r="F1" s="24"/>
      <c r="G1" s="24"/>
      <c r="H1" s="1"/>
    </row>
    <row r="2" spans="1:8" x14ac:dyDescent="0.25">
      <c r="A2" s="34">
        <v>9751152</v>
      </c>
      <c r="B2" s="19"/>
      <c r="C2" s="18"/>
      <c r="D2" s="34"/>
      <c r="E2" s="34" t="s">
        <v>108</v>
      </c>
      <c r="F2" s="35"/>
      <c r="G2" s="34"/>
      <c r="H2" s="36">
        <v>42655.725682870368</v>
      </c>
    </row>
    <row r="3" spans="1:8" x14ac:dyDescent="0.25">
      <c r="A3" s="34">
        <v>9726394</v>
      </c>
      <c r="B3" s="19" t="s">
        <v>236</v>
      </c>
      <c r="C3" s="18"/>
      <c r="D3" s="34">
        <v>42656.693391203706</v>
      </c>
      <c r="E3" s="34"/>
      <c r="F3" s="35"/>
      <c r="G3" s="34"/>
      <c r="H3" s="1"/>
    </row>
    <row r="4" spans="1:8" x14ac:dyDescent="0.25">
      <c r="A4" s="34">
        <v>9754171</v>
      </c>
      <c r="B4" s="19"/>
      <c r="C4" s="18"/>
      <c r="D4" s="34"/>
      <c r="E4" s="34"/>
      <c r="F4" s="35"/>
      <c r="G4" s="34"/>
      <c r="H4" s="36">
        <v>42661.631782407407</v>
      </c>
    </row>
    <row r="5" spans="1:8" x14ac:dyDescent="0.25">
      <c r="A5" s="34">
        <v>9743245</v>
      </c>
      <c r="B5" s="19" t="s">
        <v>268</v>
      </c>
      <c r="C5" s="18"/>
      <c r="D5" s="34">
        <v>42662.471365740741</v>
      </c>
      <c r="E5" s="34"/>
      <c r="F5" s="35"/>
      <c r="G5" s="34"/>
      <c r="H5" s="1"/>
    </row>
    <row r="6" spans="1:8" x14ac:dyDescent="0.25">
      <c r="A6" s="34"/>
      <c r="B6" s="19"/>
      <c r="C6" s="18"/>
      <c r="D6" s="34"/>
      <c r="E6" s="34"/>
      <c r="F6" s="35"/>
      <c r="G6" s="34"/>
      <c r="H6" s="1"/>
    </row>
    <row r="7" spans="1:8" x14ac:dyDescent="0.25">
      <c r="A7" s="18"/>
      <c r="B7" s="19"/>
      <c r="C7" s="18"/>
      <c r="D7" s="34"/>
      <c r="E7" s="34"/>
      <c r="F7" s="35"/>
      <c r="G7" s="34"/>
      <c r="H7" s="1"/>
    </row>
    <row r="8" spans="1:8" x14ac:dyDescent="0.25">
      <c r="A8" s="34"/>
      <c r="B8" s="19"/>
      <c r="C8" s="18"/>
      <c r="D8" s="34"/>
      <c r="E8" s="34"/>
      <c r="F8" s="35"/>
      <c r="G8" s="34"/>
      <c r="H8" s="1"/>
    </row>
    <row r="9" spans="1:8" x14ac:dyDescent="0.25">
      <c r="A9" s="34"/>
      <c r="B9" s="19"/>
      <c r="C9" s="18"/>
      <c r="D9" s="34"/>
      <c r="E9" s="34"/>
      <c r="F9" s="35"/>
      <c r="G9" s="18"/>
      <c r="H9" s="1"/>
    </row>
    <row r="10" spans="1:8" x14ac:dyDescent="0.25">
      <c r="A10" s="34"/>
      <c r="B10" s="19"/>
      <c r="C10" s="18"/>
      <c r="D10" s="34"/>
      <c r="E10" s="34"/>
      <c r="F10" s="35"/>
      <c r="G10" s="18"/>
      <c r="H10" s="36"/>
    </row>
    <row r="11" spans="1:8" x14ac:dyDescent="0.25">
      <c r="A11" s="34"/>
      <c r="B11" s="19"/>
      <c r="C11" s="18"/>
      <c r="D11" s="34"/>
      <c r="E11" s="34"/>
      <c r="F11" s="35"/>
      <c r="G11" s="34"/>
      <c r="H11" s="36"/>
    </row>
    <row r="12" spans="1:8" x14ac:dyDescent="0.25">
      <c r="A12" s="34"/>
      <c r="B12" s="19"/>
      <c r="C12" s="18"/>
      <c r="D12" s="34"/>
      <c r="E12" s="34"/>
      <c r="F12" s="35"/>
      <c r="G12" s="34"/>
      <c r="H12" s="1"/>
    </row>
    <row r="13" spans="1:8" x14ac:dyDescent="0.25">
      <c r="A13" s="34"/>
      <c r="B13" s="19"/>
      <c r="C13" s="18"/>
      <c r="D13" s="34"/>
      <c r="E13" s="34"/>
      <c r="F13" s="35"/>
      <c r="G13" s="34"/>
      <c r="H13" s="1"/>
    </row>
    <row r="14" spans="1:8" x14ac:dyDescent="0.25">
      <c r="A14" s="34"/>
      <c r="B14" s="19"/>
      <c r="C14" s="18"/>
      <c r="D14" s="34"/>
      <c r="E14" s="34"/>
      <c r="F14" s="35"/>
      <c r="G14" s="34"/>
      <c r="H14" s="1"/>
    </row>
    <row r="15" spans="1:8" x14ac:dyDescent="0.25">
      <c r="A15" s="34"/>
      <c r="B15" s="19"/>
      <c r="C15" s="18"/>
      <c r="D15" s="34"/>
      <c r="E15" s="34"/>
      <c r="F15" s="35"/>
      <c r="G15" s="18"/>
      <c r="H15" s="1"/>
    </row>
    <row r="16" spans="1:8" x14ac:dyDescent="0.25">
      <c r="A16" s="34"/>
      <c r="B16" s="19"/>
      <c r="C16" s="18"/>
      <c r="D16" s="34"/>
      <c r="E16" s="34"/>
      <c r="F16" s="35"/>
      <c r="G16" s="18"/>
      <c r="H16" s="1"/>
    </row>
    <row r="17" spans="1:8" x14ac:dyDescent="0.25">
      <c r="A17" s="34"/>
      <c r="B17" s="19"/>
      <c r="C17" s="18"/>
      <c r="D17" s="34"/>
      <c r="E17" s="34"/>
      <c r="F17" s="35"/>
      <c r="G17" s="18"/>
      <c r="H17" s="1"/>
    </row>
    <row r="18" spans="1:8" x14ac:dyDescent="0.25">
      <c r="A18" s="34"/>
      <c r="B18" s="19"/>
      <c r="C18" s="18"/>
      <c r="D18" s="34"/>
      <c r="E18" s="34"/>
      <c r="F18" s="35"/>
      <c r="G18" s="18"/>
      <c r="H18" s="1"/>
    </row>
    <row r="19" spans="1:8" x14ac:dyDescent="0.25">
      <c r="A19" s="34"/>
      <c r="B19" s="19"/>
      <c r="C19" s="18"/>
      <c r="D19" s="34"/>
      <c r="E19" s="34"/>
      <c r="F19" s="35"/>
      <c r="G19" s="18"/>
      <c r="H19" s="1"/>
    </row>
    <row r="20" spans="1:8" x14ac:dyDescent="0.25">
      <c r="A20" s="34"/>
      <c r="B20" s="19"/>
      <c r="C20" s="18"/>
      <c r="D20" s="34"/>
      <c r="E20" s="34"/>
      <c r="F20" s="35"/>
      <c r="G20" s="18"/>
      <c r="H20" s="1"/>
    </row>
    <row r="21" spans="1:8" x14ac:dyDescent="0.25">
      <c r="A21" s="34"/>
      <c r="B21" s="19"/>
      <c r="C21" s="18"/>
      <c r="D21" s="34"/>
      <c r="E21" s="34"/>
      <c r="F21" s="35"/>
      <c r="G21" s="18"/>
      <c r="H21" s="1"/>
    </row>
    <row r="22" spans="1:8" x14ac:dyDescent="0.25">
      <c r="A22" s="34"/>
      <c r="B22" s="19"/>
      <c r="C22" s="18"/>
      <c r="D22" s="34"/>
      <c r="E22" s="34"/>
      <c r="F22" s="35"/>
      <c r="G22" s="18"/>
      <c r="H22" s="1"/>
    </row>
    <row r="23" spans="1:8" x14ac:dyDescent="0.25">
      <c r="A23" s="34"/>
      <c r="B23" s="19"/>
      <c r="C23" s="18"/>
      <c r="D23" s="34"/>
      <c r="E23" s="34"/>
      <c r="F23" s="35"/>
      <c r="G23" s="18"/>
      <c r="H23" s="1"/>
    </row>
    <row r="24" spans="1:8" x14ac:dyDescent="0.25">
      <c r="A24" s="34"/>
      <c r="B24" s="19"/>
      <c r="C24" s="18"/>
      <c r="D24" s="34"/>
      <c r="E24" s="34"/>
      <c r="F24" s="35"/>
      <c r="G24" s="18"/>
      <c r="H24" s="1"/>
    </row>
    <row r="25" spans="1:8" x14ac:dyDescent="0.25">
      <c r="A25" s="34"/>
      <c r="B25" s="19"/>
      <c r="C25" s="18"/>
      <c r="D25" s="34"/>
      <c r="E25" s="34"/>
      <c r="F25" s="35"/>
      <c r="G25" s="18"/>
      <c r="H25" s="1"/>
    </row>
    <row r="26" spans="1:8" x14ac:dyDescent="0.25">
      <c r="A26" s="34"/>
      <c r="B26" s="19"/>
      <c r="C26" s="18"/>
      <c r="D26" s="34"/>
      <c r="E26" s="34"/>
      <c r="F26" s="35"/>
      <c r="G26" s="18"/>
      <c r="H26" s="1"/>
    </row>
    <row r="27" spans="1:8" x14ac:dyDescent="0.25">
      <c r="A27" s="34"/>
      <c r="B27" s="19"/>
      <c r="C27" s="18"/>
      <c r="D27" s="34"/>
      <c r="E27" s="34"/>
      <c r="F27" s="35"/>
      <c r="G27" s="18"/>
      <c r="H27" s="36"/>
    </row>
    <row r="28" spans="1:8" x14ac:dyDescent="0.25">
      <c r="A28" s="34"/>
      <c r="B28" s="19"/>
      <c r="C28" s="18"/>
      <c r="D28" s="34"/>
      <c r="E28" s="34"/>
      <c r="F28" s="35"/>
      <c r="G28" s="18"/>
      <c r="H28" s="1"/>
    </row>
    <row r="29" spans="1:8" x14ac:dyDescent="0.25">
      <c r="A29" s="34"/>
      <c r="B29" s="19"/>
      <c r="C29" s="18"/>
      <c r="D29" s="34"/>
      <c r="E29" s="34"/>
      <c r="F29" s="35"/>
      <c r="G29" s="18"/>
      <c r="H29" s="1"/>
    </row>
    <row r="30" spans="1:8" x14ac:dyDescent="0.25">
      <c r="A30" s="34"/>
      <c r="B30" s="19"/>
      <c r="C30" s="18"/>
      <c r="D30" s="34"/>
      <c r="E30" s="34"/>
      <c r="F30" s="35"/>
      <c r="G30" s="18"/>
      <c r="H30" s="1"/>
    </row>
    <row r="31" spans="1:8" x14ac:dyDescent="0.25">
      <c r="A31" s="34"/>
      <c r="B31" s="19"/>
      <c r="C31" s="18"/>
      <c r="D31" s="34"/>
      <c r="E31" s="34"/>
      <c r="F31" s="35"/>
      <c r="G31" s="18"/>
      <c r="H31" s="1"/>
    </row>
    <row r="32" spans="1:8" x14ac:dyDescent="0.25">
      <c r="A32" s="34"/>
      <c r="B32" s="19"/>
      <c r="C32" s="18"/>
      <c r="D32" s="34"/>
      <c r="E32" s="34"/>
      <c r="F32" s="35"/>
      <c r="G32" s="18"/>
      <c r="H32" s="1"/>
    </row>
    <row r="33" spans="1:8" x14ac:dyDescent="0.25">
      <c r="A33" s="34"/>
      <c r="B33" s="19"/>
      <c r="C33" s="18"/>
      <c r="D33" s="34"/>
      <c r="E33" s="34"/>
      <c r="F33" s="35"/>
      <c r="G33" s="18"/>
      <c r="H33" s="1"/>
    </row>
    <row r="34" spans="1:8" x14ac:dyDescent="0.25">
      <c r="A34" s="34"/>
      <c r="B34" s="19"/>
      <c r="C34" s="18"/>
      <c r="D34" s="34"/>
      <c r="E34" s="34"/>
      <c r="F34" s="35"/>
      <c r="G34" s="18"/>
      <c r="H34" s="36"/>
    </row>
    <row r="35" spans="1:8" x14ac:dyDescent="0.25">
      <c r="A35" s="34"/>
      <c r="B35" s="19"/>
      <c r="C35" s="18"/>
      <c r="D35" s="34"/>
      <c r="E35" s="34"/>
      <c r="F35" s="35"/>
      <c r="G35" s="18"/>
      <c r="H35" s="36"/>
    </row>
    <row r="36" spans="1:8" x14ac:dyDescent="0.25">
      <c r="A36" s="34"/>
      <c r="B36" s="19"/>
      <c r="C36" s="18"/>
      <c r="D36" s="34"/>
      <c r="E36" s="34"/>
      <c r="F36" s="35"/>
      <c r="G36" s="18"/>
      <c r="H36" s="36"/>
    </row>
    <row r="37" spans="1:8" x14ac:dyDescent="0.25">
      <c r="A37" s="34"/>
      <c r="B37" s="19"/>
      <c r="C37" s="18"/>
      <c r="D37" s="34"/>
      <c r="E37" s="34"/>
      <c r="F37" s="35"/>
      <c r="G37" s="18"/>
      <c r="H37" s="1"/>
    </row>
    <row r="38" spans="1:8" x14ac:dyDescent="0.25">
      <c r="A38" s="34"/>
      <c r="B38" s="19"/>
      <c r="C38" s="18"/>
      <c r="D38" s="34"/>
      <c r="E38" s="34"/>
      <c r="F38" s="35"/>
      <c r="G38" s="18"/>
      <c r="H38" s="36"/>
    </row>
    <row r="39" spans="1:8" x14ac:dyDescent="0.25">
      <c r="A39" s="34"/>
      <c r="B39" s="19"/>
      <c r="C39" s="18"/>
      <c r="D39" s="34"/>
      <c r="E39" s="34"/>
      <c r="F39" s="35"/>
      <c r="G39" s="18"/>
      <c r="H39" s="1"/>
    </row>
    <row r="40" spans="1:8" x14ac:dyDescent="0.25">
      <c r="A40" s="34"/>
      <c r="B40" s="19"/>
      <c r="C40" s="18"/>
      <c r="D40" s="34"/>
      <c r="E40" s="34"/>
      <c r="F40" s="35"/>
      <c r="G40" s="18"/>
      <c r="H40" s="1"/>
    </row>
    <row r="41" spans="1:8" x14ac:dyDescent="0.25">
      <c r="A41" s="34"/>
      <c r="B41" s="19"/>
      <c r="C41" s="18"/>
      <c r="D41" s="34"/>
      <c r="E41" s="34"/>
      <c r="F41" s="35"/>
      <c r="G41" s="18"/>
      <c r="H41" s="1"/>
    </row>
    <row r="42" spans="1:8" x14ac:dyDescent="0.25">
      <c r="A42" s="34"/>
      <c r="B42" s="19"/>
      <c r="C42" s="18"/>
      <c r="D42" s="34"/>
      <c r="E42" s="34"/>
      <c r="F42" s="35"/>
      <c r="G42" s="18"/>
      <c r="H42" s="1"/>
    </row>
    <row r="43" spans="1:8" x14ac:dyDescent="0.25">
      <c r="A43" s="34"/>
      <c r="B43" s="19"/>
      <c r="C43" s="18"/>
      <c r="D43" s="34"/>
      <c r="E43" s="34"/>
      <c r="F43" s="35"/>
      <c r="G43" s="18"/>
      <c r="H43" s="1"/>
    </row>
    <row r="44" spans="1:8" x14ac:dyDescent="0.25">
      <c r="A44" s="34"/>
      <c r="B44" s="19"/>
      <c r="C44" s="18"/>
      <c r="D44" s="34"/>
      <c r="E44" s="34"/>
      <c r="F44" s="35"/>
      <c r="G44" s="18"/>
      <c r="H44" s="1"/>
    </row>
    <row r="45" spans="1:8" x14ac:dyDescent="0.25">
      <c r="A45" s="34"/>
      <c r="B45" s="19"/>
      <c r="C45" s="18"/>
      <c r="D45" s="34"/>
      <c r="E45" s="34"/>
      <c r="F45" s="35"/>
      <c r="G45" s="18"/>
      <c r="H45" s="1"/>
    </row>
    <row r="46" spans="1:8" x14ac:dyDescent="0.25">
      <c r="A46" s="34"/>
      <c r="B46" s="19"/>
      <c r="C46" s="18"/>
      <c r="D46" s="34"/>
      <c r="E46" s="34"/>
      <c r="F46" s="35"/>
      <c r="G46" s="18"/>
      <c r="H46" s="1"/>
    </row>
    <row r="47" spans="1:8" x14ac:dyDescent="0.25">
      <c r="A47" s="34"/>
      <c r="B47" s="19"/>
      <c r="C47" s="18"/>
      <c r="D47" s="34"/>
      <c r="E47" s="34"/>
      <c r="F47" s="35"/>
      <c r="G47" s="18"/>
      <c r="H47" s="36"/>
    </row>
    <row r="48" spans="1:8" x14ac:dyDescent="0.25">
      <c r="A48" s="34"/>
      <c r="B48" s="19"/>
      <c r="C48" s="18"/>
      <c r="D48" s="34"/>
      <c r="E48" s="34"/>
      <c r="F48" s="35"/>
      <c r="G48" s="34"/>
      <c r="H48" s="1"/>
    </row>
    <row r="49" spans="1:8" x14ac:dyDescent="0.25">
      <c r="A49" s="34"/>
      <c r="B49" s="19"/>
      <c r="C49" s="18"/>
      <c r="D49" s="34"/>
      <c r="E49" s="34"/>
      <c r="F49" s="35"/>
      <c r="G49" s="34"/>
      <c r="H49" s="1"/>
    </row>
    <row r="50" spans="1:8" x14ac:dyDescent="0.25">
      <c r="A50" s="34"/>
      <c r="B50" s="19"/>
      <c r="C50" s="18"/>
      <c r="D50" s="34"/>
      <c r="E50" s="34"/>
      <c r="F50" s="35"/>
      <c r="G50" s="34"/>
      <c r="H50" s="1"/>
    </row>
    <row r="51" spans="1:8" x14ac:dyDescent="0.25">
      <c r="A51" s="34"/>
      <c r="B51" s="19"/>
      <c r="C51" s="18"/>
      <c r="D51" s="34"/>
      <c r="E51" s="34"/>
      <c r="F51" s="35"/>
      <c r="G51" s="34"/>
      <c r="H51" s="1"/>
    </row>
    <row r="52" spans="1:8" x14ac:dyDescent="0.25">
      <c r="A52" s="34"/>
      <c r="B52" s="19"/>
      <c r="C52" s="18"/>
      <c r="D52" s="34"/>
      <c r="E52" s="34"/>
      <c r="F52" s="35"/>
      <c r="G52" s="34"/>
      <c r="H52" s="1"/>
    </row>
    <row r="53" spans="1:8" x14ac:dyDescent="0.25">
      <c r="A53" s="34"/>
      <c r="B53" s="19"/>
      <c r="C53" s="18"/>
      <c r="D53" s="34"/>
      <c r="E53" s="34"/>
      <c r="F53" s="35"/>
      <c r="G53" s="34"/>
      <c r="H53" s="1"/>
    </row>
    <row r="54" spans="1:8" x14ac:dyDescent="0.25">
      <c r="A54" s="34"/>
      <c r="B54" s="19"/>
      <c r="C54" s="18"/>
      <c r="D54" s="34"/>
      <c r="E54" s="34"/>
      <c r="F54" s="35"/>
      <c r="G54" s="34"/>
      <c r="H54" s="1"/>
    </row>
    <row r="55" spans="1:8" x14ac:dyDescent="0.25">
      <c r="A55" s="34"/>
      <c r="B55" s="19"/>
      <c r="C55" s="18"/>
      <c r="D55" s="34"/>
      <c r="E55" s="34"/>
      <c r="F55" s="35"/>
      <c r="G55" s="34"/>
      <c r="H55" s="1"/>
    </row>
    <row r="56" spans="1:8" x14ac:dyDescent="0.25">
      <c r="A56" s="34"/>
      <c r="B56" s="19"/>
      <c r="C56" s="18"/>
      <c r="D56" s="34"/>
      <c r="E56" s="34"/>
      <c r="F56" s="35"/>
      <c r="G56" s="34"/>
      <c r="H56" s="1"/>
    </row>
    <row r="57" spans="1:8" x14ac:dyDescent="0.25">
      <c r="A57" s="34"/>
      <c r="B57" s="19"/>
      <c r="C57" s="18"/>
      <c r="D57" s="34"/>
      <c r="E57" s="34"/>
      <c r="F57" s="35"/>
      <c r="G57" s="34"/>
      <c r="H57" s="1"/>
    </row>
    <row r="58" spans="1:8" x14ac:dyDescent="0.25">
      <c r="A58" s="34"/>
      <c r="B58" s="19"/>
      <c r="C58" s="18"/>
      <c r="D58" s="34"/>
      <c r="E58" s="34"/>
      <c r="F58" s="35"/>
      <c r="G58" s="18"/>
      <c r="H58" s="1"/>
    </row>
    <row r="59" spans="1:8" x14ac:dyDescent="0.25">
      <c r="A59" s="34"/>
      <c r="B59" s="19"/>
      <c r="C59" s="18"/>
      <c r="D59" s="34"/>
      <c r="E59" s="34"/>
      <c r="F59" s="35"/>
      <c r="G59" s="18"/>
      <c r="H59" s="1"/>
    </row>
    <row r="60" spans="1:8" x14ac:dyDescent="0.25">
      <c r="A60" s="34"/>
      <c r="B60" s="19"/>
      <c r="C60" s="18"/>
      <c r="D60" s="34"/>
      <c r="E60" s="34"/>
      <c r="F60" s="35"/>
      <c r="G60" s="18"/>
      <c r="H60" s="1"/>
    </row>
    <row r="61" spans="1:8" x14ac:dyDescent="0.25">
      <c r="A61" s="34"/>
      <c r="B61" s="19"/>
      <c r="C61" s="18"/>
      <c r="D61" s="34"/>
      <c r="E61" s="34"/>
      <c r="F61" s="35"/>
      <c r="G61" s="18"/>
      <c r="H61" s="1"/>
    </row>
    <row r="62" spans="1:8" x14ac:dyDescent="0.25">
      <c r="A62" s="34"/>
      <c r="B62" s="19"/>
      <c r="C62" s="18"/>
      <c r="D62" s="34"/>
      <c r="E62" s="34"/>
      <c r="F62" s="35"/>
      <c r="G62" s="18"/>
      <c r="H62" s="1"/>
    </row>
    <row r="63" spans="1:8" x14ac:dyDescent="0.25">
      <c r="A63" s="34"/>
      <c r="B63" s="19"/>
      <c r="C63" s="18"/>
      <c r="D63" s="34"/>
      <c r="E63" s="34"/>
      <c r="F63" s="35"/>
      <c r="G63" s="18"/>
      <c r="H63" s="1"/>
    </row>
    <row r="64" spans="1:8" x14ac:dyDescent="0.25">
      <c r="A64" s="34"/>
      <c r="B64" s="19"/>
      <c r="C64" s="18"/>
      <c r="D64" s="34"/>
      <c r="E64" s="34"/>
      <c r="F64" s="35"/>
      <c r="G64" s="34"/>
      <c r="H64" s="1"/>
    </row>
    <row r="65" spans="1:8" x14ac:dyDescent="0.25">
      <c r="A65" s="34"/>
      <c r="B65" s="19"/>
      <c r="C65" s="18"/>
      <c r="D65" s="34"/>
      <c r="E65" s="34"/>
      <c r="F65" s="35"/>
      <c r="G65" s="34"/>
      <c r="H65" s="1"/>
    </row>
    <row r="66" spans="1:8" x14ac:dyDescent="0.25">
      <c r="A66" s="34"/>
      <c r="B66" s="19"/>
      <c r="C66" s="18"/>
      <c r="D66" s="34"/>
      <c r="E66" s="34"/>
      <c r="F66" s="35"/>
      <c r="G66" s="18"/>
      <c r="H66" s="1"/>
    </row>
    <row r="67" spans="1:8" x14ac:dyDescent="0.25">
      <c r="A67" s="34"/>
      <c r="B67" s="19"/>
      <c r="C67" s="18"/>
      <c r="D67" s="34"/>
      <c r="E67" s="34"/>
      <c r="F67" s="35"/>
      <c r="G67" s="34"/>
      <c r="H67" s="1"/>
    </row>
    <row r="68" spans="1:8" x14ac:dyDescent="0.25">
      <c r="A68" s="34"/>
      <c r="B68" s="19"/>
      <c r="C68" s="18"/>
      <c r="D68" s="34"/>
      <c r="E68" s="34"/>
      <c r="F68" s="35"/>
      <c r="G68" s="18"/>
      <c r="H68" s="1"/>
    </row>
    <row r="69" spans="1:8" x14ac:dyDescent="0.25">
      <c r="A69" s="34"/>
      <c r="B69" s="19"/>
      <c r="C69" s="18"/>
      <c r="D69" s="34"/>
      <c r="E69" s="34"/>
      <c r="F69" s="35"/>
      <c r="G69" s="18"/>
      <c r="H69" s="1"/>
    </row>
    <row r="70" spans="1:8" x14ac:dyDescent="0.25">
      <c r="A70" s="34"/>
      <c r="B70" s="19"/>
      <c r="C70" s="18"/>
      <c r="D70" s="34"/>
      <c r="E70" s="34"/>
      <c r="F70" s="35"/>
      <c r="G70" s="18"/>
      <c r="H70" s="1"/>
    </row>
    <row r="71" spans="1:8" x14ac:dyDescent="0.25">
      <c r="A71" s="34"/>
      <c r="B71" s="19"/>
      <c r="C71" s="18"/>
      <c r="D71" s="34"/>
      <c r="E71" s="34"/>
      <c r="F71" s="35"/>
      <c r="G71" s="18"/>
      <c r="H71" s="1"/>
    </row>
    <row r="72" spans="1:8" x14ac:dyDescent="0.25">
      <c r="A72" s="34"/>
      <c r="B72" s="19"/>
      <c r="C72" s="18"/>
      <c r="D72" s="34"/>
      <c r="E72" s="34"/>
      <c r="F72" s="35"/>
      <c r="G72" s="18"/>
      <c r="H72" s="1"/>
    </row>
    <row r="73" spans="1:8" x14ac:dyDescent="0.25">
      <c r="A73" s="34"/>
      <c r="B73" s="19"/>
      <c r="C73" s="18"/>
      <c r="D73" s="34"/>
      <c r="E73" s="34"/>
      <c r="F73" s="35"/>
      <c r="G73" s="18"/>
      <c r="H73" s="1"/>
    </row>
    <row r="74" spans="1:8" x14ac:dyDescent="0.25">
      <c r="A74" s="34"/>
      <c r="B74" s="19"/>
      <c r="C74" s="18"/>
      <c r="D74" s="34"/>
      <c r="E74" s="34"/>
      <c r="F74" s="35"/>
      <c r="G74" s="18"/>
      <c r="H74" s="1"/>
    </row>
    <row r="75" spans="1:8" x14ac:dyDescent="0.25">
      <c r="A75" s="34"/>
      <c r="B75" s="19"/>
      <c r="C75" s="18"/>
      <c r="D75" s="34"/>
      <c r="E75" s="34"/>
      <c r="F75" s="35"/>
      <c r="G75" s="18"/>
      <c r="H75" s="1"/>
    </row>
    <row r="76" spans="1:8" x14ac:dyDescent="0.25">
      <c r="A76" s="34"/>
      <c r="B76" s="19"/>
      <c r="C76" s="18"/>
      <c r="D76" s="34"/>
      <c r="E76" s="34"/>
      <c r="F76" s="35"/>
      <c r="G76" s="18"/>
      <c r="H76" s="1"/>
    </row>
    <row r="77" spans="1:8" x14ac:dyDescent="0.25">
      <c r="A77" s="34"/>
      <c r="B77" s="19"/>
      <c r="C77" s="18"/>
      <c r="D77" s="34"/>
      <c r="E77" s="34"/>
      <c r="F77" s="35"/>
      <c r="G77" s="18"/>
      <c r="H77" s="1"/>
    </row>
    <row r="78" spans="1:8" x14ac:dyDescent="0.25">
      <c r="A78" s="34"/>
      <c r="B78" s="19"/>
      <c r="C78" s="18"/>
      <c r="D78" s="34"/>
      <c r="E78" s="34"/>
      <c r="F78" s="35"/>
      <c r="G78" s="18"/>
      <c r="H78" s="1"/>
    </row>
    <row r="79" spans="1:8" x14ac:dyDescent="0.25">
      <c r="A79" s="34"/>
      <c r="B79" s="19"/>
      <c r="C79" s="18"/>
      <c r="D79" s="34"/>
      <c r="E79" s="34"/>
      <c r="F79" s="35"/>
      <c r="G79" s="18"/>
      <c r="H79" s="1"/>
    </row>
    <row r="80" spans="1:8" x14ac:dyDescent="0.25">
      <c r="A80" s="34"/>
      <c r="B80" s="19"/>
      <c r="C80" s="18"/>
      <c r="D80" s="34"/>
      <c r="E80" s="34"/>
      <c r="F80" s="35"/>
      <c r="G80" s="18"/>
      <c r="H80" s="1"/>
    </row>
    <row r="81" spans="1:8" x14ac:dyDescent="0.25">
      <c r="A81" s="34"/>
      <c r="B81" s="19"/>
      <c r="C81" s="18"/>
      <c r="D81" s="34"/>
      <c r="E81" s="34"/>
      <c r="F81" s="35"/>
      <c r="G81" s="18"/>
      <c r="H81" s="1"/>
    </row>
    <row r="82" spans="1:8" x14ac:dyDescent="0.25">
      <c r="A82" s="34"/>
      <c r="B82" s="19"/>
      <c r="C82" s="18"/>
      <c r="D82" s="34"/>
      <c r="E82" s="34"/>
      <c r="F82" s="35"/>
      <c r="G82" s="18"/>
      <c r="H82" s="1"/>
    </row>
    <row r="83" spans="1:8" x14ac:dyDescent="0.25">
      <c r="A83" s="34"/>
      <c r="B83" s="19"/>
      <c r="C83" s="18"/>
      <c r="D83" s="34"/>
      <c r="E83" s="34"/>
      <c r="F83" s="35"/>
      <c r="G83" s="18"/>
      <c r="H83" s="1"/>
    </row>
    <row r="84" spans="1:8" x14ac:dyDescent="0.25">
      <c r="A84" s="34"/>
      <c r="B84" s="19"/>
      <c r="C84" s="18"/>
      <c r="D84" s="34"/>
      <c r="E84" s="34"/>
      <c r="F84" s="35"/>
      <c r="G84" s="18"/>
      <c r="H84" s="1"/>
    </row>
    <row r="85" spans="1:8" x14ac:dyDescent="0.25">
      <c r="A85" s="34"/>
      <c r="B85" s="19"/>
      <c r="C85" s="18"/>
      <c r="D85" s="34"/>
      <c r="E85" s="34"/>
      <c r="F85" s="35"/>
      <c r="G85" s="18"/>
      <c r="H85" s="1"/>
    </row>
    <row r="86" spans="1:8" x14ac:dyDescent="0.25">
      <c r="A86" s="18"/>
      <c r="B86" s="19"/>
      <c r="C86" s="18"/>
      <c r="D86" s="34"/>
      <c r="E86" s="34"/>
      <c r="F86" s="35"/>
      <c r="G86" s="18"/>
      <c r="H86" s="1"/>
    </row>
    <row r="87" spans="1:8" x14ac:dyDescent="0.25">
      <c r="A87" s="34"/>
      <c r="B87" s="19"/>
      <c r="C87" s="18"/>
      <c r="D87" s="34"/>
      <c r="E87" s="34"/>
      <c r="F87" s="35"/>
      <c r="G87" s="18"/>
      <c r="H87" s="1"/>
    </row>
    <row r="88" spans="1:8" x14ac:dyDescent="0.25">
      <c r="A88" s="34"/>
      <c r="B88" s="19"/>
      <c r="C88" s="19"/>
      <c r="D88" s="34"/>
      <c r="E88" s="34"/>
      <c r="F88" s="35"/>
      <c r="G88" s="18"/>
      <c r="H88" s="1"/>
    </row>
    <row r="89" spans="1:8" x14ac:dyDescent="0.25">
      <c r="A89" s="34"/>
      <c r="B89" s="19"/>
      <c r="C89" s="19"/>
      <c r="D89" s="34"/>
      <c r="E89" s="34"/>
      <c r="F89" s="35"/>
      <c r="G89" s="18"/>
      <c r="H89" s="1"/>
    </row>
    <row r="90" spans="1:8" x14ac:dyDescent="0.25">
      <c r="A90" s="34"/>
      <c r="B90" s="19"/>
      <c r="C90" s="18"/>
      <c r="D90" s="34"/>
      <c r="E90" s="34"/>
      <c r="F90" s="35"/>
      <c r="G90" s="18"/>
      <c r="H90" s="1"/>
    </row>
    <row r="91" spans="1:8" x14ac:dyDescent="0.25">
      <c r="A91" s="34"/>
      <c r="B91" s="19"/>
      <c r="C91" s="18"/>
      <c r="D91" s="34"/>
      <c r="E91" s="34"/>
      <c r="F91" s="35"/>
      <c r="G91" s="18"/>
      <c r="H91" s="1"/>
    </row>
    <row r="92" spans="1:8" x14ac:dyDescent="0.25">
      <c r="A92" s="34"/>
      <c r="B92" s="19"/>
      <c r="C92" s="18"/>
      <c r="D92" s="34"/>
      <c r="E92" s="34"/>
      <c r="F92" s="35"/>
      <c r="G92" s="18"/>
      <c r="H92" s="1"/>
    </row>
    <row r="93" spans="1:8" x14ac:dyDescent="0.25">
      <c r="A93" s="34"/>
      <c r="B93" s="19"/>
      <c r="C93" s="18"/>
      <c r="D93" s="34"/>
      <c r="E93" s="34"/>
      <c r="F93" s="35"/>
      <c r="G93" s="18"/>
      <c r="H93" s="1"/>
    </row>
    <row r="94" spans="1:8" x14ac:dyDescent="0.25">
      <c r="A94" s="34"/>
      <c r="B94" s="19"/>
      <c r="C94" s="18"/>
      <c r="D94" s="34"/>
      <c r="E94" s="34"/>
      <c r="F94" s="35"/>
      <c r="G94" s="18"/>
      <c r="H94" s="1"/>
    </row>
    <row r="95" spans="1:8" x14ac:dyDescent="0.25">
      <c r="A95" s="34"/>
      <c r="B95" s="19"/>
      <c r="C95" s="18"/>
      <c r="D95" s="34"/>
      <c r="E95" s="34"/>
      <c r="F95" s="35"/>
      <c r="G95" s="18"/>
      <c r="H95" s="1"/>
    </row>
    <row r="96" spans="1:8" x14ac:dyDescent="0.25">
      <c r="A96" s="34"/>
      <c r="B96" s="19"/>
      <c r="C96" s="18"/>
      <c r="D96" s="34"/>
      <c r="E96" s="34"/>
      <c r="F96" s="35"/>
      <c r="G96" s="18"/>
      <c r="H96" s="1"/>
    </row>
    <row r="97" spans="1:8" x14ac:dyDescent="0.25">
      <c r="A97" s="34"/>
      <c r="B97" s="19"/>
      <c r="C97" s="18"/>
      <c r="D97" s="34"/>
      <c r="E97" s="34"/>
      <c r="F97" s="35"/>
      <c r="G97" s="18"/>
      <c r="H97" s="1"/>
    </row>
    <row r="98" spans="1:8" x14ac:dyDescent="0.25">
      <c r="A98" s="34"/>
      <c r="B98" s="19"/>
      <c r="C98" s="18"/>
      <c r="D98" s="34"/>
      <c r="E98" s="34"/>
      <c r="F98" s="35"/>
      <c r="G98" s="18"/>
      <c r="H98" s="1"/>
    </row>
    <row r="99" spans="1:8" x14ac:dyDescent="0.25">
      <c r="A99" s="34"/>
      <c r="B99" s="19"/>
      <c r="C99" s="18"/>
      <c r="D99" s="34"/>
      <c r="E99" s="34"/>
      <c r="F99" s="35"/>
      <c r="G99" s="18"/>
      <c r="H99" s="1"/>
    </row>
    <row r="100" spans="1:8" x14ac:dyDescent="0.25">
      <c r="A100" s="34"/>
      <c r="B100" s="19"/>
      <c r="C100" s="18"/>
      <c r="D100" s="34"/>
      <c r="E100" s="34"/>
      <c r="F100" s="35"/>
      <c r="G100" s="18"/>
      <c r="H100" s="1"/>
    </row>
    <row r="101" spans="1:8" x14ac:dyDescent="0.25">
      <c r="A101" s="34"/>
      <c r="B101" s="19"/>
      <c r="C101" s="18"/>
      <c r="D101" s="34"/>
      <c r="E101" s="34"/>
      <c r="F101" s="35"/>
      <c r="G101" s="18"/>
      <c r="H101" s="1"/>
    </row>
    <row r="102" spans="1:8" x14ac:dyDescent="0.25">
      <c r="A102" s="34"/>
      <c r="B102" s="19"/>
      <c r="C102" s="18"/>
      <c r="D102" s="34"/>
      <c r="E102" s="34"/>
      <c r="F102" s="35"/>
      <c r="G102" s="18"/>
      <c r="H102" s="1"/>
    </row>
    <row r="103" spans="1:8" x14ac:dyDescent="0.25">
      <c r="A103" s="34"/>
      <c r="B103" s="19"/>
      <c r="C103" s="18"/>
      <c r="D103" s="34"/>
      <c r="E103" s="34"/>
      <c r="F103" s="35"/>
      <c r="G103" s="18"/>
      <c r="H103" s="1"/>
    </row>
    <row r="104" spans="1:8" x14ac:dyDescent="0.25">
      <c r="A104" s="34"/>
      <c r="B104" s="19"/>
      <c r="C104" s="18"/>
      <c r="D104" s="34"/>
      <c r="E104" s="34"/>
      <c r="F104" s="35"/>
      <c r="G104" s="18"/>
      <c r="H104" s="1"/>
    </row>
    <row r="105" spans="1:8" x14ac:dyDescent="0.25">
      <c r="A105" s="34"/>
      <c r="B105" s="19"/>
      <c r="C105" s="19"/>
      <c r="D105" s="34"/>
      <c r="E105" s="34"/>
      <c r="F105" s="35"/>
      <c r="G105" s="18"/>
      <c r="H105" s="1"/>
    </row>
    <row r="106" spans="1:8" x14ac:dyDescent="0.25">
      <c r="A106" s="34"/>
      <c r="B106" s="19"/>
      <c r="C106" s="18"/>
      <c r="D106" s="34"/>
      <c r="E106" s="34"/>
      <c r="F106" s="35"/>
      <c r="G106" s="18"/>
      <c r="H106" s="1"/>
    </row>
    <row r="107" spans="1:8" x14ac:dyDescent="0.25">
      <c r="A107" s="34"/>
      <c r="B107" s="19"/>
      <c r="C107" s="18"/>
      <c r="D107" s="34"/>
      <c r="E107" s="34"/>
      <c r="F107" s="35"/>
      <c r="G107" s="18"/>
      <c r="H107" s="1"/>
    </row>
    <row r="108" spans="1:8" x14ac:dyDescent="0.25">
      <c r="A108" s="34"/>
      <c r="B108" s="19"/>
      <c r="C108" s="18"/>
      <c r="D108" s="34"/>
      <c r="E108" s="34"/>
      <c r="F108" s="35"/>
      <c r="G108" s="18"/>
      <c r="H108" s="1"/>
    </row>
    <row r="109" spans="1:8" x14ac:dyDescent="0.25">
      <c r="A109" s="34"/>
      <c r="B109" s="19"/>
      <c r="C109" s="18"/>
      <c r="D109" s="34"/>
      <c r="E109" s="34"/>
      <c r="F109" s="35"/>
      <c r="G109" s="18"/>
      <c r="H109" s="1"/>
    </row>
    <row r="110" spans="1:8" x14ac:dyDescent="0.25">
      <c r="A110" s="34"/>
      <c r="B110" s="19"/>
      <c r="C110" s="18"/>
      <c r="D110" s="34"/>
      <c r="E110" s="34"/>
      <c r="F110" s="35"/>
      <c r="G110" s="18"/>
      <c r="H110" s="1"/>
    </row>
    <row r="111" spans="1:8" x14ac:dyDescent="0.25">
      <c r="A111" s="18"/>
      <c r="B111" s="19"/>
      <c r="C111" s="19"/>
      <c r="D111" s="34"/>
      <c r="E111" s="34"/>
      <c r="F111" s="35"/>
      <c r="G111" s="18"/>
      <c r="H111" s="1"/>
    </row>
    <row r="112" spans="1:8" x14ac:dyDescent="0.25">
      <c r="A112" s="34"/>
      <c r="B112" s="19"/>
      <c r="C112" s="19"/>
      <c r="D112" s="34"/>
      <c r="E112" s="34"/>
      <c r="F112" s="35"/>
      <c r="G112" s="18"/>
      <c r="H112" s="1"/>
    </row>
    <row r="113" spans="1:8" x14ac:dyDescent="0.25">
      <c r="A113" s="34"/>
      <c r="B113" s="19"/>
      <c r="C113" s="18"/>
      <c r="D113" s="34"/>
      <c r="E113" s="34"/>
      <c r="F113" s="35"/>
      <c r="G113" s="18"/>
      <c r="H113" s="1"/>
    </row>
    <row r="114" spans="1:8" x14ac:dyDescent="0.25">
      <c r="A114" s="34"/>
      <c r="B114" s="19"/>
      <c r="C114" s="18"/>
      <c r="D114" s="34"/>
      <c r="E114" s="34"/>
      <c r="F114" s="35"/>
      <c r="G114" s="18"/>
      <c r="H114" s="1"/>
    </row>
    <row r="115" spans="1:8" x14ac:dyDescent="0.25">
      <c r="A115" s="34"/>
      <c r="B115" s="19"/>
      <c r="C115" s="18"/>
      <c r="D115" s="34"/>
      <c r="E115" s="34"/>
      <c r="F115" s="35"/>
      <c r="G115" s="18"/>
      <c r="H115" s="1"/>
    </row>
    <row r="116" spans="1:8" x14ac:dyDescent="0.25">
      <c r="A116" s="34"/>
      <c r="B116" s="19"/>
      <c r="C116" s="18"/>
      <c r="D116" s="34"/>
      <c r="E116" s="34"/>
      <c r="F116" s="35"/>
      <c r="G116" s="18"/>
      <c r="H116" s="1"/>
    </row>
    <row r="117" spans="1:8" x14ac:dyDescent="0.25">
      <c r="A117" s="34"/>
      <c r="B117" s="19"/>
      <c r="C117" s="19"/>
      <c r="D117" s="34"/>
      <c r="E117" s="34"/>
      <c r="F117" s="35"/>
      <c r="G117" s="18"/>
      <c r="H117" s="1"/>
    </row>
    <row r="118" spans="1:8" x14ac:dyDescent="0.25">
      <c r="A118" s="34"/>
      <c r="B118" s="19"/>
      <c r="C118" s="18"/>
      <c r="D118" s="34"/>
      <c r="E118" s="34"/>
      <c r="F118" s="35"/>
      <c r="G118" s="18"/>
      <c r="H118" s="1"/>
    </row>
    <row r="119" spans="1:8" x14ac:dyDescent="0.25">
      <c r="A119" s="34"/>
      <c r="B119" s="19"/>
      <c r="C119" s="18"/>
      <c r="D119" s="34"/>
      <c r="E119" s="34"/>
      <c r="F119" s="35"/>
      <c r="G119" s="18"/>
      <c r="H119" s="1"/>
    </row>
    <row r="120" spans="1:8" x14ac:dyDescent="0.25">
      <c r="A120" s="34"/>
      <c r="B120" s="19"/>
      <c r="C120" s="18"/>
      <c r="D120" s="34"/>
      <c r="E120" s="34"/>
      <c r="F120" s="35"/>
      <c r="G120" s="18"/>
      <c r="H120" s="1"/>
    </row>
    <row r="121" spans="1:8" x14ac:dyDescent="0.25">
      <c r="A121" s="34"/>
      <c r="B121" s="19"/>
      <c r="C121" s="18"/>
      <c r="D121" s="34"/>
      <c r="E121" s="34"/>
      <c r="F121" s="35"/>
      <c r="G121" s="18"/>
      <c r="H121" s="1"/>
    </row>
    <row r="122" spans="1:8" x14ac:dyDescent="0.25">
      <c r="A122" s="34"/>
      <c r="B122" s="19"/>
      <c r="C122" s="18"/>
      <c r="D122" s="34"/>
      <c r="E122" s="34"/>
      <c r="F122" s="35"/>
      <c r="G122" s="18"/>
      <c r="H122" s="1"/>
    </row>
    <row r="123" spans="1:8" x14ac:dyDescent="0.25">
      <c r="A123" s="34"/>
      <c r="B123" s="19"/>
      <c r="C123" s="18"/>
      <c r="D123" s="34"/>
      <c r="E123" s="34"/>
      <c r="F123" s="35"/>
      <c r="G123" s="18"/>
      <c r="H123" s="1"/>
    </row>
    <row r="124" spans="1:8" x14ac:dyDescent="0.25">
      <c r="A124" s="34"/>
      <c r="B124" s="19"/>
      <c r="C124" s="18"/>
      <c r="D124" s="34"/>
      <c r="E124" s="34"/>
      <c r="F124" s="35"/>
      <c r="G124" s="18"/>
      <c r="H124" s="1"/>
    </row>
    <row r="125" spans="1:8" x14ac:dyDescent="0.25">
      <c r="A125" s="34"/>
      <c r="B125" s="19"/>
      <c r="C125" s="18"/>
      <c r="D125" s="34"/>
      <c r="E125" s="34"/>
      <c r="F125" s="35"/>
      <c r="G125" s="18"/>
      <c r="H125" s="1"/>
    </row>
    <row r="126" spans="1:8" x14ac:dyDescent="0.25">
      <c r="A126" s="34"/>
      <c r="B126" s="19"/>
      <c r="C126" s="18"/>
      <c r="D126" s="34"/>
      <c r="E126" s="34"/>
      <c r="F126" s="35"/>
      <c r="G126" s="18"/>
      <c r="H126" s="1"/>
    </row>
    <row r="127" spans="1:8" x14ac:dyDescent="0.25">
      <c r="A127" s="34"/>
      <c r="B127" s="19"/>
      <c r="C127" s="18"/>
      <c r="D127" s="34"/>
      <c r="E127" s="34"/>
      <c r="F127" s="35"/>
      <c r="G127" s="18"/>
      <c r="H127" s="1"/>
    </row>
    <row r="128" spans="1:8" x14ac:dyDescent="0.25">
      <c r="A128" s="34"/>
      <c r="B128" s="19"/>
      <c r="C128" s="18"/>
      <c r="D128" s="34"/>
      <c r="E128" s="34"/>
      <c r="F128" s="35"/>
      <c r="G128" s="18"/>
      <c r="H128" s="1"/>
    </row>
    <row r="129" spans="1:8" x14ac:dyDescent="0.25">
      <c r="A129" s="34"/>
      <c r="B129" s="19"/>
      <c r="C129" s="18"/>
      <c r="D129" s="34"/>
      <c r="E129" s="34"/>
      <c r="F129" s="35"/>
      <c r="G129" s="18"/>
      <c r="H129" s="1"/>
    </row>
    <row r="130" spans="1:8" x14ac:dyDescent="0.25">
      <c r="A130" s="34"/>
      <c r="B130" s="19"/>
      <c r="C130" s="18"/>
      <c r="D130" s="34"/>
      <c r="E130" s="34"/>
      <c r="F130" s="35"/>
      <c r="G130" s="18"/>
      <c r="H130" s="1"/>
    </row>
    <row r="131" spans="1:8" x14ac:dyDescent="0.25">
      <c r="A131" s="34"/>
      <c r="B131" s="19"/>
      <c r="C131" s="18"/>
      <c r="D131" s="34"/>
      <c r="E131" s="34"/>
      <c r="F131" s="35"/>
      <c r="G131" s="18"/>
      <c r="H131" s="1"/>
    </row>
    <row r="132" spans="1:8" x14ac:dyDescent="0.25">
      <c r="A132" s="34"/>
      <c r="B132" s="19"/>
      <c r="C132" s="18"/>
      <c r="D132" s="34"/>
      <c r="E132" s="34"/>
      <c r="F132" s="35"/>
      <c r="G132" s="18"/>
      <c r="H132" s="1"/>
    </row>
    <row r="133" spans="1:8" x14ac:dyDescent="0.25">
      <c r="A133" s="34"/>
      <c r="B133" s="19"/>
      <c r="C133" s="19"/>
      <c r="D133" s="34"/>
      <c r="E133" s="34"/>
      <c r="F133" s="35"/>
      <c r="G133" s="18"/>
      <c r="H133" s="1"/>
    </row>
    <row r="134" spans="1:8" x14ac:dyDescent="0.25">
      <c r="A134" s="34"/>
      <c r="B134" s="19"/>
      <c r="C134" s="19"/>
      <c r="D134" s="34"/>
      <c r="E134" s="34"/>
      <c r="F134" s="35"/>
      <c r="G134" s="18"/>
      <c r="H134" s="1"/>
    </row>
    <row r="135" spans="1:8" x14ac:dyDescent="0.25">
      <c r="A135" s="34"/>
      <c r="B135" s="19"/>
      <c r="C135" s="18"/>
      <c r="D135" s="34"/>
      <c r="E135" s="34"/>
      <c r="F135" s="35"/>
      <c r="G135" s="18"/>
      <c r="H135" s="1"/>
    </row>
    <row r="136" spans="1:8" x14ac:dyDescent="0.25">
      <c r="A136" s="34"/>
      <c r="B136" s="19"/>
      <c r="C136" s="18"/>
      <c r="D136" s="34"/>
      <c r="E136" s="34"/>
      <c r="F136" s="35"/>
      <c r="G136" s="18"/>
      <c r="H136" s="1"/>
    </row>
    <row r="137" spans="1:8" x14ac:dyDescent="0.25">
      <c r="A137" s="34"/>
      <c r="B137" s="19"/>
      <c r="C137" s="18"/>
      <c r="D137" s="34"/>
      <c r="E137" s="34"/>
      <c r="F137" s="35"/>
      <c r="G137" s="18"/>
      <c r="H137" s="1"/>
    </row>
    <row r="138" spans="1:8" x14ac:dyDescent="0.25">
      <c r="A138" s="34"/>
      <c r="B138" s="19"/>
      <c r="C138" s="18"/>
      <c r="D138" s="34"/>
      <c r="E138" s="34"/>
      <c r="F138" s="35"/>
      <c r="G138" s="18"/>
      <c r="H138" s="1"/>
    </row>
    <row r="139" spans="1:8" x14ac:dyDescent="0.25">
      <c r="A139" s="34"/>
      <c r="B139" s="19"/>
      <c r="C139" s="19"/>
      <c r="D139" s="34"/>
      <c r="E139" s="34"/>
      <c r="F139" s="35"/>
      <c r="G139" s="18"/>
      <c r="H139" s="1"/>
    </row>
    <row r="140" spans="1:8" x14ac:dyDescent="0.25">
      <c r="A140" s="34"/>
      <c r="B140" s="19"/>
      <c r="C140" s="18"/>
      <c r="D140" s="34"/>
      <c r="E140" s="34"/>
      <c r="F140" s="35"/>
      <c r="G140" s="18"/>
      <c r="H140" s="1"/>
    </row>
    <row r="141" spans="1:8" x14ac:dyDescent="0.25">
      <c r="A141" s="34"/>
      <c r="B141" s="19"/>
      <c r="C141" s="18"/>
      <c r="D141" s="34"/>
      <c r="E141" s="34"/>
      <c r="F141" s="35"/>
      <c r="G141" s="18"/>
      <c r="H141" s="1"/>
    </row>
    <row r="142" spans="1:8" x14ac:dyDescent="0.25">
      <c r="A142" s="34"/>
      <c r="B142" s="19"/>
      <c r="C142" s="18"/>
      <c r="D142" s="34"/>
      <c r="E142" s="34"/>
      <c r="F142" s="35"/>
      <c r="G142" s="18"/>
      <c r="H142" s="1"/>
    </row>
    <row r="143" spans="1:8" x14ac:dyDescent="0.25">
      <c r="A143" s="34"/>
      <c r="B143" s="19"/>
      <c r="C143" s="18"/>
      <c r="D143" s="34"/>
      <c r="E143" s="34"/>
      <c r="F143" s="35"/>
      <c r="G143" s="18"/>
      <c r="H143" s="1"/>
    </row>
    <row r="144" spans="1:8" x14ac:dyDescent="0.25">
      <c r="A144" s="34"/>
      <c r="B144" s="19"/>
      <c r="C144" s="18"/>
      <c r="D144" s="34"/>
      <c r="E144" s="34"/>
      <c r="F144" s="35"/>
      <c r="G144" s="18"/>
      <c r="H144" s="1"/>
    </row>
    <row r="145" spans="1:8" x14ac:dyDescent="0.25">
      <c r="A145" s="34"/>
      <c r="B145" s="19"/>
      <c r="C145" s="18"/>
      <c r="D145" s="34"/>
      <c r="E145" s="34"/>
      <c r="F145" s="35"/>
      <c r="G145" s="18"/>
      <c r="H145" s="1"/>
    </row>
    <row r="146" spans="1:8" x14ac:dyDescent="0.25">
      <c r="A146" s="34"/>
      <c r="B146" s="19"/>
      <c r="C146" s="18"/>
      <c r="D146" s="34"/>
      <c r="E146" s="34"/>
      <c r="F146" s="35"/>
      <c r="G146" s="18"/>
      <c r="H146" s="1"/>
    </row>
    <row r="147" spans="1:8" x14ac:dyDescent="0.25">
      <c r="A147" s="34"/>
      <c r="B147" s="19"/>
      <c r="C147" s="18"/>
      <c r="D147" s="34"/>
      <c r="E147" s="34"/>
      <c r="F147" s="35"/>
      <c r="G147" s="18"/>
      <c r="H147" s="1"/>
    </row>
    <row r="148" spans="1:8" x14ac:dyDescent="0.25">
      <c r="A148" s="34"/>
      <c r="B148" s="19"/>
      <c r="C148" s="18"/>
      <c r="D148" s="34"/>
      <c r="E148" s="34"/>
      <c r="F148" s="35"/>
      <c r="G148" s="18"/>
      <c r="H148" s="1"/>
    </row>
    <row r="149" spans="1:8" x14ac:dyDescent="0.25">
      <c r="A149" s="34"/>
      <c r="B149" s="19"/>
      <c r="C149" s="18"/>
      <c r="D149" s="34"/>
      <c r="E149" s="34"/>
      <c r="F149" s="35"/>
      <c r="G149" s="18"/>
      <c r="H149" s="1"/>
    </row>
    <row r="150" spans="1:8" x14ac:dyDescent="0.25">
      <c r="A150" s="34"/>
      <c r="B150" s="19"/>
      <c r="C150" s="18"/>
      <c r="D150" s="34"/>
      <c r="E150" s="34"/>
      <c r="F150" s="35"/>
      <c r="G150" s="18"/>
      <c r="H150" s="1"/>
    </row>
    <row r="151" spans="1:8" x14ac:dyDescent="0.25">
      <c r="A151" s="34"/>
      <c r="B151" s="19"/>
      <c r="C151" s="18"/>
      <c r="D151" s="34"/>
      <c r="E151" s="34"/>
      <c r="F151" s="35"/>
      <c r="G151" s="18"/>
      <c r="H151" s="1"/>
    </row>
    <row r="152" spans="1:8" x14ac:dyDescent="0.25">
      <c r="A152" s="34"/>
      <c r="B152" s="19"/>
      <c r="C152" s="18"/>
      <c r="D152" s="34"/>
      <c r="E152" s="34"/>
      <c r="F152" s="35"/>
      <c r="G152" s="18"/>
      <c r="H152" s="1"/>
    </row>
    <row r="153" spans="1:8" x14ac:dyDescent="0.25">
      <c r="A153" s="34"/>
      <c r="B153" s="19"/>
      <c r="C153" s="18"/>
      <c r="D153" s="34"/>
      <c r="E153" s="34"/>
      <c r="F153" s="35"/>
      <c r="G153" s="18"/>
      <c r="H153" s="1"/>
    </row>
    <row r="154" spans="1:8" x14ac:dyDescent="0.25">
      <c r="A154" s="34"/>
      <c r="B154" s="19"/>
      <c r="C154" s="18"/>
      <c r="D154" s="34"/>
      <c r="E154" s="34"/>
      <c r="F154" s="35"/>
      <c r="G154" s="18"/>
      <c r="H154" s="1"/>
    </row>
    <row r="155" spans="1:8" x14ac:dyDescent="0.25">
      <c r="A155" s="34"/>
      <c r="B155" s="19"/>
      <c r="C155" s="18"/>
      <c r="D155" s="34"/>
      <c r="E155" s="34"/>
      <c r="F155" s="35"/>
      <c r="G155" s="18"/>
      <c r="H155" s="1"/>
    </row>
    <row r="156" spans="1:8" x14ac:dyDescent="0.25">
      <c r="A156" s="34"/>
      <c r="B156" s="19"/>
      <c r="C156" s="18"/>
      <c r="D156" s="34"/>
      <c r="E156" s="34"/>
      <c r="F156" s="35"/>
      <c r="G156" s="18"/>
      <c r="H156" s="1"/>
    </row>
    <row r="157" spans="1:8" x14ac:dyDescent="0.25">
      <c r="A157" s="34"/>
      <c r="B157" s="19"/>
      <c r="C157" s="18"/>
      <c r="D157" s="34"/>
      <c r="E157" s="34"/>
      <c r="F157" s="35"/>
      <c r="G157" s="18"/>
      <c r="H157" s="1"/>
    </row>
    <row r="158" spans="1:8" x14ac:dyDescent="0.25">
      <c r="A158" s="34"/>
      <c r="B158" s="19"/>
      <c r="C158" s="18"/>
      <c r="D158" s="34"/>
      <c r="E158" s="34"/>
      <c r="F158" s="35"/>
      <c r="G158" s="18"/>
      <c r="H158" s="1"/>
    </row>
    <row r="159" spans="1:8" x14ac:dyDescent="0.25">
      <c r="A159" s="34"/>
      <c r="B159" s="19"/>
      <c r="C159" s="18"/>
      <c r="D159" s="34"/>
      <c r="E159" s="34"/>
      <c r="F159" s="35"/>
      <c r="G159" s="18"/>
      <c r="H159" s="1"/>
    </row>
    <row r="160" spans="1:8" x14ac:dyDescent="0.25">
      <c r="A160" s="34"/>
      <c r="B160" s="19"/>
      <c r="C160" s="18"/>
      <c r="D160" s="34"/>
      <c r="E160" s="34"/>
      <c r="F160" s="35"/>
      <c r="G160" s="18"/>
      <c r="H160" s="1"/>
    </row>
    <row r="161" spans="1:8" x14ac:dyDescent="0.25">
      <c r="A161" s="34"/>
      <c r="B161" s="19"/>
      <c r="C161" s="18"/>
      <c r="D161" s="34"/>
      <c r="E161" s="34"/>
      <c r="F161" s="35"/>
      <c r="G161" s="18"/>
      <c r="H161" s="1"/>
    </row>
    <row r="162" spans="1:8" x14ac:dyDescent="0.25">
      <c r="A162" s="34"/>
      <c r="B162" s="19"/>
      <c r="C162" s="18"/>
      <c r="D162" s="34"/>
      <c r="E162" s="34"/>
      <c r="F162" s="35"/>
      <c r="G162" s="18"/>
      <c r="H162" s="1"/>
    </row>
    <row r="163" spans="1:8" x14ac:dyDescent="0.25">
      <c r="A163" s="34"/>
      <c r="B163" s="19"/>
      <c r="C163" s="18"/>
      <c r="D163" s="34"/>
      <c r="E163" s="34"/>
      <c r="F163" s="35"/>
      <c r="G163" s="18"/>
      <c r="H163" s="1"/>
    </row>
    <row r="164" spans="1:8" x14ac:dyDescent="0.25">
      <c r="A164" s="34"/>
      <c r="B164" s="19"/>
      <c r="C164" s="19"/>
      <c r="D164" s="34"/>
      <c r="E164" s="34"/>
      <c r="F164" s="35"/>
      <c r="G164" s="18"/>
      <c r="H164" s="1"/>
    </row>
    <row r="165" spans="1:8" x14ac:dyDescent="0.25">
      <c r="A165" s="34"/>
      <c r="B165" s="19"/>
      <c r="C165" s="18"/>
      <c r="D165" s="34"/>
      <c r="E165" s="34"/>
      <c r="F165" s="35"/>
      <c r="G165" s="18"/>
      <c r="H165" s="1"/>
    </row>
    <row r="166" spans="1:8" x14ac:dyDescent="0.25">
      <c r="A166" s="34"/>
      <c r="B166" s="19"/>
      <c r="C166" s="18"/>
      <c r="D166" s="34"/>
      <c r="E166" s="34"/>
      <c r="F166" s="35"/>
      <c r="G166" s="18"/>
      <c r="H166" s="1"/>
    </row>
    <row r="167" spans="1:8" x14ac:dyDescent="0.25">
      <c r="A167" s="34"/>
      <c r="B167" s="19"/>
      <c r="C167" s="18"/>
      <c r="D167" s="34"/>
      <c r="E167" s="34"/>
      <c r="F167" s="35"/>
      <c r="G167" s="18"/>
      <c r="H167" s="1"/>
    </row>
    <row r="168" spans="1:8" x14ac:dyDescent="0.25">
      <c r="A168" s="34"/>
      <c r="B168" s="19"/>
      <c r="C168" s="18"/>
      <c r="D168" s="34"/>
      <c r="E168" s="34"/>
      <c r="F168" s="35"/>
      <c r="G168" s="18"/>
      <c r="H168" s="1"/>
    </row>
    <row r="169" spans="1:8" x14ac:dyDescent="0.25">
      <c r="A169" s="34"/>
      <c r="B169" s="19"/>
      <c r="C169" s="18"/>
      <c r="D169" s="34"/>
      <c r="E169" s="34"/>
      <c r="F169" s="35"/>
      <c r="G169" s="18"/>
      <c r="H169" s="1"/>
    </row>
    <row r="170" spans="1:8" x14ac:dyDescent="0.25">
      <c r="A170" s="34"/>
      <c r="B170" s="19"/>
      <c r="C170" s="18"/>
      <c r="D170" s="34"/>
      <c r="E170" s="34"/>
      <c r="F170" s="35"/>
      <c r="G170" s="18"/>
      <c r="H170" s="1"/>
    </row>
    <row r="171" spans="1:8" x14ac:dyDescent="0.25">
      <c r="A171" s="34"/>
      <c r="B171" s="19"/>
      <c r="C171" s="18"/>
      <c r="D171" s="34"/>
      <c r="E171" s="34"/>
      <c r="F171" s="35"/>
      <c r="G171" s="18"/>
      <c r="H171" s="1"/>
    </row>
    <row r="172" spans="1:8" x14ac:dyDescent="0.25">
      <c r="A172" s="34"/>
      <c r="B172" s="19"/>
      <c r="C172" s="18"/>
      <c r="D172" s="34"/>
      <c r="E172" s="34"/>
      <c r="F172" s="35"/>
      <c r="G172" s="18"/>
      <c r="H172" s="1"/>
    </row>
    <row r="173" spans="1:8" x14ac:dyDescent="0.25">
      <c r="A173" s="34"/>
      <c r="B173" s="19"/>
      <c r="C173" s="18"/>
      <c r="D173" s="34"/>
      <c r="E173" s="34"/>
      <c r="F173" s="35"/>
      <c r="G173" s="18"/>
      <c r="H173" s="1"/>
    </row>
    <row r="174" spans="1:8" x14ac:dyDescent="0.25">
      <c r="A174" s="34"/>
      <c r="B174" s="19"/>
      <c r="C174" s="18"/>
      <c r="D174" s="34"/>
      <c r="E174" s="34"/>
      <c r="F174" s="35"/>
      <c r="G174" s="18"/>
      <c r="H174" s="1"/>
    </row>
    <row r="175" spans="1:8" x14ac:dyDescent="0.25">
      <c r="A175" s="34"/>
      <c r="B175" s="19"/>
      <c r="C175" s="18"/>
      <c r="D175" s="34"/>
      <c r="E175" s="34"/>
      <c r="F175" s="35"/>
      <c r="G175" s="18"/>
      <c r="H175" s="1"/>
    </row>
    <row r="176" spans="1:8" x14ac:dyDescent="0.25">
      <c r="A176" s="34"/>
      <c r="B176" s="19"/>
      <c r="C176" s="18"/>
      <c r="D176" s="34"/>
      <c r="E176" s="34"/>
      <c r="F176" s="35"/>
      <c r="G176" s="18"/>
      <c r="H176" s="1"/>
    </row>
    <row r="177" spans="1:8" x14ac:dyDescent="0.25">
      <c r="A177" s="34"/>
      <c r="B177" s="19"/>
      <c r="C177" s="18"/>
      <c r="D177" s="34"/>
      <c r="E177" s="34"/>
      <c r="F177" s="35"/>
      <c r="G177" s="18"/>
      <c r="H177" s="1"/>
    </row>
    <row r="178" spans="1:8" x14ac:dyDescent="0.25">
      <c r="A178" s="34"/>
      <c r="B178" s="19"/>
      <c r="C178" s="18"/>
      <c r="D178" s="34"/>
      <c r="E178" s="34"/>
      <c r="F178" s="35"/>
      <c r="G178" s="18"/>
      <c r="H178" s="1"/>
    </row>
    <row r="179" spans="1:8" x14ac:dyDescent="0.25">
      <c r="A179" s="34"/>
      <c r="B179" s="19"/>
      <c r="C179" s="18"/>
      <c r="D179" s="34"/>
      <c r="E179" s="34"/>
      <c r="F179" s="35"/>
      <c r="G179" s="18"/>
      <c r="H179" s="1"/>
    </row>
    <row r="180" spans="1:8" x14ac:dyDescent="0.25">
      <c r="A180" s="34"/>
      <c r="B180" s="19"/>
      <c r="C180" s="18"/>
      <c r="D180" s="34"/>
      <c r="E180" s="34"/>
      <c r="F180" s="35"/>
      <c r="G180" s="18"/>
      <c r="H180" s="1"/>
    </row>
    <row r="181" spans="1:8" x14ac:dyDescent="0.25">
      <c r="A181" s="34"/>
      <c r="B181" s="19"/>
      <c r="C181" s="18"/>
      <c r="D181" s="34"/>
      <c r="E181" s="34"/>
      <c r="F181" s="35"/>
      <c r="G181" s="18"/>
      <c r="H181" s="1"/>
    </row>
    <row r="182" spans="1:8" x14ac:dyDescent="0.25">
      <c r="A182" s="34"/>
      <c r="B182" s="19"/>
      <c r="C182" s="18"/>
      <c r="D182" s="34"/>
      <c r="E182" s="34"/>
      <c r="F182" s="35"/>
      <c r="G182" s="18"/>
      <c r="H182" s="1"/>
    </row>
    <row r="183" spans="1:8" x14ac:dyDescent="0.25">
      <c r="A183" s="34"/>
      <c r="B183" s="19"/>
      <c r="C183" s="18"/>
      <c r="D183" s="34"/>
      <c r="E183" s="34"/>
      <c r="F183" s="35"/>
      <c r="G183" s="18"/>
      <c r="H183" s="1"/>
    </row>
    <row r="184" spans="1:8" x14ac:dyDescent="0.25">
      <c r="A184" s="34"/>
      <c r="B184" s="19"/>
      <c r="C184" s="18"/>
      <c r="D184" s="34"/>
      <c r="E184" s="34"/>
      <c r="F184" s="35"/>
      <c r="G184" s="18"/>
      <c r="H184" s="1"/>
    </row>
    <row r="185" spans="1:8" x14ac:dyDescent="0.25">
      <c r="A185" s="34"/>
      <c r="B185" s="19"/>
      <c r="C185" s="18"/>
      <c r="D185" s="34"/>
      <c r="E185" s="34"/>
      <c r="F185" s="35"/>
      <c r="G185" s="18"/>
      <c r="H185" s="1"/>
    </row>
    <row r="186" spans="1:8" x14ac:dyDescent="0.25">
      <c r="A186" s="34"/>
      <c r="B186" s="19"/>
      <c r="C186" s="18"/>
      <c r="D186" s="34"/>
      <c r="E186" s="34"/>
      <c r="F186" s="35"/>
      <c r="G186" s="18"/>
      <c r="H186" s="1"/>
    </row>
    <row r="187" spans="1:8" x14ac:dyDescent="0.25">
      <c r="A187" s="34"/>
      <c r="B187" s="19"/>
      <c r="C187" s="18"/>
      <c r="D187" s="34"/>
      <c r="E187" s="34"/>
      <c r="F187" s="35"/>
      <c r="G187" s="18"/>
      <c r="H187" s="1"/>
    </row>
    <row r="188" spans="1:8" x14ac:dyDescent="0.25">
      <c r="A188" s="34"/>
      <c r="B188" s="19"/>
      <c r="C188" s="18"/>
      <c r="D188" s="34"/>
      <c r="E188" s="34"/>
      <c r="F188" s="35"/>
      <c r="G188" s="18"/>
      <c r="H188" s="1"/>
    </row>
    <row r="189" spans="1:8" x14ac:dyDescent="0.25">
      <c r="A189" s="34"/>
      <c r="B189" s="19"/>
      <c r="C189" s="18"/>
      <c r="D189" s="34"/>
      <c r="E189" s="34"/>
      <c r="F189" s="35"/>
      <c r="G189" s="18"/>
      <c r="H189" s="1"/>
    </row>
    <row r="190" spans="1:8" x14ac:dyDescent="0.25">
      <c r="A190" s="34"/>
      <c r="B190" s="19"/>
      <c r="C190" s="18"/>
      <c r="D190" s="34"/>
      <c r="E190" s="34"/>
      <c r="F190" s="35"/>
      <c r="G190" s="18"/>
      <c r="H190" s="1"/>
    </row>
    <row r="191" spans="1:8" x14ac:dyDescent="0.25">
      <c r="A191" s="34"/>
      <c r="B191" s="19"/>
      <c r="C191" s="18"/>
      <c r="D191" s="34"/>
      <c r="E191" s="34"/>
      <c r="F191" s="35"/>
      <c r="G191" s="18"/>
      <c r="H191" s="1"/>
    </row>
    <row r="192" spans="1:8" x14ac:dyDescent="0.25">
      <c r="A192" s="34"/>
      <c r="B192" s="19"/>
      <c r="C192" s="18"/>
      <c r="D192" s="34"/>
      <c r="E192" s="34"/>
      <c r="F192" s="35"/>
      <c r="G192" s="18"/>
      <c r="H192" s="1"/>
    </row>
    <row r="193" spans="1:8" x14ac:dyDescent="0.25">
      <c r="A193" s="34"/>
      <c r="B193" s="19"/>
      <c r="C193" s="18"/>
      <c r="D193" s="34"/>
      <c r="E193" s="34"/>
      <c r="F193" s="35"/>
      <c r="G193" s="18"/>
      <c r="H193" s="1"/>
    </row>
    <row r="194" spans="1:8" x14ac:dyDescent="0.25">
      <c r="A194" s="34"/>
      <c r="B194" s="19"/>
      <c r="C194" s="18"/>
      <c r="D194" s="34"/>
      <c r="E194" s="34"/>
      <c r="F194" s="35"/>
      <c r="G194" s="18"/>
      <c r="H194" s="1"/>
    </row>
    <row r="195" spans="1:8" x14ac:dyDescent="0.25">
      <c r="A195" s="34"/>
      <c r="B195" s="19"/>
      <c r="C195" s="18"/>
      <c r="D195" s="34"/>
      <c r="E195" s="34"/>
      <c r="F195" s="35"/>
      <c r="G195" s="18"/>
      <c r="H195" s="1"/>
    </row>
    <row r="196" spans="1:8" x14ac:dyDescent="0.25">
      <c r="A196" s="34"/>
      <c r="B196" s="19"/>
      <c r="C196" s="18"/>
      <c r="D196" s="34"/>
      <c r="E196" s="34"/>
      <c r="F196" s="35"/>
      <c r="G196" s="18"/>
      <c r="H196" s="1"/>
    </row>
    <row r="197" spans="1:8" x14ac:dyDescent="0.25">
      <c r="A197" s="34"/>
      <c r="B197" s="19"/>
      <c r="C197" s="18"/>
      <c r="D197" s="34"/>
      <c r="E197" s="34"/>
      <c r="F197" s="35"/>
      <c r="G197" s="18"/>
      <c r="H197" s="1"/>
    </row>
    <row r="198" spans="1:8" x14ac:dyDescent="0.25">
      <c r="A198" s="34"/>
      <c r="B198" s="19"/>
      <c r="C198" s="18"/>
      <c r="D198" s="34"/>
      <c r="E198" s="34"/>
      <c r="F198" s="35"/>
      <c r="G198" s="18"/>
      <c r="H198" s="1"/>
    </row>
    <row r="199" spans="1:8" x14ac:dyDescent="0.25">
      <c r="A199" s="34"/>
      <c r="B199" s="19"/>
      <c r="C199" s="18"/>
      <c r="D199" s="34"/>
      <c r="E199" s="34"/>
      <c r="F199" s="35"/>
      <c r="G199" s="18"/>
      <c r="H199" s="1"/>
    </row>
    <row r="200" spans="1:8" x14ac:dyDescent="0.25">
      <c r="A200" s="34"/>
      <c r="B200" s="19"/>
      <c r="C200" s="18"/>
      <c r="D200" s="34"/>
      <c r="E200" s="34"/>
      <c r="F200" s="35"/>
      <c r="G200" s="18"/>
      <c r="H200" s="36"/>
    </row>
    <row r="201" spans="1:8" x14ac:dyDescent="0.25">
      <c r="A201" s="34"/>
      <c r="B201" s="19"/>
      <c r="C201" s="18"/>
      <c r="D201" s="34"/>
      <c r="E201" s="34"/>
      <c r="F201" s="35"/>
      <c r="G201" s="18"/>
      <c r="H201" s="1"/>
    </row>
    <row r="202" spans="1:8" x14ac:dyDescent="0.25">
      <c r="A202" s="34"/>
      <c r="B202" s="19"/>
      <c r="C202" s="18"/>
      <c r="D202" s="34"/>
      <c r="E202" s="34"/>
      <c r="F202" s="35"/>
      <c r="G202" s="18"/>
      <c r="H202" s="1"/>
    </row>
    <row r="203" spans="1:8" x14ac:dyDescent="0.25">
      <c r="A203" s="34"/>
      <c r="B203" s="19"/>
      <c r="C203" s="18"/>
      <c r="D203" s="34"/>
      <c r="E203" s="34"/>
      <c r="F203" s="35"/>
      <c r="G203" s="18"/>
      <c r="H203" s="1"/>
    </row>
    <row r="204" spans="1:8" x14ac:dyDescent="0.25">
      <c r="A204" s="34"/>
      <c r="B204" s="19"/>
      <c r="C204" s="18"/>
      <c r="D204" s="34"/>
      <c r="E204" s="34"/>
      <c r="F204" s="35"/>
      <c r="G204" s="18"/>
      <c r="H204" s="1"/>
    </row>
    <row r="205" spans="1:8" x14ac:dyDescent="0.25">
      <c r="A205" s="34"/>
      <c r="B205" s="19"/>
      <c r="C205" s="18"/>
      <c r="D205" s="34"/>
      <c r="E205" s="34"/>
      <c r="F205" s="35"/>
      <c r="G205" s="18"/>
      <c r="H205" s="1"/>
    </row>
    <row r="206" spans="1:8" x14ac:dyDescent="0.25">
      <c r="A206" s="34"/>
      <c r="B206" s="19"/>
      <c r="C206" s="18"/>
      <c r="D206" s="34"/>
      <c r="E206" s="34"/>
      <c r="F206" s="35"/>
      <c r="G206" s="18"/>
      <c r="H206" s="36"/>
    </row>
    <row r="207" spans="1:8" x14ac:dyDescent="0.25">
      <c r="A207" s="34"/>
      <c r="B207" s="19"/>
      <c r="C207" s="18"/>
      <c r="D207" s="34"/>
      <c r="E207" s="34"/>
      <c r="F207" s="35"/>
      <c r="G207" s="18"/>
      <c r="H207" s="1"/>
    </row>
    <row r="208" spans="1:8" x14ac:dyDescent="0.25">
      <c r="A208" s="34"/>
      <c r="B208" s="19"/>
      <c r="C208" s="18"/>
      <c r="D208" s="34"/>
      <c r="E208" s="34"/>
      <c r="F208" s="35"/>
      <c r="G208" s="18"/>
      <c r="H208" s="1"/>
    </row>
    <row r="209" spans="1:8" x14ac:dyDescent="0.25">
      <c r="A209" s="34"/>
      <c r="B209" s="19"/>
      <c r="C209" s="18"/>
      <c r="D209" s="34"/>
      <c r="E209" s="34"/>
      <c r="F209" s="35"/>
      <c r="G209" s="18"/>
      <c r="H209" s="1"/>
    </row>
    <row r="210" spans="1:8" x14ac:dyDescent="0.25">
      <c r="A210" s="34"/>
      <c r="B210" s="19"/>
      <c r="C210" s="18"/>
      <c r="D210" s="34"/>
      <c r="E210" s="34"/>
      <c r="F210" s="35"/>
      <c r="G210" s="18"/>
      <c r="H210" s="1"/>
    </row>
    <row r="211" spans="1:8" x14ac:dyDescent="0.25">
      <c r="A211" s="34"/>
      <c r="B211" s="19"/>
      <c r="C211" s="18"/>
      <c r="D211" s="34"/>
      <c r="E211" s="34"/>
      <c r="F211" s="35"/>
      <c r="G211" s="18"/>
      <c r="H211" s="1"/>
    </row>
    <row r="212" spans="1:8" x14ac:dyDescent="0.25">
      <c r="A212" s="34"/>
      <c r="B212" s="19"/>
      <c r="C212" s="18"/>
      <c r="D212" s="34"/>
      <c r="E212" s="34"/>
      <c r="F212" s="35"/>
      <c r="G212" s="18"/>
      <c r="H212" s="1"/>
    </row>
    <row r="213" spans="1:8" x14ac:dyDescent="0.25">
      <c r="A213" s="34"/>
      <c r="B213" s="19"/>
      <c r="C213" s="18"/>
      <c r="D213" s="34"/>
      <c r="E213" s="34"/>
      <c r="F213" s="35"/>
      <c r="G213" s="18"/>
      <c r="H213" s="1"/>
    </row>
    <row r="214" spans="1:8" x14ac:dyDescent="0.25">
      <c r="A214" s="34"/>
      <c r="B214" s="19"/>
      <c r="C214" s="18"/>
      <c r="D214" s="34"/>
      <c r="E214" s="34"/>
      <c r="F214" s="35"/>
      <c r="G214" s="18"/>
      <c r="H214" s="1"/>
    </row>
    <row r="215" spans="1:8" x14ac:dyDescent="0.25">
      <c r="A215" s="34"/>
      <c r="B215" s="19"/>
      <c r="C215" s="18"/>
      <c r="D215" s="34"/>
      <c r="E215" s="34"/>
      <c r="F215" s="35"/>
      <c r="G215" s="18"/>
      <c r="H215" s="1"/>
    </row>
    <row r="216" spans="1:8" x14ac:dyDescent="0.25">
      <c r="A216" s="34"/>
      <c r="B216" s="19"/>
      <c r="C216" s="18"/>
      <c r="D216" s="34"/>
      <c r="E216" s="34"/>
      <c r="F216" s="35"/>
      <c r="G216" s="18"/>
      <c r="H216" s="1"/>
    </row>
    <row r="217" spans="1:8" x14ac:dyDescent="0.25">
      <c r="A217" s="34"/>
      <c r="B217" s="19"/>
      <c r="C217" s="18"/>
      <c r="D217" s="34"/>
      <c r="E217" s="34"/>
      <c r="F217" s="35"/>
      <c r="G217" s="18"/>
      <c r="H217" s="1"/>
    </row>
    <row r="218" spans="1:8" x14ac:dyDescent="0.25">
      <c r="A218" s="34"/>
      <c r="B218" s="19"/>
      <c r="C218" s="18"/>
      <c r="D218" s="34"/>
      <c r="E218" s="34"/>
      <c r="F218" s="35"/>
      <c r="G218" s="18"/>
      <c r="H218" s="1"/>
    </row>
    <row r="219" spans="1:8" x14ac:dyDescent="0.25">
      <c r="A219" s="34"/>
      <c r="B219" s="19"/>
      <c r="C219" s="18"/>
      <c r="D219" s="34"/>
      <c r="E219" s="34"/>
      <c r="F219" s="35"/>
      <c r="G219" s="18"/>
      <c r="H219" s="1"/>
    </row>
    <row r="220" spans="1:8" x14ac:dyDescent="0.25">
      <c r="A220" s="34"/>
      <c r="B220" s="19"/>
      <c r="C220" s="18"/>
      <c r="D220" s="34"/>
      <c r="E220" s="34"/>
      <c r="F220" s="35"/>
      <c r="G220" s="18"/>
      <c r="H220" s="1"/>
    </row>
    <row r="221" spans="1:8" x14ac:dyDescent="0.25">
      <c r="A221" s="34"/>
      <c r="B221" s="19"/>
      <c r="C221" s="18"/>
      <c r="D221" s="34"/>
      <c r="E221" s="34"/>
      <c r="F221" s="35"/>
      <c r="G221" s="18"/>
      <c r="H221" s="1"/>
    </row>
    <row r="222" spans="1:8" x14ac:dyDescent="0.25">
      <c r="A222" s="34"/>
      <c r="B222" s="19"/>
      <c r="C222" s="18"/>
      <c r="D222" s="34"/>
      <c r="E222" s="34"/>
      <c r="F222" s="35"/>
      <c r="G222" s="34"/>
      <c r="H222" s="1"/>
    </row>
    <row r="223" spans="1:8" x14ac:dyDescent="0.25">
      <c r="A223" s="34"/>
      <c r="B223" s="19"/>
      <c r="C223" s="18"/>
      <c r="D223" s="34"/>
      <c r="E223" s="34"/>
      <c r="F223" s="35"/>
      <c r="G223" s="34"/>
      <c r="H223" s="1"/>
    </row>
    <row r="224" spans="1:8" x14ac:dyDescent="0.25">
      <c r="A224" s="34"/>
      <c r="B224" s="19"/>
      <c r="C224" s="18"/>
      <c r="D224" s="34"/>
      <c r="E224" s="34"/>
      <c r="F224" s="35"/>
      <c r="G224" s="34"/>
      <c r="H224" s="1"/>
    </row>
    <row r="225" spans="1:8" x14ac:dyDescent="0.25">
      <c r="A225" s="34"/>
      <c r="B225" s="19"/>
      <c r="C225" s="18"/>
      <c r="D225" s="34"/>
      <c r="E225" s="34"/>
      <c r="F225" s="35"/>
      <c r="G225" s="34"/>
      <c r="H225" s="1"/>
    </row>
    <row r="226" spans="1:8" x14ac:dyDescent="0.25">
      <c r="A226" s="34"/>
      <c r="B226" s="19"/>
      <c r="C226" s="18"/>
      <c r="D226" s="34"/>
      <c r="E226" s="34"/>
      <c r="F226" s="35"/>
      <c r="G226" s="34"/>
      <c r="H226" s="1"/>
    </row>
    <row r="227" spans="1:8" x14ac:dyDescent="0.25">
      <c r="A227" s="34"/>
      <c r="B227" s="19"/>
      <c r="C227" s="18"/>
      <c r="D227" s="34"/>
      <c r="E227" s="34"/>
      <c r="F227" s="35"/>
      <c r="G227" s="34"/>
      <c r="H227" s="1"/>
    </row>
    <row r="228" spans="1:8" x14ac:dyDescent="0.25">
      <c r="A228" s="34"/>
      <c r="B228" s="19"/>
      <c r="C228" s="18"/>
      <c r="D228" s="34"/>
      <c r="E228" s="34"/>
      <c r="F228" s="35"/>
      <c r="G228" s="34"/>
      <c r="H228" s="1"/>
    </row>
    <row r="229" spans="1:8" x14ac:dyDescent="0.25">
      <c r="A229" s="34"/>
      <c r="B229" s="19"/>
      <c r="C229" s="18"/>
      <c r="D229" s="34"/>
      <c r="E229" s="34"/>
      <c r="F229" s="35"/>
      <c r="G229" s="18"/>
      <c r="H229" s="36"/>
    </row>
    <row r="230" spans="1:8" x14ac:dyDescent="0.25">
      <c r="A230" s="34"/>
      <c r="B230" s="19"/>
      <c r="C230" s="18"/>
      <c r="D230" s="34"/>
      <c r="E230" s="34"/>
      <c r="F230" s="35"/>
      <c r="G230" s="18"/>
      <c r="H230" s="1"/>
    </row>
    <row r="231" spans="1:8" x14ac:dyDescent="0.25">
      <c r="A231" s="34"/>
      <c r="B231" s="19"/>
      <c r="C231" s="18"/>
      <c r="D231" s="34"/>
      <c r="E231" s="34"/>
      <c r="F231" s="35"/>
      <c r="G231" s="18"/>
      <c r="H231" s="1"/>
    </row>
    <row r="232" spans="1:8" x14ac:dyDescent="0.25">
      <c r="A232" s="34"/>
      <c r="B232" s="19"/>
      <c r="C232" s="18"/>
      <c r="D232" s="34"/>
      <c r="E232" s="34"/>
      <c r="F232" s="35"/>
      <c r="G232" s="18"/>
      <c r="H232" s="1"/>
    </row>
    <row r="233" spans="1:8" x14ac:dyDescent="0.25">
      <c r="A233" s="34"/>
      <c r="B233" s="19"/>
      <c r="C233" s="18"/>
      <c r="D233" s="34"/>
      <c r="E233" s="34"/>
      <c r="F233" s="35"/>
      <c r="G233" s="18"/>
      <c r="H233" s="1"/>
    </row>
    <row r="234" spans="1:8" x14ac:dyDescent="0.25">
      <c r="A234" s="34"/>
      <c r="B234" s="19"/>
      <c r="C234" s="18"/>
      <c r="D234" s="34"/>
      <c r="E234" s="34"/>
      <c r="F234" s="35"/>
      <c r="G234" s="18"/>
      <c r="H234" s="1"/>
    </row>
    <row r="235" spans="1:8" x14ac:dyDescent="0.25">
      <c r="A235" s="34"/>
      <c r="B235" s="19"/>
      <c r="C235" s="18"/>
      <c r="D235" s="34"/>
      <c r="E235" s="34"/>
      <c r="F235" s="35"/>
      <c r="G235" s="18"/>
      <c r="H235" s="1"/>
    </row>
    <row r="236" spans="1:8" x14ac:dyDescent="0.25">
      <c r="A236" s="34"/>
      <c r="B236" s="19"/>
      <c r="C236" s="18"/>
      <c r="D236" s="34"/>
      <c r="E236" s="34"/>
      <c r="F236" s="35"/>
      <c r="G236" s="18"/>
      <c r="H236" s="1"/>
    </row>
    <row r="237" spans="1:8" x14ac:dyDescent="0.25">
      <c r="A237" s="34"/>
      <c r="B237" s="19"/>
      <c r="C237" s="18"/>
      <c r="D237" s="34"/>
      <c r="E237" s="34"/>
      <c r="F237" s="35"/>
      <c r="G237" s="18"/>
      <c r="H237" s="1"/>
    </row>
    <row r="238" spans="1:8" x14ac:dyDescent="0.25">
      <c r="A238" s="34"/>
      <c r="B238" s="19"/>
      <c r="C238" s="18"/>
      <c r="D238" s="34"/>
      <c r="E238" s="34"/>
      <c r="F238" s="35"/>
      <c r="G238" s="18"/>
      <c r="H238" s="1"/>
    </row>
    <row r="239" spans="1:8" x14ac:dyDescent="0.25">
      <c r="A239" s="18"/>
      <c r="B239" s="19"/>
      <c r="C239" s="18"/>
      <c r="D239" s="34"/>
      <c r="E239" s="34"/>
      <c r="F239" s="35"/>
      <c r="G239" s="18"/>
      <c r="H239" s="1"/>
    </row>
    <row r="240" spans="1:8" x14ac:dyDescent="0.25">
      <c r="A240" s="34"/>
      <c r="B240" s="19"/>
      <c r="C240" s="18"/>
      <c r="D240" s="34"/>
      <c r="E240" s="34"/>
      <c r="F240" s="35"/>
      <c r="G240" s="18"/>
      <c r="H240" s="1"/>
    </row>
    <row r="241" spans="1:8" x14ac:dyDescent="0.25">
      <c r="A241" s="34"/>
      <c r="B241" s="19"/>
      <c r="C241" s="18"/>
      <c r="D241" s="34"/>
      <c r="E241" s="34"/>
      <c r="F241" s="35"/>
      <c r="G241" s="18"/>
      <c r="H241" s="1"/>
    </row>
    <row r="242" spans="1:8" x14ac:dyDescent="0.25">
      <c r="A242" s="34"/>
      <c r="B242" s="19"/>
      <c r="C242" s="18"/>
      <c r="D242" s="34"/>
      <c r="E242" s="34"/>
      <c r="F242" s="35"/>
      <c r="G242" s="18"/>
      <c r="H242" s="1"/>
    </row>
    <row r="243" spans="1:8" x14ac:dyDescent="0.25">
      <c r="A243" s="34"/>
      <c r="B243" s="19"/>
      <c r="C243" s="19"/>
      <c r="D243" s="34"/>
      <c r="E243" s="34"/>
      <c r="F243" s="35"/>
      <c r="G243" s="18"/>
      <c r="H243" s="1"/>
    </row>
    <row r="244" spans="1:8" x14ac:dyDescent="0.25">
      <c r="A244" s="34"/>
      <c r="B244" s="19"/>
      <c r="C244" s="18"/>
      <c r="D244" s="34"/>
      <c r="E244" s="34"/>
      <c r="F244" s="35"/>
      <c r="G244" s="18"/>
      <c r="H244" s="1"/>
    </row>
    <row r="245" spans="1:8" x14ac:dyDescent="0.25">
      <c r="A245" s="34"/>
      <c r="B245" s="19"/>
      <c r="C245" s="18"/>
      <c r="D245" s="34"/>
      <c r="E245" s="34"/>
      <c r="F245" s="35"/>
      <c r="G245" s="18"/>
      <c r="H245" s="1"/>
    </row>
    <row r="246" spans="1:8" x14ac:dyDescent="0.25">
      <c r="A246" s="34"/>
      <c r="B246" s="19"/>
      <c r="C246" s="18"/>
      <c r="D246" s="34"/>
      <c r="E246" s="34"/>
      <c r="F246" s="35"/>
      <c r="G246" s="18"/>
      <c r="H246" s="1"/>
    </row>
    <row r="247" spans="1:8" x14ac:dyDescent="0.25">
      <c r="A247" s="34"/>
      <c r="B247" s="19"/>
      <c r="C247" s="18"/>
      <c r="D247" s="34"/>
      <c r="E247" s="34"/>
      <c r="F247" s="35"/>
      <c r="G247" s="18"/>
      <c r="H247" s="1"/>
    </row>
    <row r="248" spans="1:8" x14ac:dyDescent="0.25">
      <c r="A248" s="34"/>
      <c r="B248" s="19"/>
      <c r="C248" s="18"/>
      <c r="D248" s="34"/>
      <c r="E248" s="34"/>
      <c r="F248" s="35"/>
      <c r="G248" s="18"/>
      <c r="H248" s="1"/>
    </row>
    <row r="249" spans="1:8" x14ac:dyDescent="0.25">
      <c r="A249" s="34"/>
      <c r="B249" s="19"/>
      <c r="C249" s="18"/>
      <c r="D249" s="34"/>
      <c r="E249" s="34"/>
      <c r="F249" s="35"/>
      <c r="G249" s="18"/>
      <c r="H249" s="1"/>
    </row>
    <row r="250" spans="1:8" x14ac:dyDescent="0.25">
      <c r="A250" s="34"/>
      <c r="B250" s="19"/>
      <c r="C250" s="18"/>
      <c r="D250" s="34"/>
      <c r="E250" s="34"/>
      <c r="F250" s="35"/>
      <c r="G250" s="18"/>
      <c r="H250" s="1"/>
    </row>
    <row r="251" spans="1:8" x14ac:dyDescent="0.25">
      <c r="A251" s="34"/>
      <c r="B251" s="19"/>
      <c r="C251" s="18"/>
      <c r="D251" s="34"/>
      <c r="E251" s="34"/>
      <c r="F251" s="35"/>
      <c r="G251" s="18"/>
      <c r="H251" s="1"/>
    </row>
    <row r="252" spans="1:8" x14ac:dyDescent="0.25">
      <c r="A252" s="34"/>
      <c r="B252" s="19"/>
      <c r="C252" s="18"/>
      <c r="D252" s="34"/>
      <c r="E252" s="34"/>
      <c r="F252" s="35"/>
      <c r="G252" s="18"/>
      <c r="H252" s="1"/>
    </row>
    <row r="253" spans="1:8" x14ac:dyDescent="0.25">
      <c r="A253" s="34"/>
      <c r="B253" s="19"/>
      <c r="C253" s="18"/>
      <c r="D253" s="34"/>
      <c r="E253" s="34"/>
      <c r="F253" s="35"/>
      <c r="G253" s="18"/>
      <c r="H253" s="1"/>
    </row>
    <row r="254" spans="1:8" x14ac:dyDescent="0.25">
      <c r="A254" s="34"/>
      <c r="B254" s="19"/>
      <c r="C254" s="18"/>
      <c r="D254" s="34"/>
      <c r="E254" s="34"/>
      <c r="F254" s="35"/>
      <c r="G254" s="18"/>
      <c r="H254" s="1"/>
    </row>
    <row r="255" spans="1:8" x14ac:dyDescent="0.25">
      <c r="A255" s="34"/>
      <c r="B255" s="19"/>
      <c r="C255" s="18"/>
      <c r="D255" s="34"/>
      <c r="E255" s="34"/>
      <c r="F255" s="35"/>
      <c r="G255" s="18"/>
      <c r="H255" s="1"/>
    </row>
    <row r="256" spans="1:8" x14ac:dyDescent="0.25">
      <c r="A256" s="34"/>
      <c r="B256" s="19"/>
      <c r="C256" s="18"/>
      <c r="D256" s="34"/>
      <c r="E256" s="34"/>
      <c r="F256" s="35"/>
      <c r="G256" s="18"/>
      <c r="H256" s="1"/>
    </row>
    <row r="257" spans="1:8" x14ac:dyDescent="0.25">
      <c r="A257" s="34"/>
      <c r="B257" s="19"/>
      <c r="C257" s="18"/>
      <c r="D257" s="34"/>
      <c r="E257" s="34"/>
      <c r="F257" s="35"/>
      <c r="G257" s="18"/>
      <c r="H257" s="1"/>
    </row>
    <row r="258" spans="1:8" x14ac:dyDescent="0.25">
      <c r="A258" s="34"/>
      <c r="B258" s="19"/>
      <c r="C258" s="18"/>
      <c r="D258" s="34"/>
      <c r="E258" s="34"/>
      <c r="F258" s="35"/>
      <c r="G258" s="18"/>
      <c r="H258" s="1"/>
    </row>
    <row r="259" spans="1:8" x14ac:dyDescent="0.25">
      <c r="A259" s="34"/>
      <c r="B259" s="19"/>
      <c r="C259" s="18"/>
      <c r="D259" s="34"/>
      <c r="E259" s="34"/>
      <c r="F259" s="35"/>
      <c r="G259" s="18"/>
      <c r="H259" s="1"/>
    </row>
    <row r="260" spans="1:8" x14ac:dyDescent="0.25">
      <c r="A260" s="34"/>
      <c r="B260" s="19"/>
      <c r="C260" s="18"/>
      <c r="D260" s="34"/>
      <c r="E260" s="34"/>
      <c r="F260" s="35"/>
      <c r="G260" s="18"/>
      <c r="H260" s="1"/>
    </row>
    <row r="261" spans="1:8" x14ac:dyDescent="0.25">
      <c r="A261" s="34"/>
      <c r="B261" s="19"/>
      <c r="C261" s="18"/>
      <c r="D261" s="34"/>
      <c r="E261" s="34"/>
      <c r="F261" s="35"/>
      <c r="G261" s="18"/>
      <c r="H261" s="1"/>
    </row>
    <row r="262" spans="1:8" x14ac:dyDescent="0.25">
      <c r="A262" s="34"/>
      <c r="B262" s="19"/>
      <c r="C262" s="18"/>
      <c r="D262" s="34"/>
      <c r="E262" s="34"/>
      <c r="F262" s="35"/>
      <c r="G262" s="18"/>
      <c r="H262" s="1"/>
    </row>
    <row r="263" spans="1:8" x14ac:dyDescent="0.25">
      <c r="A263" s="34"/>
      <c r="B263" s="19"/>
      <c r="C263" s="18"/>
      <c r="D263" s="34"/>
      <c r="E263" s="34"/>
      <c r="F263" s="35"/>
      <c r="G263" s="18"/>
      <c r="H263" s="1"/>
    </row>
    <row r="264" spans="1:8" x14ac:dyDescent="0.25">
      <c r="A264" s="34"/>
      <c r="B264" s="19"/>
      <c r="C264" s="18"/>
      <c r="D264" s="34"/>
      <c r="E264" s="34"/>
      <c r="F264" s="35"/>
      <c r="G264" s="18"/>
      <c r="H264" s="1"/>
    </row>
    <row r="265" spans="1:8" x14ac:dyDescent="0.25">
      <c r="A265" s="18"/>
      <c r="B265" s="19"/>
      <c r="C265" s="18"/>
      <c r="D265" s="34"/>
      <c r="E265" s="34"/>
      <c r="F265" s="35"/>
      <c r="G265" s="18"/>
      <c r="H265" s="1"/>
    </row>
    <row r="266" spans="1:8" x14ac:dyDescent="0.25">
      <c r="A266" s="34"/>
      <c r="B266" s="19"/>
      <c r="C266" s="19"/>
      <c r="D266" s="34"/>
      <c r="E266" s="34"/>
      <c r="F266" s="35"/>
      <c r="G266" s="18"/>
      <c r="H266" s="1"/>
    </row>
    <row r="267" spans="1:8" x14ac:dyDescent="0.25">
      <c r="A267" s="34"/>
      <c r="B267" s="19"/>
      <c r="C267" s="19"/>
      <c r="D267" s="34"/>
      <c r="E267" s="34"/>
      <c r="F267" s="35"/>
      <c r="G267" s="18"/>
      <c r="H267" s="1"/>
    </row>
    <row r="268" spans="1:8" x14ac:dyDescent="0.25">
      <c r="A268" s="34"/>
      <c r="B268" s="19"/>
      <c r="C268" s="18"/>
      <c r="D268" s="34"/>
      <c r="E268" s="34"/>
      <c r="F268" s="35"/>
      <c r="G268" s="18"/>
      <c r="H268" s="1"/>
    </row>
    <row r="269" spans="1:8" x14ac:dyDescent="0.25">
      <c r="A269" s="34"/>
      <c r="B269" s="19"/>
      <c r="C269" s="18"/>
      <c r="D269" s="34"/>
      <c r="E269" s="34"/>
      <c r="F269" s="35"/>
      <c r="G269" s="18"/>
      <c r="H269" s="1"/>
    </row>
    <row r="270" spans="1:8" x14ac:dyDescent="0.25">
      <c r="A270" s="34"/>
      <c r="B270" s="19"/>
      <c r="C270" s="18"/>
      <c r="D270" s="34"/>
      <c r="E270" s="34"/>
      <c r="F270" s="35"/>
      <c r="G270" s="18"/>
      <c r="H270" s="1"/>
    </row>
    <row r="271" spans="1:8" x14ac:dyDescent="0.25">
      <c r="A271" s="34"/>
      <c r="B271" s="19"/>
      <c r="C271" s="18"/>
      <c r="D271" s="34"/>
      <c r="E271" s="34"/>
      <c r="F271" s="35"/>
      <c r="G271" s="18"/>
      <c r="H271" s="1"/>
    </row>
    <row r="272" spans="1:8" x14ac:dyDescent="0.25">
      <c r="A272" s="34"/>
      <c r="B272" s="19"/>
      <c r="C272" s="18"/>
      <c r="D272" s="34"/>
      <c r="E272" s="34"/>
      <c r="F272" s="35"/>
      <c r="G272" s="18"/>
      <c r="H272" s="1"/>
    </row>
    <row r="273" spans="1:8" x14ac:dyDescent="0.25">
      <c r="A273" s="34"/>
      <c r="B273" s="19"/>
      <c r="C273" s="18"/>
      <c r="D273" s="34"/>
      <c r="E273" s="34"/>
      <c r="F273" s="35"/>
      <c r="G273" s="18"/>
      <c r="H273" s="1"/>
    </row>
    <row r="274" spans="1:8" x14ac:dyDescent="0.25">
      <c r="A274" s="34"/>
      <c r="B274" s="19"/>
      <c r="C274" s="19"/>
      <c r="D274" s="34"/>
      <c r="E274" s="34"/>
      <c r="F274" s="35"/>
      <c r="G274" s="18"/>
      <c r="H274" s="1"/>
    </row>
    <row r="275" spans="1:8" x14ac:dyDescent="0.25">
      <c r="A275" s="34"/>
      <c r="B275" s="19"/>
      <c r="C275" s="18"/>
      <c r="D275" s="34"/>
      <c r="E275" s="34"/>
      <c r="F275" s="35"/>
      <c r="G275" s="18"/>
      <c r="H275" s="1"/>
    </row>
    <row r="276" spans="1:8" x14ac:dyDescent="0.25">
      <c r="A276" s="34"/>
      <c r="B276" s="19"/>
      <c r="C276" s="18"/>
      <c r="D276" s="34"/>
      <c r="E276" s="34"/>
      <c r="F276" s="35"/>
      <c r="G276" s="18"/>
      <c r="H276" s="1"/>
    </row>
    <row r="277" spans="1:8" x14ac:dyDescent="0.25">
      <c r="A277" s="34"/>
      <c r="B277" s="19"/>
      <c r="C277" s="18"/>
      <c r="D277" s="34"/>
      <c r="E277" s="34"/>
      <c r="F277" s="35"/>
      <c r="G277" s="18"/>
      <c r="H277" s="1"/>
    </row>
    <row r="278" spans="1:8" x14ac:dyDescent="0.25">
      <c r="A278" s="34"/>
      <c r="B278" s="19"/>
      <c r="C278" s="18"/>
      <c r="D278" s="34"/>
      <c r="E278" s="34"/>
      <c r="F278" s="35"/>
      <c r="G278" s="18"/>
      <c r="H278" s="1"/>
    </row>
    <row r="279" spans="1:8" x14ac:dyDescent="0.25">
      <c r="A279" s="34"/>
      <c r="B279" s="19"/>
      <c r="C279" s="18"/>
      <c r="D279" s="34"/>
      <c r="E279" s="34"/>
      <c r="F279" s="35"/>
      <c r="G279" s="18"/>
      <c r="H279" s="1"/>
    </row>
    <row r="280" spans="1:8" x14ac:dyDescent="0.25">
      <c r="A280" s="34"/>
      <c r="B280" s="19"/>
      <c r="C280" s="18"/>
      <c r="D280" s="34"/>
      <c r="E280" s="34"/>
      <c r="F280" s="35"/>
      <c r="G280" s="18"/>
      <c r="H280" s="1"/>
    </row>
    <row r="281" spans="1:8" x14ac:dyDescent="0.25">
      <c r="A281" s="34"/>
      <c r="B281" s="19"/>
      <c r="C281" s="18"/>
      <c r="D281" s="34"/>
      <c r="E281" s="34"/>
      <c r="F281" s="35"/>
      <c r="G281" s="18"/>
      <c r="H281" s="1"/>
    </row>
    <row r="282" spans="1:8" x14ac:dyDescent="0.25">
      <c r="A282" s="18"/>
      <c r="B282" s="19"/>
      <c r="C282" s="19"/>
      <c r="D282" s="34"/>
      <c r="E282" s="34"/>
      <c r="F282" s="35"/>
      <c r="G282" s="18"/>
      <c r="H282" s="1"/>
    </row>
    <row r="283" spans="1:8" x14ac:dyDescent="0.25">
      <c r="A283" s="34"/>
      <c r="B283" s="19"/>
      <c r="C283" s="18"/>
      <c r="D283" s="34"/>
      <c r="E283" s="34"/>
      <c r="F283" s="35"/>
      <c r="G283" s="18"/>
      <c r="H283" s="1"/>
    </row>
    <row r="284" spans="1:8" x14ac:dyDescent="0.25">
      <c r="A284" s="34"/>
      <c r="B284" s="19"/>
      <c r="C284" s="18"/>
      <c r="D284" s="34"/>
      <c r="E284" s="34"/>
      <c r="F284" s="35"/>
      <c r="G284" s="18"/>
      <c r="H284" s="1"/>
    </row>
    <row r="285" spans="1:8" x14ac:dyDescent="0.25">
      <c r="A285" s="34"/>
      <c r="B285" s="19"/>
      <c r="C285" s="18"/>
      <c r="D285" s="34"/>
      <c r="E285" s="34"/>
      <c r="F285" s="35"/>
      <c r="G285" s="18"/>
      <c r="H285" s="1"/>
    </row>
    <row r="286" spans="1:8" x14ac:dyDescent="0.25">
      <c r="A286" s="34"/>
      <c r="B286" s="19"/>
      <c r="C286" s="18"/>
      <c r="D286" s="34"/>
      <c r="E286" s="34"/>
      <c r="F286" s="35"/>
      <c r="G286" s="18"/>
      <c r="H286" s="1"/>
    </row>
    <row r="287" spans="1:8" x14ac:dyDescent="0.25">
      <c r="A287" s="34"/>
      <c r="B287" s="19"/>
      <c r="C287" s="18"/>
      <c r="D287" s="34"/>
      <c r="E287" s="34"/>
      <c r="F287" s="35"/>
      <c r="G287" s="18"/>
      <c r="H287" s="1"/>
    </row>
    <row r="288" spans="1:8" x14ac:dyDescent="0.25">
      <c r="A288" s="34"/>
      <c r="B288" s="19"/>
      <c r="C288" s="18"/>
      <c r="D288" s="34"/>
      <c r="E288" s="34"/>
      <c r="F288" s="35"/>
      <c r="G288" s="18"/>
      <c r="H288" s="1"/>
    </row>
    <row r="289" spans="1:8" x14ac:dyDescent="0.25">
      <c r="A289" s="34"/>
      <c r="B289" s="19"/>
      <c r="C289" s="18"/>
      <c r="D289" s="34"/>
      <c r="E289" s="34"/>
      <c r="F289" s="35"/>
      <c r="G289" s="18"/>
      <c r="H289" s="1"/>
    </row>
    <row r="290" spans="1:8" x14ac:dyDescent="0.25">
      <c r="A290" s="34"/>
      <c r="B290" s="19"/>
      <c r="C290" s="18"/>
      <c r="D290" s="34"/>
      <c r="E290" s="34"/>
      <c r="F290" s="35"/>
      <c r="G290" s="18"/>
      <c r="H290" s="1"/>
    </row>
    <row r="291" spans="1:8" x14ac:dyDescent="0.25">
      <c r="A291" s="34"/>
      <c r="B291" s="19"/>
      <c r="C291" s="18"/>
      <c r="D291" s="34"/>
      <c r="E291" s="34"/>
      <c r="F291" s="35"/>
      <c r="G291" s="18"/>
      <c r="H291" s="1"/>
    </row>
    <row r="292" spans="1:8" x14ac:dyDescent="0.25">
      <c r="A292" s="34"/>
      <c r="B292" s="19"/>
      <c r="C292" s="18"/>
      <c r="D292" s="34"/>
      <c r="E292" s="34"/>
      <c r="F292" s="35"/>
      <c r="G292" s="18"/>
      <c r="H292" s="1"/>
    </row>
    <row r="293" spans="1:8" x14ac:dyDescent="0.25">
      <c r="A293" s="34"/>
      <c r="B293" s="19"/>
      <c r="C293" s="18"/>
      <c r="D293" s="34"/>
      <c r="E293" s="34"/>
      <c r="F293" s="35"/>
      <c r="G293" s="18"/>
      <c r="H293" s="1"/>
    </row>
    <row r="294" spans="1:8" x14ac:dyDescent="0.25">
      <c r="A294" s="34"/>
      <c r="B294" s="19"/>
      <c r="C294" s="18"/>
      <c r="D294" s="34"/>
      <c r="E294" s="34"/>
      <c r="F294" s="35"/>
      <c r="G294" s="18"/>
      <c r="H294" s="1"/>
    </row>
    <row r="295" spans="1:8" x14ac:dyDescent="0.25">
      <c r="A295" s="34"/>
      <c r="B295" s="19"/>
      <c r="C295" s="18"/>
      <c r="D295" s="34"/>
      <c r="E295" s="34"/>
      <c r="F295" s="35"/>
      <c r="G295" s="18"/>
      <c r="H295" s="1"/>
    </row>
    <row r="296" spans="1:8" x14ac:dyDescent="0.25">
      <c r="A296" s="34"/>
      <c r="B296" s="19"/>
      <c r="C296" s="18"/>
      <c r="D296" s="34"/>
      <c r="E296" s="34"/>
      <c r="F296" s="35"/>
      <c r="G296" s="18"/>
      <c r="H296" s="1"/>
    </row>
    <row r="297" spans="1:8" x14ac:dyDescent="0.25">
      <c r="A297" s="34"/>
      <c r="B297" s="19"/>
      <c r="C297" s="18"/>
      <c r="D297" s="34"/>
      <c r="E297" s="34"/>
      <c r="F297" s="35"/>
      <c r="G297" s="18"/>
      <c r="H297" s="1"/>
    </row>
    <row r="298" spans="1:8" x14ac:dyDescent="0.25">
      <c r="A298" s="34"/>
      <c r="B298" s="19"/>
      <c r="C298" s="18"/>
      <c r="D298" s="34"/>
      <c r="E298" s="34"/>
      <c r="F298" s="35"/>
      <c r="G298" s="18"/>
      <c r="H298" s="1"/>
    </row>
    <row r="299" spans="1:8" x14ac:dyDescent="0.25">
      <c r="A299" s="34"/>
      <c r="B299" s="19"/>
      <c r="C299" s="18"/>
      <c r="D299" s="34"/>
      <c r="E299" s="34"/>
      <c r="F299" s="35"/>
      <c r="G299" s="18"/>
      <c r="H299" s="1"/>
    </row>
    <row r="300" spans="1:8" x14ac:dyDescent="0.25">
      <c r="A300" s="34"/>
      <c r="B300" s="19"/>
      <c r="C300" s="18"/>
      <c r="D300" s="34"/>
      <c r="E300" s="34"/>
      <c r="F300" s="35"/>
      <c r="G300" s="18"/>
      <c r="H300" s="1"/>
    </row>
    <row r="301" spans="1:8" x14ac:dyDescent="0.25">
      <c r="A301" s="34"/>
      <c r="B301" s="19"/>
      <c r="C301" s="18"/>
      <c r="D301" s="34"/>
      <c r="E301" s="34"/>
      <c r="F301" s="35"/>
      <c r="G301" s="18"/>
      <c r="H301" s="1"/>
    </row>
    <row r="302" spans="1:8" x14ac:dyDescent="0.25">
      <c r="A302" s="34"/>
      <c r="B302" s="19"/>
      <c r="C302" s="18"/>
      <c r="D302" s="34"/>
      <c r="E302" s="34"/>
      <c r="F302" s="35"/>
      <c r="G302" s="18"/>
      <c r="H302" s="36"/>
    </row>
    <row r="303" spans="1:8" x14ac:dyDescent="0.25">
      <c r="A303" s="34"/>
      <c r="B303" s="19"/>
      <c r="C303" s="18"/>
      <c r="D303" s="34"/>
      <c r="E303" s="34"/>
      <c r="F303" s="35"/>
      <c r="G303" s="18"/>
      <c r="H303" s="1"/>
    </row>
    <row r="304" spans="1:8" x14ac:dyDescent="0.25">
      <c r="A304" s="34"/>
      <c r="B304" s="19"/>
      <c r="C304" s="19"/>
      <c r="D304" s="34"/>
      <c r="E304" s="34"/>
      <c r="F304" s="35"/>
      <c r="G304" s="18"/>
      <c r="H304" s="1"/>
    </row>
    <row r="305" spans="1:8" x14ac:dyDescent="0.25">
      <c r="A305" s="34"/>
      <c r="B305" s="19"/>
      <c r="C305" s="19"/>
      <c r="D305" s="34"/>
      <c r="E305" s="34"/>
      <c r="F305" s="35"/>
      <c r="G305" s="18"/>
      <c r="H305" s="1"/>
    </row>
    <row r="306" spans="1:8" x14ac:dyDescent="0.25">
      <c r="A306" s="34"/>
      <c r="B306" s="19"/>
      <c r="C306" s="19"/>
      <c r="D306" s="34"/>
      <c r="E306" s="34"/>
      <c r="F306" s="35"/>
      <c r="G306" s="18"/>
      <c r="H306" s="1"/>
    </row>
    <row r="307" spans="1:8" x14ac:dyDescent="0.25">
      <c r="A307" s="34"/>
      <c r="B307" s="19"/>
      <c r="C307" s="18"/>
      <c r="D307" s="34"/>
      <c r="E307" s="34"/>
      <c r="F307" s="35"/>
      <c r="G307" s="18"/>
      <c r="H307" s="1"/>
    </row>
    <row r="308" spans="1:8" x14ac:dyDescent="0.25">
      <c r="A308" s="34"/>
      <c r="B308" s="19"/>
      <c r="C308" s="18"/>
      <c r="D308" s="34"/>
      <c r="E308" s="34"/>
      <c r="F308" s="35"/>
      <c r="G308" s="18"/>
      <c r="H308" s="1"/>
    </row>
    <row r="309" spans="1:8" x14ac:dyDescent="0.25">
      <c r="A309" s="34"/>
      <c r="B309" s="19"/>
      <c r="C309" s="18"/>
      <c r="D309" s="34"/>
      <c r="E309" s="34"/>
      <c r="F309" s="35"/>
      <c r="G309" s="18"/>
      <c r="H309" s="1"/>
    </row>
    <row r="310" spans="1:8" x14ac:dyDescent="0.25">
      <c r="A310" s="34"/>
      <c r="B310" s="19"/>
      <c r="C310" s="18"/>
      <c r="D310" s="34"/>
      <c r="E310" s="34"/>
      <c r="F310" s="35"/>
      <c r="G310" s="18"/>
      <c r="H310" s="1"/>
    </row>
    <row r="311" spans="1:8" x14ac:dyDescent="0.25">
      <c r="A311" s="34"/>
      <c r="B311" s="19"/>
      <c r="C311" s="18"/>
      <c r="D311" s="34"/>
      <c r="E311" s="34"/>
      <c r="F311" s="35"/>
      <c r="G311" s="18"/>
      <c r="H311" s="1"/>
    </row>
    <row r="312" spans="1:8" x14ac:dyDescent="0.25">
      <c r="A312" s="34"/>
      <c r="B312" s="19"/>
      <c r="C312" s="18"/>
      <c r="D312" s="34"/>
      <c r="E312" s="34"/>
      <c r="F312" s="35"/>
      <c r="G312" s="18"/>
      <c r="H312" s="1"/>
    </row>
    <row r="313" spans="1:8" x14ac:dyDescent="0.25">
      <c r="A313" s="34"/>
      <c r="B313" s="19"/>
      <c r="C313" s="18"/>
      <c r="D313" s="34"/>
      <c r="E313" s="34"/>
      <c r="F313" s="35"/>
      <c r="G313" s="18"/>
      <c r="H313" s="1"/>
    </row>
    <row r="314" spans="1:8" x14ac:dyDescent="0.25">
      <c r="A314" s="34"/>
      <c r="B314" s="19"/>
      <c r="C314" s="18"/>
      <c r="D314" s="34"/>
      <c r="E314" s="34"/>
      <c r="F314" s="35"/>
      <c r="G314" s="18"/>
      <c r="H314" s="1"/>
    </row>
    <row r="315" spans="1:8" x14ac:dyDescent="0.25">
      <c r="A315" s="34"/>
      <c r="B315" s="19"/>
      <c r="C315" s="18"/>
      <c r="D315" s="34"/>
      <c r="E315" s="34"/>
      <c r="F315" s="35"/>
      <c r="G315" s="18"/>
      <c r="H315" s="1"/>
    </row>
    <row r="316" spans="1:8" x14ac:dyDescent="0.25">
      <c r="A316" s="34"/>
      <c r="B316" s="19"/>
      <c r="C316" s="18"/>
      <c r="D316" s="34"/>
      <c r="E316" s="34"/>
      <c r="F316" s="35"/>
      <c r="G316" s="18"/>
      <c r="H316" s="1"/>
    </row>
    <row r="317" spans="1:8" x14ac:dyDescent="0.25">
      <c r="A317" s="34"/>
      <c r="B317" s="19"/>
      <c r="C317" s="18"/>
      <c r="D317" s="34"/>
      <c r="E317" s="34"/>
      <c r="F317" s="35"/>
      <c r="G317" s="18"/>
      <c r="H317" s="1"/>
    </row>
    <row r="318" spans="1:8" x14ac:dyDescent="0.25">
      <c r="A318" s="34"/>
      <c r="B318" s="19"/>
      <c r="C318" s="18"/>
      <c r="D318" s="34"/>
      <c r="E318" s="34"/>
      <c r="F318" s="35"/>
      <c r="G318" s="18"/>
      <c r="H318" s="1"/>
    </row>
    <row r="319" spans="1:8" x14ac:dyDescent="0.25">
      <c r="A319" s="34"/>
      <c r="B319" s="19"/>
      <c r="C319" s="18"/>
      <c r="D319" s="34"/>
      <c r="E319" s="34"/>
      <c r="F319" s="35"/>
      <c r="G319" s="18"/>
      <c r="H319" s="1"/>
    </row>
    <row r="320" spans="1:8" x14ac:dyDescent="0.25">
      <c r="A320" s="34"/>
      <c r="B320" s="19"/>
      <c r="C320" s="18"/>
      <c r="D320" s="34"/>
      <c r="E320" s="34"/>
      <c r="F320" s="35"/>
      <c r="G320" s="18"/>
      <c r="H320" s="1"/>
    </row>
    <row r="321" spans="1:8" x14ac:dyDescent="0.25">
      <c r="A321" s="34"/>
      <c r="B321" s="19"/>
      <c r="C321" s="18"/>
      <c r="D321" s="34"/>
      <c r="E321" s="34"/>
      <c r="F321" s="35"/>
      <c r="G321" s="18"/>
      <c r="H321" s="1"/>
    </row>
    <row r="322" spans="1:8" x14ac:dyDescent="0.25">
      <c r="A322" s="34"/>
      <c r="B322" s="19"/>
      <c r="C322" s="19"/>
      <c r="D322" s="34"/>
      <c r="E322" s="34"/>
      <c r="F322" s="35"/>
      <c r="G322" s="18"/>
      <c r="H322" s="1"/>
    </row>
    <row r="323" spans="1:8" x14ac:dyDescent="0.25">
      <c r="A323" s="34"/>
      <c r="B323" s="19"/>
      <c r="C323" s="18"/>
      <c r="D323" s="34"/>
      <c r="E323" s="34"/>
      <c r="F323" s="35"/>
      <c r="G323" s="18"/>
      <c r="H323" s="1"/>
    </row>
    <row r="324" spans="1:8" x14ac:dyDescent="0.25">
      <c r="A324" s="34"/>
      <c r="B324" s="19"/>
      <c r="C324" s="18"/>
      <c r="D324" s="34"/>
      <c r="E324" s="34"/>
      <c r="F324" s="35"/>
      <c r="G324" s="18"/>
      <c r="H324" s="1"/>
    </row>
    <row r="325" spans="1:8" x14ac:dyDescent="0.25">
      <c r="A325" s="34"/>
      <c r="B325" s="19"/>
      <c r="C325" s="18"/>
      <c r="D325" s="34"/>
      <c r="E325" s="34"/>
      <c r="F325" s="35"/>
      <c r="G325" s="18"/>
      <c r="H325" s="1"/>
    </row>
    <row r="326" spans="1:8" x14ac:dyDescent="0.25">
      <c r="A326" s="34"/>
      <c r="B326" s="19"/>
      <c r="C326" s="18"/>
      <c r="D326" s="34"/>
      <c r="E326" s="34"/>
      <c r="F326" s="35"/>
      <c r="G326" s="18"/>
      <c r="H326" s="1"/>
    </row>
    <row r="327" spans="1:8" x14ac:dyDescent="0.25">
      <c r="A327" s="34"/>
      <c r="B327" s="19"/>
      <c r="C327" s="18"/>
      <c r="D327" s="19"/>
      <c r="E327" s="19"/>
      <c r="F327" s="35"/>
      <c r="G327" s="18"/>
      <c r="H327" s="1"/>
    </row>
    <row r="328" spans="1:8" x14ac:dyDescent="0.25">
      <c r="A328" s="34"/>
      <c r="B328" s="19"/>
      <c r="C328" s="18"/>
      <c r="D328" s="34"/>
      <c r="E328" s="34"/>
      <c r="F328" s="35"/>
      <c r="G328" s="18"/>
      <c r="H328" s="1"/>
    </row>
    <row r="329" spans="1:8" x14ac:dyDescent="0.25">
      <c r="A329" s="34"/>
      <c r="B329" s="19"/>
      <c r="C329" s="18"/>
      <c r="D329" s="34"/>
      <c r="E329" s="34"/>
      <c r="F329" s="35"/>
      <c r="G329" s="18"/>
      <c r="H329" s="1"/>
    </row>
    <row r="330" spans="1:8" x14ac:dyDescent="0.25">
      <c r="A330" s="34"/>
      <c r="B330" s="19"/>
      <c r="C330" s="18"/>
      <c r="D330" s="34"/>
      <c r="E330" s="34"/>
      <c r="F330" s="35"/>
      <c r="G330" s="18"/>
      <c r="H330" s="1"/>
    </row>
    <row r="331" spans="1:8" x14ac:dyDescent="0.25">
      <c r="A331" s="18"/>
      <c r="B331" s="19"/>
      <c r="C331" s="18"/>
      <c r="D331" s="34"/>
      <c r="E331" s="34"/>
      <c r="F331" s="35"/>
      <c r="G331" s="18"/>
      <c r="H331" s="1"/>
    </row>
    <row r="332" spans="1:8" x14ac:dyDescent="0.25">
      <c r="A332" s="34"/>
      <c r="B332" s="19"/>
      <c r="C332" s="18"/>
      <c r="D332" s="34"/>
      <c r="E332" s="34"/>
      <c r="F332" s="35"/>
      <c r="G332" s="18"/>
      <c r="H332" s="1"/>
    </row>
    <row r="333" spans="1:8" x14ac:dyDescent="0.25">
      <c r="A333" s="34"/>
      <c r="B333" s="19"/>
      <c r="C333" s="18"/>
      <c r="D333" s="34"/>
      <c r="E333" s="34"/>
      <c r="F333" s="35"/>
      <c r="G333" s="18"/>
      <c r="H333" s="1"/>
    </row>
    <row r="334" spans="1:8" x14ac:dyDescent="0.25">
      <c r="A334" s="34"/>
      <c r="B334" s="19"/>
      <c r="C334" s="18"/>
      <c r="D334" s="34"/>
      <c r="E334" s="34"/>
      <c r="F334" s="35"/>
      <c r="G334" s="18"/>
      <c r="H334" s="1"/>
    </row>
    <row r="335" spans="1:8" x14ac:dyDescent="0.25">
      <c r="A335" s="34"/>
      <c r="B335" s="19"/>
      <c r="C335" s="18"/>
      <c r="D335" s="34"/>
      <c r="E335" s="34"/>
      <c r="F335" s="35"/>
      <c r="G335" s="18"/>
      <c r="H335" s="1"/>
    </row>
    <row r="336" spans="1:8" x14ac:dyDescent="0.25">
      <c r="A336" s="34"/>
      <c r="B336" s="19"/>
      <c r="C336" s="18"/>
      <c r="D336" s="34"/>
      <c r="E336" s="34"/>
      <c r="F336" s="35"/>
      <c r="G336" s="18"/>
      <c r="H336" s="1"/>
    </row>
    <row r="337" spans="1:8" x14ac:dyDescent="0.25">
      <c r="A337" s="34"/>
      <c r="B337" s="19"/>
      <c r="C337" s="18"/>
      <c r="D337" s="34"/>
      <c r="E337" s="34"/>
      <c r="F337" s="35"/>
      <c r="G337" s="18"/>
      <c r="H337" s="1"/>
    </row>
    <row r="338" spans="1:8" x14ac:dyDescent="0.25">
      <c r="A338" s="34"/>
      <c r="B338" s="19"/>
      <c r="C338" s="18"/>
      <c r="D338" s="34"/>
      <c r="E338" s="34"/>
      <c r="F338" s="35"/>
      <c r="G338" s="34"/>
      <c r="H338" s="1"/>
    </row>
    <row r="339" spans="1:8" x14ac:dyDescent="0.25">
      <c r="A339" s="34"/>
      <c r="B339" s="19"/>
      <c r="C339" s="18"/>
      <c r="D339" s="34"/>
      <c r="E339" s="34"/>
      <c r="F339" s="35"/>
      <c r="G339" s="34"/>
      <c r="H339" s="36"/>
    </row>
    <row r="340" spans="1:8" x14ac:dyDescent="0.25">
      <c r="A340" s="34"/>
      <c r="B340" s="19"/>
      <c r="C340" s="18"/>
      <c r="D340" s="34"/>
      <c r="E340" s="34"/>
      <c r="F340" s="35"/>
      <c r="G340" s="34"/>
      <c r="H340" s="1"/>
    </row>
    <row r="341" spans="1:8" x14ac:dyDescent="0.25">
      <c r="A341" s="34"/>
      <c r="B341" s="19"/>
      <c r="C341" s="18"/>
      <c r="D341" s="34"/>
      <c r="E341" s="34"/>
      <c r="F341" s="35"/>
      <c r="G341" s="34"/>
      <c r="H341" s="1"/>
    </row>
    <row r="342" spans="1:8" x14ac:dyDescent="0.25">
      <c r="A342" s="34"/>
      <c r="B342" s="19"/>
      <c r="C342" s="18"/>
      <c r="D342" s="34"/>
      <c r="E342" s="34"/>
      <c r="F342" s="35"/>
      <c r="G342" s="34"/>
      <c r="H342" s="1"/>
    </row>
    <row r="343" spans="1:8" x14ac:dyDescent="0.25">
      <c r="A343" s="34"/>
      <c r="B343" s="19"/>
      <c r="C343" s="18"/>
      <c r="D343" s="34"/>
      <c r="E343" s="34"/>
      <c r="F343" s="35"/>
      <c r="G343" s="34"/>
      <c r="H343" s="1"/>
    </row>
    <row r="344" spans="1:8" x14ac:dyDescent="0.25">
      <c r="A344" s="34"/>
      <c r="B344" s="19"/>
      <c r="C344" s="18"/>
      <c r="D344" s="34"/>
      <c r="E344" s="34"/>
      <c r="F344" s="35"/>
      <c r="G344" s="34"/>
      <c r="H344" s="1"/>
    </row>
    <row r="345" spans="1:8" x14ac:dyDescent="0.25">
      <c r="A345" s="34"/>
      <c r="B345" s="19"/>
      <c r="C345" s="18"/>
      <c r="D345" s="34"/>
      <c r="E345" s="34"/>
      <c r="F345" s="35"/>
      <c r="G345" s="34"/>
      <c r="H345" s="1"/>
    </row>
    <row r="346" spans="1:8" x14ac:dyDescent="0.25">
      <c r="A346" s="34"/>
      <c r="B346" s="19"/>
      <c r="C346" s="18"/>
      <c r="D346" s="34"/>
      <c r="E346" s="34"/>
      <c r="F346" s="35"/>
      <c r="G346" s="34"/>
      <c r="H346" s="1"/>
    </row>
    <row r="347" spans="1:8" ht="15.75" thickBot="1" x14ac:dyDescent="0.3">
      <c r="A347" s="34"/>
      <c r="B347" s="19"/>
      <c r="C347" s="18"/>
      <c r="D347" s="34"/>
      <c r="E347" s="34"/>
      <c r="F347" s="35"/>
      <c r="G347" s="34"/>
      <c r="H347" s="1"/>
    </row>
    <row r="348" spans="1:8" ht="15.75" thickBot="1" x14ac:dyDescent="0.3">
      <c r="A348" s="10"/>
      <c r="B348" s="8"/>
      <c r="C348" s="6"/>
      <c r="D348" s="10"/>
      <c r="E348" s="10"/>
      <c r="F348" s="71"/>
      <c r="G348" s="10"/>
      <c r="H348" s="1"/>
    </row>
    <row r="349" spans="1:8" ht="15.75" thickBot="1" x14ac:dyDescent="0.3">
      <c r="A349" s="10"/>
      <c r="B349" s="8"/>
      <c r="C349" s="6"/>
      <c r="D349" s="10"/>
      <c r="E349" s="10"/>
      <c r="F349" s="71"/>
      <c r="G349" s="10"/>
      <c r="H349" s="1"/>
    </row>
    <row r="350" spans="1:8" ht="15.75" thickBot="1" x14ac:dyDescent="0.3">
      <c r="A350" s="10"/>
      <c r="B350" s="8"/>
      <c r="C350" s="6"/>
      <c r="D350" s="10"/>
      <c r="E350" s="10"/>
      <c r="F350" s="71"/>
      <c r="G350" s="10"/>
      <c r="H350" s="1"/>
    </row>
    <row r="351" spans="1:8" ht="15.75" thickBot="1" x14ac:dyDescent="0.3">
      <c r="A351" s="10"/>
      <c r="B351" s="8"/>
      <c r="C351" s="6"/>
      <c r="D351" s="10"/>
      <c r="E351" s="10"/>
      <c r="F351" s="71"/>
      <c r="G351" s="10"/>
      <c r="H351" s="36"/>
    </row>
    <row r="352" spans="1:8" ht="15.75" thickBot="1" x14ac:dyDescent="0.3">
      <c r="A352" s="10"/>
      <c r="B352" s="8"/>
      <c r="C352" s="6"/>
      <c r="D352" s="10"/>
      <c r="E352" s="10"/>
      <c r="F352" s="71"/>
      <c r="G352" s="10"/>
      <c r="H352" s="36"/>
    </row>
    <row r="353" spans="1:8" ht="15.75" thickBot="1" x14ac:dyDescent="0.3">
      <c r="A353" s="10"/>
      <c r="B353" s="8"/>
      <c r="C353" s="6"/>
      <c r="D353" s="10"/>
      <c r="E353" s="10"/>
      <c r="F353" s="71"/>
      <c r="G353" s="10"/>
      <c r="H353" s="1"/>
    </row>
    <row r="354" spans="1:8" ht="15.75" thickBot="1" x14ac:dyDescent="0.3">
      <c r="A354" s="10"/>
      <c r="B354" s="8"/>
      <c r="C354" s="6"/>
      <c r="D354" s="10"/>
      <c r="E354" s="10"/>
      <c r="F354" s="71"/>
      <c r="G354" s="10"/>
      <c r="H354" s="1"/>
    </row>
    <row r="355" spans="1:8" ht="15.75" thickBot="1" x14ac:dyDescent="0.3">
      <c r="A355" s="10"/>
      <c r="B355" s="8"/>
      <c r="C355" s="6"/>
      <c r="D355" s="10"/>
      <c r="E355" s="10"/>
      <c r="F355" s="71"/>
      <c r="G355" s="10"/>
      <c r="H355" s="1"/>
    </row>
    <row r="356" spans="1:8" ht="15.75" thickBot="1" x14ac:dyDescent="0.3">
      <c r="A356" s="10"/>
      <c r="B356" s="8"/>
      <c r="C356" s="6"/>
      <c r="D356" s="10"/>
      <c r="E356" s="10"/>
      <c r="F356" s="71"/>
      <c r="G356" s="10"/>
      <c r="H356" s="1"/>
    </row>
    <row r="357" spans="1:8" ht="15.75" thickBot="1" x14ac:dyDescent="0.3">
      <c r="A357" s="10"/>
      <c r="B357" s="8"/>
      <c r="C357" s="6"/>
      <c r="D357" s="10"/>
      <c r="E357" s="10"/>
      <c r="F357" s="71"/>
      <c r="G357" s="10"/>
      <c r="H357" s="1"/>
    </row>
    <row r="358" spans="1:8" ht="15.75" thickBot="1" x14ac:dyDescent="0.3">
      <c r="A358" s="10"/>
      <c r="B358" s="8"/>
      <c r="C358" s="6"/>
      <c r="D358" s="10"/>
      <c r="E358" s="10"/>
      <c r="F358" s="71"/>
      <c r="G358" s="10"/>
      <c r="H358" s="1"/>
    </row>
    <row r="359" spans="1:8" ht="15.75" thickBot="1" x14ac:dyDescent="0.3">
      <c r="A359" s="10"/>
      <c r="B359" s="8"/>
      <c r="C359" s="6"/>
      <c r="D359" s="10"/>
      <c r="E359" s="10"/>
      <c r="F359" s="71"/>
      <c r="G359" s="10"/>
      <c r="H359" s="1"/>
    </row>
    <row r="360" spans="1:8" ht="15.75" thickBot="1" x14ac:dyDescent="0.3">
      <c r="A360" s="10"/>
      <c r="B360" s="8"/>
      <c r="C360" s="6"/>
      <c r="D360" s="10"/>
      <c r="E360" s="10"/>
      <c r="F360" s="71"/>
      <c r="G360" s="10"/>
      <c r="H360" s="1"/>
    </row>
    <row r="361" spans="1:8" ht="15.75" thickBot="1" x14ac:dyDescent="0.3">
      <c r="A361" s="10"/>
      <c r="B361" s="8"/>
      <c r="C361" s="6"/>
      <c r="D361" s="10"/>
      <c r="E361" s="10"/>
      <c r="F361" s="71"/>
      <c r="G361" s="10"/>
      <c r="H361" s="1"/>
    </row>
    <row r="362" spans="1:8" ht="15.75" thickBot="1" x14ac:dyDescent="0.3">
      <c r="A362" s="10"/>
      <c r="B362" s="8"/>
      <c r="C362" s="6"/>
      <c r="D362" s="10"/>
      <c r="E362" s="10"/>
      <c r="F362" s="71"/>
      <c r="G362" s="10"/>
      <c r="H362" s="1"/>
    </row>
    <row r="363" spans="1:8" ht="15.75" thickBot="1" x14ac:dyDescent="0.3">
      <c r="A363" s="10"/>
      <c r="B363" s="8"/>
      <c r="C363" s="6"/>
      <c r="D363" s="10"/>
      <c r="E363" s="10"/>
      <c r="F363" s="71"/>
      <c r="G363" s="10"/>
      <c r="H363" s="1"/>
    </row>
    <row r="364" spans="1:8" ht="15.75" thickBot="1" x14ac:dyDescent="0.3">
      <c r="A364" s="10"/>
      <c r="B364" s="8"/>
      <c r="C364" s="6"/>
      <c r="D364" s="10"/>
      <c r="E364" s="10"/>
      <c r="F364" s="71"/>
      <c r="G364" s="10"/>
      <c r="H364" s="1"/>
    </row>
    <row r="365" spans="1:8" ht="15.75" thickBot="1" x14ac:dyDescent="0.3">
      <c r="A365" s="10"/>
      <c r="B365" s="8"/>
      <c r="C365" s="6"/>
      <c r="D365" s="10"/>
      <c r="E365" s="10"/>
      <c r="F365" s="71"/>
      <c r="G365" s="10"/>
      <c r="H365" s="36"/>
    </row>
    <row r="366" spans="1:8" ht="15.75" thickBot="1" x14ac:dyDescent="0.3">
      <c r="A366" s="10"/>
      <c r="B366" s="8"/>
      <c r="C366" s="6"/>
      <c r="D366" s="10"/>
      <c r="E366" s="10"/>
      <c r="F366" s="71"/>
      <c r="G366" s="10"/>
      <c r="H366" s="1"/>
    </row>
    <row r="367" spans="1:8" x14ac:dyDescent="0.25">
      <c r="A367" s="1"/>
      <c r="B367" s="1"/>
      <c r="C367" s="1"/>
      <c r="D367" s="1"/>
      <c r="E367" s="1"/>
      <c r="F367" s="24"/>
      <c r="G367" s="1"/>
      <c r="H367" s="36"/>
    </row>
    <row r="368" spans="1:8" x14ac:dyDescent="0.25">
      <c r="A368" s="1"/>
      <c r="B368" s="1"/>
      <c r="C368" s="1"/>
      <c r="D368" s="1"/>
      <c r="E368" s="1"/>
      <c r="F368" s="1"/>
      <c r="G368" s="1"/>
      <c r="H368" s="36"/>
    </row>
    <row r="369" spans="1:8" x14ac:dyDescent="0.25">
      <c r="A369" s="1"/>
      <c r="B369" s="1"/>
      <c r="C369" s="1"/>
      <c r="D369" s="1"/>
      <c r="E369" s="1"/>
      <c r="F369" s="1"/>
      <c r="G369" s="1"/>
      <c r="H369" s="36"/>
    </row>
    <row r="370" spans="1:8" ht="15.75" thickBot="1" x14ac:dyDescent="0.3">
      <c r="A370" s="1"/>
      <c r="B370" s="1"/>
      <c r="C370" s="1"/>
      <c r="D370" s="1"/>
      <c r="E370" s="1"/>
      <c r="F370" s="1"/>
      <c r="G370" s="1"/>
      <c r="H370" s="36"/>
    </row>
    <row r="371" spans="1:8" ht="15.75" thickBot="1" x14ac:dyDescent="0.3">
      <c r="A371" s="10"/>
      <c r="B371" s="1"/>
      <c r="C371" s="1"/>
      <c r="D371" s="1"/>
      <c r="E371" s="10"/>
      <c r="F371" s="71"/>
      <c r="G371" s="6"/>
      <c r="H371" s="36"/>
    </row>
    <row r="372" spans="1:8" ht="15.75" thickBot="1" x14ac:dyDescent="0.3">
      <c r="A372" s="10"/>
      <c r="B372" s="1"/>
      <c r="C372" s="1"/>
      <c r="D372" s="1"/>
      <c r="E372" s="10"/>
      <c r="F372" s="71"/>
      <c r="G372" s="6"/>
      <c r="H372" s="36"/>
    </row>
    <row r="373" spans="1:8" ht="15.75" thickBot="1" x14ac:dyDescent="0.3">
      <c r="A373" s="10"/>
      <c r="B373" s="1"/>
      <c r="C373" s="1"/>
      <c r="D373" s="1"/>
      <c r="E373" s="10"/>
      <c r="F373" s="71"/>
      <c r="G373" s="6"/>
      <c r="H373" s="36"/>
    </row>
    <row r="374" spans="1:8" ht="15.75" thickBot="1" x14ac:dyDescent="0.3">
      <c r="A374" s="10"/>
      <c r="B374" s="1"/>
      <c r="C374" s="1"/>
      <c r="D374" s="1"/>
      <c r="E374" s="10"/>
      <c r="F374" s="71"/>
      <c r="G374" s="6"/>
      <c r="H374" s="1"/>
    </row>
    <row r="375" spans="1:8" ht="15.75" thickBot="1" x14ac:dyDescent="0.3">
      <c r="A375" s="10"/>
      <c r="B375" s="1"/>
      <c r="C375" s="1"/>
      <c r="D375" s="1"/>
      <c r="E375" s="10"/>
      <c r="F375" s="71"/>
      <c r="G375" s="6"/>
      <c r="H375" s="1"/>
    </row>
    <row r="376" spans="1:8" ht="15.75" thickBot="1" x14ac:dyDescent="0.3">
      <c r="A376" s="10"/>
      <c r="B376" s="1"/>
      <c r="C376" s="1"/>
      <c r="D376" s="1"/>
      <c r="E376" s="10"/>
      <c r="F376" s="71"/>
      <c r="G376" s="6"/>
      <c r="H376" s="1"/>
    </row>
    <row r="377" spans="1:8" ht="15.75" thickBot="1" x14ac:dyDescent="0.3">
      <c r="A377" s="10"/>
      <c r="B377" s="1"/>
      <c r="C377" s="1"/>
      <c r="D377" s="1"/>
      <c r="E377" s="10"/>
      <c r="F377" s="71"/>
      <c r="G377" s="6"/>
      <c r="H377" s="1"/>
    </row>
    <row r="378" spans="1:8" ht="15.75" thickBot="1" x14ac:dyDescent="0.3">
      <c r="A378" s="10"/>
      <c r="B378" s="1"/>
      <c r="C378" s="1"/>
      <c r="D378" s="1"/>
      <c r="E378" s="10"/>
      <c r="F378" s="71"/>
      <c r="G378" s="6"/>
      <c r="H378" s="1"/>
    </row>
    <row r="379" spans="1:8" ht="15.75" thickBot="1" x14ac:dyDescent="0.3">
      <c r="A379" s="10"/>
      <c r="B379" s="1"/>
      <c r="C379" s="1"/>
      <c r="D379" s="1"/>
      <c r="E379" s="10"/>
      <c r="F379" s="71"/>
      <c r="G379" s="6"/>
      <c r="H379" s="1"/>
    </row>
    <row r="380" spans="1:8" ht="15.75" thickBot="1" x14ac:dyDescent="0.3">
      <c r="A380" s="10"/>
      <c r="B380" s="1"/>
      <c r="C380" s="1"/>
      <c r="D380" s="1"/>
      <c r="E380" s="10"/>
      <c r="F380" s="71"/>
      <c r="G380" s="6"/>
      <c r="H380" s="1"/>
    </row>
    <row r="381" spans="1:8" ht="15.75" thickBot="1" x14ac:dyDescent="0.3">
      <c r="A381" s="10"/>
      <c r="B381" s="1"/>
      <c r="C381" s="1"/>
      <c r="D381" s="1"/>
      <c r="E381" s="10"/>
      <c r="F381" s="71"/>
      <c r="G381" s="6"/>
      <c r="H381" s="1"/>
    </row>
    <row r="382" spans="1:8" ht="15.75" thickBot="1" x14ac:dyDescent="0.3">
      <c r="A382" s="10"/>
      <c r="B382" s="1"/>
      <c r="C382" s="1"/>
      <c r="D382" s="1"/>
      <c r="E382" s="10"/>
      <c r="F382" s="71"/>
      <c r="G382" s="6"/>
      <c r="H382" s="1"/>
    </row>
    <row r="383" spans="1:8" ht="15.75" thickBot="1" x14ac:dyDescent="0.3">
      <c r="A383" s="10"/>
      <c r="B383" s="1"/>
      <c r="C383" s="1"/>
      <c r="D383" s="1"/>
      <c r="E383" s="10"/>
      <c r="F383" s="71"/>
      <c r="G383" s="6"/>
      <c r="H383" s="1"/>
    </row>
    <row r="384" spans="1:8" ht="15.75" thickBot="1" x14ac:dyDescent="0.3">
      <c r="A384" s="10"/>
      <c r="B384" s="1"/>
      <c r="C384" s="1"/>
      <c r="D384" s="1"/>
      <c r="E384" s="10"/>
      <c r="F384" s="71"/>
      <c r="G384" s="6"/>
      <c r="H384" s="1"/>
    </row>
    <row r="385" spans="1:8" ht="15.75" thickBot="1" x14ac:dyDescent="0.3">
      <c r="A385" s="10"/>
      <c r="B385" s="1"/>
      <c r="C385" s="1"/>
      <c r="D385" s="1"/>
      <c r="E385" s="10"/>
      <c r="F385" s="71"/>
      <c r="G385" s="6"/>
      <c r="H385" s="1"/>
    </row>
    <row r="386" spans="1:8" ht="15.75" thickBot="1" x14ac:dyDescent="0.3">
      <c r="A386" s="10"/>
      <c r="B386" s="1"/>
      <c r="C386" s="1"/>
      <c r="D386" s="1"/>
      <c r="E386" s="10"/>
      <c r="F386" s="71"/>
      <c r="G386" s="6"/>
      <c r="H386" s="1"/>
    </row>
    <row r="387" spans="1:8" ht="15.75" thickBot="1" x14ac:dyDescent="0.3">
      <c r="A387" s="10"/>
      <c r="B387" s="1"/>
      <c r="C387" s="1"/>
      <c r="D387" s="1"/>
      <c r="E387" s="10"/>
      <c r="F387" s="71"/>
      <c r="G387" s="6"/>
      <c r="H387" s="1"/>
    </row>
    <row r="388" spans="1:8" ht="15.75" thickBot="1" x14ac:dyDescent="0.3">
      <c r="A388" s="10"/>
      <c r="B388" s="1"/>
      <c r="C388" s="1"/>
      <c r="D388" s="1"/>
      <c r="E388" s="1"/>
      <c r="F388" s="71"/>
      <c r="G388" s="6"/>
      <c r="H388" s="1"/>
    </row>
    <row r="389" spans="1:8" ht="15.75" thickBot="1" x14ac:dyDescent="0.3">
      <c r="A389" s="10"/>
      <c r="B389" s="1"/>
      <c r="C389" s="1"/>
      <c r="D389" s="1"/>
      <c r="E389" s="1"/>
      <c r="F389" s="71"/>
      <c r="G389" s="6"/>
      <c r="H389" s="1"/>
    </row>
    <row r="390" spans="1:8" ht="15.75" thickBot="1" x14ac:dyDescent="0.3">
      <c r="A390" s="10"/>
      <c r="B390" s="1"/>
      <c r="C390" s="1"/>
      <c r="D390" s="1"/>
      <c r="E390" s="1"/>
      <c r="F390" s="71"/>
      <c r="G390" s="6"/>
      <c r="H390" s="1"/>
    </row>
    <row r="391" spans="1:8" ht="15.75" thickBot="1" x14ac:dyDescent="0.3">
      <c r="A391" s="10"/>
      <c r="B391" s="1"/>
      <c r="C391" s="1"/>
      <c r="D391" s="1"/>
      <c r="E391" s="1"/>
      <c r="F391" s="71"/>
      <c r="G391" s="6"/>
      <c r="H391" s="1"/>
    </row>
    <row r="392" spans="1:8" ht="15.75" thickBot="1" x14ac:dyDescent="0.3">
      <c r="A392" s="10"/>
      <c r="B392" s="1"/>
      <c r="C392" s="1"/>
      <c r="D392" s="1"/>
      <c r="E392" s="1"/>
      <c r="F392" s="71"/>
      <c r="G392" s="6"/>
      <c r="H392" s="1"/>
    </row>
    <row r="393" spans="1:8" ht="15.75" thickBot="1" x14ac:dyDescent="0.3">
      <c r="A393" s="10"/>
      <c r="B393" s="1"/>
      <c r="C393" s="1"/>
      <c r="D393" s="1"/>
      <c r="E393" s="1"/>
      <c r="F393" s="71"/>
      <c r="G393" s="6"/>
      <c r="H393" s="1"/>
    </row>
    <row r="394" spans="1:8" ht="15.75" thickBot="1" x14ac:dyDescent="0.3">
      <c r="A394" s="10"/>
      <c r="B394" s="1"/>
      <c r="C394" s="1"/>
      <c r="D394" s="1"/>
      <c r="E394" s="1"/>
      <c r="F394" s="71"/>
      <c r="G394" s="6"/>
      <c r="H394" s="1"/>
    </row>
    <row r="395" spans="1:8" ht="15.75" thickBot="1" x14ac:dyDescent="0.3">
      <c r="A395" s="10"/>
      <c r="B395" s="1"/>
      <c r="C395" s="1"/>
      <c r="D395" s="1"/>
      <c r="E395" s="1"/>
      <c r="F395" s="71"/>
      <c r="G395" s="6"/>
      <c r="H395" s="1"/>
    </row>
    <row r="396" spans="1:8" ht="15.75" thickBot="1" x14ac:dyDescent="0.3">
      <c r="A396" s="10"/>
      <c r="B396" s="1"/>
      <c r="C396" s="1"/>
      <c r="D396" s="1"/>
      <c r="E396" s="1"/>
      <c r="F396" s="71"/>
      <c r="G396" s="6"/>
      <c r="H396" s="1"/>
    </row>
    <row r="397" spans="1:8" ht="15.75" thickBot="1" x14ac:dyDescent="0.3">
      <c r="A397" s="10"/>
      <c r="B397" s="1"/>
      <c r="C397" s="1"/>
      <c r="D397" s="1"/>
      <c r="E397" s="1"/>
      <c r="F397" s="71"/>
      <c r="G397" s="6"/>
      <c r="H397" s="36"/>
    </row>
    <row r="398" spans="1:8" ht="15.75" thickBot="1" x14ac:dyDescent="0.3">
      <c r="A398" s="10"/>
      <c r="B398" s="1"/>
      <c r="C398" s="1"/>
      <c r="D398" s="1"/>
      <c r="E398" s="1"/>
      <c r="F398" s="71"/>
      <c r="G398" s="6"/>
      <c r="H398" s="1"/>
    </row>
    <row r="399" spans="1:8" ht="15.75" thickBot="1" x14ac:dyDescent="0.3">
      <c r="A399" s="6"/>
      <c r="B399" s="1"/>
      <c r="C399" s="1"/>
      <c r="D399" s="1"/>
      <c r="E399" s="1"/>
      <c r="F399" s="71"/>
      <c r="G399" s="6"/>
      <c r="H399" s="1"/>
    </row>
    <row r="400" spans="1:8" ht="15.75" thickBot="1" x14ac:dyDescent="0.3">
      <c r="A400" s="10"/>
      <c r="B400" s="1"/>
      <c r="C400" s="1"/>
      <c r="D400" s="1"/>
      <c r="E400" s="1"/>
      <c r="F400" s="71"/>
      <c r="G400" s="6"/>
      <c r="H400" s="1"/>
    </row>
    <row r="401" spans="1:8" ht="15.75" thickBot="1" x14ac:dyDescent="0.3">
      <c r="A401" s="10"/>
      <c r="B401" s="1"/>
      <c r="C401" s="1"/>
      <c r="D401" s="1"/>
      <c r="E401" s="1"/>
      <c r="F401" s="71"/>
      <c r="G401" s="6"/>
      <c r="H401" s="1"/>
    </row>
    <row r="402" spans="1:8" ht="15.75" thickBot="1" x14ac:dyDescent="0.3">
      <c r="A402" s="10"/>
      <c r="B402" s="1"/>
      <c r="C402" s="1"/>
      <c r="D402" s="1"/>
      <c r="E402" s="1"/>
      <c r="F402" s="71"/>
      <c r="G402" s="6"/>
      <c r="H402" s="1"/>
    </row>
    <row r="403" spans="1:8" ht="15.75" thickBot="1" x14ac:dyDescent="0.3">
      <c r="A403" s="10"/>
      <c r="B403" s="1"/>
      <c r="C403" s="1"/>
      <c r="D403" s="1"/>
      <c r="E403" s="1"/>
      <c r="F403" s="71"/>
      <c r="G403" s="6"/>
      <c r="H403" s="1"/>
    </row>
    <row r="404" spans="1:8" ht="15.75" thickBot="1" x14ac:dyDescent="0.3">
      <c r="A404" s="10"/>
      <c r="B404" s="1"/>
      <c r="C404" s="1"/>
      <c r="D404" s="1"/>
      <c r="E404" s="1"/>
      <c r="F404" s="71"/>
      <c r="G404" s="6"/>
      <c r="H404" s="1"/>
    </row>
    <row r="405" spans="1:8" ht="15.75" thickBot="1" x14ac:dyDescent="0.3">
      <c r="A405" s="10"/>
      <c r="B405" s="1"/>
      <c r="C405" s="1"/>
      <c r="D405" s="1"/>
      <c r="E405" s="1"/>
      <c r="F405" s="71"/>
      <c r="G405" s="6"/>
      <c r="H405" s="1"/>
    </row>
    <row r="406" spans="1:8" ht="15.75" thickBot="1" x14ac:dyDescent="0.3">
      <c r="A406" s="10"/>
      <c r="B406" s="1"/>
      <c r="C406" s="1"/>
      <c r="D406" s="1"/>
      <c r="E406" s="1"/>
      <c r="F406" s="71"/>
      <c r="G406" s="6"/>
      <c r="H406" s="1"/>
    </row>
    <row r="407" spans="1:8" ht="15.75" thickBot="1" x14ac:dyDescent="0.3">
      <c r="A407" s="10"/>
      <c r="B407" s="1"/>
      <c r="C407" s="1"/>
      <c r="D407" s="1"/>
      <c r="E407" s="1"/>
      <c r="F407" s="71"/>
      <c r="G407" s="6"/>
      <c r="H407" s="1"/>
    </row>
    <row r="408" spans="1:8" ht="15.75" thickBot="1" x14ac:dyDescent="0.3">
      <c r="A408" s="10"/>
      <c r="B408" s="1"/>
      <c r="C408" s="1"/>
      <c r="D408" s="1"/>
      <c r="E408" s="1"/>
      <c r="F408" s="71"/>
      <c r="G408" s="6"/>
      <c r="H408" s="1"/>
    </row>
    <row r="409" spans="1:8" ht="15.75" thickBot="1" x14ac:dyDescent="0.3">
      <c r="A409" s="10"/>
      <c r="B409" s="1"/>
      <c r="C409" s="1"/>
      <c r="D409" s="1"/>
      <c r="E409" s="1"/>
      <c r="F409" s="71"/>
      <c r="G409" s="6"/>
      <c r="H409" s="1"/>
    </row>
    <row r="410" spans="1:8" ht="15.75" thickBot="1" x14ac:dyDescent="0.3">
      <c r="A410" s="10"/>
      <c r="B410" s="1"/>
      <c r="C410" s="1"/>
      <c r="D410" s="1"/>
      <c r="E410" s="1"/>
      <c r="F410" s="71"/>
      <c r="G410" s="6"/>
      <c r="H410" s="1"/>
    </row>
    <row r="411" spans="1:8" ht="15.75" thickBot="1" x14ac:dyDescent="0.3">
      <c r="A411" s="10"/>
      <c r="B411" s="1"/>
      <c r="C411" s="1"/>
      <c r="D411" s="1"/>
      <c r="E411" s="1"/>
      <c r="F411" s="71"/>
      <c r="G411" s="6"/>
      <c r="H411" s="1"/>
    </row>
    <row r="412" spans="1:8" ht="15.75" thickBot="1" x14ac:dyDescent="0.3">
      <c r="A412" s="10"/>
      <c r="B412" s="1"/>
      <c r="C412" s="1"/>
      <c r="D412" s="1"/>
      <c r="E412" s="1"/>
      <c r="F412" s="71"/>
      <c r="G412" s="6"/>
      <c r="H412" s="1"/>
    </row>
    <row r="413" spans="1:8" ht="15.75" thickBot="1" x14ac:dyDescent="0.3">
      <c r="A413" s="10"/>
      <c r="B413" s="1"/>
      <c r="C413" s="1"/>
      <c r="D413" s="1"/>
      <c r="E413" s="1"/>
      <c r="F413" s="71"/>
      <c r="G413" s="6"/>
      <c r="H413" s="1"/>
    </row>
    <row r="414" spans="1:8" ht="15.75" thickBot="1" x14ac:dyDescent="0.3">
      <c r="A414" s="10"/>
      <c r="B414" s="1"/>
      <c r="C414" s="1"/>
      <c r="D414" s="1"/>
      <c r="E414" s="1"/>
      <c r="F414" s="71"/>
      <c r="G414" s="6"/>
      <c r="H414" s="1"/>
    </row>
    <row r="415" spans="1:8" ht="15.75" thickBot="1" x14ac:dyDescent="0.3">
      <c r="A415" s="10"/>
      <c r="B415" s="1"/>
      <c r="C415" s="1"/>
      <c r="D415" s="1"/>
      <c r="E415" s="1"/>
      <c r="F415" s="71"/>
      <c r="G415" s="6"/>
      <c r="H415" s="1"/>
    </row>
    <row r="416" spans="1:8" ht="15.75" thickBot="1" x14ac:dyDescent="0.3">
      <c r="A416" s="10"/>
      <c r="B416" s="1"/>
      <c r="C416" s="1"/>
      <c r="D416" s="1"/>
      <c r="E416" s="1"/>
      <c r="F416" s="71"/>
      <c r="G416" s="6"/>
      <c r="H416" s="1"/>
    </row>
    <row r="417" spans="1:8" ht="15.75" thickBot="1" x14ac:dyDescent="0.3">
      <c r="A417" s="10"/>
      <c r="B417" s="1"/>
      <c r="C417" s="1"/>
      <c r="D417" s="1"/>
      <c r="E417" s="1"/>
      <c r="F417" s="71"/>
      <c r="G417" s="6"/>
      <c r="H417" s="1"/>
    </row>
    <row r="418" spans="1:8" ht="15.75" thickBot="1" x14ac:dyDescent="0.3">
      <c r="A418" s="10"/>
      <c r="B418" s="1"/>
      <c r="C418" s="1"/>
      <c r="D418" s="1"/>
      <c r="E418" s="1"/>
      <c r="F418" s="71"/>
      <c r="G418" s="6"/>
      <c r="H418" s="1"/>
    </row>
    <row r="419" spans="1:8" ht="15.75" thickBot="1" x14ac:dyDescent="0.3">
      <c r="A419" s="10"/>
      <c r="B419" s="1"/>
      <c r="C419" s="1"/>
      <c r="D419" s="1"/>
      <c r="E419" s="1"/>
      <c r="F419" s="71"/>
      <c r="G419" s="6"/>
      <c r="H419" s="1"/>
    </row>
    <row r="420" spans="1:8" ht="15.75" thickBot="1" x14ac:dyDescent="0.3">
      <c r="A420" s="10"/>
      <c r="B420" s="1"/>
      <c r="C420" s="1"/>
      <c r="D420" s="1"/>
      <c r="E420" s="1"/>
      <c r="F420" s="71"/>
      <c r="G420" s="6"/>
      <c r="H420" s="1"/>
    </row>
    <row r="421" spans="1:8" ht="15.75" thickBot="1" x14ac:dyDescent="0.3">
      <c r="A421" s="10"/>
      <c r="B421" s="1"/>
      <c r="C421" s="1"/>
      <c r="D421" s="1"/>
      <c r="E421" s="1"/>
      <c r="F421" s="71"/>
      <c r="G421" s="6"/>
      <c r="H421" s="1"/>
    </row>
    <row r="422" spans="1:8" ht="15.75" thickBot="1" x14ac:dyDescent="0.3">
      <c r="A422" s="10"/>
      <c r="B422" s="1"/>
      <c r="C422" s="1"/>
      <c r="D422" s="1"/>
      <c r="E422" s="1"/>
      <c r="F422" s="71"/>
      <c r="G422" s="6"/>
      <c r="H422" s="1"/>
    </row>
    <row r="423" spans="1:8" ht="15.75" thickBot="1" x14ac:dyDescent="0.3">
      <c r="A423" s="10"/>
      <c r="B423" s="1"/>
      <c r="C423" s="1"/>
      <c r="D423" s="1"/>
      <c r="E423" s="1"/>
      <c r="F423" s="71"/>
      <c r="G423" s="6"/>
      <c r="H423" s="1"/>
    </row>
    <row r="424" spans="1:8" ht="15.75" thickBot="1" x14ac:dyDescent="0.3">
      <c r="A424" s="10"/>
      <c r="B424" s="1"/>
      <c r="C424" s="1"/>
      <c r="D424" s="1"/>
      <c r="E424" s="1"/>
      <c r="F424" s="71"/>
      <c r="G424" s="6"/>
      <c r="H424" s="1"/>
    </row>
    <row r="425" spans="1:8" ht="15.75" thickBot="1" x14ac:dyDescent="0.3">
      <c r="A425" s="10"/>
      <c r="B425" s="1"/>
      <c r="C425" s="1"/>
      <c r="D425" s="1"/>
      <c r="E425" s="1"/>
      <c r="F425" s="71"/>
      <c r="G425" s="6"/>
      <c r="H425" s="1"/>
    </row>
    <row r="426" spans="1:8" ht="15.75" thickBot="1" x14ac:dyDescent="0.3">
      <c r="A426" s="10"/>
      <c r="B426" s="1"/>
      <c r="C426" s="1"/>
      <c r="D426" s="1"/>
      <c r="E426" s="1"/>
      <c r="F426" s="71"/>
      <c r="G426" s="6"/>
      <c r="H426" s="36"/>
    </row>
    <row r="427" spans="1:8" ht="15.75" thickBot="1" x14ac:dyDescent="0.3">
      <c r="A427" s="10"/>
      <c r="B427" s="1"/>
      <c r="C427" s="1"/>
      <c r="D427" s="1"/>
      <c r="E427" s="1"/>
      <c r="F427" s="71"/>
      <c r="G427" s="6"/>
      <c r="H427" s="1"/>
    </row>
    <row r="428" spans="1:8" ht="15.75" thickBot="1" x14ac:dyDescent="0.3">
      <c r="A428" s="10"/>
      <c r="B428" s="1"/>
      <c r="C428" s="1"/>
      <c r="D428" s="1"/>
      <c r="E428" s="1"/>
      <c r="F428" s="71"/>
      <c r="G428" s="6"/>
      <c r="H428" s="1"/>
    </row>
    <row r="429" spans="1:8" ht="15.75" thickBot="1" x14ac:dyDescent="0.3">
      <c r="A429" s="10"/>
      <c r="B429" s="1"/>
      <c r="C429" s="1"/>
      <c r="D429" s="1"/>
      <c r="E429" s="1"/>
      <c r="F429" s="71"/>
      <c r="G429" s="6"/>
      <c r="H429" s="1"/>
    </row>
    <row r="430" spans="1:8" ht="15.75" thickBot="1" x14ac:dyDescent="0.3">
      <c r="A430" s="10"/>
      <c r="B430" s="1"/>
      <c r="C430" s="1"/>
      <c r="D430" s="1"/>
      <c r="E430" s="1"/>
      <c r="F430" s="71"/>
      <c r="G430" s="6"/>
      <c r="H430" s="1"/>
    </row>
    <row r="431" spans="1:8" ht="15.75" thickBot="1" x14ac:dyDescent="0.3">
      <c r="A431" s="10"/>
      <c r="B431" s="1"/>
      <c r="C431" s="1"/>
      <c r="D431" s="1"/>
      <c r="E431" s="1"/>
      <c r="F431" s="71"/>
      <c r="G431" s="10"/>
      <c r="H431" s="1"/>
    </row>
    <row r="432" spans="1:8" ht="15.75" thickBot="1" x14ac:dyDescent="0.3">
      <c r="A432" s="10"/>
      <c r="B432" s="1"/>
      <c r="C432" s="1"/>
      <c r="D432" s="1"/>
      <c r="E432" s="1"/>
      <c r="F432" s="71"/>
      <c r="G432" s="10"/>
      <c r="H432" s="1"/>
    </row>
    <row r="433" spans="1:8" ht="15.75" thickBot="1" x14ac:dyDescent="0.3">
      <c r="A433" s="10"/>
      <c r="B433" s="1"/>
      <c r="C433" s="1"/>
      <c r="D433" s="1"/>
      <c r="E433" s="1"/>
      <c r="F433" s="71"/>
      <c r="G433" s="10"/>
      <c r="H433" s="1"/>
    </row>
    <row r="434" spans="1:8" ht="15.75" thickBot="1" x14ac:dyDescent="0.3">
      <c r="A434" s="10"/>
      <c r="B434" s="1"/>
      <c r="C434" s="1"/>
      <c r="D434" s="1"/>
      <c r="E434" s="1"/>
      <c r="F434" s="71"/>
      <c r="G434" s="10"/>
      <c r="H434" s="36"/>
    </row>
    <row r="435" spans="1:8" ht="15.75" thickBot="1" x14ac:dyDescent="0.3">
      <c r="A435" s="10"/>
      <c r="B435" s="1"/>
      <c r="C435" s="1"/>
      <c r="D435" s="1"/>
      <c r="E435" s="1"/>
      <c r="F435" s="71"/>
      <c r="G435" s="6"/>
      <c r="H435" s="1"/>
    </row>
    <row r="436" spans="1:8" ht="15.75" thickBot="1" x14ac:dyDescent="0.3">
      <c r="A436" s="10"/>
      <c r="B436" s="1"/>
      <c r="C436" s="1"/>
      <c r="D436" s="1"/>
      <c r="E436" s="1"/>
      <c r="F436" s="71"/>
      <c r="G436" s="6"/>
      <c r="H436" s="1"/>
    </row>
    <row r="437" spans="1:8" ht="15.75" thickBot="1" x14ac:dyDescent="0.3">
      <c r="A437" s="10"/>
      <c r="B437" s="1"/>
      <c r="C437" s="1"/>
      <c r="D437" s="1"/>
      <c r="E437" s="1"/>
      <c r="F437" s="71"/>
      <c r="G437" s="6"/>
      <c r="H437" s="1"/>
    </row>
    <row r="438" spans="1:8" ht="15.75" thickBot="1" x14ac:dyDescent="0.3">
      <c r="A438" s="10"/>
      <c r="B438" s="1"/>
      <c r="C438" s="1"/>
      <c r="D438" s="1"/>
      <c r="E438" s="1"/>
      <c r="F438" s="71"/>
      <c r="G438" s="6"/>
      <c r="H438" s="1"/>
    </row>
    <row r="439" spans="1:8" ht="15.75" thickBot="1" x14ac:dyDescent="0.3">
      <c r="A439" s="10"/>
      <c r="B439" s="1"/>
      <c r="C439" s="1"/>
      <c r="D439" s="1"/>
      <c r="E439" s="1"/>
      <c r="F439" s="71"/>
      <c r="G439" s="6"/>
      <c r="H439" s="1"/>
    </row>
    <row r="440" spans="1:8" ht="15.75" thickBot="1" x14ac:dyDescent="0.3">
      <c r="A440" s="10"/>
      <c r="B440" s="1"/>
      <c r="C440" s="1"/>
      <c r="D440" s="1"/>
      <c r="E440" s="1"/>
      <c r="F440" s="71"/>
      <c r="G440" s="6"/>
      <c r="H440" s="1"/>
    </row>
    <row r="441" spans="1:8" ht="15.75" thickBot="1" x14ac:dyDescent="0.3">
      <c r="A441" s="10"/>
      <c r="B441" s="1"/>
      <c r="C441" s="1"/>
      <c r="D441" s="1"/>
      <c r="E441" s="1"/>
      <c r="F441" s="71"/>
      <c r="G441" s="6"/>
      <c r="H441" s="1"/>
    </row>
    <row r="442" spans="1:8" ht="15.75" thickBot="1" x14ac:dyDescent="0.3">
      <c r="A442" s="10"/>
      <c r="B442" s="1"/>
      <c r="C442" s="1"/>
      <c r="D442" s="1"/>
      <c r="E442" s="1"/>
      <c r="F442" s="71"/>
      <c r="G442" s="6"/>
      <c r="H442" s="36"/>
    </row>
    <row r="443" spans="1:8" ht="15.75" thickBot="1" x14ac:dyDescent="0.3">
      <c r="A443" s="10"/>
      <c r="B443" s="1"/>
      <c r="C443" s="1"/>
      <c r="D443" s="1"/>
      <c r="E443" s="1"/>
      <c r="F443" s="71"/>
      <c r="G443" s="6"/>
      <c r="H443" s="1"/>
    </row>
    <row r="444" spans="1:8" ht="15.75" thickBot="1" x14ac:dyDescent="0.3">
      <c r="A444" s="10"/>
      <c r="B444" s="1"/>
      <c r="C444" s="1"/>
      <c r="D444" s="1"/>
      <c r="E444" s="1"/>
      <c r="F444" s="71"/>
      <c r="G444" s="6"/>
      <c r="H444" s="1"/>
    </row>
    <row r="445" spans="1:8" ht="15.75" thickBot="1" x14ac:dyDescent="0.3">
      <c r="A445" s="10"/>
      <c r="B445" s="1"/>
      <c r="C445" s="1"/>
      <c r="D445" s="1"/>
      <c r="E445" s="1"/>
      <c r="F445" s="71"/>
      <c r="G445" s="6"/>
      <c r="H445" s="1"/>
    </row>
    <row r="446" spans="1:8" ht="15.75" thickBot="1" x14ac:dyDescent="0.3">
      <c r="A446" s="10"/>
      <c r="B446" s="1"/>
      <c r="C446" s="1"/>
      <c r="D446" s="1"/>
      <c r="E446" s="1"/>
      <c r="F446" s="71"/>
      <c r="G446" s="6"/>
      <c r="H446" s="1"/>
    </row>
    <row r="447" spans="1:8" ht="15.75" thickBot="1" x14ac:dyDescent="0.3">
      <c r="A447" s="10"/>
      <c r="B447" s="1"/>
      <c r="C447" s="1"/>
      <c r="D447" s="1"/>
      <c r="E447" s="1"/>
      <c r="F447" s="71"/>
      <c r="G447" s="6"/>
      <c r="H447" s="1"/>
    </row>
    <row r="448" spans="1:8" ht="15.75" thickBot="1" x14ac:dyDescent="0.3">
      <c r="A448" s="6"/>
      <c r="B448" s="1"/>
      <c r="C448" s="1"/>
      <c r="D448" s="1"/>
      <c r="E448" s="1"/>
      <c r="F448" s="71"/>
      <c r="G448" s="6"/>
      <c r="H448" s="1"/>
    </row>
    <row r="449" spans="1:8" ht="15.75" thickBot="1" x14ac:dyDescent="0.3">
      <c r="A449" s="10"/>
      <c r="B449" s="1"/>
      <c r="C449" s="1"/>
      <c r="D449" s="1"/>
      <c r="E449" s="1"/>
      <c r="F449" s="71"/>
      <c r="G449" s="6"/>
      <c r="H449" s="1"/>
    </row>
    <row r="450" spans="1:8" ht="15.75" thickBot="1" x14ac:dyDescent="0.3">
      <c r="A450" s="10"/>
      <c r="B450" s="1"/>
      <c r="C450" s="1"/>
      <c r="D450" s="1"/>
      <c r="E450" s="1"/>
      <c r="F450" s="71"/>
      <c r="G450" s="6"/>
      <c r="H450" s="1"/>
    </row>
    <row r="451" spans="1:8" ht="15.75" thickBot="1" x14ac:dyDescent="0.3">
      <c r="A451" s="10"/>
      <c r="B451" s="1"/>
      <c r="C451" s="1"/>
      <c r="D451" s="1"/>
      <c r="E451" s="1"/>
      <c r="F451" s="71"/>
      <c r="G451" s="6"/>
      <c r="H451" s="1"/>
    </row>
    <row r="452" spans="1:8" ht="15.75" thickBot="1" x14ac:dyDescent="0.3">
      <c r="A452" s="10"/>
      <c r="B452" s="1"/>
      <c r="C452" s="1"/>
      <c r="D452" s="1"/>
      <c r="E452" s="1"/>
      <c r="F452" s="71"/>
      <c r="G452" s="6"/>
      <c r="H452" s="1"/>
    </row>
    <row r="453" spans="1:8" ht="15.75" thickBot="1" x14ac:dyDescent="0.3">
      <c r="A453" s="10"/>
      <c r="B453" s="1"/>
      <c r="C453" s="1"/>
      <c r="D453" s="1"/>
      <c r="E453" s="1"/>
      <c r="F453" s="71"/>
      <c r="G453" s="6"/>
      <c r="H453" s="1"/>
    </row>
    <row r="454" spans="1:8" ht="15.75" thickBot="1" x14ac:dyDescent="0.3">
      <c r="A454" s="10"/>
      <c r="B454" s="1"/>
      <c r="C454" s="1"/>
      <c r="D454" s="1"/>
      <c r="E454" s="1"/>
      <c r="F454" s="71"/>
      <c r="G454" s="6"/>
      <c r="H454" s="1"/>
    </row>
    <row r="455" spans="1:8" ht="15.75" thickBot="1" x14ac:dyDescent="0.3">
      <c r="A455" s="10"/>
      <c r="B455" s="1"/>
      <c r="C455" s="1"/>
      <c r="D455" s="1"/>
      <c r="E455" s="1"/>
      <c r="F455" s="71"/>
      <c r="G455" s="6"/>
      <c r="H455" s="1"/>
    </row>
    <row r="456" spans="1:8" ht="15.75" thickBot="1" x14ac:dyDescent="0.3">
      <c r="A456" s="10"/>
      <c r="B456" s="1"/>
      <c r="C456" s="1"/>
      <c r="D456" s="1"/>
      <c r="E456" s="1"/>
      <c r="F456" s="71"/>
      <c r="G456" s="6"/>
      <c r="H456" s="1"/>
    </row>
    <row r="457" spans="1:8" ht="15.75" thickBot="1" x14ac:dyDescent="0.3">
      <c r="A457" s="10"/>
      <c r="B457" s="1"/>
      <c r="C457" s="1"/>
      <c r="D457" s="1"/>
      <c r="E457" s="1"/>
      <c r="F457" s="71"/>
      <c r="G457" s="6"/>
      <c r="H457" s="1"/>
    </row>
    <row r="458" spans="1:8" ht="15.75" thickBot="1" x14ac:dyDescent="0.3">
      <c r="A458" s="10"/>
      <c r="B458" s="1"/>
      <c r="C458" s="1"/>
      <c r="D458" s="1"/>
      <c r="E458" s="1"/>
      <c r="F458" s="71"/>
      <c r="G458" s="6"/>
      <c r="H458" s="1"/>
    </row>
    <row r="459" spans="1:8" ht="15.75" thickBot="1" x14ac:dyDescent="0.3">
      <c r="A459" s="10"/>
      <c r="B459" s="1"/>
      <c r="C459" s="1"/>
      <c r="D459" s="1"/>
      <c r="E459" s="1"/>
      <c r="F459" s="71"/>
      <c r="G459" s="6"/>
      <c r="H459" s="1"/>
    </row>
    <row r="460" spans="1:8" ht="15.75" thickBot="1" x14ac:dyDescent="0.3">
      <c r="A460" s="10"/>
      <c r="B460" s="1"/>
      <c r="C460" s="1"/>
      <c r="D460" s="1"/>
      <c r="E460" s="1"/>
      <c r="F460" s="71"/>
      <c r="G460" s="6"/>
      <c r="H460" s="1"/>
    </row>
    <row r="461" spans="1:8" ht="15.75" thickBot="1" x14ac:dyDescent="0.3">
      <c r="A461" s="10"/>
      <c r="B461" s="1"/>
      <c r="C461" s="1"/>
      <c r="D461" s="1"/>
      <c r="E461" s="1"/>
      <c r="F461" s="71"/>
      <c r="G461" s="6"/>
      <c r="H461" s="36"/>
    </row>
    <row r="462" spans="1:8" ht="15.75" thickBot="1" x14ac:dyDescent="0.3">
      <c r="A462" s="10"/>
      <c r="B462" s="1"/>
      <c r="C462" s="1"/>
      <c r="D462" s="1"/>
      <c r="E462" s="1"/>
      <c r="F462" s="71"/>
      <c r="G462" s="6"/>
      <c r="H462" s="1"/>
    </row>
    <row r="463" spans="1:8" ht="15.75" thickBot="1" x14ac:dyDescent="0.3">
      <c r="A463" s="10"/>
      <c r="B463" s="1"/>
      <c r="C463" s="1"/>
      <c r="D463" s="1"/>
      <c r="E463" s="1"/>
      <c r="F463" s="71"/>
      <c r="G463" s="6"/>
      <c r="H463" s="1"/>
    </row>
    <row r="464" spans="1:8" ht="15.75" thickBot="1" x14ac:dyDescent="0.3">
      <c r="A464" s="10"/>
      <c r="B464" s="1"/>
      <c r="C464" s="1"/>
      <c r="D464" s="1"/>
      <c r="E464" s="1"/>
      <c r="F464" s="71"/>
      <c r="G464" s="6"/>
      <c r="H464" s="1"/>
    </row>
    <row r="465" spans="1:8" ht="15.75" thickBot="1" x14ac:dyDescent="0.3">
      <c r="A465" s="10"/>
      <c r="B465" s="1"/>
      <c r="C465" s="1"/>
      <c r="D465" s="1"/>
      <c r="E465" s="1"/>
      <c r="F465" s="71"/>
      <c r="G465" s="6"/>
      <c r="H465" s="1"/>
    </row>
    <row r="466" spans="1:8" ht="15.75" thickBot="1" x14ac:dyDescent="0.3">
      <c r="A466" s="10"/>
      <c r="B466" s="1"/>
      <c r="C466" s="1"/>
      <c r="D466" s="1"/>
      <c r="E466" s="1"/>
      <c r="F466" s="71"/>
      <c r="G466" s="6"/>
      <c r="H466" s="1"/>
    </row>
    <row r="467" spans="1:8" ht="15.75" thickBot="1" x14ac:dyDescent="0.3">
      <c r="A467" s="10"/>
      <c r="B467" s="1"/>
      <c r="C467" s="1"/>
      <c r="D467" s="1"/>
      <c r="E467" s="1"/>
      <c r="F467" s="71"/>
      <c r="G467" s="6"/>
      <c r="H467" s="1"/>
    </row>
    <row r="468" spans="1:8" ht="15.75" thickBot="1" x14ac:dyDescent="0.3">
      <c r="A468" s="10"/>
      <c r="B468" s="1"/>
      <c r="C468" s="1"/>
      <c r="D468" s="1"/>
      <c r="E468" s="1"/>
      <c r="F468" s="71"/>
      <c r="G468" s="6"/>
      <c r="H468" s="1"/>
    </row>
    <row r="469" spans="1:8" ht="15.75" thickBot="1" x14ac:dyDescent="0.3">
      <c r="A469" s="10"/>
      <c r="B469" s="1"/>
      <c r="C469" s="1"/>
      <c r="D469" s="1"/>
      <c r="E469" s="1"/>
      <c r="F469" s="71"/>
      <c r="G469" s="6"/>
      <c r="H469" s="1"/>
    </row>
    <row r="470" spans="1:8" ht="15.75" thickBot="1" x14ac:dyDescent="0.3">
      <c r="A470" s="10"/>
      <c r="B470" s="1"/>
      <c r="C470" s="1"/>
      <c r="D470" s="1"/>
      <c r="E470" s="1"/>
      <c r="F470" s="71"/>
      <c r="G470" s="6"/>
      <c r="H470" s="1"/>
    </row>
    <row r="471" spans="1:8" ht="15.75" thickBot="1" x14ac:dyDescent="0.3">
      <c r="A471" s="10"/>
      <c r="B471" s="1"/>
      <c r="C471" s="1"/>
      <c r="D471" s="1"/>
      <c r="E471" s="1"/>
      <c r="F471" s="71"/>
      <c r="G471" s="6"/>
      <c r="H471" s="1"/>
    </row>
    <row r="472" spans="1:8" ht="15.75" thickBot="1" x14ac:dyDescent="0.3">
      <c r="A472" s="10"/>
      <c r="B472" s="1"/>
      <c r="C472" s="1"/>
      <c r="D472" s="1"/>
      <c r="E472" s="1"/>
      <c r="F472" s="71"/>
      <c r="G472" s="6"/>
      <c r="H472" s="1"/>
    </row>
    <row r="473" spans="1:8" ht="15.75" thickBot="1" x14ac:dyDescent="0.3">
      <c r="A473" s="10"/>
      <c r="B473" s="1"/>
      <c r="C473" s="1"/>
      <c r="D473" s="1"/>
      <c r="E473" s="1"/>
      <c r="F473" s="71"/>
      <c r="G473" s="6"/>
      <c r="H473" s="1"/>
    </row>
    <row r="474" spans="1:8" ht="15.75" thickBot="1" x14ac:dyDescent="0.3">
      <c r="A474" s="10"/>
      <c r="B474" s="1"/>
      <c r="C474" s="1"/>
      <c r="D474" s="1"/>
      <c r="E474" s="1"/>
      <c r="F474" s="71"/>
      <c r="G474" s="6"/>
      <c r="H474" s="1"/>
    </row>
    <row r="475" spans="1:8" ht="15.75" thickBot="1" x14ac:dyDescent="0.3">
      <c r="A475" s="10"/>
      <c r="B475" s="1"/>
      <c r="C475" s="1"/>
      <c r="D475" s="1"/>
      <c r="E475" s="1"/>
      <c r="F475" s="71"/>
      <c r="G475" s="6"/>
      <c r="H475" s="1"/>
    </row>
    <row r="476" spans="1:8" ht="15.75" thickBot="1" x14ac:dyDescent="0.3">
      <c r="A476" s="10"/>
      <c r="B476" s="1"/>
      <c r="C476" s="1"/>
      <c r="D476" s="1"/>
      <c r="E476" s="1"/>
      <c r="F476" s="71"/>
      <c r="G476" s="6"/>
      <c r="H476" s="1"/>
    </row>
    <row r="477" spans="1:8" ht="15.75" thickBot="1" x14ac:dyDescent="0.3">
      <c r="A477" s="10"/>
      <c r="B477" s="1"/>
      <c r="C477" s="1"/>
      <c r="D477" s="1"/>
      <c r="E477" s="1"/>
      <c r="F477" s="71"/>
      <c r="G477" s="6"/>
      <c r="H477" s="1"/>
    </row>
    <row r="478" spans="1:8" ht="15.75" thickBot="1" x14ac:dyDescent="0.3">
      <c r="A478" s="10"/>
      <c r="B478" s="1"/>
      <c r="C478" s="1"/>
      <c r="D478" s="1"/>
      <c r="E478" s="1"/>
      <c r="F478" s="71"/>
      <c r="G478" s="6"/>
      <c r="H478" s="1"/>
    </row>
    <row r="479" spans="1:8" ht="15.75" thickBot="1" x14ac:dyDescent="0.3">
      <c r="A479" s="10"/>
      <c r="B479" s="1"/>
      <c r="C479" s="1"/>
      <c r="D479" s="1"/>
      <c r="E479" s="1"/>
      <c r="F479" s="71"/>
      <c r="G479" s="6"/>
      <c r="H479" s="1"/>
    </row>
    <row r="480" spans="1:8" ht="15.75" thickBot="1" x14ac:dyDescent="0.3">
      <c r="A480" s="10"/>
      <c r="B480" s="1"/>
      <c r="C480" s="1"/>
      <c r="D480" s="1"/>
      <c r="E480" s="1"/>
      <c r="F480" s="71"/>
      <c r="G480" s="6"/>
      <c r="H480" s="1"/>
    </row>
    <row r="481" spans="1:8" ht="15.75" thickBot="1" x14ac:dyDescent="0.3">
      <c r="A481" s="10"/>
      <c r="B481" s="1"/>
      <c r="C481" s="1"/>
      <c r="D481" s="1"/>
      <c r="E481" s="1"/>
      <c r="F481" s="71"/>
      <c r="G481" s="6"/>
      <c r="H481" s="1"/>
    </row>
    <row r="482" spans="1:8" ht="15.75" thickBot="1" x14ac:dyDescent="0.3">
      <c r="A482" s="10"/>
      <c r="B482" s="1"/>
      <c r="C482" s="1"/>
      <c r="D482" s="1"/>
      <c r="E482" s="1"/>
      <c r="F482" s="71"/>
      <c r="G482" s="6"/>
      <c r="H482" s="1"/>
    </row>
    <row r="483" spans="1:8" ht="15.75" thickBot="1" x14ac:dyDescent="0.3">
      <c r="A483" s="10"/>
      <c r="B483" s="1"/>
      <c r="C483" s="1"/>
      <c r="D483" s="1"/>
      <c r="E483" s="1"/>
      <c r="F483" s="71"/>
      <c r="G483" s="6"/>
      <c r="H483" s="1"/>
    </row>
    <row r="484" spans="1:8" ht="15.75" thickBot="1" x14ac:dyDescent="0.3">
      <c r="A484" s="10"/>
      <c r="B484" s="1"/>
      <c r="C484" s="1"/>
      <c r="D484" s="1"/>
      <c r="E484" s="1"/>
      <c r="F484" s="71"/>
      <c r="G484" s="6"/>
      <c r="H484" s="1"/>
    </row>
    <row r="485" spans="1:8" ht="15.75" thickBot="1" x14ac:dyDescent="0.3">
      <c r="A485" s="10"/>
      <c r="B485" s="1"/>
      <c r="C485" s="1"/>
      <c r="D485" s="1"/>
      <c r="E485" s="1"/>
      <c r="F485" s="71"/>
      <c r="G485" s="6"/>
      <c r="H485" s="1"/>
    </row>
    <row r="486" spans="1:8" ht="15.75" thickBot="1" x14ac:dyDescent="0.3">
      <c r="A486" s="10"/>
      <c r="B486" s="1"/>
      <c r="C486" s="1"/>
      <c r="D486" s="1"/>
      <c r="E486" s="1"/>
      <c r="F486" s="71"/>
      <c r="G486" s="6"/>
      <c r="H486" s="1"/>
    </row>
    <row r="487" spans="1:8" ht="15.75" thickBot="1" x14ac:dyDescent="0.3">
      <c r="A487" s="10"/>
      <c r="B487" s="1"/>
      <c r="C487" s="1"/>
      <c r="D487" s="1"/>
      <c r="E487" s="1"/>
      <c r="F487" s="71"/>
      <c r="G487" s="6"/>
      <c r="H487" s="1"/>
    </row>
    <row r="488" spans="1:8" ht="15.75" thickBot="1" x14ac:dyDescent="0.3">
      <c r="A488" s="10"/>
      <c r="B488" s="1"/>
      <c r="C488" s="1"/>
      <c r="D488" s="1"/>
      <c r="E488" s="1"/>
      <c r="F488" s="71"/>
      <c r="G488" s="6"/>
      <c r="H488" s="1"/>
    </row>
    <row r="489" spans="1:8" ht="15.75" thickBot="1" x14ac:dyDescent="0.3">
      <c r="A489" s="10"/>
      <c r="B489" s="1"/>
      <c r="C489" s="1"/>
      <c r="D489" s="1"/>
      <c r="E489" s="1"/>
      <c r="F489" s="71"/>
      <c r="G489" s="6"/>
      <c r="H489" s="1"/>
    </row>
    <row r="490" spans="1:8" ht="15.75" thickBot="1" x14ac:dyDescent="0.3">
      <c r="A490" s="10"/>
      <c r="B490" s="1"/>
      <c r="C490" s="1"/>
      <c r="D490" s="1"/>
      <c r="E490" s="1"/>
      <c r="F490" s="71"/>
      <c r="G490" s="6"/>
      <c r="H490" s="1"/>
    </row>
    <row r="491" spans="1:8" ht="15.75" thickBot="1" x14ac:dyDescent="0.3">
      <c r="A491" s="10"/>
      <c r="B491" s="1"/>
      <c r="C491" s="1"/>
      <c r="D491" s="1"/>
      <c r="E491" s="1"/>
      <c r="F491" s="71"/>
      <c r="G491" s="6"/>
      <c r="H491" s="1"/>
    </row>
    <row r="492" spans="1:8" ht="15.75" thickBot="1" x14ac:dyDescent="0.3">
      <c r="A492" s="10"/>
      <c r="B492" s="1"/>
      <c r="C492" s="1"/>
      <c r="D492" s="1"/>
      <c r="E492" s="1"/>
      <c r="F492" s="71"/>
      <c r="G492" s="6"/>
      <c r="H492" s="1"/>
    </row>
    <row r="493" spans="1:8" ht="15.75" thickBot="1" x14ac:dyDescent="0.3">
      <c r="A493" s="10"/>
      <c r="B493" s="1"/>
      <c r="C493" s="1"/>
      <c r="D493" s="1"/>
      <c r="E493" s="1"/>
      <c r="F493" s="71"/>
      <c r="G493" s="6"/>
      <c r="H493" s="1"/>
    </row>
    <row r="494" spans="1:8" ht="15.75" thickBot="1" x14ac:dyDescent="0.3">
      <c r="A494" s="10"/>
      <c r="B494" s="1"/>
      <c r="C494" s="1"/>
      <c r="D494" s="1"/>
      <c r="E494" s="1"/>
      <c r="F494" s="71"/>
      <c r="G494" s="6"/>
      <c r="H494" s="1"/>
    </row>
    <row r="495" spans="1:8" ht="15.75" thickBot="1" x14ac:dyDescent="0.3">
      <c r="A495" s="10"/>
      <c r="B495" s="1"/>
      <c r="C495" s="1"/>
      <c r="D495" s="1"/>
      <c r="E495" s="1"/>
      <c r="F495" s="71"/>
      <c r="G495" s="6"/>
      <c r="H495" s="1"/>
    </row>
    <row r="496" spans="1:8" ht="15.75" thickBot="1" x14ac:dyDescent="0.3">
      <c r="A496" s="10"/>
      <c r="B496" s="1"/>
      <c r="C496" s="1"/>
      <c r="D496" s="1"/>
      <c r="E496" s="1"/>
      <c r="F496" s="71"/>
      <c r="G496" s="6"/>
      <c r="H496" s="1"/>
    </row>
    <row r="497" spans="1:8" ht="15.75" thickBot="1" x14ac:dyDescent="0.3">
      <c r="A497" s="10"/>
      <c r="B497" s="1"/>
      <c r="C497" s="1"/>
      <c r="D497" s="1"/>
      <c r="E497" s="1"/>
      <c r="F497" s="71"/>
      <c r="G497" s="10"/>
      <c r="H497" s="1"/>
    </row>
    <row r="498" spans="1:8" ht="15.75" thickBot="1" x14ac:dyDescent="0.3">
      <c r="A498" s="10"/>
      <c r="B498" s="1"/>
      <c r="C498" s="1"/>
      <c r="D498" s="1"/>
      <c r="E498" s="1"/>
      <c r="F498" s="71"/>
      <c r="G498" s="10"/>
      <c r="H498" s="1"/>
    </row>
    <row r="499" spans="1:8" ht="15.75" thickBot="1" x14ac:dyDescent="0.3">
      <c r="A499" s="10"/>
      <c r="B499" s="1"/>
      <c r="C499" s="1"/>
      <c r="D499" s="1"/>
      <c r="E499" s="1"/>
      <c r="F499" s="71"/>
      <c r="G499" s="10"/>
      <c r="H499" s="1"/>
    </row>
    <row r="500" spans="1:8" ht="15.75" thickBot="1" x14ac:dyDescent="0.3">
      <c r="A500" s="10"/>
      <c r="B500" s="1"/>
      <c r="C500" s="1"/>
      <c r="D500" s="1"/>
      <c r="E500" s="1"/>
      <c r="F500" s="71"/>
      <c r="G500" s="10"/>
      <c r="H500" s="1"/>
    </row>
    <row r="501" spans="1:8" ht="15.75" thickBot="1" x14ac:dyDescent="0.3">
      <c r="A501" s="10"/>
      <c r="B501" s="1"/>
      <c r="C501" s="1"/>
      <c r="D501" s="1"/>
      <c r="E501" s="1"/>
      <c r="F501" s="71"/>
      <c r="G501" s="10"/>
      <c r="H501" s="1"/>
    </row>
    <row r="502" spans="1:8" ht="15.75" thickBot="1" x14ac:dyDescent="0.3">
      <c r="A502" s="10"/>
      <c r="B502" s="1"/>
      <c r="C502" s="1"/>
      <c r="D502" s="1"/>
      <c r="E502" s="1"/>
      <c r="F502" s="71"/>
      <c r="G502" s="10"/>
      <c r="H502" s="1"/>
    </row>
    <row r="503" spans="1:8" ht="15.75" thickBot="1" x14ac:dyDescent="0.3">
      <c r="A503" s="6"/>
      <c r="B503" s="1"/>
      <c r="C503" s="1"/>
      <c r="D503" s="1"/>
      <c r="E503" s="1"/>
      <c r="F503" s="71"/>
      <c r="G503" s="10"/>
      <c r="H503" s="1"/>
    </row>
    <row r="504" spans="1:8" ht="15.75" thickBot="1" x14ac:dyDescent="0.3">
      <c r="A504" s="10"/>
      <c r="B504" s="1"/>
      <c r="C504" s="1"/>
      <c r="D504" s="1"/>
      <c r="E504" s="1"/>
      <c r="F504" s="71"/>
      <c r="G504" s="10"/>
      <c r="H504" s="1"/>
    </row>
    <row r="505" spans="1:8" ht="15.75" thickBot="1" x14ac:dyDescent="0.3">
      <c r="A505" s="10"/>
      <c r="B505" s="1"/>
      <c r="C505" s="1"/>
      <c r="D505" s="1"/>
      <c r="E505" s="1"/>
      <c r="F505" s="71"/>
      <c r="G505" s="10"/>
      <c r="H505" s="1"/>
    </row>
    <row r="506" spans="1:8" ht="15.75" thickBot="1" x14ac:dyDescent="0.3">
      <c r="A506" s="10"/>
      <c r="B506" s="1"/>
      <c r="C506" s="1"/>
      <c r="D506" s="1"/>
      <c r="E506" s="1"/>
      <c r="F506" s="71"/>
      <c r="G506" s="10"/>
      <c r="H506" s="1"/>
    </row>
    <row r="507" spans="1:8" ht="15.75" thickBot="1" x14ac:dyDescent="0.3">
      <c r="A507" s="10"/>
      <c r="B507" s="1"/>
      <c r="C507" s="1"/>
      <c r="D507" s="1"/>
      <c r="E507" s="1"/>
      <c r="F507" s="71"/>
      <c r="G507" s="10"/>
      <c r="H507" s="1"/>
    </row>
    <row r="508" spans="1:8" ht="15.75" thickBot="1" x14ac:dyDescent="0.3">
      <c r="A508" s="10"/>
      <c r="B508" s="1"/>
      <c r="C508" s="1"/>
      <c r="D508" s="1"/>
      <c r="E508" s="1"/>
      <c r="F508" s="71"/>
      <c r="G508" s="6"/>
      <c r="H508" s="1"/>
    </row>
    <row r="509" spans="1:8" ht="15.75" thickBot="1" x14ac:dyDescent="0.3">
      <c r="A509" s="10"/>
      <c r="B509" s="1"/>
      <c r="C509" s="1"/>
      <c r="D509" s="1"/>
      <c r="E509" s="1"/>
      <c r="F509" s="71"/>
      <c r="G509" s="6"/>
      <c r="H509" s="1"/>
    </row>
    <row r="510" spans="1:8" ht="15.75" thickBot="1" x14ac:dyDescent="0.3">
      <c r="A510" s="10"/>
      <c r="B510" s="1"/>
      <c r="C510" s="1"/>
      <c r="D510" s="1"/>
      <c r="E510" s="1"/>
      <c r="F510" s="71"/>
      <c r="G510" s="6"/>
      <c r="H510" s="1"/>
    </row>
    <row r="511" spans="1:8" ht="15.75" thickBot="1" x14ac:dyDescent="0.3">
      <c r="A511" s="10"/>
      <c r="B511" s="1"/>
      <c r="C511" s="1"/>
      <c r="D511" s="1"/>
      <c r="E511" s="1"/>
      <c r="F511" s="71"/>
      <c r="G511" s="6"/>
      <c r="H511" s="36"/>
    </row>
    <row r="512" spans="1:8" ht="15.75" thickBot="1" x14ac:dyDescent="0.3">
      <c r="A512" s="10"/>
      <c r="B512" s="1"/>
      <c r="C512" s="1"/>
      <c r="D512" s="1"/>
      <c r="E512" s="1"/>
      <c r="F512" s="71"/>
      <c r="G512" s="6"/>
      <c r="H512" s="1"/>
    </row>
    <row r="513" spans="1:8" ht="15.75" thickBot="1" x14ac:dyDescent="0.3">
      <c r="A513" s="10"/>
      <c r="B513" s="1"/>
      <c r="C513" s="1"/>
      <c r="D513" s="1"/>
      <c r="E513" s="1"/>
      <c r="F513" s="71"/>
      <c r="G513" s="6"/>
      <c r="H513" s="1"/>
    </row>
    <row r="514" spans="1:8" ht="15.75" thickBot="1" x14ac:dyDescent="0.3">
      <c r="A514" s="10"/>
      <c r="B514" s="1"/>
      <c r="C514" s="1"/>
      <c r="D514" s="1"/>
      <c r="E514" s="1"/>
      <c r="F514" s="71"/>
      <c r="G514" s="6"/>
      <c r="H514" s="1"/>
    </row>
    <row r="515" spans="1:8" ht="15.75" thickBot="1" x14ac:dyDescent="0.3">
      <c r="A515" s="10"/>
      <c r="B515" s="1"/>
      <c r="C515" s="1"/>
      <c r="D515" s="1"/>
      <c r="E515" s="1"/>
      <c r="F515" s="71"/>
      <c r="G515" s="6"/>
      <c r="H515" s="1"/>
    </row>
    <row r="516" spans="1:8" ht="15.75" thickBot="1" x14ac:dyDescent="0.3">
      <c r="A516" s="10"/>
      <c r="B516" s="1"/>
      <c r="C516" s="1"/>
      <c r="D516" s="1"/>
      <c r="E516" s="1"/>
      <c r="F516" s="71"/>
      <c r="G516" s="6"/>
      <c r="H516" s="36"/>
    </row>
    <row r="517" spans="1:8" ht="15.75" thickBot="1" x14ac:dyDescent="0.3">
      <c r="A517" s="10"/>
      <c r="B517" s="1"/>
      <c r="C517" s="1"/>
      <c r="D517" s="1"/>
      <c r="E517" s="1"/>
      <c r="F517" s="71"/>
      <c r="G517" s="6"/>
      <c r="H517" s="1"/>
    </row>
    <row r="518" spans="1:8" ht="15.75" thickBot="1" x14ac:dyDescent="0.3">
      <c r="A518" s="10"/>
      <c r="B518" s="1"/>
      <c r="C518" s="1"/>
      <c r="D518" s="1"/>
      <c r="E518" s="1"/>
      <c r="F518" s="71"/>
      <c r="G518" s="6"/>
      <c r="H518" s="36"/>
    </row>
    <row r="519" spans="1:8" ht="15.75" thickBot="1" x14ac:dyDescent="0.3">
      <c r="A519" s="10"/>
      <c r="B519" s="1"/>
      <c r="C519" s="1"/>
      <c r="D519" s="1"/>
      <c r="E519" s="1"/>
      <c r="F519" s="71"/>
      <c r="G519" s="6"/>
      <c r="H519" s="1"/>
    </row>
    <row r="520" spans="1:8" ht="15.75" thickBot="1" x14ac:dyDescent="0.3">
      <c r="A520" s="10"/>
      <c r="B520" s="1"/>
      <c r="C520" s="1"/>
      <c r="D520" s="1"/>
      <c r="E520" s="1"/>
      <c r="F520" s="71"/>
      <c r="G520" s="6"/>
      <c r="H520" s="1"/>
    </row>
    <row r="521" spans="1:8" ht="15.75" thickBot="1" x14ac:dyDescent="0.3">
      <c r="A521" s="10"/>
      <c r="B521" s="1"/>
      <c r="C521" s="1"/>
      <c r="D521" s="1"/>
      <c r="E521" s="1"/>
      <c r="F521" s="71"/>
      <c r="G521" s="6"/>
      <c r="H521" s="1"/>
    </row>
    <row r="522" spans="1:8" ht="15.75" thickBot="1" x14ac:dyDescent="0.3">
      <c r="A522" s="10"/>
      <c r="B522" s="1"/>
      <c r="C522" s="1"/>
      <c r="D522" s="1"/>
      <c r="E522" s="1"/>
      <c r="F522" s="71"/>
      <c r="G522" s="6"/>
      <c r="H522" s="1"/>
    </row>
    <row r="523" spans="1:8" ht="15.75" thickBot="1" x14ac:dyDescent="0.3">
      <c r="A523" s="10"/>
      <c r="B523" s="1"/>
      <c r="C523" s="1"/>
      <c r="D523" s="1"/>
      <c r="E523" s="1"/>
      <c r="F523" s="71"/>
      <c r="G523" s="6"/>
      <c r="H523" s="1"/>
    </row>
    <row r="524" spans="1:8" ht="15.75" thickBot="1" x14ac:dyDescent="0.3">
      <c r="A524" s="10"/>
      <c r="B524" s="1"/>
      <c r="C524" s="1"/>
      <c r="D524" s="1"/>
      <c r="E524" s="1"/>
      <c r="F524" s="71"/>
      <c r="G524" s="6"/>
      <c r="H524" s="1"/>
    </row>
    <row r="525" spans="1:8" x14ac:dyDescent="0.25">
      <c r="A525" s="1"/>
      <c r="B525" s="1"/>
      <c r="C525" s="1"/>
      <c r="D525" s="1"/>
      <c r="E525" s="1"/>
      <c r="F525" s="1"/>
      <c r="G525" s="1"/>
      <c r="H525" s="36"/>
    </row>
    <row r="526" spans="1:8" x14ac:dyDescent="0.25">
      <c r="A526" s="1"/>
      <c r="B526" s="1"/>
      <c r="C526" s="1"/>
      <c r="D526" s="1"/>
      <c r="E526" s="1"/>
      <c r="F526" s="1"/>
      <c r="G526" s="1"/>
      <c r="H526" s="36"/>
    </row>
    <row r="527" spans="1:8" x14ac:dyDescent="0.25">
      <c r="A527" s="1"/>
      <c r="B527" s="1"/>
      <c r="C527" s="1"/>
      <c r="D527" s="1"/>
      <c r="E527" s="1"/>
      <c r="F527" s="1"/>
      <c r="G527" s="1"/>
      <c r="H527" s="36"/>
    </row>
    <row r="528" spans="1:8" x14ac:dyDescent="0.25">
      <c r="A528" s="1"/>
      <c r="B528" s="1"/>
      <c r="C528" s="1"/>
      <c r="D528" s="1"/>
      <c r="E528" s="1"/>
      <c r="F528" s="1"/>
      <c r="G528" s="1"/>
      <c r="H528" s="36"/>
    </row>
    <row r="529" spans="1:8" x14ac:dyDescent="0.25">
      <c r="A529" s="1"/>
      <c r="B529" s="1"/>
      <c r="C529" s="1"/>
      <c r="D529" s="1"/>
      <c r="E529" s="1"/>
      <c r="F529" s="1"/>
      <c r="G529" s="1"/>
      <c r="H529" s="36"/>
    </row>
    <row r="530" spans="1:8" x14ac:dyDescent="0.25">
      <c r="A530" s="1"/>
      <c r="B530" s="1"/>
      <c r="C530" s="1"/>
      <c r="D530" s="1"/>
      <c r="E530" s="1"/>
      <c r="F530" s="1"/>
      <c r="G530" s="1"/>
      <c r="H530" s="36"/>
    </row>
    <row r="531" spans="1:8" x14ac:dyDescent="0.25">
      <c r="A531" s="1"/>
      <c r="B531" s="1"/>
      <c r="C531" s="1"/>
      <c r="D531" s="1"/>
      <c r="E531" s="1"/>
      <c r="F531" s="1"/>
      <c r="G531" s="1"/>
      <c r="H531" s="36"/>
    </row>
    <row r="532" spans="1:8" x14ac:dyDescent="0.25">
      <c r="A532" s="1"/>
      <c r="B532" s="1"/>
      <c r="C532" s="1"/>
      <c r="D532" s="1"/>
      <c r="E532" s="1"/>
      <c r="F532" s="1"/>
      <c r="G532" s="1"/>
      <c r="H532" s="36"/>
    </row>
    <row r="533" spans="1:8" x14ac:dyDescent="0.25">
      <c r="A533" s="1"/>
      <c r="B533" s="1"/>
      <c r="C533" s="1"/>
      <c r="D533" s="1"/>
      <c r="E533" s="1"/>
      <c r="F533" s="1"/>
      <c r="G533" s="1"/>
      <c r="H533" s="36"/>
    </row>
    <row r="534" spans="1:8" x14ac:dyDescent="0.25">
      <c r="A534" s="1"/>
      <c r="B534" s="1"/>
      <c r="C534" s="1"/>
      <c r="D534" s="1"/>
      <c r="E534" s="1"/>
      <c r="F534" s="1"/>
      <c r="G534" s="1"/>
      <c r="H534" s="36"/>
    </row>
    <row r="535" spans="1:8" x14ac:dyDescent="0.25">
      <c r="A535" s="1"/>
      <c r="B535" s="1"/>
      <c r="C535" s="1"/>
      <c r="D535" s="1"/>
      <c r="E535" s="1"/>
      <c r="F535" s="1"/>
      <c r="G535" s="1"/>
      <c r="H535" s="36"/>
    </row>
    <row r="536" spans="1:8" x14ac:dyDescent="0.25">
      <c r="A536" s="1"/>
      <c r="B536" s="1"/>
      <c r="C536" s="1"/>
      <c r="D536" s="1"/>
      <c r="E536" s="1"/>
      <c r="F536" s="1"/>
      <c r="G536" s="1"/>
      <c r="H536" s="36"/>
    </row>
    <row r="537" spans="1:8" x14ac:dyDescent="0.25">
      <c r="A537" s="1"/>
      <c r="B537" s="1"/>
      <c r="C537" s="1"/>
      <c r="D537" s="1"/>
      <c r="E537" s="1"/>
      <c r="F537" s="1"/>
      <c r="G537" s="1"/>
      <c r="H537" s="36"/>
    </row>
    <row r="538" spans="1:8" x14ac:dyDescent="0.25">
      <c r="A538" s="1"/>
      <c r="B538" s="1"/>
      <c r="C538" s="1"/>
      <c r="D538" s="1"/>
      <c r="E538" s="1"/>
      <c r="F538" s="1"/>
      <c r="G538" s="1"/>
      <c r="H538" s="36"/>
    </row>
    <row r="539" spans="1:8" x14ac:dyDescent="0.25">
      <c r="A539" s="1"/>
      <c r="B539" s="1"/>
      <c r="C539" s="1"/>
      <c r="D539" s="1"/>
      <c r="E539" s="1"/>
      <c r="F539" s="1"/>
      <c r="G539" s="1"/>
      <c r="H539" s="36"/>
    </row>
    <row r="540" spans="1:8" x14ac:dyDescent="0.25">
      <c r="A540" s="1"/>
      <c r="B540" s="1"/>
      <c r="C540" s="1"/>
      <c r="D540" s="1"/>
      <c r="E540" s="1"/>
      <c r="F540" s="1"/>
      <c r="G540" s="1"/>
      <c r="H540" s="36"/>
    </row>
    <row r="541" spans="1:8" x14ac:dyDescent="0.25">
      <c r="A541" s="1"/>
      <c r="B541" s="1"/>
      <c r="C541" s="1"/>
      <c r="D541" s="1"/>
      <c r="E541" s="1"/>
      <c r="F541" s="1"/>
      <c r="G541" s="1"/>
      <c r="H541" s="36"/>
    </row>
    <row r="542" spans="1:8" x14ac:dyDescent="0.25">
      <c r="A542" s="1"/>
      <c r="B542" s="1"/>
      <c r="C542" s="1"/>
      <c r="D542" s="1"/>
      <c r="E542" s="1"/>
      <c r="F542" s="1"/>
      <c r="G542" s="1"/>
      <c r="H542" s="36"/>
    </row>
    <row r="543" spans="1:8" x14ac:dyDescent="0.25">
      <c r="A543" s="1"/>
      <c r="B543" s="1"/>
      <c r="C543" s="1"/>
      <c r="D543" s="1"/>
      <c r="E543" s="1"/>
      <c r="F543" s="1"/>
      <c r="G543" s="1"/>
      <c r="H543" s="36"/>
    </row>
    <row r="544" spans="1:8" x14ac:dyDescent="0.25">
      <c r="A544" s="1"/>
      <c r="B544" s="1"/>
      <c r="C544" s="1"/>
      <c r="D544" s="1"/>
      <c r="E544" s="1"/>
      <c r="F544" s="1"/>
      <c r="G544" s="1"/>
      <c r="H544" s="36"/>
    </row>
    <row r="545" spans="1:8" x14ac:dyDescent="0.25">
      <c r="A545" s="1"/>
      <c r="B545" s="1"/>
      <c r="C545" s="1"/>
      <c r="D545" s="1"/>
      <c r="E545" s="1"/>
      <c r="F545" s="1"/>
      <c r="G545" s="1"/>
      <c r="H545" s="36"/>
    </row>
    <row r="546" spans="1:8" x14ac:dyDescent="0.25">
      <c r="A546" s="1"/>
      <c r="B546" s="1"/>
      <c r="C546" s="1"/>
      <c r="D546" s="1"/>
      <c r="E546" s="1"/>
      <c r="F546" s="1"/>
      <c r="G546" s="1"/>
      <c r="H546" s="36"/>
    </row>
    <row r="547" spans="1:8" x14ac:dyDescent="0.25">
      <c r="A547" s="1"/>
      <c r="B547" s="1"/>
      <c r="C547" s="1"/>
      <c r="D547" s="1"/>
      <c r="E547" s="1"/>
      <c r="F547" s="1"/>
      <c r="G547" s="1"/>
      <c r="H547" s="36"/>
    </row>
    <row r="548" spans="1:8" x14ac:dyDescent="0.25">
      <c r="A548" s="1"/>
      <c r="B548" s="1"/>
      <c r="C548" s="1"/>
      <c r="D548" s="1"/>
      <c r="E548" s="1"/>
      <c r="F548" s="1"/>
      <c r="G548" s="1"/>
      <c r="H548" s="36"/>
    </row>
    <row r="549" spans="1:8" x14ac:dyDescent="0.25">
      <c r="A549" s="1"/>
      <c r="B549" s="1"/>
      <c r="C549" s="1"/>
      <c r="D549" s="1"/>
      <c r="E549" s="1"/>
      <c r="F549" s="1"/>
      <c r="G549" s="1"/>
      <c r="H549" s="36"/>
    </row>
    <row r="550" spans="1:8" x14ac:dyDescent="0.25">
      <c r="A550" s="1"/>
      <c r="B550" s="1"/>
      <c r="C550" s="1"/>
      <c r="D550" s="1"/>
      <c r="E550" s="1"/>
      <c r="F550" s="1"/>
      <c r="G550" s="1"/>
      <c r="H550" s="36"/>
    </row>
    <row r="551" spans="1:8" x14ac:dyDescent="0.25">
      <c r="A551" s="1"/>
      <c r="B551" s="1"/>
      <c r="C551" s="1"/>
      <c r="D551" s="1"/>
      <c r="E551" s="1"/>
      <c r="F551" s="1"/>
      <c r="G551" s="1"/>
      <c r="H551" s="36"/>
    </row>
    <row r="552" spans="1:8" x14ac:dyDescent="0.25">
      <c r="A552" s="1"/>
      <c r="B552" s="1"/>
      <c r="C552" s="1"/>
      <c r="D552" s="1"/>
      <c r="E552" s="1"/>
      <c r="F552" s="1"/>
      <c r="G552" s="1"/>
      <c r="H552" s="36"/>
    </row>
    <row r="553" spans="1:8" x14ac:dyDescent="0.25">
      <c r="A553" s="1"/>
      <c r="B553" s="1"/>
      <c r="C553" s="1"/>
      <c r="D553" s="1"/>
      <c r="E553" s="1"/>
      <c r="F553" s="1"/>
      <c r="G553" s="1"/>
      <c r="H553" s="36"/>
    </row>
    <row r="554" spans="1:8" x14ac:dyDescent="0.25">
      <c r="A554" s="1"/>
      <c r="B554" s="1"/>
      <c r="C554" s="1"/>
      <c r="D554" s="1"/>
      <c r="E554" s="1"/>
      <c r="F554" s="1"/>
      <c r="G554" s="1"/>
      <c r="H554" s="36"/>
    </row>
    <row r="555" spans="1:8" x14ac:dyDescent="0.25">
      <c r="A555" s="1"/>
      <c r="B555" s="1"/>
      <c r="C555" s="1"/>
      <c r="D555" s="1"/>
      <c r="E555" s="1"/>
      <c r="F555" s="1"/>
      <c r="G555" s="1"/>
      <c r="H555" s="36"/>
    </row>
    <row r="556" spans="1:8" x14ac:dyDescent="0.25">
      <c r="A556" s="1"/>
      <c r="B556" s="1"/>
      <c r="C556" s="1"/>
      <c r="D556" s="1"/>
      <c r="E556" s="1"/>
      <c r="F556" s="1"/>
      <c r="G556" s="1"/>
      <c r="H556" s="36"/>
    </row>
    <row r="557" spans="1:8" x14ac:dyDescent="0.25">
      <c r="A557" s="1"/>
      <c r="B557" s="1"/>
      <c r="C557" s="1"/>
      <c r="D557" s="1"/>
      <c r="E557" s="1"/>
      <c r="F557" s="1"/>
      <c r="G557" s="1"/>
      <c r="H557" s="36"/>
    </row>
    <row r="558" spans="1:8" x14ac:dyDescent="0.25">
      <c r="A558" s="1"/>
      <c r="B558" s="1"/>
      <c r="C558" s="1"/>
      <c r="D558" s="1"/>
      <c r="E558" s="1"/>
      <c r="F558" s="1"/>
      <c r="G558" s="1"/>
      <c r="H558" s="36"/>
    </row>
    <row r="559" spans="1:8" x14ac:dyDescent="0.25">
      <c r="A559" s="1"/>
      <c r="B559" s="1"/>
      <c r="C559" s="1"/>
      <c r="D559" s="1"/>
      <c r="E559" s="1"/>
      <c r="F559" s="1"/>
      <c r="G559" s="1"/>
      <c r="H559" s="36"/>
    </row>
    <row r="560" spans="1:8" x14ac:dyDescent="0.25">
      <c r="A560" s="1"/>
      <c r="B560" s="1"/>
      <c r="C560" s="1"/>
      <c r="D560" s="1"/>
      <c r="E560" s="1"/>
      <c r="F560" s="1"/>
      <c r="G560" s="1"/>
      <c r="H560" s="36"/>
    </row>
    <row r="561" spans="1:8" x14ac:dyDescent="0.25">
      <c r="A561" s="1"/>
      <c r="B561" s="1"/>
      <c r="C561" s="1"/>
      <c r="D561" s="1"/>
      <c r="E561" s="1"/>
      <c r="F561" s="1"/>
      <c r="G561" s="1"/>
      <c r="H561" s="36"/>
    </row>
    <row r="562" spans="1:8" x14ac:dyDescent="0.25">
      <c r="A562" s="1"/>
      <c r="B562" s="1"/>
      <c r="C562" s="1"/>
      <c r="D562" s="1"/>
      <c r="E562" s="1"/>
      <c r="F562" s="1"/>
      <c r="G562" s="1"/>
      <c r="H562" s="36"/>
    </row>
    <row r="563" spans="1:8" x14ac:dyDescent="0.25">
      <c r="A563" s="1"/>
      <c r="B563" s="1"/>
      <c r="C563" s="1"/>
      <c r="D563" s="1"/>
      <c r="E563" s="1"/>
      <c r="F563" s="1"/>
      <c r="G563" s="1"/>
      <c r="H563" s="36"/>
    </row>
    <row r="564" spans="1:8" x14ac:dyDescent="0.25">
      <c r="A564" s="1"/>
      <c r="B564" s="1"/>
      <c r="C564" s="1"/>
      <c r="D564" s="1"/>
      <c r="E564" s="1"/>
      <c r="F564" s="1"/>
      <c r="G564" s="1"/>
      <c r="H564" s="36"/>
    </row>
    <row r="565" spans="1:8" x14ac:dyDescent="0.25">
      <c r="A565" s="1"/>
      <c r="B565" s="1"/>
      <c r="C565" s="1"/>
      <c r="D565" s="1"/>
      <c r="E565" s="1"/>
      <c r="F565" s="1"/>
      <c r="G565" s="1"/>
      <c r="H565" s="36"/>
    </row>
    <row r="566" spans="1:8" x14ac:dyDescent="0.25">
      <c r="A566" s="1"/>
      <c r="B566" s="1"/>
      <c r="C566" s="1"/>
      <c r="D566" s="1"/>
      <c r="E566" s="1"/>
      <c r="F566" s="1"/>
      <c r="G566" s="1"/>
      <c r="H566" s="36"/>
    </row>
    <row r="567" spans="1:8" x14ac:dyDescent="0.25">
      <c r="A567" s="1"/>
      <c r="B567" s="1"/>
      <c r="C567" s="1"/>
      <c r="D567" s="1"/>
      <c r="E567" s="1"/>
      <c r="F567" s="1"/>
      <c r="G567" s="1"/>
      <c r="H567" s="36"/>
    </row>
    <row r="568" spans="1:8" x14ac:dyDescent="0.25">
      <c r="A568" s="1"/>
      <c r="B568" s="1"/>
      <c r="C568" s="1"/>
      <c r="D568" s="1"/>
      <c r="E568" s="1"/>
      <c r="F568" s="1"/>
      <c r="G568" s="1"/>
      <c r="H568" s="36"/>
    </row>
    <row r="569" spans="1:8" x14ac:dyDescent="0.25">
      <c r="A569" s="1"/>
      <c r="B569" s="1"/>
      <c r="C569" s="1"/>
      <c r="D569" s="1"/>
      <c r="E569" s="1"/>
      <c r="F569" s="1"/>
      <c r="G569" s="1"/>
      <c r="H569" s="36"/>
    </row>
    <row r="570" spans="1:8" x14ac:dyDescent="0.25">
      <c r="A570" s="1"/>
      <c r="B570" s="1"/>
      <c r="C570" s="1"/>
      <c r="D570" s="1"/>
      <c r="E570" s="1"/>
      <c r="F570" s="1"/>
      <c r="G570" s="1"/>
      <c r="H570" s="36"/>
    </row>
    <row r="571" spans="1:8" x14ac:dyDescent="0.25">
      <c r="A571" s="1"/>
      <c r="B571" s="1"/>
      <c r="C571" s="1"/>
      <c r="D571" s="1"/>
      <c r="E571" s="1"/>
      <c r="F571" s="1"/>
      <c r="G571" s="1"/>
      <c r="H571" s="36"/>
    </row>
    <row r="572" spans="1:8" x14ac:dyDescent="0.25">
      <c r="A572" s="1"/>
      <c r="B572" s="1"/>
      <c r="C572" s="1"/>
      <c r="D572" s="1"/>
      <c r="E572" s="1"/>
      <c r="F572" s="1"/>
      <c r="G572" s="1"/>
      <c r="H572" s="36"/>
    </row>
    <row r="573" spans="1:8" x14ac:dyDescent="0.25">
      <c r="A573" s="1"/>
      <c r="B573" s="1"/>
      <c r="C573" s="1"/>
      <c r="D573" s="1"/>
      <c r="E573" s="1"/>
      <c r="F573" s="1"/>
      <c r="G573" s="1"/>
      <c r="H573" s="36"/>
    </row>
    <row r="574" spans="1:8" x14ac:dyDescent="0.25">
      <c r="A574" s="1"/>
      <c r="B574" s="1"/>
      <c r="C574" s="1"/>
      <c r="D574" s="1"/>
      <c r="E574" s="1"/>
      <c r="F574" s="1"/>
      <c r="G574" s="1"/>
      <c r="H574" s="36"/>
    </row>
    <row r="575" spans="1:8" x14ac:dyDescent="0.25">
      <c r="A575" s="1"/>
      <c r="B575" s="1"/>
      <c r="C575" s="1"/>
      <c r="D575" s="1"/>
      <c r="E575" s="1"/>
      <c r="F575" s="1"/>
      <c r="G575" s="1"/>
      <c r="H575" s="36"/>
    </row>
    <row r="576" spans="1:8" x14ac:dyDescent="0.25">
      <c r="A576" s="1"/>
      <c r="B576" s="1"/>
      <c r="C576" s="1"/>
      <c r="D576" s="1"/>
      <c r="E576" s="1"/>
      <c r="F576" s="1"/>
      <c r="G576" s="1"/>
      <c r="H576" s="36"/>
    </row>
    <row r="577" spans="1:8" x14ac:dyDescent="0.25">
      <c r="A577" s="1"/>
      <c r="B577" s="1"/>
      <c r="C577" s="1"/>
      <c r="D577" s="1"/>
      <c r="E577" s="1"/>
      <c r="F577" s="1"/>
      <c r="G577" s="1"/>
      <c r="H577" s="36"/>
    </row>
    <row r="578" spans="1:8" x14ac:dyDescent="0.25">
      <c r="A578" s="1"/>
      <c r="B578" s="1"/>
      <c r="C578" s="1"/>
      <c r="D578" s="1"/>
      <c r="E578" s="1"/>
      <c r="F578" s="1"/>
      <c r="G578" s="1"/>
      <c r="H578" s="36"/>
    </row>
    <row r="579" spans="1:8" x14ac:dyDescent="0.25">
      <c r="A579" s="1"/>
      <c r="B579" s="1"/>
      <c r="C579" s="1"/>
      <c r="D579" s="1"/>
      <c r="E579" s="1"/>
      <c r="F579" s="1"/>
      <c r="G579" s="1"/>
      <c r="H579" s="36"/>
    </row>
    <row r="580" spans="1:8" x14ac:dyDescent="0.25">
      <c r="A580" s="1"/>
      <c r="B580" s="1"/>
      <c r="C580" s="1"/>
      <c r="D580" s="1"/>
      <c r="E580" s="1"/>
      <c r="F580" s="1"/>
      <c r="G580" s="1"/>
      <c r="H580" s="36"/>
    </row>
    <row r="581" spans="1:8" x14ac:dyDescent="0.25">
      <c r="A581" s="1"/>
      <c r="B581" s="1"/>
      <c r="C581" s="1"/>
      <c r="D581" s="1"/>
      <c r="E581" s="1"/>
      <c r="F581" s="1"/>
      <c r="G581" s="1"/>
      <c r="H581" s="36"/>
    </row>
    <row r="582" spans="1:8" x14ac:dyDescent="0.25">
      <c r="A582" s="1"/>
      <c r="B582" s="1"/>
      <c r="C582" s="1"/>
      <c r="D582" s="1"/>
      <c r="E582" s="1"/>
      <c r="F582" s="1"/>
      <c r="G582" s="1"/>
      <c r="H582" s="36"/>
    </row>
    <row r="583" spans="1:8" x14ac:dyDescent="0.25">
      <c r="A583" s="1"/>
      <c r="B583" s="1"/>
      <c r="C583" s="1"/>
      <c r="D583" s="1"/>
      <c r="E583" s="1"/>
      <c r="F583" s="1"/>
      <c r="G583" s="1"/>
      <c r="H583" s="36"/>
    </row>
    <row r="584" spans="1:8" x14ac:dyDescent="0.25">
      <c r="A584" s="1"/>
      <c r="B584" s="1"/>
      <c r="C584" s="1"/>
      <c r="D584" s="1"/>
      <c r="E584" s="1"/>
      <c r="F584" s="1"/>
      <c r="G584" s="1"/>
      <c r="H584" s="36"/>
    </row>
    <row r="585" spans="1:8" x14ac:dyDescent="0.25">
      <c r="A585" s="1"/>
      <c r="B585" s="1"/>
      <c r="C585" s="1"/>
      <c r="D585" s="1"/>
      <c r="E585" s="1"/>
      <c r="F585" s="1"/>
      <c r="G585" s="1"/>
      <c r="H585" s="36"/>
    </row>
    <row r="586" spans="1:8" x14ac:dyDescent="0.25">
      <c r="A586" s="1"/>
      <c r="B586" s="1"/>
      <c r="C586" s="1"/>
      <c r="D586" s="1"/>
      <c r="E586" s="1"/>
      <c r="F586" s="1"/>
      <c r="G586" s="1"/>
      <c r="H586" s="36"/>
    </row>
    <row r="587" spans="1:8" x14ac:dyDescent="0.25">
      <c r="A587" s="1"/>
      <c r="B587" s="1"/>
      <c r="C587" s="1"/>
      <c r="D587" s="1"/>
      <c r="E587" s="1"/>
      <c r="F587" s="1"/>
      <c r="G587" s="1"/>
      <c r="H587" s="36"/>
    </row>
    <row r="588" spans="1:8" x14ac:dyDescent="0.25">
      <c r="A588" s="1"/>
      <c r="B588" s="1"/>
      <c r="C588" s="1"/>
      <c r="D588" s="1"/>
      <c r="E588" s="1"/>
      <c r="F588" s="1"/>
      <c r="G588" s="1"/>
      <c r="H588" s="36"/>
    </row>
    <row r="589" spans="1:8" x14ac:dyDescent="0.25">
      <c r="A589" s="1"/>
      <c r="B589" s="1"/>
      <c r="C589" s="1"/>
      <c r="D589" s="1"/>
      <c r="E589" s="1"/>
      <c r="F589" s="1"/>
      <c r="G589" s="1"/>
      <c r="H589" s="36"/>
    </row>
    <row r="590" spans="1:8" x14ac:dyDescent="0.25">
      <c r="A590" s="1"/>
      <c r="B590" s="1"/>
      <c r="C590" s="1"/>
      <c r="D590" s="1"/>
      <c r="E590" s="1"/>
      <c r="F590" s="1"/>
      <c r="G590" s="1"/>
      <c r="H590" s="36"/>
    </row>
    <row r="591" spans="1:8" x14ac:dyDescent="0.25">
      <c r="A591" s="1"/>
      <c r="B591" s="1"/>
      <c r="C591" s="1"/>
      <c r="D591" s="1"/>
      <c r="E591" s="1"/>
      <c r="F591" s="1"/>
      <c r="G591" s="1"/>
      <c r="H591" s="36"/>
    </row>
    <row r="592" spans="1:8" x14ac:dyDescent="0.25">
      <c r="A592" s="1"/>
      <c r="B592" s="1"/>
      <c r="C592" s="1"/>
      <c r="D592" s="1"/>
      <c r="E592" s="1"/>
      <c r="F592" s="1"/>
      <c r="G592" s="1"/>
      <c r="H592" s="36"/>
    </row>
    <row r="593" spans="1:8" x14ac:dyDescent="0.25">
      <c r="A593" s="1"/>
      <c r="B593" s="1"/>
      <c r="C593" s="1"/>
      <c r="D593" s="1"/>
      <c r="E593" s="1"/>
      <c r="F593" s="1"/>
      <c r="G593" s="1"/>
      <c r="H593" s="36"/>
    </row>
    <row r="594" spans="1:8" x14ac:dyDescent="0.25">
      <c r="A594" s="1"/>
      <c r="B594" s="1"/>
      <c r="C594" s="1"/>
      <c r="D594" s="1"/>
      <c r="E594" s="1"/>
      <c r="F594" s="1"/>
      <c r="G594" s="1"/>
      <c r="H594" s="36"/>
    </row>
    <row r="595" spans="1:8" x14ac:dyDescent="0.25">
      <c r="A595" s="1"/>
      <c r="B595" s="1"/>
      <c r="C595" s="1"/>
      <c r="D595" s="1"/>
      <c r="E595" s="1"/>
      <c r="F595" s="1"/>
      <c r="G595" s="1"/>
      <c r="H595" s="36"/>
    </row>
    <row r="596" spans="1:8" x14ac:dyDescent="0.25">
      <c r="A596" s="1"/>
      <c r="B596" s="1"/>
      <c r="C596" s="1"/>
      <c r="D596" s="1"/>
      <c r="E596" s="1"/>
      <c r="F596" s="1"/>
      <c r="G596" s="1"/>
      <c r="H596" s="36"/>
    </row>
    <row r="597" spans="1:8" x14ac:dyDescent="0.25">
      <c r="A597" s="1"/>
      <c r="B597" s="1"/>
      <c r="C597" s="1"/>
      <c r="D597" s="1"/>
      <c r="E597" s="1"/>
      <c r="F597" s="1"/>
      <c r="G597" s="1"/>
      <c r="H597" s="36"/>
    </row>
    <row r="598" spans="1:8" x14ac:dyDescent="0.25">
      <c r="A598" s="1"/>
      <c r="B598" s="1"/>
      <c r="C598" s="1"/>
      <c r="D598" s="1"/>
      <c r="E598" s="1"/>
      <c r="F598" s="1"/>
      <c r="G598" s="1"/>
      <c r="H598" s="36"/>
    </row>
    <row r="599" spans="1:8" x14ac:dyDescent="0.25">
      <c r="A599" s="1"/>
      <c r="B599" s="1"/>
      <c r="C599" s="1"/>
      <c r="D599" s="1"/>
      <c r="E599" s="1"/>
      <c r="F599" s="1"/>
      <c r="G599" s="1"/>
      <c r="H599" s="36"/>
    </row>
    <row r="600" spans="1:8" x14ac:dyDescent="0.25">
      <c r="A600" s="1"/>
      <c r="B600" s="1"/>
      <c r="C600" s="1"/>
      <c r="D600" s="1"/>
      <c r="E600" s="1"/>
      <c r="F600" s="1"/>
      <c r="G600" s="1"/>
      <c r="H600" s="36"/>
    </row>
    <row r="601" spans="1:8" x14ac:dyDescent="0.25">
      <c r="A601" s="1"/>
      <c r="B601" s="1"/>
      <c r="C601" s="1"/>
      <c r="D601" s="1"/>
      <c r="E601" s="1"/>
      <c r="F601" s="1"/>
      <c r="G601" s="1"/>
      <c r="H601" s="36"/>
    </row>
    <row r="602" spans="1:8" x14ac:dyDescent="0.25">
      <c r="A602" s="1"/>
      <c r="B602" s="1"/>
      <c r="C602" s="1"/>
      <c r="D602" s="1"/>
      <c r="E602" s="1"/>
      <c r="F602" s="1"/>
      <c r="G602" s="1"/>
      <c r="H602" s="36"/>
    </row>
    <row r="603" spans="1:8" x14ac:dyDescent="0.25">
      <c r="A603" s="1"/>
      <c r="B603" s="1"/>
      <c r="C603" s="1"/>
      <c r="D603" s="1"/>
      <c r="E603" s="1"/>
      <c r="F603" s="1"/>
      <c r="G603" s="1"/>
      <c r="H603" s="36"/>
    </row>
    <row r="604" spans="1:8" x14ac:dyDescent="0.25">
      <c r="A604" s="1"/>
      <c r="B604" s="1"/>
      <c r="C604" s="1"/>
      <c r="D604" s="1"/>
      <c r="E604" s="1"/>
      <c r="F604" s="1"/>
      <c r="G604" s="1"/>
      <c r="H604" s="36"/>
    </row>
    <row r="605" spans="1:8" x14ac:dyDescent="0.25">
      <c r="A605" s="1"/>
      <c r="B605" s="1"/>
      <c r="C605" s="1"/>
      <c r="D605" s="1"/>
      <c r="E605" s="1"/>
      <c r="F605" s="1"/>
      <c r="G605" s="1"/>
      <c r="H605" s="36"/>
    </row>
    <row r="606" spans="1:8" x14ac:dyDescent="0.25">
      <c r="A606" s="1"/>
      <c r="B606" s="1"/>
      <c r="C606" s="1"/>
      <c r="D606" s="1"/>
      <c r="E606" s="1"/>
      <c r="F606" s="1"/>
      <c r="G606" s="1"/>
      <c r="H606" s="36"/>
    </row>
    <row r="607" spans="1:8" x14ac:dyDescent="0.25">
      <c r="A607" s="1"/>
      <c r="B607" s="1"/>
      <c r="C607" s="1"/>
      <c r="D607" s="1"/>
      <c r="E607" s="1"/>
      <c r="F607" s="1"/>
      <c r="G607" s="1"/>
      <c r="H607" s="36"/>
    </row>
    <row r="608" spans="1:8" x14ac:dyDescent="0.25">
      <c r="A608" s="1"/>
      <c r="B608" s="1"/>
      <c r="C608" s="1"/>
      <c r="D608" s="1"/>
      <c r="E608" s="1"/>
      <c r="F608" s="1"/>
      <c r="G608" s="1"/>
      <c r="H608" s="36"/>
    </row>
    <row r="609" spans="1:8" x14ac:dyDescent="0.25">
      <c r="A609" s="1"/>
      <c r="B609" s="1"/>
      <c r="C609" s="1"/>
      <c r="D609" s="1"/>
      <c r="E609" s="1"/>
      <c r="F609" s="1"/>
      <c r="G609" s="1"/>
      <c r="H609" s="36"/>
    </row>
    <row r="610" spans="1:8" x14ac:dyDescent="0.25">
      <c r="A610" s="1"/>
      <c r="B610" s="1"/>
      <c r="C610" s="1"/>
      <c r="D610" s="1"/>
      <c r="E610" s="1"/>
      <c r="F610" s="1"/>
      <c r="G610" s="1"/>
      <c r="H610" s="36"/>
    </row>
    <row r="611" spans="1:8" x14ac:dyDescent="0.25">
      <c r="A611" s="1"/>
      <c r="B611" s="1"/>
      <c r="C611" s="1"/>
      <c r="D611" s="1"/>
      <c r="E611" s="1"/>
      <c r="F611" s="1"/>
      <c r="G611" s="1"/>
      <c r="H611" s="36"/>
    </row>
    <row r="612" spans="1:8" x14ac:dyDescent="0.25">
      <c r="A612" s="1"/>
      <c r="B612" s="1"/>
      <c r="C612" s="1"/>
      <c r="D612" s="1"/>
      <c r="E612" s="1"/>
      <c r="F612" s="1"/>
      <c r="G612" s="1"/>
      <c r="H612" s="36"/>
    </row>
    <row r="613" spans="1:8" x14ac:dyDescent="0.25">
      <c r="A613" s="1"/>
      <c r="B613" s="1"/>
      <c r="C613" s="1"/>
      <c r="D613" s="1"/>
      <c r="E613" s="1"/>
      <c r="F613" s="1"/>
      <c r="G613" s="1"/>
      <c r="H613" s="36"/>
    </row>
    <row r="614" spans="1:8" x14ac:dyDescent="0.25">
      <c r="A614" s="1"/>
      <c r="B614" s="1"/>
      <c r="C614" s="1"/>
      <c r="D614" s="1"/>
      <c r="E614" s="1"/>
      <c r="F614" s="1"/>
      <c r="G614" s="1"/>
      <c r="H614" s="3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Tracker</vt:lpstr>
      <vt:lpstr>Workflow</vt:lpstr>
      <vt:lpstr>Summary</vt:lpstr>
      <vt:lpstr>Order_Detail_View</vt:lpstr>
      <vt:lpstr>Tracker DO NOT TOUCH</vt:lpstr>
      <vt:lpstr>Open Order</vt:lpstr>
      <vt:lpstr>Pick Lines</vt:lpstr>
      <vt:lpstr>Receiving</vt:lpstr>
      <vt:lpstr>Pending to Receive</vt:lpstr>
      <vt:lpstr>RMA</vt:lpstr>
      <vt:lpstr>Open PO Report</vt:lpstr>
      <vt:lpstr>Expected Receipts</vt:lpstr>
      <vt:lpstr>Inventory - Receipts</vt:lpstr>
      <vt:lpstr>Sales Orders POD</vt:lpstr>
      <vt:lpstr>POD_Upload</vt:lpstr>
      <vt:lpstr>DataConsol_Summary</vt:lpstr>
      <vt:lpstr>Data Validation</vt:lpstr>
      <vt:lpstr>Open_Order_DN_LineCt</vt:lpstr>
      <vt:lpstr>Temp_Library</vt:lpstr>
      <vt:lpstr>OrderDetailComments</vt:lpstr>
      <vt:lpstr>OrderDetailShippingInstruction</vt:lpstr>
    </vt:vector>
  </TitlesOfParts>
  <Company>Hewlett-Packard Company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csauceda</dc:creator>
  <cp:lastModifiedBy>Peter Gunardi</cp:lastModifiedBy>
  <cp:lastPrinted>2016-10-03T21:32:24Z</cp:lastPrinted>
  <dcterms:created xsi:type="dcterms:W3CDTF">2016-06-29T00:10:48Z</dcterms:created>
  <dcterms:modified xsi:type="dcterms:W3CDTF">2016-10-28T21:46:39Z</dcterms:modified>
</cp:coreProperties>
</file>